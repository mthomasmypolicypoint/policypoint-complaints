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namedSheetViews/namedSheetView1.xml" ContentType="application/vnd.ms-excel.namedsheetviews+xml"/>
  <Override PartName="/xl/tables/table6.xml" ContentType="application/vnd.openxmlformats-officedocument.spreadsheetml.table+xml"/>
  <Override PartName="/xl/comments1.xml" ContentType="application/vnd.openxmlformats-officedocument.spreadsheetml.comments+xml"/>
  <Override PartName="/xl/namedSheetViews/namedSheetView2.xml" ContentType="application/vnd.ms-excel.namedsheetviews+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mypolicypoint-my.sharepoint.com/personal/mthomas_mypolicypoint_com/Documents/Desktop/"/>
    </mc:Choice>
  </mc:AlternateContent>
  <xr:revisionPtr revIDLastSave="13" documentId="8_{A22CD3BE-CC9B-49A2-ACB3-1E411C2D7D4D}" xr6:coauthVersionLast="47" xr6:coauthVersionMax="47" xr10:uidLastSave="{BDDC3216-B48A-4850-8D12-B7A7E4E3DF92}"/>
  <bookViews>
    <workbookView xWindow="-120" yWindow="-120" windowWidth="29040" windowHeight="15720" activeTab="1" xr2:uid="{F28C10A7-A5EF-4427-82D1-32CF528E50AB}"/>
  </bookViews>
  <sheets>
    <sheet name="Recap" sheetId="6" r:id="rId1"/>
    <sheet name="Results" sheetId="1" r:id="rId2"/>
    <sheet name="Sheet1" sheetId="8" state="hidden" r:id="rId3"/>
    <sheet name="Agent Roster" sheetId="2" r:id="rId4"/>
    <sheet name="Policies" sheetId="9" r:id="rId5"/>
    <sheet name="Sheet3" sheetId="7" state="hidden" r:id="rId6"/>
    <sheet name="Sheet5" sheetId="5" state="hidden" r:id="rId7"/>
  </sheets>
  <externalReferences>
    <externalReference r:id="rId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3" i="6" l="1"/>
  <c r="H20" i="6"/>
  <c r="H46" i="6"/>
  <c r="H47" i="6"/>
  <c r="H6" i="6"/>
  <c r="H11" i="6"/>
  <c r="H12" i="6"/>
  <c r="H7" i="6"/>
  <c r="H21" i="6"/>
  <c r="H34" i="6"/>
  <c r="H28" i="6"/>
  <c r="D43" i="6"/>
  <c r="D20" i="6"/>
  <c r="D46" i="6"/>
  <c r="D47" i="6"/>
  <c r="D6" i="6"/>
  <c r="D11" i="6"/>
  <c r="D12" i="6"/>
  <c r="D7" i="6"/>
  <c r="D21" i="6"/>
  <c r="D34" i="6"/>
  <c r="D28" i="6"/>
  <c r="F43" i="6"/>
  <c r="F20" i="6"/>
  <c r="F46" i="6"/>
  <c r="F47" i="6"/>
  <c r="F6" i="6"/>
  <c r="F11" i="6"/>
  <c r="F12" i="6"/>
  <c r="F7" i="6"/>
  <c r="F21" i="6"/>
  <c r="F34" i="6"/>
  <c r="F28" i="6"/>
  <c r="E43" i="6"/>
  <c r="E20" i="6"/>
  <c r="E46" i="6"/>
  <c r="E47" i="6"/>
  <c r="E6" i="6"/>
  <c r="E11" i="6"/>
  <c r="E12" i="6"/>
  <c r="E7" i="6"/>
  <c r="E21" i="6"/>
  <c r="E34" i="6"/>
  <c r="E28" i="6"/>
  <c r="B43" i="6"/>
  <c r="I43" i="6" s="1"/>
  <c r="B20" i="6"/>
  <c r="B46" i="6"/>
  <c r="B47" i="6"/>
  <c r="B6" i="6"/>
  <c r="B11" i="6"/>
  <c r="B12" i="6"/>
  <c r="B7" i="6"/>
  <c r="B21" i="6"/>
  <c r="B34" i="6"/>
  <c r="B28" i="6"/>
  <c r="G43" i="6"/>
  <c r="G20" i="6"/>
  <c r="G46" i="6"/>
  <c r="G47" i="6"/>
  <c r="G6" i="6"/>
  <c r="G11" i="6"/>
  <c r="G12" i="6"/>
  <c r="G7" i="6"/>
  <c r="G21" i="6"/>
  <c r="G34" i="6"/>
  <c r="G28" i="6"/>
  <c r="B76" i="6"/>
  <c r="E86" i="6"/>
  <c r="D86" i="6"/>
  <c r="C86" i="6"/>
  <c r="B86" i="6"/>
  <c r="E94" i="6"/>
  <c r="D94" i="6"/>
  <c r="C94" i="6"/>
  <c r="B94" i="6"/>
  <c r="E91" i="6"/>
  <c r="D91" i="6"/>
  <c r="C91" i="6"/>
  <c r="B91" i="6"/>
  <c r="E93" i="6"/>
  <c r="D93" i="6"/>
  <c r="C93" i="6"/>
  <c r="B93" i="6"/>
  <c r="E92" i="6"/>
  <c r="D92" i="6"/>
  <c r="C92" i="6"/>
  <c r="B92" i="6"/>
  <c r="E90" i="6"/>
  <c r="D90" i="6"/>
  <c r="C90" i="6"/>
  <c r="B90" i="6"/>
  <c r="E88" i="6"/>
  <c r="D88" i="6"/>
  <c r="C88" i="6"/>
  <c r="B88" i="6"/>
  <c r="E89" i="6"/>
  <c r="D89" i="6"/>
  <c r="C89" i="6"/>
  <c r="B89" i="6"/>
  <c r="E87" i="6"/>
  <c r="D87" i="6"/>
  <c r="C87" i="6"/>
  <c r="B87" i="6"/>
  <c r="E73" i="6"/>
  <c r="D73" i="6"/>
  <c r="C73" i="6"/>
  <c r="B73" i="6"/>
  <c r="E81" i="6"/>
  <c r="D81" i="6"/>
  <c r="C81" i="6"/>
  <c r="B81" i="6"/>
  <c r="E79" i="6"/>
  <c r="D79" i="6"/>
  <c r="C79" i="6"/>
  <c r="B79" i="6"/>
  <c r="E80" i="6"/>
  <c r="D80" i="6"/>
  <c r="C80" i="6"/>
  <c r="B80" i="6"/>
  <c r="E78" i="6"/>
  <c r="D78" i="6"/>
  <c r="C78" i="6"/>
  <c r="B78" i="6"/>
  <c r="E75" i="6"/>
  <c r="D75" i="6"/>
  <c r="C75" i="6"/>
  <c r="B75" i="6"/>
  <c r="E77" i="6"/>
  <c r="D77" i="6"/>
  <c r="C77" i="6"/>
  <c r="B77" i="6"/>
  <c r="E76" i="6"/>
  <c r="D76" i="6"/>
  <c r="C76" i="6"/>
  <c r="E74" i="6"/>
  <c r="D74" i="6"/>
  <c r="C74" i="6"/>
  <c r="B74" i="6"/>
  <c r="E61" i="6"/>
  <c r="D61" i="6"/>
  <c r="C61" i="6"/>
  <c r="E65" i="6"/>
  <c r="D65" i="6"/>
  <c r="C65" i="6"/>
  <c r="E64" i="6"/>
  <c r="D64" i="6"/>
  <c r="C64" i="6"/>
  <c r="E67" i="6"/>
  <c r="D67" i="6"/>
  <c r="C67" i="6"/>
  <c r="E66" i="6"/>
  <c r="D66" i="6"/>
  <c r="C66" i="6"/>
  <c r="E60" i="6"/>
  <c r="D60" i="6"/>
  <c r="C60" i="6"/>
  <c r="E63" i="6"/>
  <c r="D63" i="6"/>
  <c r="C63" i="6"/>
  <c r="E62" i="6"/>
  <c r="D62" i="6"/>
  <c r="C62" i="6"/>
  <c r="E68" i="6"/>
  <c r="D68" i="6"/>
  <c r="C68" i="6"/>
  <c r="B62" i="6"/>
  <c r="B63" i="6"/>
  <c r="B60" i="6"/>
  <c r="B66" i="6"/>
  <c r="B67" i="6"/>
  <c r="B64" i="6"/>
  <c r="B65" i="6"/>
  <c r="B61" i="6"/>
  <c r="B68" i="6"/>
  <c r="D32" i="6"/>
  <c r="E32" i="6"/>
  <c r="F32" i="6"/>
  <c r="G32" i="6"/>
  <c r="E55" i="6"/>
  <c r="D55" i="6"/>
  <c r="C55" i="6"/>
  <c r="B55" i="6"/>
  <c r="E54" i="6"/>
  <c r="D54" i="6"/>
  <c r="C54" i="6"/>
  <c r="B54" i="6"/>
  <c r="E53" i="6"/>
  <c r="D53" i="6"/>
  <c r="C53" i="6"/>
  <c r="B53" i="6"/>
  <c r="H25" i="6"/>
  <c r="G25" i="6"/>
  <c r="F25" i="6"/>
  <c r="E25" i="6"/>
  <c r="D25" i="6"/>
  <c r="H31" i="6"/>
  <c r="G31" i="6"/>
  <c r="F31" i="6"/>
  <c r="E31" i="6"/>
  <c r="D31" i="6"/>
  <c r="H3" i="6"/>
  <c r="G3" i="6"/>
  <c r="F3" i="6"/>
  <c r="E3" i="6"/>
  <c r="D3" i="6"/>
  <c r="H48" i="6"/>
  <c r="G48" i="6"/>
  <c r="F48" i="6"/>
  <c r="E48" i="6"/>
  <c r="D48" i="6"/>
  <c r="H40" i="6"/>
  <c r="G40" i="6"/>
  <c r="F40" i="6"/>
  <c r="E40" i="6"/>
  <c r="D40" i="6"/>
  <c r="H33" i="6"/>
  <c r="G33" i="6"/>
  <c r="F33" i="6"/>
  <c r="E33" i="6"/>
  <c r="D33" i="6"/>
  <c r="H45" i="6"/>
  <c r="G45" i="6"/>
  <c r="F45" i="6"/>
  <c r="E45" i="6"/>
  <c r="D45" i="6"/>
  <c r="H42" i="6"/>
  <c r="G42" i="6"/>
  <c r="F42" i="6"/>
  <c r="E42" i="6"/>
  <c r="D42" i="6"/>
  <c r="H38" i="6"/>
  <c r="G38" i="6"/>
  <c r="F38" i="6"/>
  <c r="E38" i="6"/>
  <c r="D38" i="6"/>
  <c r="H35" i="6"/>
  <c r="G35" i="6"/>
  <c r="F35" i="6"/>
  <c r="E35" i="6"/>
  <c r="D35" i="6"/>
  <c r="H37" i="6"/>
  <c r="G37" i="6"/>
  <c r="F37" i="6"/>
  <c r="E37" i="6"/>
  <c r="D37" i="6"/>
  <c r="H44" i="6"/>
  <c r="G44" i="6"/>
  <c r="F44" i="6"/>
  <c r="E44" i="6"/>
  <c r="D44" i="6"/>
  <c r="H41" i="6"/>
  <c r="G41" i="6"/>
  <c r="F41" i="6"/>
  <c r="E41" i="6"/>
  <c r="D41" i="6"/>
  <c r="H16" i="6"/>
  <c r="G16" i="6"/>
  <c r="F16" i="6"/>
  <c r="E16" i="6"/>
  <c r="D16" i="6"/>
  <c r="H10" i="6"/>
  <c r="G10" i="6"/>
  <c r="F10" i="6"/>
  <c r="E10" i="6"/>
  <c r="D10" i="6"/>
  <c r="H9" i="6"/>
  <c r="G9" i="6"/>
  <c r="F9" i="6"/>
  <c r="E9" i="6"/>
  <c r="D9" i="6"/>
  <c r="H32" i="6"/>
  <c r="H5" i="6"/>
  <c r="G5" i="6"/>
  <c r="F5" i="6"/>
  <c r="E5" i="6"/>
  <c r="D5" i="6"/>
  <c r="H39" i="6"/>
  <c r="G39" i="6"/>
  <c r="F39" i="6"/>
  <c r="E39" i="6"/>
  <c r="D39" i="6"/>
  <c r="H36" i="6"/>
  <c r="G36" i="6"/>
  <c r="F36" i="6"/>
  <c r="E36" i="6"/>
  <c r="D36" i="6"/>
  <c r="H15" i="6"/>
  <c r="G15" i="6"/>
  <c r="F15" i="6"/>
  <c r="E15" i="6"/>
  <c r="D15" i="6"/>
  <c r="H30" i="6"/>
  <c r="G30" i="6"/>
  <c r="F30" i="6"/>
  <c r="E30" i="6"/>
  <c r="D30" i="6"/>
  <c r="H27" i="6"/>
  <c r="G27" i="6"/>
  <c r="F27" i="6"/>
  <c r="E27" i="6"/>
  <c r="D27" i="6"/>
  <c r="H29" i="6"/>
  <c r="G29" i="6"/>
  <c r="F29" i="6"/>
  <c r="E29" i="6"/>
  <c r="D29" i="6"/>
  <c r="H13" i="6"/>
  <c r="G13" i="6"/>
  <c r="F13" i="6"/>
  <c r="E13" i="6"/>
  <c r="D13" i="6"/>
  <c r="H18" i="6"/>
  <c r="G18" i="6"/>
  <c r="F18" i="6"/>
  <c r="E18" i="6"/>
  <c r="D18" i="6"/>
  <c r="H4" i="6"/>
  <c r="G4" i="6"/>
  <c r="F4" i="6"/>
  <c r="E4" i="6"/>
  <c r="D4" i="6"/>
  <c r="H19" i="6"/>
  <c r="G19" i="6"/>
  <c r="F19" i="6"/>
  <c r="E19" i="6"/>
  <c r="D19" i="6"/>
  <c r="H26" i="6"/>
  <c r="G26" i="6"/>
  <c r="F26" i="6"/>
  <c r="E26" i="6"/>
  <c r="D26" i="6"/>
  <c r="H23" i="6"/>
  <c r="G23" i="6"/>
  <c r="F23" i="6"/>
  <c r="E23" i="6"/>
  <c r="D23" i="6"/>
  <c r="H8" i="6"/>
  <c r="G8" i="6"/>
  <c r="F8" i="6"/>
  <c r="E8" i="6"/>
  <c r="D8" i="6"/>
  <c r="H24" i="6"/>
  <c r="G24" i="6"/>
  <c r="F24" i="6"/>
  <c r="E24" i="6"/>
  <c r="D24" i="6"/>
  <c r="H14" i="6"/>
  <c r="G14" i="6"/>
  <c r="F14" i="6"/>
  <c r="E14" i="6"/>
  <c r="D14" i="6"/>
  <c r="H17" i="6"/>
  <c r="G17" i="6"/>
  <c r="F17" i="6"/>
  <c r="E17" i="6"/>
  <c r="D17" i="6"/>
  <c r="H22" i="6"/>
  <c r="G22" i="6"/>
  <c r="F22" i="6"/>
  <c r="E22" i="6"/>
  <c r="D22" i="6"/>
  <c r="B22" i="6"/>
  <c r="B17" i="6"/>
  <c r="B8" i="6"/>
  <c r="B26" i="6"/>
  <c r="B19" i="6"/>
  <c r="B24" i="6"/>
  <c r="B18" i="6"/>
  <c r="B4" i="6"/>
  <c r="B13" i="6"/>
  <c r="B29" i="6"/>
  <c r="B27" i="6"/>
  <c r="B30" i="6"/>
  <c r="B15" i="6"/>
  <c r="B36" i="6"/>
  <c r="B23" i="6"/>
  <c r="B32" i="6"/>
  <c r="B39" i="6"/>
  <c r="B5" i="6"/>
  <c r="B9" i="6"/>
  <c r="B10" i="6"/>
  <c r="B16" i="6"/>
  <c r="B41" i="6"/>
  <c r="B44" i="6"/>
  <c r="B37" i="6"/>
  <c r="B35" i="6"/>
  <c r="B38" i="6"/>
  <c r="B42" i="6"/>
  <c r="B45" i="6"/>
  <c r="B33" i="6"/>
  <c r="B40" i="6"/>
  <c r="B48" i="6"/>
  <c r="B3" i="6"/>
  <c r="B31" i="6"/>
  <c r="B25" i="6"/>
  <c r="B14" i="6"/>
  <c r="B3" i="7"/>
  <c r="F79" i="6" l="1"/>
  <c r="F88" i="6"/>
  <c r="I7" i="6"/>
  <c r="I21" i="6"/>
  <c r="I11" i="6"/>
  <c r="I20" i="6"/>
  <c r="I28" i="6"/>
  <c r="I44" i="6"/>
  <c r="I25" i="6"/>
  <c r="I31" i="6"/>
  <c r="I48" i="6"/>
  <c r="I40" i="6"/>
  <c r="I33" i="6"/>
  <c r="I45" i="6"/>
  <c r="I42" i="6"/>
  <c r="I38" i="6"/>
  <c r="I35" i="6"/>
  <c r="I37" i="6"/>
  <c r="I12" i="6"/>
  <c r="I47" i="6"/>
  <c r="I6" i="6"/>
  <c r="I46" i="6"/>
  <c r="I34" i="6"/>
  <c r="F73" i="6"/>
  <c r="F86" i="6"/>
  <c r="F78" i="6"/>
  <c r="F94" i="6"/>
  <c r="F93" i="6"/>
  <c r="F92" i="6"/>
  <c r="F90" i="6"/>
  <c r="F77" i="6"/>
  <c r="F80" i="6"/>
  <c r="F91" i="6"/>
  <c r="F89" i="6"/>
  <c r="E69" i="6"/>
  <c r="D69" i="6"/>
  <c r="C69" i="6"/>
  <c r="F62" i="6"/>
  <c r="F63" i="6"/>
  <c r="B69" i="6"/>
  <c r="E95" i="6"/>
  <c r="D95" i="6"/>
  <c r="B95" i="6"/>
  <c r="C95" i="6"/>
  <c r="F81" i="6"/>
  <c r="E82" i="6"/>
  <c r="D82" i="6"/>
  <c r="C82" i="6"/>
  <c r="B82" i="6"/>
  <c r="F75" i="6"/>
  <c r="F76" i="6"/>
  <c r="F60" i="6"/>
  <c r="F66" i="6"/>
  <c r="F61" i="6"/>
  <c r="F64" i="6"/>
  <c r="F67" i="6"/>
  <c r="F87" i="6"/>
  <c r="F74" i="6"/>
  <c r="F65" i="6"/>
  <c r="F68" i="6"/>
  <c r="B49" i="6"/>
  <c r="I5" i="6"/>
  <c r="I32" i="6"/>
  <c r="I13" i="6"/>
  <c r="I29" i="6"/>
  <c r="I36" i="6"/>
  <c r="I24" i="6"/>
  <c r="I3" i="6"/>
  <c r="I4" i="6"/>
  <c r="I9" i="6"/>
  <c r="I39" i="6"/>
  <c r="I22" i="6"/>
  <c r="I18" i="6"/>
  <c r="I17" i="6"/>
  <c r="I41" i="6"/>
  <c r="I16" i="6"/>
  <c r="I10" i="6"/>
  <c r="I30" i="6"/>
  <c r="I19" i="6"/>
  <c r="I8" i="6"/>
  <c r="I27" i="6"/>
  <c r="I26" i="6"/>
  <c r="I15" i="6"/>
  <c r="I14" i="6"/>
  <c r="C56" i="6"/>
  <c r="E56" i="6"/>
  <c r="D56" i="6"/>
  <c r="B56" i="6"/>
  <c r="F55" i="6"/>
  <c r="F54" i="6"/>
  <c r="F53" i="6"/>
  <c r="G49" i="6"/>
  <c r="B4" i="7"/>
  <c r="F49" i="6"/>
  <c r="D49" i="6"/>
  <c r="E49" i="6"/>
  <c r="H49" i="6"/>
  <c r="I49" i="6" s="1"/>
  <c r="F95" i="6" l="1"/>
  <c r="F82" i="6"/>
  <c r="F69" i="6"/>
  <c r="F56" i="6"/>
  <c r="B5" i="7"/>
  <c r="B6" i="7" l="1"/>
  <c r="B7" i="7" l="1"/>
  <c r="B8" i="7" l="1"/>
  <c r="B9" i="7" l="1"/>
  <c r="B10" i="7" l="1"/>
  <c r="B11" i="7" l="1"/>
  <c r="B12" i="7" l="1"/>
  <c r="B13" i="7" l="1"/>
  <c r="B14" i="7" l="1"/>
  <c r="B15" i="7" l="1"/>
  <c r="B16" i="7" l="1"/>
  <c r="B17" i="7" l="1"/>
  <c r="B18" i="7" l="1"/>
  <c r="B19" i="7" l="1"/>
  <c r="B20" i="7" l="1"/>
  <c r="B21" i="7" l="1"/>
  <c r="B22" i="7" l="1"/>
  <c r="B23" i="7" l="1"/>
  <c r="B24" i="7" l="1"/>
  <c r="B25" i="7" l="1"/>
  <c r="B26" i="7" l="1"/>
  <c r="B27" i="7" l="1"/>
  <c r="B28" i="7" l="1"/>
  <c r="B29" i="7" l="1"/>
  <c r="B30" i="7" l="1"/>
  <c r="B31" i="7" l="1"/>
  <c r="B32" i="7" l="1"/>
  <c r="B33" i="7" l="1"/>
  <c r="B34" i="7" l="1"/>
  <c r="B35" i="7" l="1"/>
  <c r="B36" i="7" l="1"/>
  <c r="B37" i="7" l="1"/>
  <c r="B38" i="7" l="1"/>
  <c r="B39" i="7" l="1"/>
  <c r="B40" i="7" l="1"/>
  <c r="B41" i="7" l="1"/>
  <c r="B42" i="7" l="1"/>
  <c r="B43" i="7" l="1"/>
  <c r="B44" i="7" l="1"/>
  <c r="B45" i="7" l="1"/>
  <c r="B46" i="7" l="1"/>
  <c r="B47" i="7" l="1"/>
  <c r="B48" i="7" l="1"/>
  <c r="B49" i="7" l="1"/>
  <c r="B50" i="7" l="1"/>
  <c r="B51" i="7" l="1"/>
  <c r="B52" i="7" l="1"/>
  <c r="B53"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Ronesia Jefferies</author>
  </authors>
  <commentList>
    <comment ref="O2" authorId="0" shapeId="0" xr:uid="{0EF26CA4-5507-4765-B454-CCD37B5DD141}">
      <text>
        <r>
          <rPr>
            <sz val="11"/>
            <color theme="1"/>
            <rFont val="Aptos Narrow"/>
            <family val="2"/>
            <scheme val="minor"/>
          </rPr>
          <t>Ronesia Jefferies:
Coaching with Christina was completed on 1/28/26</t>
        </r>
      </text>
    </comment>
    <comment ref="O6" authorId="0" shapeId="0" xr:uid="{0214DC70-7B94-47E2-A570-8CF17C7B8626}">
      <text>
        <r>
          <rPr>
            <sz val="11"/>
            <color theme="1"/>
            <rFont val="Aptos Narrow"/>
            <family val="2"/>
            <scheme val="minor"/>
          </rPr>
          <t>Ronesia Jefferies:
Coaching with Tasia completed on 2.13.26</t>
        </r>
      </text>
    </comment>
    <comment ref="O8" authorId="0" shapeId="0" xr:uid="{E80418FB-C7ED-44BA-BE63-60B621D85F77}">
      <text>
        <r>
          <rPr>
            <sz val="11"/>
            <color theme="1"/>
            <rFont val="Aptos Narrow"/>
            <family val="2"/>
            <scheme val="minor"/>
          </rPr>
          <t>Ronesia Jefferies:
Coaching with Duane was completed on 2.12.26</t>
        </r>
      </text>
    </comment>
    <comment ref="O12" authorId="0" shapeId="0" xr:uid="{CF563853-EE0C-47FD-9033-0F1652C42561}">
      <text>
        <r>
          <rPr>
            <sz val="11"/>
            <color theme="1"/>
            <rFont val="Aptos Narrow"/>
            <family val="2"/>
            <scheme val="minor"/>
          </rPr>
          <t>Ronesia Jefferies:
Coaching complete</t>
        </r>
      </text>
    </comment>
  </commentList>
</comments>
</file>

<file path=xl/sharedStrings.xml><?xml version="1.0" encoding="utf-8"?>
<sst xmlns="http://schemas.openxmlformats.org/spreadsheetml/2006/main" count="55338" uniqueCount="14295">
  <si>
    <t>ROLLING THREE MONTHS</t>
  </si>
  <si>
    <t>Agent</t>
  </si>
  <si>
    <t>Total Policies</t>
  </si>
  <si>
    <t>Manager</t>
  </si>
  <si>
    <t>Founded</t>
  </si>
  <si>
    <t>Partially Founded</t>
  </si>
  <si>
    <t>Unfounded</t>
  </si>
  <si>
    <t>Unfounded, coaching opportunities present</t>
  </si>
  <si>
    <t>Total</t>
  </si>
  <si>
    <t>Complaint Percentage</t>
  </si>
  <si>
    <t>Kylie Demarino</t>
  </si>
  <si>
    <t>JT Tellez</t>
  </si>
  <si>
    <t>Christina Nguyen</t>
  </si>
  <si>
    <t>Nesia Jefferies</t>
  </si>
  <si>
    <t>Gabriela Rivera</t>
  </si>
  <si>
    <t>Lauren Wyke</t>
  </si>
  <si>
    <t>Member Services</t>
  </si>
  <si>
    <t>Robert Lang</t>
  </si>
  <si>
    <t>Gary Johnson</t>
  </si>
  <si>
    <t>Michelle Thomas</t>
  </si>
  <si>
    <t>Whitney Benoit</t>
  </si>
  <si>
    <t>Brian Henderson</t>
  </si>
  <si>
    <t>Ryan Lefler</t>
  </si>
  <si>
    <t>Duane Kipp</t>
  </si>
  <si>
    <t>Victor Filimonchuk</t>
  </si>
  <si>
    <t>Aleccia Wright</t>
  </si>
  <si>
    <t>Tonja Howard</t>
  </si>
  <si>
    <t>Amanda Rivas</t>
  </si>
  <si>
    <t>Andrea Morris</t>
  </si>
  <si>
    <t>Angelica Furlow</t>
  </si>
  <si>
    <t>Sara Jarrell</t>
  </si>
  <si>
    <t>Anthony Boyle</t>
  </si>
  <si>
    <t>Vidal Fakondo</t>
  </si>
  <si>
    <t>Asia Vann</t>
  </si>
  <si>
    <t>Bernie Livingston</t>
  </si>
  <si>
    <t>Davis Khauka</t>
  </si>
  <si>
    <t>Whitney Dantzler</t>
  </si>
  <si>
    <t>Jessica Laster</t>
  </si>
  <si>
    <t>Katherine Varnum</t>
  </si>
  <si>
    <t>Mekaylen Wesley</t>
  </si>
  <si>
    <t>Mitchell LaMont</t>
  </si>
  <si>
    <t>Robert Hernandez</t>
  </si>
  <si>
    <t>Sandra Stillwell</t>
  </si>
  <si>
    <t>Savannah Hollis</t>
  </si>
  <si>
    <t>Shenekia Nora</t>
  </si>
  <si>
    <t>Shicora Becton</t>
  </si>
  <si>
    <t>Tasia Clark</t>
  </si>
  <si>
    <t>Thomas Sonntag</t>
  </si>
  <si>
    <t>Tiera Jones</t>
  </si>
  <si>
    <t>Trice Foster</t>
  </si>
  <si>
    <t>Source</t>
  </si>
  <si>
    <t xml:space="preserve"> </t>
  </si>
  <si>
    <t>Carrier</t>
  </si>
  <si>
    <t>CTM</t>
  </si>
  <si>
    <t>Gold Kidney Health Plan</t>
  </si>
  <si>
    <t>Cigna</t>
  </si>
  <si>
    <t>Humana</t>
  </si>
  <si>
    <t>Member Services Call</t>
  </si>
  <si>
    <t>United Healthcare</t>
  </si>
  <si>
    <t>Devoted Health</t>
  </si>
  <si>
    <t>Aetna Inc.</t>
  </si>
  <si>
    <t>WellCare</t>
  </si>
  <si>
    <t>Zing Health</t>
  </si>
  <si>
    <t>Allegation Topic</t>
  </si>
  <si>
    <t>Benefit Misinformation</t>
  </si>
  <si>
    <t>Providers - Medical</t>
  </si>
  <si>
    <t>Agent Behavior</t>
  </si>
  <si>
    <t>Enrollment Consent</t>
  </si>
  <si>
    <t>Providers - Ancillary</t>
  </si>
  <si>
    <t>Drugs - Cost or Coverage</t>
  </si>
  <si>
    <t>Medicaid Coverage</t>
  </si>
  <si>
    <t>SSBCI Benefits</t>
  </si>
  <si>
    <t>Plan Eligibility</t>
  </si>
  <si>
    <t>AOI</t>
  </si>
  <si>
    <t>AMS Link</t>
  </si>
  <si>
    <t>Application Date</t>
  </si>
  <si>
    <t>Complaint Date</t>
  </si>
  <si>
    <t>Due Date</t>
  </si>
  <si>
    <t>Reviewed Date</t>
  </si>
  <si>
    <t>Complaint Source</t>
  </si>
  <si>
    <t>Name of Carrier Enrolled</t>
  </si>
  <si>
    <t>Allegations</t>
  </si>
  <si>
    <t>Determination</t>
  </si>
  <si>
    <t>AOIs</t>
  </si>
  <si>
    <t>Rationale</t>
  </si>
  <si>
    <t>Summary Link</t>
  </si>
  <si>
    <t>Coached</t>
  </si>
  <si>
    <t>Date</t>
  </si>
  <si>
    <t>Lorenzo Harris</t>
  </si>
  <si>
    <t>Ruth Larbi</t>
  </si>
  <si>
    <t>John St. Fleurant</t>
  </si>
  <si>
    <t>John Tellez</t>
  </si>
  <si>
    <t>https://app.agencybloc.com/salesEnablement/records/4972889/view?tab=activities&amp;activity_id=108543624</t>
  </si>
  <si>
    <t>Member states Sandra acted like she did not know what she was talking about. In listening to the phone call, Sandra asked for information repeatedly. She did not come across as prepared for the call.</t>
  </si>
  <si>
    <t>https://app.agencybloc.com/individuals/70211869/detail</t>
  </si>
  <si>
    <t>September</t>
  </si>
  <si>
    <t>While the underlying complaint is unfounded, the member was given several points of misinformation. Therefore, overall, this is founded. The member likely would not have enrolled in the plan had they been given the correct information</t>
  </si>
  <si>
    <t>SStillwell 09.23.2025.docx</t>
  </si>
  <si>
    <t>Justice Christian</t>
  </si>
  <si>
    <t>https://app.agencybloc.com/individuals/71062004/detail</t>
  </si>
  <si>
    <t>October</t>
  </si>
  <si>
    <t>The member was told multiple times that because she has Medicare/Medicaid she should be able to see the providers regardless of participation status because the plan is a PPO. Justice did ask the member if the providers accepted Medicare assignment but then answered herself. There is not a way for the member to know this as they had previously had a PDP. None of the member’s providers are showing as in-network on the carrier site at the locations the member sees them at. Additionally, we should be searching for individual doctors and not groups unless we have verified that is how they bill (this is usually in the case of hospitalists, urgent care, or community health clinics).</t>
  </si>
  <si>
    <t>JChristian 10.21.2025.docx</t>
  </si>
  <si>
    <t>Krista Maver</t>
  </si>
  <si>
    <t>https://app.agencybloc.com/individuals/69624040/activities</t>
  </si>
  <si>
    <t xml:space="preserve">This member moved from Pennsylvania to Texas and had not reapplied to Medicaid. Krista did a good job of explaining to the member that they would have to reapply in their current state. Additionally, she told the member to apply for LIS. She explained the process to apply for both. She was very clear in giving the benefits to the member that these were how they stood currently but that if they get approved for LIS/Medicaid costs would be different. 
While the call overall was well done, Krista did give the member inaccurate information on the vision benefit. This began at approximately 58:00 into the call. She told the member that the $150 benefit limit was for items like the retinal scan, but that the vision materials would be covered with a $0 copay. 
</t>
  </si>
  <si>
    <t>Partial</t>
  </si>
  <si>
    <t>KMaver 09.09.2025.docx</t>
  </si>
  <si>
    <t>https://app.agencybloc.com/individuals/70928855/detail</t>
  </si>
  <si>
    <t>This initially started as an RFI for Member Services to work. Vic sold the member a giveback plan and the member has Medicaid. This was indicated in Vic’s notes. When the Member Services agent was able to get a hold of the member to discuss the plan, the member became very frustrated and stated that he had been lied to and now we were trying to lie to him again. He requested to speak to a manager at which point I assisted. He refused any additional help and continued to insist that he was lied to. He ended the call after multiple attempts at de-escalation and after he was informed that he would need to contact Devoted to cancel the plan. The member will likely be contacting the carrier to cancel.</t>
  </si>
  <si>
    <t>VFilimonchuk 11.04.2025.docx</t>
  </si>
  <si>
    <t>Sarah Jarrell</t>
  </si>
  <si>
    <t>https://app.agencybloc.com/individuals/70816444/detail</t>
  </si>
  <si>
    <t xml:space="preserve">This member was sold a Choice CSNP from Devoted. Sara did a very thorough needs analysis and selected this plan based off of the highest grocery allowance. In comparing plans, this plan is the most comprehensive plan for the member. Additionally, the agent reviewed the member’s providers with him and the only one he provided is covered in network. 
At approximately 32:41 into the initial call on October 10th the member asks “Do we have any other company that we probably want to consider?”. Sarah replies to him that “The reason I didn’t consider the other onesis this one’s got the highest benefits with the lowest cost. Does that make sense?” The member agreed to the statement and set up the follow up appointment for the AEP enrollment. 
On the second call on 10/15/2025 the member mentioned that they really like Kaiser because everything was more convenient. At that time, he mentioned that his therapist, neurologist, and physical therapist were all in one place. Sarah sells the plan again based off of the food card but does not ask about the other providers to verify if they are in network. At approximately 12:13 into the call the member asks her to check is Northlake Dental providers take the plan. This doctor was not added to Sunfire. She informs the member that they are in network without asking for the individual dentist’s name. I have confirmed on Devoted’s website as well as in Sunfire that they are not in network. 
On the second call, the member mentioned that he had spoken to Kaiser and that they will be carrying his plan forward. Sarah told the member that “sometimes they'll do that to trick you is what I'm telling you. And they're not. They're not going to continue your plan”. This is a red flag for Medicare. As a licensed agent, we cannot use disparaging language towards other agencies or carriers. This could potentially be considered misrepresentation or misleading. 
</t>
  </si>
  <si>
    <t>SJarrell 10.29.2025.docx</t>
  </si>
  <si>
    <t>Charles Magee</t>
  </si>
  <si>
    <t>https://app.agencybloc.com/individuals/70265012/detail</t>
  </si>
  <si>
    <t>he QA checklist was not completed on this call. Chuck did not specifically state that this plan is an HMO plan and therefore does not cover out-of-network providers. The only mention of out-of-network coverage being restricted is stating OON providers are not obligated to accept payment except in emergency situations. 
Initially in the call, the member refused to give providers. Chuck was able to get some providers from the member eventually. At 31:56 into the call the member asks if she can still see all the same doctors, and Chuck responds that she can. This is again reaffirmed at 37:49 into the call. At 44:46 into the call the member states that United was not covering her doctors. Chuck does not address or acknowledge this. There were several other mentions of providers that Chuck does not ask additional questions about. 
There are also concerns around pharmacy coverage. The member mentioned on the call that she takes several prescriptions for a multitude of diagnoses. At 34:25 into the call Chuck informs the member that “Your doctors and your prescriptions are going to be covered”. He reaffirms prescriptions all being “covered” at 1:14:13 into the call. There are not any prescriptions listed in Sunfire, and they were not discussed. 
When going through the premium payment option, Chuck states “There's nothing to pay and they're going to send you a $0 monthly bill in the mail each month that will come to your mailbox for $0. So there will be nothing for you to turn in and nothing for you to do.” He selected the premium payment option without giving the member a choice. 
Throughout the duration of this call the member was often interrupting Chuck and going off on tangents about irrelevant things. While Chuck did his best to control the call, there were indications that continuing may not have been in the best interest of PolicyPoint or the member.</t>
  </si>
  <si>
    <t>CMagee 09.25.2025.docx</t>
  </si>
  <si>
    <t>Mark Gallego</t>
  </si>
  <si>
    <t xml:space="preserve">https://app.agencybloc.com/individuals/71444225/detail </t>
  </si>
  <si>
    <t>November</t>
  </si>
  <si>
    <t>POA states that hte member should not have been enrolled as he had clear and noticable cognitive deficiencies</t>
  </si>
  <si>
    <t>MGallego 11.03.2025.docx</t>
  </si>
  <si>
    <t>Charine Prettygar</t>
  </si>
  <si>
    <t xml:space="preserve">https://app.agencybloc.com/individuals/71169581/detail </t>
  </si>
  <si>
    <t>POA stated that she should not have been enrolled in an MAPD plan and that she was just trying to see if her mother's federal retiree coverage offered long term care.</t>
  </si>
  <si>
    <t>CPrettygar10.24.2025.docx</t>
  </si>
  <si>
    <t>https://app.agencybloc.com/individuals/71088452/detail</t>
  </si>
  <si>
    <t xml:space="preserve">daughter w member called back to confirm if docs are in network member has a brain tumor and doesn't recall if aor told her they were in or not the notes look like they are not I checked GK website and they are not daughter said member is undergoing treatment so it doesn't make sense to change members doctors.
</t>
  </si>
  <si>
    <t>LHarris 10.22.2025.docx</t>
  </si>
  <si>
    <t>Ronesia Jefferies</t>
  </si>
  <si>
    <t>Kylie DeMarino</t>
  </si>
  <si>
    <t>https://app.agencybloc.com/individuals/72332476/detail</t>
  </si>
  <si>
    <t xml:space="preserve">The member states that they were misled about the food card.  They state that they were that they would be getting $210.  </t>
  </si>
  <si>
    <t>•SSBCI Benefits
•Benefit Misinformation</t>
  </si>
  <si>
    <t>•SSBCI Benefits
•Benefit Misinformation
•Drugs - Cost or Coverage</t>
  </si>
  <si>
    <t xml:space="preserve">Christina initially quotes the OTC benefit correctly.  However, at approximately 48:01 into the call, she tells the member that there is actually a “bonus that they are adding on” of $30, which brings the amount to $210.  That additional $30 is only available if the member uses a primary care provider that Aetna designates as a “High Value Provider (HVP)”.  
When the member asks what the additional $30 is from, Christina again repeated that it is a “bonus added on”.  
Additionally, it is never discussed on the call that the member would need to verify their chronic condition with Aetna to be eligible to use the Extra Supports wallet.  
Coaching: Christina tells the member that they currently have a supplement plan.  This is likely because they are only showing a PDP in Marx.  They would have been enrolled in a PDP because they have LIS.  In most cases, it is illegal to sell a Supplement plan to someone who has Medicaid.  Christina seems to have supplement and PDPs interchanged.  
</t>
  </si>
  <si>
    <t>https://mypolicypoint.sharepoint.com/:w:/r/sites/PolicyPointSalesCenter/Shared%20Documents/Member%20Services%20Call%20Flows,%20SOPs,%20and%20docs/Performance/Complaint%20Tracking/CNguyen%2012.01.2025.docx?d=wffea6c23cc3f4fc989aeb54c2c3ff3e5&amp;csf=1&amp;web=1&amp;e=El3dEN</t>
  </si>
  <si>
    <t>https://app.agencybloc.com/individuals/72308257/detail</t>
  </si>
  <si>
    <t>Member states that they were not told that they would have to pay a deductible for their Mounjaro.</t>
  </si>
  <si>
    <t>•Drugs - Cost or Coverage</t>
  </si>
  <si>
    <t>•Drugs - Cost or Coverage
•Benefit Misinformation</t>
  </si>
  <si>
    <t xml:space="preserve">At approximately 35:19 into the call, Sandra begins to go over the drug costs.  The call was breaking up and the member asked her to repeat herself.  Sandra tells the member “drug deductible, tier 1 and tier 2…” and the call cuts in and out.  She does say something along the lines of “brand 615” but it is hard to hear on the recording.  
The member again states that she cannot hear or understand Sandra.  Sandra does not repeat any previous information or ask the member what the last thing she heard or understood.  Sandra tells the member at approximately 36:40 that she won’t pay more than $47 dollars for her injection.  Also, it appears that Sandra seems to think that this is an insulin.
Additionally, Sandra sells the plan on a formulary exception for the two drugs that were not on the formulary.  We should never sell a plan based on a formulary exception as we cannot guarantee coverage and it sets the incorrect expectation. 
</t>
  </si>
  <si>
    <t>https://mypolicypoint.sharepoint.com/:w:/r/sites/PolicyPointSalesCenter/Shared%20Documents/Member%20Services%20Call%20Flows,%20SOPs,%20and%20docs/Performance/Complaint%20Tracking/SStillwell%2011.29.2025.docx?d=w396e9903ad0d4f2683c45da351c5f699&amp;csf=1&amp;web=1&amp;e=ORGHNK</t>
  </si>
  <si>
    <t>https://app.agencybloc.com/individuals/71888252/detail</t>
  </si>
  <si>
    <t xml:space="preserve">Member was under the impression that he would be getting a grocery allowance and that he was qualified for it.  </t>
  </si>
  <si>
    <t xml:space="preserve">Anthony ultimately explained to the member what the food card was and what the qualifications are for them.  
Anthony was off process for much of this call.  He opened the call by telling the member “What I'm going to do today is to make sure that you're receiving all the benefits that you are entitled to as a Medicare beneficiary. What that means is seeing about increases in money back on your Social Security. We're making sure that you have the highest food card available in your area that accepts your doctors, hospitals, and drugs, okay?”  This improperly sets expectations in the beginning of the call.  
While Anthony does ultimately do the QA checklist on the plan he enrolled, he presented benefits from three separate plans in this call all at once.  He pitched one plan, the member asked questions, and then he gives benefits for two additional plans.  He references a plan that gives a giveback as “this plan”, without clarifying which plan he was referring to.  This led to some confusion with the member.  
</t>
  </si>
  <si>
    <t>https://mypolicypoint-my.sharepoint.com/:w:/r/personal/mthomas_mypolicypoint_com/Documents/Performance%20Tracking/Complaint%20Tracking/ABoyle%2011.07.2025.docx?d=wac80ebfac4164e0e8c9f2874011f0ec1&amp;csf=1&amp;web=1&amp;e=0ZJPHG</t>
  </si>
  <si>
    <t>https://app.agencybloc.com/individuals/73086139/detail</t>
  </si>
  <si>
    <t xml:space="preserve">The member’s daughter states that she has POA for the member and that the member should not have been allowed to enroll. </t>
  </si>
  <si>
    <t>•Plan Eligibility
•Enrollment Consent</t>
  </si>
  <si>
    <t>•Plan Eligibility
•Enrollment Consent
•Providers - Ancillary
•Drugs - Cost or Coverage
•Benefit Misinformation</t>
  </si>
  <si>
    <t xml:space="preserve">While the member did not indicate that her daughter was POA, she did give indication that another party may provide assistance.  On the initial call, Vic asks the member if she makes her own healthcare decisions.  She responds “Somewhat”.  When Vic probes further, he asks “Do you have someone who is a legal power of attorney who makes these decisions for you?”  The member responds with “I can make the decision, but my husband usually, he’s usually there and he’ll tell me ‘yes’ or ‘no’.”  Vic then asks if the husband is available and when told no, continues with the process.  
On the initial call, Vic discusses the member’s current plan.  He tells the member that “..in looking at your current level of coverages you you basically have basic coverage meaning exam cleanings x-ray and fluoride treatment it's kind of a basic basic plan as far as coverages are concerned.”  This is incorrect.  The member’s UHC plan covers both routine and comprehensive dental with a $0 copay.  Additionally, there is no benefit maximum on the member’s current plan for these services.  This misinformation is repeated at least two other times on this call.  
On the second call, when Vic is pitching the plan, he states “your doctors is in the plan, your scripts are in the plan.”  Vic should have specified the doctor’s name, as he was not able to find one of the providers.  Additionally, When Vic was going over prescription drug costs, he did not go through the member’s drugs and let them know about the tiers, quantity limits, or step therapy.   
Vic refers to an urgent care as a “mini hospital”, which is misleading and inaccurate language.  
Vic quoted the vision benefit as “$200 for routine eyewear, including lenses, frames, and contact lenses”.  The benefit is $200 for lenses and frames and $115 for contact lenses.  
</t>
  </si>
  <si>
    <t>https://mypolicypoint-my.sharepoint.com/:w:/r/personal/mthomas_mypolicypoint_com/Documents/Performance%20Tracking/Complaint%20Tracking/VFilimonchuk%2001.07.2026.docx?d=wc70b7eba4d4d48cc910471ffa1e8b941&amp;csf=1&amp;web=1&amp;e=aHWMuV</t>
  </si>
  <si>
    <t>https://app.agencybloc.com/individuals/73450699/detail</t>
  </si>
  <si>
    <t>The member states that she was not told about the qualifications for the SSBCI benefit.</t>
  </si>
  <si>
    <t>•SSBCI Benefits
•Providers - Ancillary
•Benefit Misinformation</t>
  </si>
  <si>
    <t xml:space="preserve">When Tasia asked the member about chronic conditions, the member states “No, I am as healthy as a horse”.  When she asked the member about the primary care doctor or specialists, the member indicates that they do not see any doctors.  The member also indicates that they do not take any prescriptions.  These should have all been flags that the member does not have any current chronic conditions.  
When Tasia pitches the plan, she calls out that the member states that she is healthy and then pitches the SSBCI benefit.  
Additionally, in pitching the plan, the Tasia states that the proposed plan increases the dental.  However, the member’s plan does not have a maximum benefit limit and the Devoted has a maximum benefit of $2000.  
</t>
  </si>
  <si>
    <t>https://mypolicypoint-my.sharepoint.com/:w:/r/personal/mthomas_mypolicypoint_com/Documents/Performance%20Tracking/Complaint%20Tracking/TClark%2001.21.2026.docx?d=w52b0da9210c84b799fe21d66907dd8db&amp;csf=1&amp;web=1&amp;e=F920cI</t>
  </si>
  <si>
    <t>https://app.agencybloc.com/individuals/73086180/detail</t>
  </si>
  <si>
    <t xml:space="preserve">Member states that they were unaware that they were enrolling in a new plan, did not agree, and did not want to change.  </t>
  </si>
  <si>
    <t>•Enrollment Consent</t>
  </si>
  <si>
    <t xml:space="preserve">In listening to this call, the member indicated that they make their own healthcare decisions when asked.  The member appeared to be lucid and actively engaged in the call throughout its entirety.  Kylie completed the process compliantly and got the necessary agreements.  </t>
  </si>
  <si>
    <t>https://mypolicypoint-my.sharepoint.com/:w:/r/personal/mthomas_mypolicypoint_com/Documents/Performance%20Tracking/Complaint%20Tracking/KDeMarino%2001.07.2026.docx?d=w7ce1fe0d067f4e54b55c31f0b0bd9ea4&amp;csf=1&amp;web=1&amp;e=5ADbti</t>
  </si>
  <si>
    <t>https://app.agencybloc.com/individuals/72075385/detail</t>
  </si>
  <si>
    <t xml:space="preserve">The member indicated that they had three brain tumors and does not remember the enrollment.  </t>
  </si>
  <si>
    <t>•Plan Eligibility
•Enrollment Consent
•Providers - Medical</t>
  </si>
  <si>
    <t xml:space="preserve">In listening to the two calls that comprised this enrollment, there were more than 15 instances where the member mentioned memory loss, inability to understand, or confusion.  While the member did not indicate that they had a POA these instances call into question the member’s capacity to understand and consent to enrollment compliantly.  At approximately 50:26 into the second call, for example, the member states “My brain isn’t letting me remember things right now.” At approximately 1:01:28 into the second call when Duane asks the member if they understand the benefits prior to starting the application, she responds “I can’t remember them because of those tumors.  But I’m sure it’s good.”  During the disclaimers, she states “I’m I’m kind of getting confused a little bit.”  After Duane had completed the enrollment, the member states “I’ll look at UnitedHealthcare, and I’ll figure out which one I want” which is an indicator that she did not understand that she had been enrolled.  
Throughout the call, there were additional indicators that the member was not understanding or in a capacity to complete the enrollment compliantly.  After the first call dropped and Duane called her back immediately, she stated she had no idea what he was talking about.  At approximately 1:03:50 on the second call, the member was unable to answer if Louise was her middle name or part of her first name.  At approximately 1:10:14 into the second call, she states, “I’m going to get hollered at by my son” and at 1:10:26 goes on to say “He’s very protective because he knows that I’ve been through, and he knows I don’t understand a lot of this stuff.”  At approximately 1:03:50 into the second call, the member was unable to answer if Louise was her middle name or part of her first name.  After Duane had completed the enrollment, the member states “I’ll look at UnitedHealthcare, and I’ll figure out which one I want” which is an indicator that she did not understand that she had been enrolled.  
Additionally, when Duane pitched this plan he told the member that her doctor, Dr. Hundley, was in-network.  I am not showing this provider to be in-network on Sunfire or on the carrier’s portal.  
There are also concerns about rapid disenrollment on this call.  At approximately 1:34:16 on the second call the member asks, “Let’s say I get all the information and dI read it and then I change my mind.  I don’t want to do it”.  Duane explains to her to call him at that time, rather than reaffirm the plan benefits.  The member asks again at 1:50:27 “If I go over this and I decide to change my mind, will I be free?”.  Duane again tells her to call him.  At 1:51:06 into the call, Duane tells the member “There is what’s called OEP.  So, you’re able to update the policies then as well.  It gives you a one-chance redo when you come through annual enrollment.  So, that is an option, okay?”.  
</t>
  </si>
  <si>
    <t>https://mypolicypoint-my.sharepoint.com/:w:/r/personal/mthomas_mypolicypoint_com/Documents/Performance%20Tracking/Complaint%20Tracking/DKipp%2011.19.2025.docx?d=wfd2c46ce9d444e0188a9cf5d5c388137&amp;csf=1&amp;web=1&amp;e=S6sitM</t>
  </si>
  <si>
    <t>https://app.agencybloc.com/individuals/72084054/detail</t>
  </si>
  <si>
    <t xml:space="preserve">Member states that Lauren’s behavior towards the Gold Kidney Member Services team was inappropriate.  </t>
  </si>
  <si>
    <t>•Agent Behavior</t>
  </si>
  <si>
    <t xml:space="preserve">Lauren called Gold Kidney with the member on the line to discuss multiple concerns.  She asked the Gold Kidney agent if the chronic condition was verified.  The GK agent Sima gave conflicting information which led Lauren to be more firm with the agent.  She was not aggressive or inappropriate.  The member became very frustrated and Lauren attempted to de-escalate.  The member became escalated at other points in the call and Lauren appropriately de-escalates.  
In the call with AndMore at approximately 43:40, the AndMore agent states “we don’t have any record, like, well on my screen.  I’m not gonna say he didn’t do it so don’t go like this, don’t go there”.  Lauren politely said “Sir, we don’t need to say things like that.”  The AndMore agent’s behavior just continues to deteriorate.  The agent becomes very condescending and starts to shout at her.  Lauren unintentionally had misgendered the AndMore representative, and she sincerely apologized.  The AndMore agent continues to escalate the situation, but Lauren was ultimately able to resolve it and move the call forward.  
</t>
  </si>
  <si>
    <t>https://mypolicypoint-my.sharepoint.com/:w:/r/personal/mthomas_mypolicypoint_com/Documents/Performance%20Tracking/Complaint%20Tracking/LWyke%2001.28.2026.docx?d=w476c6fd712de499496b12b81263ace61&amp;csf=1&amp;web=1&amp;e=2gXVCk</t>
  </si>
  <si>
    <t>https://app.agencybloc.com/individuals/73995608/detail</t>
  </si>
  <si>
    <t xml:space="preserve">As per the member’s response to a Verse Text: “I do not want your insurance.  I have told 3 people that work for you and left messages!  I am communicating with my previous insurance insurance!!! PLEASE do not contact me again.  I am thinking of reporting your company to the Insurance Commissioner!!!!!”  The member’s root concern appears to be that her doctor is not in network.  </t>
  </si>
  <si>
    <t>•Providers - Medical</t>
  </si>
  <si>
    <t>•Providers - Medical
•Benefit Misinformation</t>
  </si>
  <si>
    <t xml:space="preserve">Due to the member’s frustration and mention of the DOI, I have listened to the calls associated with this enrollment.  Additionally, I looked at notes within AMS.  The member’s root concern appears to be that her doctor is not in network.  
When asked, the member provided Sara with her primary care doctor of Dr. Benjamin Fitch and states that she does not want to switch her doctor.  Sara asks a few questions to find the doctor and the member indicates that he is at the Lake Cumberland clinic.  This doctor does not pull up in Sunfire.  This is because the doctor is a second-year resident working under another doctor.  
Sara does properly inform the member that she is not showing him as in network when she pitches the plan.  At the end of the pitch and prior to transferring to Kylie, Sara attempts to find another doctor for the member.  The member states that she will just continue to see Dr. Fitch and pay out-of-pocket for the visits.  Sara just acknowledges this by saying “yeah, you end up paying him”.  She does not properly educate the member.  There should have been some level of ATR, re-education, or cause Sara to pause and re-evaluate plan options.  
After the call is transferred, Kylie goes over the QA checklist.  When she discusses the HMO portion of the checklist the member states “My doctor is Dr. Benjamin Fitch, F-I-T-C-H, and he's not in the network, but I told her that it does not matter to me. I still want to see Dr. Fitch.”  Kylie also did not ATR, re-educate, or pause to re-evaluate plan selection
</t>
  </si>
  <si>
    <t>https://mypolicypoint-my.sharepoint.com/:w:/r/personal/mthomas_mypolicypoint_com/Documents/Performance%20Tracking/Complaint%20Tracking/SJarrell%2002.03.2026.docx?d=wdcaa4cba743c4644a34afd3cc4603def&amp;csf=1&amp;web=1&amp;e=7dZ3qQ</t>
  </si>
  <si>
    <t xml:space="preserve">As per the member’s response to a Verse Text: “I do not want your insurance.  I have told 3 people that work for you and left messages!  I am communicating with my previous insurance insurance!!! PLEASE do not contact me again.  I am thinking of reporting your company to the Insurance Commissioner!!!!!” The member’s root concern appears to be that her doctor is not in network.  </t>
  </si>
  <si>
    <t>https://app.agencybloc.com/individuals/73629732/detail</t>
  </si>
  <si>
    <t xml:space="preserve">Member states that they were told that they could get implants with their new policy, but has found out that they are excluded. </t>
  </si>
  <si>
    <t>•Providers - Ancillary
•Benefit Misinformation</t>
  </si>
  <si>
    <t>•Providers - Ancillary
•Benefit Misinformation
•Medicaid Coverage</t>
  </si>
  <si>
    <t xml:space="preserve">Robert told the member at least three times throughout the call that implants and “snap ins” were covered with a $0 copay.  However, these are specifically excluded as per the Evidence of Coverage. 
Robert also provided misinformation on copays and deductibles for medical services.  He informed the member at multiple points in the call that Extra Help will pay for the medical deductible and copays.  For example, at 1:07:44 into the call he states “They’re paying your copays and your deductibles and your monthly premium.  Your medical deductible is $283.  Who pays that? Extra Help, right?”  He goes on to say “So your primary care doctor’s zero copay, specialist is $0-$20, but guess who pays that copay?  Extra Help.”
When it came to the premium payment section, Robert informs the member “extra help is paying your co-pays, Pamela, so we're going to leave it on social security so they can pay it for you.”  He gives the member the premium payment options, but selects one for the member.  
</t>
  </si>
  <si>
    <t>https://mypolicypoint-my.sharepoint.com/:w:/r/personal/mthomas_mypolicypoint_com/Documents/Performance%20Tracking/Complaint%20Tracking/RLang%2001.27.2026.docx?d=wa35a620d80a943ffbdf7019217292b52&amp;csf=1&amp;web=1&amp;e=ONceNZ</t>
  </si>
  <si>
    <t>https://app.agencybloc.com/individuals/73444737/detail</t>
  </si>
  <si>
    <t>Member was under the impression that Lauren was supposed to cancel her Humana plan and reinstate her previous PPO plan when she spoke to her on 2/13/2026</t>
  </si>
  <si>
    <t>•Enrollment Consent
•Benefit Misinformation</t>
  </si>
  <si>
    <t>•Enrollment Consent
•Providers - Medical</t>
  </si>
  <si>
    <t xml:space="preserve">In listening to Lauren’s calls prior to the complaint, cancellation was not discussed.  The call with the member and Lauren on 2/13/2026 was the Post Effective Welcome call.  In that call, it was discussed that the member’s provider is not accepting the plan.  Lauren reviews the doctor’s information on Humana’s website and shows them as in network.  They conference in Humana, who also sees that the doctor is in network.  They discuss that it is the provider’s responsibility to update the information if they decide not to take the plan.  
That call is left without any mention of cancellation, and the member decides to speak to the provider’s office directly.  
In listening to the calls on 2/27/2026, the member first spoke with Rob.  They contacted Humana, and the member indicated that she called on her own after the conversation with Lauren.  It was later in that call that Lauren was brought up, and it was by our agent.  
</t>
  </si>
  <si>
    <t>https://mypolicypoint-my.sharepoint.com/:w:/r/personal/mthomas_mypolicypoint_com/Documents/Performance%20Tracking/Complaint%20Tracking/LWyke%202.13.2026.docx?d=wd392cbbbe9a64719946c92bab0eed246&amp;csf=1&amp;web=1&amp;e=TNiCfH</t>
  </si>
  <si>
    <t>https://app.agencybloc.com/individuals/74435208/detail</t>
  </si>
  <si>
    <t>The member stated he had previously had a PPO and switched to this PPO on the basis that he was told his provider, Dr. Kipker, was in-network</t>
  </si>
  <si>
    <t>•Providers - Medical
•Benefit Misinformation
•Enrollment Consent</t>
  </si>
  <si>
    <t xml:space="preserve">The member provided his primary care provider at approximately 8:40 into the call.  He provides his PCP as Dr. Nathaniel Kipker and provides the address he sees him at.  At approximately 16:43 into the call Kylie tells the member states, “…all of your doctors would still accept it. Veronica still accepts their HMO version. Med still accepts their HMO version. Same with the primary care doctor. Sorry, I'll go back, verifying that. As well, let me triple check. Nathan Kipker also accepts HMO.”
Because the member was concerned about HMO vs. PPO, Kylie told the member she would check again at about 27:35 into the call.  At 32:21 into the call she tells the member again that he is in network.  
At approximately 42:11 into the call Kylie tells the member that she is adding Dr. Kipker as the primary care provider on the application.  However, the application download in AMS shows a Dr. Aliyah Ahmed as the primary care provider.  This is not a provider that the member mentioned, although it is close to Dr. Ahmed Ali’s name.  
Dr. Kipker’s name is not showing in Sunfire.  Additionally, Dr. Kipker does not pull up in Humana’s site.  Dr. Kipker is a second-year medical student being supervised by Dr. Monica Thipparthi.  Dr. Thipparthi was not discussed on this call and is not in-network.  I was able to identify this when I searched the provider’s name in Google and asked the member to confirm who the supervising provider was.  
When Kylie posted this in the SNP channel for review, she did not have anything on Dr. Kipker.  Therefore, when it was approved, it was done without any indication of this provider.  There are also no screenshots posted in the AMS account to indicate where she found Dr. Kipker. 
</t>
  </si>
  <si>
    <t>https://mypolicypoint-my.sharepoint.com/:w:/r/personal/mthomas_mypolicypoint_com/Documents/Performance%20Tracking/Complaint%20Tracking/KDeMarino%2002.18.2026.docx?d=we9e5d0636f214cbd8c2116deabb37554&amp;csf=1&amp;web=1&amp;e=RYkLH7</t>
  </si>
  <si>
    <t>Yes</t>
  </si>
  <si>
    <t>https://app.agencybloc.com/individuals/73235663/detail</t>
  </si>
  <si>
    <t xml:space="preserve">Member states that they were manipulated to enroll in this plan.  </t>
  </si>
  <si>
    <t>•Benefit Misinformation
•Enrollment Consent</t>
  </si>
  <si>
    <t>•Providers - Medical
•Drugs - Cost or Coverage
•Providers - Ancillary
•Benefit Misinformation</t>
  </si>
  <si>
    <t xml:space="preserve">While it is hard to determine manipulation, this call had multiple instances of incorrect information that were likely key factors in the member’s enrollment.  
The member mentioned that his provider was Directions for Living, where he obtained his injections for a mental health condition. Sara tells the member multiple times throughout the call that this provider is a non-profit organization and therefore they do not accept insurance.  This is not correct.  This group does still accept insurance but also has a sliding scale for patients that do not.  
When discussing pharmacy, the member states that he gets the medications from the clinic.  The member had mentioned that he was on an inhaler for his asthma, an injectable medication for the mental health condition, and a medication for movement disorders related to Parkinsons.  He does not immediately know the names of the medications and Sara does not do much more probing.  Instead, Sara again tells the member that they won’t take money from him.  While this clinic does have an onsite pharmacy, it is run by another company and is just housed within the clinic.  This pharmacy is not a non-profit and the member would be responsible for applicable copays.  This could also lead to some additional high costs for the member as there is not a guarantee his medications will be covered under the formulary.  
One of the member’s needs was dentures.  Sara sold this plan on the basis that he could get a complete set of dentures (upper and lower) once every five years.  However, the benefit on this plan is one upper complete/partial or 1 lower complete/partial denture every 5 years.  
</t>
  </si>
  <si>
    <t>https://mypolicypoint-my.sharepoint.com/:w:/r/personal/mthomas_mypolicypoint_com/Documents/Performance%20Tracking/Complaint%20Tracking/SJarrell%2001.13.2026.docx?d=w36e820dec35e4f83a7c8eff52d91497c&amp;csf=1&amp;web=1&amp;e=UuRS6S</t>
  </si>
  <si>
    <t>https://app.agencybloc.com/individuals/74795245/detail</t>
  </si>
  <si>
    <t xml:space="preserve">The member states that they were told that they could continue to see their provider with this plan, and that they could see out-of-network providers. </t>
  </si>
  <si>
    <t xml:space="preserve">In reviewing this call, the member gave a nurse practitioner as their primary care provider.  That nurse practitioner, Jennifer Santiago, is not in-network with this plan.  Tonja tells the member several times on this call that Ms. Santiago is in-network.  She also states that the reason the member has another doctor on their current UHC card is because Ms. Santiago is a nurse practitioner.  The member informs her that the doctor on her card is one that she has not seen in quite some time because they are in another city that she lived in prior to moving to the assisted living facility she currently resides in.  The member indicates to Tonja that this provider is not affiliated with Ms. Santiago.  
Additionally, at 1:10:07 into the call, Tonja tells the member that because this plan is an HMO-POS, “So you can see providers in and out of network and your doctors that we have listed accept this coverage.”  At 1:10:59 Tonja again states “But your doctors do accept the HMO POS plan”.  I have verified through the UHC website that Ms. Santiago is not in-network with this member’s plan.  Ms. Santiago does not practice under a supervising physician as she is not required to in the state of Florida.  It should also be noted that the provider the member gave as their ENT, Dr. Jayesh Patel, was initially not listed correctly in Sunfire.  The provider listed was an eye doctor.  This has since been updated.  The member’s retina specialist, Dr. Mazzari, is also not listed in Sunfire.  I was unable to find any information on this provider.  For the majority of the doctors, Tonja did not get additional identifying information such as address.  
Tonja also does not gather prescriptions for this member, as the member states she lets the facility handle it.  The member states that they pick them up and administer them, but she still pays a copay.  It is important to still gather this information as the proposed plan’s formulary will still be applicable when filling medications.  
</t>
  </si>
  <si>
    <t>https://mypolicypoint-my.sharepoint.com/:w:/r/personal/mthomas_mypolicypoint_com/Documents/Performance%20Tracking/Complaint%20Tracking/THoward%2002.27.2026.docx?d=w469b1a9f35494905990e8d88b63852c6&amp;csf=1&amp;web=1&amp;e=AgfVTd</t>
  </si>
  <si>
    <t>https://app.agencybloc.com/individuals/74881946/detail</t>
  </si>
  <si>
    <t>Caller stated that they are not the member’s POA, the member only speaks Spanish, but that they were able to complete the enrollment</t>
  </si>
  <si>
    <t>•Enrollment Consent
•Plan Eligibility</t>
  </si>
  <si>
    <t xml:space="preserve">The member’s cousin, Maria, called in to discuss the member’s Medicare benefits.  Ryan specifically asked if the member made his own healthcare decisions and was told that he does.  He asked the member if he was able to speak to Maria on his behalf, and was told “Yeah”.  However, it is unsure if the member understood what was being asked.  
Ryan then completes the entire needs analysis, pitch, QA checklist, and disclaimers with the family member.  The family member does not then relay that information to the member.  For the agreement, Ryan does ask for the member to come back on the line to state their name, date of birth, and agreement.  However, because they were not present or informed of the benefits, they were not aware of what they were agreeing to.    
It is part of the Medicare 2024 Final Rule that family members may not serve as interpreters for these interactions.  Any language services must be completed by a qualified professional interpreter.  
</t>
  </si>
  <si>
    <t>https://mypolicypoint-my.sharepoint.com/:w:/r/personal/mthomas_mypolicypoint_com/Documents/Performance%20Tracking/Complaint%20Tracking/RLefler%2003.19.2026.docx?d=wf0527622ed8a45f49af8b25ff70e2b90&amp;csf=1&amp;web=1&amp;e=EuaDkv</t>
  </si>
  <si>
    <t>https://app.agencybloc.com/individuals/74784480/detail</t>
  </si>
  <si>
    <t xml:space="preserve">Member states he was not informed that he could not use his OTC card in a store, as it has to be done via OTC catalog.  </t>
  </si>
  <si>
    <t xml:space="preserve">In Sunfire, the over-the-counter benefits specifically reads “$175 quarterly allowance to buy approved over-the-counter health and wellness products available through our OTC Mail Order provider.”  It is important when pitching a benefit to the member that full and accurate information is provided.  
Additionally, when Robert is going through the QA checklist, he does not fully read other benefits as listed.  For example, for dental he states “Zero copay for routine exams for your teeth and zero copay for complete or partial dentures, bridges, crowns, the whole nine yards. Zero copay. So, and there's no limit.”  However, there are limits to dental services.  </t>
  </si>
  <si>
    <t>https://mypolicypoint-my.sharepoint.com/:w:/r/personal/mthomas_mypolicypoint_com/Documents/Performance%20Tracking/Complaint%20Tracking/RLang%2002.26.2026.docx?d=w686e59bfde8d4eb5bd7e6c7a194e4be7&amp;csf=1&amp;web=1&amp;e=kgLknq</t>
  </si>
  <si>
    <t>https://app.agencybloc.com/individuals/72104512/detail</t>
  </si>
  <si>
    <t>The Beneficiary expressed dissatisfaction towards the Sales Agent who enrolled them into CarePlus Health Plans (CPHP). Beneficiary reports that he was assured by the sales agent at the time of enrollment that his vision coverage would be similar or better, but now finds it significantly reduced, with only a $200 annual allowance for contact lenses, which does not meet his needs. Beneficiary states he also had an optometrist and Primary Care Physician (PCP) for years and was assured he could continue seeing them; however, he is now finding they are not in the CPHP network.</t>
  </si>
  <si>
    <t>•Providers - Medical
•Providers - Ancillary
•Benefit Misinformation</t>
  </si>
  <si>
    <t>•Providers - Medical
•Providers - Ancillary
•Drugs - Cost or Coverage
•SSBCI Benefits
•Benefit Misinformation
•Plan Eligibility</t>
  </si>
  <si>
    <t xml:space="preserve">In review of the call, the portion on the providers is unfounded.  The member did not give an optometrist’s or any other specialist’s name.  The member’s PCP, Dr. Irving Bratt, is in network with the member’s plan, as verified through CarePlus’s website.
For the portion of the complaint on the vision, that is founded.  The member’s benefits for vision did go up to $200 where they were previously $100.  However, at approximately 28:11 into the call, Tonja gives the benefit as “$200 each year to go towards a pair of glasses or contacts, and it would allow you up to 2, pair of glasses if you choose, or, enough contacts to last you per year…” when there is no way that we can guarantee this would cover his contacts in their entirety.  
In the RX review, Tonja does not ask for formulation of the meds.  It is possible that they were already listed in SF, but we would still want to verify.  Additionally, the member mentions offhandedly a medication that is not added and no additional questions were asked.  Another medication was omitted entirely.  When she discusses that benefits, she states “Your drug deductible would have been $615”.  This member does not have LIS and would therefore be responsible for that drug deductible as applicable. 
When discussing the over-the-counter/food card, she states “these benefits don't expire…”.  While they do roll over month-to-month, they do expire if the member were to leave the plan.  Additionally, she gave the member the total monthly and yearly, which can be misleading.   
In the chronic condition questions, the member answers “No” to all the questions.  However, Tonja marks “Yes” to one.  Tonja asked the member “And do you have a problem with your heart, had a heart attack, or have you been told that you had a heart attack?” and he responds with “No, no, I had, some minor strokes and then, and then they did open heart surgery on me, so.”   While this member’s doctor ultimately confirmed the chronic condition, there should have been some follow up questions asked.  
In the needs analysis when Tonja asks the member about dental he states, “Yeah, probably I could use some work on my teeth, yeah, for sure.”  Tonja does not ask any additional questions about what his needs were.  When she goes over the dental, she does not list out the services listed in Sunfire.  She simply states “Now for your dental you have a $0 copay for preventative and comprehensive services.”
</t>
  </si>
  <si>
    <t>https://mypolicypoint-my.sharepoint.com/:w:/p/mthomas/IQCmeJ3LGy3iRb7NVDAzMqRwAbJ9V4KBXuyandBIRuceijU?e=iJdyph</t>
  </si>
  <si>
    <t>https://app.agencybloc.com/individuals/73490689/detail</t>
  </si>
  <si>
    <t>Caller feels misled because she did not give consent to change her plan and didn’t want to cancel her old plan.</t>
  </si>
  <si>
    <t>•Enrollment Consent
•Plan Eligibility
•Providers - Medical
•Providers - Ancillary
•Drugs - Cost or Coverage
•SSBCI Benefits
•Benefit Misinformation</t>
  </si>
  <si>
    <t>Consent to enroll was received.  The member was given the disclaimers as part of this enrollment.  At 1:32:52 into the call, the disclaimer was given that indicates that the current Medicare Advantage plan would be cancelled when the Humana plan starts.  At 1:35:08 the member provides her name, date of birth, and the “I agree” statement.  At 1:35:33 Gabby tells the member “You will not bein the Humana until February 1st.  From right now until the end of January, January 31st, you are still with United Health”.  
In review of this call, concerns about the member’s eligibility for the chronic condition have been identified.  At 8:48 into the call, Gabby asks the member if they are managing any chronic conditions.  The member replies that they have chronic pain (9:00), and a degenerative bone disease (9:03).  Gabby asks the member if they have high blood pressure or cholesterol (9:46) and they answer yes.  High blood pressure and high cholesterol are SSBCI qualifiers, but not CSNP.  The member does indicate that they had a stroke (11:58) and Gabby asks further questions.  When Gabby begins to ask the CSNP qualifying questions (1:21:19), the member answers “No” to all of them.  She asks the member about swelling in her legs due to her heart (1:21:48) and the member answers “I just, I do have it, but swelling in my feet and legs, and I don't know why.” (1:21:59).  Gabby tells the member “OK, so then I'm not sure if you would be answering yes to one of these, Do you have a problem with your heart?  So I'm guessing you might need to answer yes for one of these, Ms. Caroline.” (1:23:15) She goes on to coach the member that a stroke would be related to a heart attack or problem with her heart.  (1:23:34).  As of most recently available information from Humana, this member has been determined as ineligible for the plan based off provider submitted documentation.  
When going through the needs analysis, the member indicates that they have an appointment with a dentist coming up in April.  Gabby does not ask for the dentist’s name to verify if they are in-network with the proposed plan.  (22:06)
During the call, the member mentions that they see a pain specialist (49:53).  Gabby does not ask who that provider is.  The member mentions a pain specialist again at another point, but no effort is made to get that doctors name (53:14). 
When Gabby quotes the transportation benefit, she quotes it as 18 trips per year to the doctors.  This was not presented correctly.  The benefit is 36 one way trips with a 75 mile per trip limit.  (58:59)
Dental benefits were quoted as “a credit of up to $2000 per year towards the dental services”.  No copay amounts or benefit limitations were given. (59:11)
Vision benefits were also not given compliantly.  Gabby states that the member will have $400 a year towards vision services.  She does not state that the member must see a Humana Insight provider or the benefit will only be $300.  (59:53)
Gabby tells the member that the plan is “through our sponsor from Humana”.  (1:01:17)  This is non-compliant language as it misrepresents Gabby’s relationship with Humana.  
Multiple times throughout the call, Gabby refers to the member’s primary care provider as “Dr. Elizabeth Becker”.  However, the provider is a physician’s assistant and no further questions were asked to verify who they are practicing under.  (10:08, 10:21,10:46,14:03, 42:48, 1:00:09, 1:01:43,1:09:52, 1:26:05) 
When going through the QA checklist Gabby did not cover worldwide urgent care (1:10:52).  
In the review of the prescriptions, several were misquoted.  Gabby tells the member that Gabapentin does not have a quantity limit, when it has a limit of 180 tablets per 30 days (1:13:41).  She does not provide the quantity limit for the Lidocaine patch, which is 90 patches per 30 days (1:14:48).  Additionally, Gabby does not provide the member the drug deductible if they were to lose the low income subsidy (1:11:49).  The costs that she provides do not ma</t>
  </si>
  <si>
    <t>https://mypolicypoint-my.sharepoint.com/:w:/p/mthomas/IQCyFI49q8hwSJJv7cS4kxtlAdyGoeFRuMa9QGvP7TBIl1k?e=8xeAzg</t>
  </si>
  <si>
    <t>https://app.agencybloc.com/individuals/72891806/detail</t>
  </si>
  <si>
    <t>The member, Lois M. Turner, alleges that the Humana sales agent provided inaccurate and misleading information during the enrollment process. The member states that the agent assured her she would receive $90 added to her Social Security check each month, that the plan would include over-the-counter (OTC) benefits, and that it would cover a partial dental denture. After enrollment, the member discovered the plan does not include OTC benefits and does not cover partial dentures, resulting in her paying $750 out-of-pocket.</t>
  </si>
  <si>
    <t>•Providers - Ancillary
•SSBCI Benefits
•Medicaid Coverage
•Benefit Misinformation</t>
  </si>
  <si>
    <t>•Providers - Ancillary
•SSBCI Benefits
•Medicaid Coverage
•Drugs - Cost or Coverage
•Benefit Misinformation</t>
  </si>
  <si>
    <t xml:space="preserve">Upon review of this call, the member specifically identified at 6:52 that he wanted a plan that covered partial dentures.  At 12:02 into the call, Kylie informs the member that the dental benefit remains the same on the proposed plan as it does on the new plan.  At 12:11 she states “And it does actually cover partials”.  At 13:14 she states that she doublechecked and that it does cover partials.  At 14:10 she provides the member a $0 copay for the partials.  This plan does not cover full or partial dentures as per the Summary of Benefits and the Evidence of Coverage.  If she searched these documents for the word “partial”, it would show coverage for partial bridges, but not partial dentures.  This portion of the complaint is founded. 
Kylie did present the member with the $90 giveback as per the Summary of Benefits at approximately 11:7 into the call.  Eligibility look ups do not show any Medicaid for this member.  This was prior to additional language about Part B givebacks being added to scripting.  This part of the complaint is unfounded. 
At 11:51 into the call, Kylie tells the member “So instead of the card, you actually get an additional $90 right on your Social Security Check, and you can use that however you want”.  She states this because the member previously had an OTC benefit.  This part of the complaint is unfounded, although clearer language could have been used.  
There were additional concerns on this call outside of those listed in the complaint.  
At 15:23 into the call, the member specifically asks “That’s the ony thing that increases that, that’s all?” after Kylie informs him that the specialist office visit copay increased from $15 to $40.  She answers the member with “Yes”.  She does highlight that the emergency room copay goes down as does the urgent care copay.  However, she does not state that a medical deductible is added, the maximum out-of-pocket is increased, and that the hospital stay copay is also increased.  
Additionally, at 17:28 into the call Kylie tells the member that if a doctor prescribes his Vitamin D it would be a $0 copay. She tells the member at 17:40 that “it's showing if a doctor does prescribe it to you it would be $0 to get it prescribed.”  However, it is showing as non-formulary in Sunfire and on Humana’s website.  
When Kylie is reading the benefits for vision, she does not state that the member must see an Insight provider or the benefits will be reduced by $75.
When going through the QA checklist, Kylie did not provide the in and out-of-network benefits.  
</t>
  </si>
  <si>
    <t>https://mypolicypoint-my.sharepoint.com/:w:/p/mthomas/IQBBi6CritcZSLvWlbFjCrilARxc9bz-3EguTXgwYe0dJY0?e=4X7OMj</t>
  </si>
  <si>
    <t>https://app.agencybloc.com/individuals/74784644/detail</t>
  </si>
  <si>
    <t>Caller feels misled because beneficiary did not authorize anyone to change her plan and does not know why her plan was changed without her knowing.</t>
  </si>
  <si>
    <t>•Enrollment Consent
•Providers - Ancillary
•SSBCI Benefits
•Drugs - Cost or Coverage
•Benefit Misinformation</t>
  </si>
  <si>
    <t xml:space="preserve">This complaint is founded upon call review.  At 47:00 in the call, AJ Wright begins the application portion of the call.  She completes the pre-qualification portion and demographic information.  At 1:06:47 the consent for disclosure is read.  At 1:12:48 AJ informs Ms. Lick that she will be reading some disclaimers and asking for a signature.  At 1:13:02, the disclaimers are read.  AJ does not read the disclaimers verbatim or in their entirety, most relevantly the portion about the previous plan ending when the Gold Kidney becomes effective.  At 1:14:14 AJ asks for agreement to enroll, and the member asks a follow up question.  AJ asks again at 1:16:11 “So if you agree to complete the application now, please state your name, your date of birth, and that you agree.”  Ms. Lick responds with “yes”, her name, and her address.  She never states “I agree” or provides her date of birth.  She asks some additional follow-up questions and at 1:19:41 AJ provides the confirmation number for the enrollment.  
Additionally, there were other concerns identified with this enrollment.  
When AJ went through the providers, she did not gain full addresses for all of them.   This may impact participation status.  
At 13:30 into the call, the member mentions that their dental need for the moment is crowns.  When she quoted crowns, she did not provide any copay or limitations.  Additionally, she quoted the dental benefit multiple times as $4,000 when it was actually $5000 (30:55 into the call and 31:16)
At 15:44 she asks the member about their vision needs, and the member indicates that they wear glasses.  At 31:59 AJ tells the member “With a $200 allowance for prescription eyewear, so you would be able to go $0 copay for your routine eye exams and you'll have up to $200 each year to spend on purchasing glasses if your prescription changes or if you need to update your eyeglasses each year.”  The benefit for vision is actually a $300 allowance for frames or $115 for contact lenses in lieu of glasses.  
At 16:22 into the call the member indicates that they are currently wearing hearing aids.  The benefit for hearing aids was never presented or discussed.  
AJ presents the benefit for grocery at 29:56 into the call.  She states that it is a $150 a month allowance.  She repeats this again at 30:02.  However, the benefit is $200.  It is not until the end of the call at 1:18:25, after the application is complete, that the correct amount is given.  
At 30:37 into the call, AJ quotes the benefit for the over-the-counter.  The benefit is $100 per quarter.  She states ” you're gonna have $33 extra each month or $100 loaded once a quarter to purchase those items as well, OK?”  This phrasing can be misleading or confusing, as it is just loaded once per quarter.  
AJ begins the QA checklist at 32:40 into the call.  She did not go over the premium until the application portion.  She did not cover the deductible, maximum out-of-pocket, hearing, or out-of-network coverage amounts (or worldwide coverage for urgent care).  AJ misquotes the copay for specialist as $20, when it is actually $15 (33:58).  At 34:16 she tells the member “If you see a heart specialist or if you see a diabetes management specialist, those doctors are actually covered at a $0 copay.” This is a misleading statement, as it should be endocrinologist not “diabetes management specialist”.  
When AJ goes through the pharmacy costs, she does not go over the estimated full drug costs.  She begins the discussion at 35:38 by gathering the member’s medications.  She incorrectly listed one in Sunfire as 30 days when the member stated every 90 days.  When she quotes benefits for copays at 45:04, she states “OK, so tier one preferred generics, at a 30 day supply with the standard retail pharmacy is a $0 copay and tier two generics are only $5”.  However, the duloxetine would only be $4 and not $5.  
When AJ is in the application, at 1:01:01 she asks the member if the Zepbound is the medication she takes </t>
  </si>
  <si>
    <t>https://mypolicypoint-my.sharepoint.com/:w:/p/mthomas/IQDLdvRDhbTLTYrOO82mIloSAU4ovf_MKdtzWqemDzfL_kw?e=XkOyYN</t>
  </si>
  <si>
    <t>https://app.agencybloc.com/individuals/76234157/detail</t>
  </si>
  <si>
    <t xml:space="preserve">Member states that they were told that their primary care provider, Catherine McGinnis, is in network with the plan.  However, they are now being told that the provider is not.  Please note: The member stated they have also spoken to Medicare, so this may also become a CTM. </t>
  </si>
  <si>
    <t>•Providers - Medical
•Providers - Ancillary
•Drugs - Cost or Coverage
•Enrollment Consent
•Benefit Misinformation</t>
  </si>
  <si>
    <t xml:space="preserve">In review of this call, the member provided the primary care provider of Catherine Mcginness at 6:57 into the call.  The member indicates that it is incredibly important to keep this provider.  Additionally, the member provides their cardiologist Dr. Alan Goldberg (7:58), oncologist Dr. Audrey Kam (9:00), surgeon Marissa Andersen (9:41), urologist Dr. Alysen Demzik (10:15), oncologist Dr. Matthew Dixon (11:10), and a plastic surgeon Dr. Krista Hardy (11:53).  
At 42:08 into the call Vidal tells the member that they would be able to see Dr. McGinness as their PCP with this plan at an $0 copay.  At 42:24 the member specifically asks if he will be able to continue to see his current care team.  Vidal answers the member with “Yes, absolutely” at 48:33.  He then individually lists the providers that the member gave and states that they are all in network. However, Dr. Catherine McGinness and Dr. Alan Goldberg are not in-network with this plan, as verified through the Zing provider search online.  
When Vidal completed the primary care provider portion of the application at 1:02:48 he stated that he would be putting Dr. McGinness as the primary care provider.  However, on the application it has a Dr. Patricia Martinez.  This was not discussed or disclosed to the member.  
There were additional concerns on this call as well.  
In the needs analysis, the member mentions that he needs dental surgery (14:53) and at least three dental implants (15:31). When Vidal pitched the dental benefit at 36:03, he specifically mentions the implants.  However, Vidal did not specifically state that implants are not covered.  Instead, he pitches it as if the $2,500 would cover the implants.  Additionally, he does not give the limitations on the fluoride, xrays, or cleanings that he presented.  He again gives dental benefits at 41:55 and misses limitations there as well.  
When Vidal give the transportation benefit, which was identified as a need, he does not tell the member the milage limitation.  
At 29:31 into the call, Vidal begins to gather the medications.  The member provides Vidal with Amox-CLAV at 31:59 into the call.  The medication listed in Sunfire and quoted was the standard amoxicillin, which is a tier 1 medication.  The one the member is on is actually a Tier 2.  When he goes over the atorvastatin calcium at 45:47, he states “30 tablets for 30 days”, but does not specifically state this is the quantity limit.  
As Vidal is going into the application, the member asks “You’re enrolling me into what all the different types of programs you mentioned?” at 47:11.  Vidal answers “I am enrolling you into that Zing plan with all those increased benefits that I mentioned.”  The member still seemed confused and asked at 47:32 “I’ll still be with United Healthcare, correct?”.  Vidal responds with “Zing is the carrier that provides those those benefits for you, right?”.  Vidal should have used stronger language to indicate that the plan would be changed.  This is especially important because the member indicated at the beginning of the call that they did not want to change their plan.  
The member had questions about Extra Help at 1:05:06 into the call.  Vidal answered with “So please note that if you had extra help, if you had extra, basically if you have Medicaid,[MT44.1] but you don't have Medicaid, if you have Medicaid and enrolling in a plan with drug coverage, your premium or copay may change if your extra help changes, all right.”  However, Medicaid and LIS are not interchangeable.  
</t>
  </si>
  <si>
    <t>https://mypolicypoint-my.sharepoint.com/:w:/p/mthomas/IQBGGQOgk39dQKJgePkcdMVMAQkdxvimvVAUJPEfaNP7inQ?e=HpaVZB</t>
  </si>
  <si>
    <t>https://app.agencybloc.com/individuals/75950577/overview</t>
  </si>
  <si>
    <t>The member stated he never moved to Texas, and that they told the original agent they were just visiting.</t>
  </si>
  <si>
    <t>•Benefit Misinformation</t>
  </si>
  <si>
    <t>•Drugs - Cost or Coverage
•Medicaid Coverage
•Benefit Misinformation</t>
  </si>
  <si>
    <t xml:space="preserve">The member confirmed that their zip code is 76549 (0:29) and that they are in Bell County (044).  At 0:52 in the call the member specifically states “I just moved down here from Florida about, about two weeks ago…. So I don’t know if if that matters or not”.  Whitney does a great job of confirming the move and the timeline (1:13).  As Whitney is looking into plan options, she asks the member “What prompted your move from Florida to Texas?” (13:03).  The member again acknowledges that he moved in his response (13:40).  The member asked questions about coverage while travelling (15:28) and Whitney informs the member that he may be covered while travelling but not for permanent moves with his previous plan.  At 27:56 the member indicates that he is living with a friend but is looking at getting a permanent address.  Whitney asked follow-up questions, and the member indicates he should have his permanent address in Texas in a month or a month and a half (28:25).  At 55:06, Whitney reminds the member to contact Social Security to update their address.  At 58:20 into the call the member indicates that he plans on working part time once he “gets settled here”.  
While overall this call was very well done, there was an area of opportunity related to drug coverage and LIS.  Whitney quotes the premium on this plan as $0 because the member has LIS.  However, Sunfire and UHC’s website reflects the adjusted premium as $16.20.  Additionally, Whitney does not provide the drug deductible should the member lose their LIS.
</t>
  </si>
  <si>
    <t>https://mypolicypoint-my.sharepoint.com/:w:/p/mthomas/IQBXqSo92wsmTrzirQ-S8WJvAXiNS26X8f9xRGhYEl48Pwg?e=VbX1wV</t>
  </si>
  <si>
    <t>https://app.agencybloc.com/individuals/71187259/overview</t>
  </si>
  <si>
    <t>Carrier found concerns in a routine audit of calls from October to February of 2026.</t>
  </si>
  <si>
    <t>•Providers - Medical
•Providers - Ancillary
•Drugs - Cost or Coverage
•Benefit Misinformation</t>
  </si>
  <si>
    <t>•Providers - Medical
•Providers - Ancillary
•Drugs - Cost or Coverage
•Medicaid Coverage
•Benefit Misinformation</t>
  </si>
  <si>
    <t>•	PROVIDER PARTICIPATION STATUS: Enrollee informed agent she goes to Monarch Dental. Agent failed to educate enrollee on Monarch Dental OON status.
•	BENEFIT ACCESS THROUGH NETWORK/VENDOR: Agent failed to specify restrictions or vendors for Dental/Vision/Hearing. 
•	IMPORTANCE OF RX: Enrollee decline to review RX. Agent failed to educate enrollee that she may have to pay full price for RX if its not covered under the plan formulary. 
•	PREMIUM AND DEDUCTIBLES: Agent failed to educate enrollee on plan Part B premium reduction.
•	BENEFIT ACCURACY: Agent misinformed enrollee that the MOOP is $0.</t>
  </si>
  <si>
    <t>https://app.agencybloc.com/individuals/71059121/overview</t>
  </si>
  <si>
    <t>•Providers - Ancillary
•Drugs - Cost or Coverage
•Enrollment Consent
•Benefit Misinformation</t>
  </si>
  <si>
    <t>•	Benefit access through network/vendor was not provided for hearing, dental, transportation, or eyewear benefits
•	RX Request/Formulary status: Agent did not advise member of medications not in formulary
•	Responsive to Needs and Questions: Enrollee asked about cancellation and the agent did not advise on the cancellation process.  
•	Enrollment: Did not state that EOC can be found on Aetna’s website or by calling customer service
•	Enrollment Confirmation: Did not provide the confirmation number to the member</t>
  </si>
  <si>
    <t>https://app.agencybloc.com/individuals/73825323/detail</t>
  </si>
  <si>
    <t>Caller was misled by Anthony Boyle on 1/30/2026 which is from power point company was providing benefits about humana was giving falsely information regarding they have better benefits than UHC she had prior they were in network with providers but when went to pain management they had needed a referral and turned out they were not in network after speaking with Anthony Boyle for more than an hour bene came to the thought she did not want humana and wanted to cancel but mr anthony boyle never picked up nor called back. Even left a voicemail for a call back and nothing. Till a mr [agent name redacted] called bene on 2/2/2026 back regarding to switch back to UHC and disenroll from humana and he sent disenrollment documents to bene for the disenrollment.   </t>
  </si>
  <si>
    <t>•Providers - Medical
•Agent Behavior
•Benefit Misinformation</t>
  </si>
  <si>
    <t xml:space="preserve">Case is Founded. Upon validating the enrollment recording, the member provided her pain management doctor, Dr. Rita Azzo. The agent verified and informed the member that all of her doctors were covered. However, upon validating the PAR status, Dr. Rita Azzo was found to be out of network. Therefore, the agent provided incorrect information regarding the member’s pain management doctor. 
Case is Unfounded. Its is evident that the member spoke with the agent and provided verbal consent telephonically agreeing to enroll in the described Humana plan. The member was aware that she was enrolling in the new Humana plan and did not show any dissatisfaction. 
Case is Unfounded. The agent did not provide any false information regarding the plan. At the time of enrollment, the agent did not inform the member that the Humana plan had better benefits than UHC. Instead, the agent presented the Humana Gold Plus SNP DE HMO plan and informed the member, “We are going to increase the food card benefit, and it will be an actual debit card. The amount will increase from $229 to $250." 
Case is Dismissed. The allegation concerning, "she did not want humana and wanted to cancel but mr anthony boyle never picked up nor called back. Even left a voicemail for a call back and nothing.” Is on post enrollment and does not fall under SRM Scope. </t>
  </si>
  <si>
    <t>https://app.agencybloc.com/individuals/72496895/detail</t>
  </si>
  <si>
    <t>The beneficiary expressed dissatisfaction with the sales agent who sold her the CareComplete Platinum plan, alleging the agent misrepresented prescription copays. She states the agent told her that her medication copays would not change from her previous plan, but after enrollment, all copays increased. The beneficiary indicates they reviewed all her medications, and the agent assured her she would not be paying more, yet her oxycodone copay is now $21 instead of $15 and the desvenlafaxine succinate will be more expensive as well.</t>
  </si>
  <si>
    <t>Case is Founded. Upon receipt, SRM conducted a review in accordance with our internal processes. Upon reviewing the enrollment recording, the agent asked the member about her medications. The member responded she is taking, Vitamin D2 50,000 IU (12 per month), Desvenlafaxine 100 mg (30 per month), Carisoprodol 350 mg (90 per month), Repatha 140 mg every two weeks, Buspirone 15 mg (90 per month), Hydroxyzine Pamoate 50 mg capsules, Zenpep pancreatic enzyme supplement, Trazodone 300 mg (30 per month), and Oxycodone 10 mg (90 per month). The agent informed the member that Oxycodone is not on the CarePlus plan formulary and requires a formulary exception. The agent also advised the following estimated costs, Hydroxyzine Pamoate (Tier 3) $4.01/month, Oxycodone 10 mg (Tier 3) $7.40/month, Desvenlafaxine 100 mg (Tier 2) $9.56/month, Buspirone 15 mg (Tier 1) $14.81/month, Trazodone 300 mg (Tier 3, prior authorization required) $281.12/month, and Zenpep 40,000 units (Tier 4) $474.49/month. The agent told the members the costs would remain the same. However, this was incorrect. According to the Summary of Benefits Tier 3 Preferred Brand is $30 for a 30-day supply and $90 for a 100-day supply, Tier 2 is $0 for a 30 day or 100-day supply, Tier 4 Non Preferred Drug is 50% coinsurance for both 30 day and 100 day supplies, and Tier 5 is 25% for a 30 day supply.</t>
  </si>
  <si>
    <t>https://app.agencybloc.com/individuals/74804901/detail</t>
  </si>
  <si>
    <t>This Mbr is upset that he was signed up on Devoted without his consent/ Mbr is stating that he might file a law suit for being signed up without his consent</t>
  </si>
  <si>
    <t>•Enrollment Consent
•SSBCI Benefits
•Agent Behavior
•Benefit Misinformation</t>
  </si>
  <si>
    <t>Sales leadership is to coach the agent on the following: 1. Strengthen the sales presentation by reviewing all they key benefits and cost shares as outlined in the Summary of Benefits for medical and prescription drug benefits including the laboratory services copay, explaining the prescription drug tiers, and confirming whether or not the beneficiary’s providers are in-network or out-of-network with the plan. 2. When presenting additional benefits such as the $361 per month grocery/benefits card, clearly state that this is a plan benefit delivered via a plan card (not cash), and briefly describe that it can be used only for eligible items, to avoid any misunderstanding. 3. After reading the standard CMS enrollment script, add a plain-language confirmation such as, "Can you confirm you understand this Devoted plan will replace your current Humana Medicare Advantage plan?" to further reduce the risk of future "did not consent" complaints. 4. When positioning the new plan as an improvement, avoid absolute statements like "the most money you can get" and instead frame it as "higher benefits than your current Humana plan among the plans I represent," to stay clearly within CMS marketing guidance. 5. Avoid language that could be perceived as disparaging other plans or implying only you are trustworthy (for example, saying other callers are "just going to try to get you to come back"). Reframe to neutral language such as, "You may also hear from Humana about your options; if you have questions, you can always call me back." 6. When asking the member to respond to post-call texts, be careful to emphasize that honest feedback is appreciated rather than suggesting a specific type of positive comment, so the member does not feel pressured. 7. Where possible, prioritize using the Medicare Beneficiary Identifier (MBI) over the Social Security number for eligibility verification to align with best practices for protecting sensitive personal information, unless SSN use is explicitly required by the plan or system. 8. Read all CMS enrollment disclaimers including informing the beneficiary of their right to cancel the enrollment</t>
  </si>
  <si>
    <t>https://app.agencybloc.com/individuals/71187259/detail</t>
  </si>
  <si>
    <t>Found in a routine audit of calls</t>
  </si>
  <si>
    <t>https://app.agencybloc.com/individuals/71059121/detail</t>
  </si>
  <si>
    <t>https://app.agencybloc.com/individuals/74802082/detail</t>
  </si>
  <si>
    <t>Member stated when enrolling the sales agent told her the plan would be the same that she previously had but with more benefits. Member stated she later found out she no longer has a dual complete plan.</t>
  </si>
  <si>
    <t>•Benefit Misinformation
•Medicaid Coverage</t>
  </si>
  <si>
    <t>•Agent Behavior
•Drugs - Cost or Coverage
•Enrollment Consent
•Benefit Misinformation</t>
  </si>
  <si>
    <t xml:space="preserve">Sales leadership is to review the complaint with the agent, and coach them on the following: 
•	Coach the agent to soften language that could be perceived as discouraging member choice, e.g., instead of saying “do not make any plan changes” and to “ignore” calls/letters from the prior carrier, advise her to tell members they may receive outreach and that they can contact her, the plan, or 1 800 MEDICARE if they have questions. 
•	Reinforce avoiding pejorative characterizations of other plans’ communications (e.g., calling them “tactics to scare you into staying”); focus instead on factual education about member rights and options. 
•	Emphasize clear, unambiguous articulation of premium amounts (e.g., “seventeen dollars per month”) to avoid any potential confusion, even when the member’s net premium is $0 due to Medicaid/Extra Help. 
•	When conducting a Health Risk Assessment immediately after enrollment, remind the agent to state explicitly that the assessment is optional, does not affect enrollment or benefits, and can be declined or stopped at any time. 
•	Remind the agent that when she states she represents “all the top carriers” her statements must remain consistent with the required disclaimer that she does not offer every plan in the area; coaching can help keep this phrasing compliant and precise. 
•	Review the Laboratory Services Copay, Prescription Drug Deductible and Prescription Drug Copays on the SOB 
•	Informed the beneficiary of their right to cancel this enrollment. </t>
  </si>
  <si>
    <t>https://app.agencybloc.com/individuals/76046473/overview</t>
  </si>
  <si>
    <t xml:space="preserve">Member spoke to Whitney and stated she had informed him of the participation status of one of his doctors incorrectlu.  The member stated that the surgeon Armaghan Mostafvi is not in-network.  </t>
  </si>
  <si>
    <t>•Providers - Medical
•Providers - Ancillary
•Drugs - Cost or Coverage
•SSBCI Benefits
•Benefit Misinformation</t>
  </si>
  <si>
    <t xml:space="preserve">At 01:02:16 into the call as Whitney was beginning the enrollment the member remembered the name of his surgeon.  He provided the name of Amy Mostafavi.  Whitney adds the provider but does not indicate if the provider is in or out of network.  
Additionally, there are other concerns on this call.   When Whitney quoted the dental benefits, she stated “including unlimited extractions for free…”.  She also does not accurately quote any of the necessary limitations of coverage on dental.  
When Whitney read off the prescriptions that were listed in Sunfire, she did not verify formulation.  
When Whitney was in the QA checklist, she did not give the benefit amounts for worldwide coverage.  She simply tells the member “you have worldwide emergency coverage and transportation.”
Whitney tells the member “it doesn’t expire until December 31st.  As long as you use it all up before December 31st, you’re good to go” regarding the flex card.  Sunfire should be read and states “Any unused amount rolls over each month and expires at the end of the plan year or upon disenrollment, whichever occurs first.”
</t>
  </si>
  <si>
    <t>https://mypolicypoint-my.sharepoint.com/:w:/r/personal/mthomas_mypolicypoint_com/Documents/Performance%20Tracking/Complaint%20Tracking/WBenoit%2004.01.2026.docx?d=we6ca7b0fcfb848f88e468a561b4d9ff4&amp;csf=1&amp;web=1&amp;e=6mDvn4</t>
  </si>
  <si>
    <t>Robin O'Quin</t>
  </si>
  <si>
    <t>https://app.agencybloc.com/individuals/76356743/detail</t>
  </si>
  <si>
    <t>Member is confused about the prescription drug coverage and states that they were told the medications would be $12. Robin applied for LIS for the member and told her that the prescription will be $12</t>
  </si>
  <si>
    <t xml:space="preserve">At 39:52 Robin gathers prescriptions at 46:41 into the call.  When she discusses coverage for the medications at 1:15:20 into the call, she states “it’ll bring that down to zero dollars. It’ll bring your medications all the way down to, well, if its just level one ow income subsidy, the most you’ll pay for a generic is $5.10.  And the most you’ll pay for a brand name drug would be $12.60.”  She tells the member at 1:33:46 “Like I said, it'll run about the same as the drug costs you were spending on your Humana plan there”.  However, the cost for the Eliquis specifically is substantially higher.  It isn’t until 1:41:40 into the call where she gives the benefits on the plan for the prescriptions as listed.  However, she states “So for tier one, on this plan, the deductible applies to the initial coverage level. Tier two, that's $18. For tier two, generics, that's $19. For tier three, preferred brand generics, that's up to 21 percent, 21 percent, yes. The tier four, 33 percent, tier five, 25 percent, and tier six, that is $0. And like once again, I don't want you to be afraid about those medications because once that low-income subsidy steps in, that's going to be changed a whole lot”.  Additionally, she states at 1:41:59 that tiers 1 and 2 would be $0 with LIS.  
Additionally, there were times that made it sound as if LIS was a guaranteed benefit and language was used that could make it appear that it would be contingent upon enrolling with her.  For example, at 1:32:27 she states “So once I put you on this plan and I sign you up for your low income subsidy”, at 1:35:44 Robin states “But I'm gonna, like I said, wipe with this low income subsidy. I'm gonna wipe all that out for you so you will not be paying nearly this amount of money because that is just too much”.
</t>
  </si>
  <si>
    <t>https://mypolicypoint-my.sharepoint.com/:w:/r/personal/mthomas_mypolicypoint_com/Documents/Performance%20Tracking/Complaint%20Tracking/ROQuin%2003.27.2026.docx?d=w2e0a9171715e47dd8271561bc770e106&amp;csf=1&amp;web=1&amp;e=eIAac4</t>
  </si>
  <si>
    <t>https://app.agencybloc.com/individuals/72028554/notes-attachments</t>
  </si>
  <si>
    <t xml:space="preserve"> The member alleges that their insurance agent and plan misrepresented benefits and failed to provide proper representation and assistance, leaving them without a local agent, unable to use expected benefits such as utility assistance, and confused about accessing covered services like transportation to medical appointments.</t>
  </si>
  <si>
    <t>•Providers - Medical
•SSBCI Benefits
•Benefit Misinformation</t>
  </si>
  <si>
    <t>•Providers - Ancillary
•SSBCI Benefits
•Benefit Misinformation</t>
  </si>
  <si>
    <t>Kylie asked the client if he had any “dental, vision, hearing, or transportation needs,” but the question was presented in a broad and unstructured manner, limiting the depth of information gathered.
The client disclosed a key dental issue, including a deteriorated tooth from childhood that ultimately fell out, along with gum line deterioration—indicating a likely need for implants.
Under the Humana Dual Integrated (HMO D-SNP) H1036-340 plan, the $5,000 dental allowance does not cover implants, fluoride, or cosmetic services.
The call was led by highlighting the flex allowance ($350 monthly) before fully developing and confirming all of the client’s healthcare needs.
Kylie identified value by improving the client’s copay for Kamal Patel compared to their previous plan; however, the dental need was not aligned with plan coverage, resulting in a missed opportunity.
Vision, transportation, and hearing needs were identified but only at a surface level, without deeper exploration or confirmation of how the member would access and utilize these benefits.</t>
  </si>
  <si>
    <t>Sending findings for coaching opportunity by email.</t>
  </si>
  <si>
    <t>https://app.agencybloc.com/individuals/73646586/notes-attachments</t>
  </si>
  <si>
    <t>The beneficiary contacted CarePlus Health Plans regarding a bill for $735.75 for an injection, which he did not expect based on prior experience with Humana Gold Plus. The beneficiary stated that the sales agent who assisted with his CarePlus enrollment did not disclose or explain the higher copay for injections and assured him that the plan benefits would be "exactly the same" as his previous Humana plan. Upon receiving the bill, the beneficiary felt misled and expressed dissatisfaction with the agent's lack of education on plan details, particularly as he had never incurred such high costs with his prior coverage.</t>
  </si>
  <si>
    <t xml:space="preserve"> Medication Review &amp; Gaps
The $735.75 injection was not discussed during the call.
Two medications listed in Sunfire (Amlodipine Besylate and Lisinopril) were not addressed.
The agent did not verify whether the client was still taking these medications or inquire about additional prescriptions outside those initially provided.
There was a missed opportunity to offer outreach to the pharmacy or prior carrier (Humana) to ensure a complete medication list.
This gap in medication discovery likely contributed to the omission of the injection and other prescriptions.                                                                                              Medication Probing Opportunities
While the agent asked for medication names and dosages, they did not consistently ask:
Frequency of use
Refill cadence
Monthly quantity
These questions are critical to accurately evaluating cost exposure and plan fit. </t>
  </si>
  <si>
    <t>https://app.agencybloc.com/individuals/74174174/detail</t>
  </si>
  <si>
    <t>Humana received the following allegation: The member states the agent was told member qualified for $250 per month in spending allowance benefits and was not informed that enrolling would change his existing plan. The member further asserts that he did not intend to change plans, did not understand that a new application was being submitted on his behalf, and was unaware that he was being switched from his previous Care Needs Platinum plan (which offered $250) to the Care Complete plan (which offers only $25 per month). The member states he would not have agreed to downgrade his benefits and believes the plan change was completed through misrepresentation and misleading information.</t>
  </si>
  <si>
    <t>•SSBCI Benefits
•Enrollment Consent
•Benefit Misinformation</t>
  </si>
  <si>
    <t>•SSBCI Benefits
•Enrollment Consent
•Drugs - Cost or Coverage
•Benefit Misinformation</t>
  </si>
  <si>
    <t>Sales leadership is to review the complaint with the agent, and coach them on the following:
•	    The agent did not inform the member that he would receive $250 per month on a spending account card. Instead, the agent clearly stated that the Care Complete plan included a $25 monthly grocery allowance and a $20 monthly over-the-counter (OTC) benefit.
•	   Enrollment Quality: The agent did not explain the Pharmacy Part D deductible to the member, which is a mandatory requirement per the sales script.</t>
  </si>
  <si>
    <t>https://app.agencybloc.com/individuals/75541005/detail</t>
  </si>
  <si>
    <t>Caller feels misled because unknown agent told beneficiary that heart doctor was in network turns out that is untrue beneficiary now cannot get pacemaker worked on which puts her in serious jeopardy</t>
  </si>
  <si>
    <t xml:space="preserve">At approximately 11:47 into the call, the member indicated that her heart doctor does not take Cigna/HealthSprings and that this led her to changing her plan previously.  At 14:10 into the call she provides Robert with the name of her cardiologist, Dr. James Towery.  She indicated to Robert that it is very important that she keep this provider.  At 30:52 in the call Robert indicates to the member that he does not see Dr. Towery in the network and that he needs to doublecheck.  He indicates that he will check Dr. Towery’s website to see if they accept the plan.
At 40:46 Robert tells the member “I don’t think Towery takes Cigna or Healthsprings.  Let’s find out the name of the building or the name of the group that he serves in.”   It is identified at 41:33 that he is affiliated with Birmingham Heart.  At 45:52 Robert gives the name of another cardiologist, Dr. Joshua Cockrell, at that same location.  He asks the member if that would be okay but does not specifically tell them that they would be replacing Dr. Towery with Dr. Cockrell.   At 54:35 Robert does tell the member “Your doctors are in, where we found you a cardiologist in that same office as your old one.  And then for services from providers outside the network, you must pay out of pocket.  So just get your doctor to refer you.  They should be able to take care of that.”
This language was not direct and clear that Dr. Towery does not accept the plan and that the member would need to start to see Dr. Cockrell.  Additionally, it made it sound as if the member would be covered for out-of-network providers if they were referred from their doctor.  
When Robert was reviewing other providers, he did not get clear locations for Dr. Bryan Flanagan.  This doctor had multiple locations and only one of them was in-network.  
When Robert begins the dental portion of the QA checklist at approximately 51:46 into the call, he tells the member that “it covers, let's see, prophylaxis, which is dentures, zero copay, restorative, zero copay, implant services, zero copay, max facial surgery, everything”.  Use of the word “everything” is not an accurate statement, as there are exclusions for cosmetic procedures.  
At approximately 57:23 into the call Robert asks the member for their prescriptions.  The member does not have them available.  He asks if they remember any off of the top of their head, and the member states that they do not.  No prescriptions were gathered during this call.  However, he tells her at multiple points that he believes that those costs will go down.  He does not provide the member with any information on prescription drug deductibles or copays.  The deductible is increased on this plan, as is the copay for Tier 1 medications and the coinsurance for tier 4.  He also does not tell the member if their pharmacy is a preferred or standard retail pharmacy.    
</t>
  </si>
  <si>
    <t>https://mypolicypoint-my.sharepoint.com/:w:/r/personal/mthomas_mypolicypoint_com/Documents/Performance%20Tracking/Complaint%20Tracking/RLang%2003.10.2026.docx?d=wde7e5a37b930460e9417dec99b75cf46&amp;csf=1&amp;web=1&amp;e=xd448y</t>
  </si>
  <si>
    <t>https://app.agencybloc.com/individuals/76268508/detail</t>
  </si>
  <si>
    <t>**INFO ONLY, no coaching needed***Caller feels misled because on 3/25/26 the Bene told the agent that he did not want to change and that he was happy where he was at. The agent just kept on and kept on.</t>
  </si>
  <si>
    <t>•Agent Behavior
•Enrollment Consent</t>
  </si>
  <si>
    <t>Gary completed a needs analysis and compliantly covered all aspects of the compliance checklist prior to starting the enrollment.  At approximately 53:46 in the call, Gary lets the member know that he will be enrolling into a new plan.  A 54:18 into the call the member states “April 1st being the changes over to this plan that we’re discussing”, which indicates an understanding of the enrollment.  At 1:02:54 Gary asks the member “Do I have your permission to record this enrollment?” to which the member responds affirmatively.  Gary proceeds to read all application questions and provide the member with the necessary disclaimers.  At 1:31:21 Gary states “So Columbus, if you want to enroll now, just go ahead and say your name, your date of birth, and that you agree to it.”  At 1:31:30 responds with “Okay, my name is Columbus Butler. Date break is April 10th, 1551, and I agree to enroll in this coverage.”</t>
  </si>
  <si>
    <t>https://mypolicypoint-my.sharepoint.com/:w:/p/mthomas/IQAKJ5jqmp6xQaPdlWAROUrlAbkcGSPkpzr_L_-QlQOYhQY?e=aFA6KQ</t>
  </si>
  <si>
    <t>https://app.agencybloc.com/individuals/74775903/detail</t>
  </si>
  <si>
    <t>Member was told that dentist Dr. Timothy Evans was an INN dentist.</t>
  </si>
  <si>
    <t>•Providers - Ancillary</t>
  </si>
  <si>
    <t xml:space="preserve">Duane identifies the member’s dental needs at 30:44 into the call.  The member mentions that the current plan does not cover his dental and he only has preventative needs.  
At approximately 1:11:05 into the call the dentist is identified as Dr. Evans.  The member and Duane search for the provider and the provider is identified as Dr. Travis Evans at 1:14:48.  At 1:25:52 Duane tells the member that “I am not seeing them in network.  It does not mean necessarily that they won’t bill it.  So let me double-check that.”  At 1:27:16 Duane tells the member “I have somebody hunting that down.  I’m looking at the network myself.  I’m not seeing him.”
While Duane did well with explaining the dentist was out-of-network, he made statements that may lead the member to believe that they would be covered at a higher rate for OON services.  At 1:37:38 Duane tells the member “Out of network Medicare covered preventative dental services. The co-insurance for Medicare covered preventative dental is 20 percent for out of network. So that may be – if it is having to be out of network and for like that preventative, it may save you – if they'll bill it, you know, it would be at the non-out of network at 20 percent rather than paying full price.  You know, if it does happen to be the case, he's out of network, okay?”  Medicare only pays for dental services if it is covered as part of a larger treatment plan.  
</t>
  </si>
  <si>
    <t>https://mypolicypoint-my.sharepoint.com/:w:/p/mthomas/IQD5e9-I-NqJQY9UyE1hb_bHAQeAapbZyZ3VJKLd2hUhZPw?e=b8UM1f</t>
  </si>
  <si>
    <t>https://app.agencybloc.com/individuals/77335815/detail</t>
  </si>
  <si>
    <t>Member called in and stated that they were told that their home health care provider, Trinity Care Providers, was in network. She had the provider in her home and they are stating they are out-of-network.</t>
  </si>
  <si>
    <t>•Providers - Medical
•Agent Behavior</t>
  </si>
  <si>
    <t xml:space="preserve">The member’s home healthcare provider is not showing in network on Sunfire or on Devoted’s portal.  The member mentions that she receives home health care services and identifies the provider as Trinity at 10:15 into the call.  She mentions the provider again at 11:38 into the call.  At 12:16 she states again that her home health care through Trinity is a necessity.  She reiterates this at 16:58 in the call.  At 33:02 Gary tells the member “I did check Trinity Health is already covered, so we don't got to worry about that as well.”  At 40:08, the member asks what Trinity would need to do to be covered, and Gary responds that all they will need to do is provide the updated insurance card.  At 40:32, Gary tells the member “Whenever you you're going to receive your home health care or whenever you receive your new member ID card just give Trinity a call let them your update in your insurance they do accept the new insurance.  That is a zero dollar copay as well, you just have to let them know…”  At 45:48 the member asks specifically if there will be a lapse in payment to her home health care provider, and Gary answers “No, ma’am.”  He again states that they are in network when asked at approximately 46:41 and 47:11 into the call.  
Additionally, there was a concerning statement on the second call.  At 2:17, Gary states, “If she was a good doctor, respectfully, she would notice that you have diabetes and you're only on a dual advantage plan, not a chronic special needs plan that would give you more, have you pay less.  So that’s just my opinion, my professional opinion.”  While we do want to work to overcome objections, this is not complaint with CMS guidelines.  CMS regulations and most carrier guidelines explicitly prohibit agents from making negative or disparaging comments about a member's current providers. Saying "if she was a good doctor" is a direct attack on the member's physician's competence. Additionally, this could be perceived as him evaluating the quality of the member’s medical care.  
</t>
  </si>
  <si>
    <t>https://mypolicypoint-my.sharepoint.com/:w:/p/mthomas/IQC8Why86zw7SJp_DjDfY5ExAW5vZNbBctM9D8sCep65TsA?e=FegzKD</t>
  </si>
  <si>
    <t>Kevin Ortega</t>
  </si>
  <si>
    <t>https://app.agencybloc.com/individuals/76325511/detail</t>
  </si>
  <si>
    <t>Member stated that he was told by AOR at time of enrollment that Dr. Steven Christensen (ophthalmologist) was INN.</t>
  </si>
  <si>
    <t>•Providers - Medical
•Providers - Ancillary</t>
  </si>
  <si>
    <t xml:space="preserve">Kevin originally pitched a plan with HealthSprings.  When he pitched that, the provider was in network.  However, Kevin changed plans to cover more dental to an AARP plan.  It was never discussed that Dr. Steven Christensen would be out-of-network on that plan.  The only reference to his doctor’s after the pitch change is at 1:06:53 when Kevin states “You’ll be able to go to your doctor still”.  
Additionally, there were some concerns about provider search on this call.  At 20:12 the member identifies the doctor as “Dr. Christensen” with Southern Colorado Eye Specialists.  At 24:20 it is mentioned that it is  Steven Christensen.  The doctor that is entered into Sunfire is Dr. Steven Christiansen.  Dr. Christiansen doesn’t show affiliated with a Southern Colorado Eye Specialists.  There was not any probing questions about the address to doublecheck.  
The member stated that he did not see any specialists, but mentioned that he is on methadone for pain management.  He provides the name of the group as Denver Health Group.  There were no additional probing questions on this facility/doctor.  At 1:11:57 Kevin tells the member that he’ll be able to see “that spinal guy you were talking about”. 
When going through the needs assessment, it is identified that the member was in the process of getting dental implants.  It was not specifically called out that these services, and any related services, would not be covered on the plan.  Transportation was also identified as a need, but it was not discussed that it is not covered on this plan.  
When Kevin went through the QA checklist, he did not provide the emergency room copay.  When he provided benefits for the hearing, he did not clearly state that the amounts of $199 to $1249 were the member’s copays.  
</t>
  </si>
  <si>
    <t>https://mypolicypoint-my.sharepoint.com/:w:/p/mthomas/IQAS-_oMDR2aQ46t4vcEiWElAYEBB6jVEa2spKLxflnY6JY?e=pR3RNH</t>
  </si>
  <si>
    <t>https://app.agencybloc.com/individuals/76215284/detail</t>
  </si>
  <si>
    <t xml:space="preserve">Member was told at time of enrollment that most of her providers were in network, specifically Dr. Shahzad Shadmany, her endocrinologist.  Member has now found that 5 of the 8 providers are out-of-network.  </t>
  </si>
  <si>
    <t xml:space="preserve">The member provided Dr. Shahzad Shadmany as her endocrinologist, Dr. Christopher Carpenter as her optometrist, and Dr. Aaron Latowsky as her urologist.  Both of these providers are out-of-network.  At 29:28 into the call, Whitney tells the member that “nephrologist cardiologist and endocrinologist on this plan have a zero dollar co-pay whether they're in network or out of network”.  This is inaccurate as it is a 20% coinsurance for non-participating providers, regardless of specialty type.  At 45:24 the member states “And you said that all the doctors that I've given you names for all are listed as being in-network. Well, you said it doesn't matter if a little nephrologist, or a cardiologist, my PCP, or my endocrinologist, anyway” to which Whitney responds “Right”.  The member was told the incorrect information regarding copays and coverage for out-of-network specialists multiple times throughout this call.  For the vision, the member was also told that they could see out-of-network vision providers for routine vision.  However, routine vision is not covered out-of-network.
Additionally, at 32:49 Whitney tells the member that she can still see out-of-network dental providers at a higher out-of-pocket cost.  However, the plan does not cover dental out-of-network
</t>
  </si>
  <si>
    <t>https://mypolicypoint-my.sharepoint.com/:w:/p/mthomas/IQCaMhU3RzjuT7z8SF_DtlQBAcKIKYoTZD87GvhJiUK1pjM?e=EpyhNu</t>
  </si>
  <si>
    <t>https://app.agencybloc.com/individuals/74405733/detail</t>
  </si>
  <si>
    <t xml:space="preserve">Member states that they did not agree to enroll in a new plan, and only thought they were getting additional benefits.  </t>
  </si>
  <si>
    <t>•Enrollment Consent
•SSBCI Benefits
•Drugs - Cost or Coverage
•Benefit Misinformation</t>
  </si>
  <si>
    <t xml:space="preserve">Christina compliantly completed the application and all necessary disclaimers.  The member provided their name, date of birth, and “I agree” at 1:07:11 into the call.  
There were opportunities identified in how Christina presented the OTC benefit.  She told the member twice on the call that they would be able to use the $71 benefit on healthy foods, utilities, etc because they had a chronic condition.  This happened at 29:43 as part of the plan pitch and again at 41:33 as part of the QA checklist.  
Additionally, Christina provided misinformation on the member’s prescription drug coverage.  She informed the member twice that her copays for the medications were a $0.  However, the member’s pharmacy shows up as a standard retail and not preferred.  Therefore, she would have copays.  This info was given at 44:07 as part of QA and 32:39 as part of the pitch.  
</t>
  </si>
  <si>
    <t>https://mypolicypoint-my.sharepoint.com/:w:/p/mthomas/IQCtiTOWe6hyRoBFLMWIR2ggAbu-ook_5RjJPkhFdnj2qK8?e=1jkvp0</t>
  </si>
  <si>
    <t>https://app.agencybloc.com/individuals/74729560/detail</t>
  </si>
  <si>
    <t xml:space="preserve">Member stated that the policy change caused issues with her doctors and she had to wait a month for treatment. </t>
  </si>
  <si>
    <t xml:space="preserve">The member provided her primary care provider as Jessica Bennett and a specialist of Dan Cheney.  At 29:47 into the call, Christina informs the member that her PCP is in network.  However, the screenshot that is included in AMS shows the provider in Tennessee and not at the location in Kentucky that the member sees them at.  Additionally, Dr. Cheney is also not in-network through the carrier portal.  Christina called the provider and they stated that they do not accept PPO plans only HMO.  However, the member insisted that they had to be on a PPO previously to see this provider.  It is important to go by what is on the carrier portal as that is what they carrier uses to process the claims.  
Additionally, Christina told the member in the QA checklist that they can still see out-of-network providers because this plan is HMO-POS.  This plan only includes out-of-network benefits for dental services.  
</t>
  </si>
  <si>
    <t>https://mypolicypoint-my.sharepoint.com/:w:/p/mthomas/IQDdXIS9T81eS74425f4En5KAQmqceZYn3PFALhqmREnSEA</t>
  </si>
  <si>
    <t>https://app.agencybloc.com/individuals/77063400/detail</t>
  </si>
  <si>
    <t>Mr. Godwin says he told Gabriela he needs transportation benefits. This plan does not include transportation</t>
  </si>
  <si>
    <t xml:space="preserve">Gabriela asks the member about their transportation needs at 23:16. The member indicates that they currently use Uber.  At 24:11 she asks the member which benefit is most important for them, and they respond that all but hearing.  At 57:51 Gabriela explains the benefit of Will Ride, which appears to be a third-party ride service.  While this may be helpful to the member, she does not explicitly tell the member that this is not covered through their plan.  Additionally, there is a charge for this service.  For educational purposes, the member is on Medicaid so they will have non-emergency medical transportation through Medicaid.  </t>
  </si>
  <si>
    <t xml:space="preserve"> https://mypolicypoint-my.sharepoint.com/:w:/p/mthomas/IQD7KhiZEJL2TJO-_l3fX4IIAakXcuutysG8DMwAkhFxMQY?e=IIr8a1</t>
  </si>
  <si>
    <t>https://app.agencybloc.com/individuals/73762594/detail</t>
  </si>
  <si>
    <t xml:space="preserve">Member is upset because she is still not getting her Part B giveback. Member is on Medicaid.  Member is very upset and states that she was lied to or misled.  </t>
  </si>
  <si>
    <t>•Medicaid Coverage
•Benefit Misinformation</t>
  </si>
  <si>
    <t>•Medicaid Coverage
•Agent Behavior
•Drugs - Cost or Coverage
•Benefit Misinformation</t>
  </si>
  <si>
    <t xml:space="preserve">*This may have already been coached, as there was discussion in the SNP Channel regarding this call*The member refused to provide their MBI at the beginning of the call and stated that they were unsure if they still had Medicaid at approximately 3:04 into the call.  It was identified that they do have a chronic condition.  At 28:20, Robert pitches a Devoted plan with a $184 giveback but then switches to a Cigna plan with a $100 giveback.  After gaining the member’s Medicare information, he determines at 37:03 into the call that the member does in fact have Medicaid.  Robert does not inform the member at any point in the call after finding out that they have Medicaid that they will not be eligible for the giveback.  Robert discusses the giveback benefit as if the member were eligible at least 5 times after that point (53:30, 53:51,1:04:03, 1:05:48, 1:19:09).  
Additionally, there were other areas of opportunity identified on this call.  
Robert used disparaging language towards the carrier’s agents.  The member asked Robert why no one else found this plan for her.   At 35:35 he states “You know it's just all a matter of when you talk to somebody from Health Spring they're kind of like they have a different attitude. I've not explained it but they don't try that hard. If they would have looked a little bit deeper they would have found this one.”  At 36:07 he again states “Yeah it's because they didn't try.”
During the QA portion of the call, he tells the member at 1:19:26 “So if you have an emergency situation or urgent care, they all have to take you.”  While this is true of emergency rooms, it is not true with urgent care centers.  
At 1:21:40 Robert tells the member “All of your prescriptions should be exactly the same because it's still Cigna, and you have extra help. They're helping you with the co-pays. So I'm glad we're able to help you get covered.”  Robert did not go over the medications listed in Sunfire or ask for any information on their prescriptions.  Two of the medications listed are non-formulary.   One, Ozempic, was mentioned by the member specifically.  Additionally, he did not go over any of the quantity limits or restrictions.  
</t>
  </si>
  <si>
    <t>https://mypolicypoint-my.sharepoint.com/:w:/p/mthomas/IQB0OdhMJGFyQ5s6u_HCQIRKAXC0j8NAG8m3DKeGIfUSSYU?e=OsFb07</t>
  </si>
  <si>
    <t>https://app.agencybloc.com/individuals/76297283/detail</t>
  </si>
  <si>
    <t xml:space="preserve">The member states that she was told her pcp, Dr. Erica Pohlman, was in network.  However, she has found out that the provider is not.  </t>
  </si>
  <si>
    <t xml:space="preserve">The member identifies Dr. Erica Pohlman at 11:19 into the call and states that it is very important to keep her.  Christina calls the provider at 29:10 in the call to verify if they accept Zing plans.  She does not differentiate between Elite or Select and the provider states that they do.  At 35:19, Christina tells the member that their provider is in network.  She again tells the member that the provider is in network at 51:06.  When Christina began filling out the application, she asked the member if they wanted to list Dr. Pohlman on the application at approximately 1:09:06 into the call.  However, at 1:10:05 she reads the verbiage on the application for when it is selected that they do now want to specify a PCP.  Dr. Pohlman would not have been able to be listed as she is not participating with this plan.  
The member’s PCP is participating with the standard Zing plans and not the Elite plans.  Screenshot below shows Sunfire’s indication.  Screenshot in AMS is from the Zing provider search, but Christina did not select “Zing PSP Network” when checking.  
Additionally, there were concerns with QA checklist.  When going over the dental at 51:53, Christina does not go over the required coverage limitations.  At 52:04 when going over specialists, she does not specify which provider types are a $0 copay.  She also does not provide the limitations for worldwide urgent or emergent care, just the copay amounts.  In hospital coverage at 53:25 she states is it $350 from days one to six but does not state per day.  </t>
  </si>
  <si>
    <t>https://mypolicypoint-my.sharepoint.com/:w:/p/mthomas/IQDRQgEPqSOyQ48X6EECGK2pAa2hJDz7nXznSktsgKJwV3I?e=pu3ONt</t>
  </si>
  <si>
    <t>https://app.agencybloc.com/individuals/74292148/detail</t>
  </si>
  <si>
    <t xml:space="preserve">Member was told at time of enrollment that Dr. Nazrah Franco was INN. However, member found out after going to his annual physical with Dr. Franco that they are not INN. Member complaint to Humana about being told that Dr. Franco was INN when they are not.  Additionally, the member was told that all other providers were in network, but his dermatologist is not. </t>
  </si>
  <si>
    <t xml:space="preserve">The member’s PCP is identified as Dr. Franco Narzrah at 7:41 in the second call. Their dermatologist is identified as Dr. Harb at 2:29 in the third call.  At 27:33 in the third call, Whitney informs the member that their primary care doctor is not in network.  The member indicates that they can change the primary care provider.  At 30:40, Whitney begins the process of finding another provider for the member.  
When Whitney tells the member that their primary care provider is not in-network, she specifically states “But the other places, the dermatology clinic and the new oncology clinic, and doctors, they are in network.”  However, the member’s dermatologist is not in-network.  
</t>
  </si>
  <si>
    <t>https://mypolicypoint-my.sharepoint.com/:w:/p/mthomas/IQCuysf31d99RZTYn46VaNn-AU94dxyLQ4-A7dnaBqgblE8?e=Y9Euwn</t>
  </si>
  <si>
    <t>https://app.agencybloc.com/individuals/76504511/detail</t>
  </si>
  <si>
    <t>Member states that they had called in regard his rx, and noted that the previous person he was talking to was rude to him</t>
  </si>
  <si>
    <t xml:space="preserve">There were multiple instances throughout this call where Lauren would not allow the member to ask questions or speak.  It should be the priority of the agent to answer the member’s questions thoroughly.  When he attempts to interject, she threatens to disconnect the call at two points in the call.  This actually escalates the situation with the member.  </t>
  </si>
  <si>
    <t>https://mypolicypoint-my.sharepoint.com/:w:/p/mthomas/IQBLhmJH_7_6TaEb0csbq0CcAVxEvt-PLWbINAgMMruoiKA?e=xISloW</t>
  </si>
  <si>
    <t>https://app.agencybloc.com/individuals/76114404/detail</t>
  </si>
  <si>
    <t>Member stated that the conversation was very contentious and she did like Lauren’s attitude or tone. She said that she had questions about her plan and that Lauren refused to answer them and told her that she had a job to do and if she did not go over her script she was going to get into trouble</t>
  </si>
  <si>
    <t xml:space="preserve">There were multiple instances throughout this call where Lauren would not allow the member to ask questions or speak.  Lauren tells the member at multiple times throughout the call that she has a list of things to go through, or a process to go through.  For example, at 15:44 she tells the member “Give me a moment, I’m trying to make sure I’ve touched on certain things with you”.  At 25:36 she tells the member “I’m here to help answer your questions and I have a list of things that I have to talk about.”  At 31:06 she tells the member “…But I havn’t finished all the things I want to tell you.  So, let’s finish that up and this will answer your question.”  These instances cause the member to feel that Lauren is not listening to her or allowing her to speak.   The member mentions needing doctors and Lauren states that we usually do that on another call.  It should be the priority of the agent to answer the member’s questions thoroughly on the call rather than following up at another time, unless that is the insistence of the member.  </t>
  </si>
  <si>
    <t>https://mypolicypoint-my.sharepoint.com/:w:/r/personal/mthomas_mypolicypoint_com/Documents/Performance%20Tracking/Complaint%20Tracking/LWyke%2004.02.2026.docx?d=w6ae1238aff714eb1950d6fee08bdd2a6&amp;csf=1&amp;web=1&amp;e=HfAQMy</t>
  </si>
  <si>
    <t>https://app.agencybloc.com/individuals/76603201/detail</t>
  </si>
  <si>
    <t>Member stated that she was told at time of enrollment that her dentist Dr. Divya Bekal was INN. She went to the dentist and was told at the office that they were not INN</t>
  </si>
  <si>
    <t>•Providers - Ancillary
•Providers - Medical</t>
  </si>
  <si>
    <t>•Providers - Ancillary
•Providers - Medical
•Benefit Misinformation</t>
  </si>
  <si>
    <t xml:space="preserve">This provider was not directly mentioned on the call.  Kylie read the member the providers that were already listed in Sunfire.  At approximately 7:02 into the call, she provides the member with Carrie Borland.  The member indicates that this is her dentist.  This is mentioned again at approximately 29:30.  Kylie should have stopped and asked clarifying questions, as this provider is listed as a primary care provider in Sunfire.  
There were additional concerns, as well.  The member mentions another primary care provider, Dr. Thomas Wagner, at approximately 7:12 seconds into the call.  At 13:36 into the call Kylie informs the member that they would be able to see both Thomas Wagner and Dr. Borland on this plan.  However, this plan is an Elite plan, and Dr. Wagner is not in network as a PCP on this plan.  At approximately 40:02 into the call Kylie attempts to add the provider to the application.  She states “he's labeled as like a specialist. So I'm going to just put the doctor that, and don't worry, I'm literally on the website, Thomas Wagner, Westwood Primary Care 34960, Center Ridge, North Ridge. I have his address, his phone number. He is covered” and indicates that there will just need to be a different PCP on the card.  
There were also concerns on the QA checklist.  For ambulance, Kylie does not quote coverage for air ambulance.  For dental, she does not quote the required coverage limitations.  For Urgent care, she tells the member it is a $10 copay, not the $0-$10 as per Sunfire. For eyewear, she also does not quote the required coverage limitations.  
</t>
  </si>
  <si>
    <t>https://mypolicypoint-my.sharepoint.com/:w:/p/mthomas/IQD2vaSd9eyhSK0r61rWoWmeASmDZYdILjw6XcqVMyIry44?e=YEsThe</t>
  </si>
  <si>
    <t>https://app.agencybloc.com/individuals/76471005/detail</t>
  </si>
  <si>
    <t>Member states when he enrolled medications would be free</t>
  </si>
  <si>
    <t>["Drugs - Cost or Coverage"]</t>
  </si>
  <si>
    <t>["Drugs - Cost or Coverage","Benefit Misinformation"]</t>
  </si>
  <si>
    <t xml:space="preserve">Vidal asked the member for their prescriptions at approximately 30:35 into the call.  At 38:47 into the call Vidal tells the member that “this plan does accept all your medications, which is a good thing, of course. So your providers are a network, your medications are taken care of…”  The prescription portion of the QA checklist begins at 46:06.  Vidal goes over the pharmacy deductible and any limitations on the prescriptions, but at no point does he provide the member with the costs associated with the medications. 
Additionally, when discussing plan benefits, Vidal incorrectly states that the member’s dentures and other dental services will apply to their maximum out-of-pocket.  Only services covered under Parts A and B are applied to the maximum out-of-pocket.  
When Vidal quotes the member’s urgent care benefit, he stated “there is a $10 co-pay for any urgent care services for providers outside of the network, and a $0 co-pay for any primary care physician, urgent care needs.”  Because this plan is an HMO, out-of-network providers are not covered.  
There was also unclear language regarding the member’s hospital copay.  At approximately 45:31 in the call he stated that “plan also gives you up to $275 per day for a co-pay for days one to six for any acute hospital services”.  The use of “gives you” may be misleading, especially considering the benefits discussed directly prior were vision services where the member has an allowance to use. 
</t>
  </si>
  <si>
    <t>https://mypolicypoint-my.sharepoint.com/:w:/p/mthomas/IQDd5oBfwTF6QoEtoU_zcVMtASWxNb110SE3TYGIyHsf3qQ?e=ZWs804</t>
  </si>
  <si>
    <t>https://app.agencybloc.com/individuals/77530565/detail</t>
  </si>
  <si>
    <t xml:space="preserve">Member stated that she was told at time of enrollment that Dr. Jay Turner, Alex Bakowski, NP and Barrow Brain and Spine were INN, but has since learned that they are not.  </t>
  </si>
  <si>
    <t>["Providers - Medical"]</t>
  </si>
  <si>
    <t xml:space="preserve">This enrollment took place over three calls.  There were not any references of Dr. Jay Turner, Alex Bakowski, NP or Barrow Brain and Spine.  However, there were 2 providers mentioned on the call that were incorrectly identified as INN.  At 17:21 in the first call the member states that they see Dr. Saraceni at Ironwood Womens Center on 159th Avenue in Goodyear.  At 36:48 in that call Tom states that Dr. Saraceni is in network.  However, she is not reflected in SF or on GKs search as in-network at that location.  He reaffirms that this doctor is in-network at 52:32 that the provider is in network.  At 29:06 in the third call the member mentions that they see a Dr. Chambos for pain management at 13555 W. McDowell Road.  Tom informs the member at 30:24 that this provider is in network.  However, Sunfire does not reflect this provider INN at that location, nor does the GK provider search.  </t>
  </si>
  <si>
    <t>https://mypolicypoint-my.sharepoint.com/:w:/p/mthomas/IQAkb1mtRL9rQZT8ZQC9qTYpAcnE3-Nc0Zd2Qp6Ef1OHc8o?e=ffQGoU</t>
  </si>
  <si>
    <t>https://app.agencybloc.com/individuals/77530933/detail</t>
  </si>
  <si>
    <t>The member was told by agent that signed him up that he would qualify for the Food &amp; Home Card benefit because of his Medicaid coverage and was not explained that he needs a qualifying condition as outlined in the EOC. The member unfortunately does not have a qualifying chronic condition.</t>
  </si>
  <si>
    <t>["SSBCI Benefits"]</t>
  </si>
  <si>
    <t>["Providers - Medical","Benefit Misinformation","SSBCI Benefits"]</t>
  </si>
  <si>
    <t xml:space="preserve">Tonja asks the member if they have any chronic conditions at approximately 8:38 into the call.  The member states “Listen, I'm good with everything. I don't have any problem with my heart with anything.”  He goes on to say that he has been told his health is “unbelievable”.  When Tonja asks him if he has any specialists, he states “No, not at all. I'm good with everything. My health is 100% good.”  The member again indicates that he is in great health when going through the prescription drug coverage.  At 26:02 Tonja pitches the SSBCI stating he is eligible.  At 33:57 she states “Now, before the benefits start, Devote Health is going to reach out to confirm that you meet Medicare's qualifying condition criteria.”  However, she doesn’t probe further or provide the member any additional information.   
Additionally, at approximately 13:27 into the call the member mentions that he is in the process of getting dental implants.  When Tonja pitches the dental benefits, she does not go over any of the required limitations or copays.  She also doesn’t specifically call out that implants are not covered on this plan.   
When Tonja is filling out the application, she indicates that she is listing Dr. Jason Bailey, the member’s PCP mentioned, on the application.  However, this provider is an NP.  The PCP listed on the application was Dr. Cherilyn Hanna Mahase.  This is not discussed during the call or verified that this doctor works with Jason Bailey.  It appears that the addresses of the providers are different.  </t>
  </si>
  <si>
    <t>https://mypolicypoint-my.sharepoint.com/:w:/p/mthomas/IQA24N5Rmi8ASZisSv0fR3rbAc66kLd-zF4tagUzUBgtDVE?e=mVjdrh</t>
  </si>
  <si>
    <t xml:space="preserve">Agent </t>
  </si>
  <si>
    <t>New Manager</t>
  </si>
  <si>
    <t>Manager Email</t>
  </si>
  <si>
    <t>Email</t>
  </si>
  <si>
    <t>jtellez@mypolicypoint.com</t>
  </si>
  <si>
    <t>bhenderson@mypolicypoint.com</t>
  </si>
  <si>
    <t>john.stfleurant@mypolicypoint.com</t>
  </si>
  <si>
    <t>Rjefferies@mypolicypoint.com</t>
  </si>
  <si>
    <t>mthomas@mypolicypoint.com</t>
  </si>
  <si>
    <t xml:space="preserve">Policy ID </t>
  </si>
  <si>
    <t xml:space="preserve">First Name </t>
  </si>
  <si>
    <t xml:space="preserve">Last Name </t>
  </si>
  <si>
    <t xml:space="preserve">MBI </t>
  </si>
  <si>
    <t xml:space="preserve">PhoneNumber </t>
  </si>
  <si>
    <t>Servicing</t>
  </si>
  <si>
    <t>Name</t>
  </si>
  <si>
    <t>Column3</t>
  </si>
  <si>
    <t xml:space="preserve">App Submit Date </t>
  </si>
  <si>
    <t xml:space="preserve">Effective Date </t>
  </si>
  <si>
    <t xml:space="preserve">StateAbbrev </t>
  </si>
  <si>
    <t xml:space="preserve">Carrier Name </t>
  </si>
  <si>
    <t xml:space="preserve">Individual ID </t>
  </si>
  <si>
    <t>ODELL</t>
  </si>
  <si>
    <t>DARLING</t>
  </si>
  <si>
    <t>3MD6-XG3-GC42</t>
  </si>
  <si>
    <t>(513) 464-5780</t>
  </si>
  <si>
    <t>Howard</t>
  </si>
  <si>
    <t>Tonja</t>
  </si>
  <si>
    <t>OH</t>
  </si>
  <si>
    <t>Anthem Inc.</t>
  </si>
  <si>
    <t>SHARON</t>
  </si>
  <si>
    <t>RITCHIE</t>
  </si>
  <si>
    <t>9M53-MN3-XP75</t>
  </si>
  <si>
    <t>Clark</t>
  </si>
  <si>
    <t>Tasia</t>
  </si>
  <si>
    <t>Danny</t>
  </si>
  <si>
    <t>Ritchie</t>
  </si>
  <si>
    <t>7QX4-NN7-GA87</t>
  </si>
  <si>
    <t>Ray</t>
  </si>
  <si>
    <t>Stephens</t>
  </si>
  <si>
    <t>2Y49-NC5-AM52</t>
  </si>
  <si>
    <t>MICHAEL</t>
  </si>
  <si>
    <t>RENNICK</t>
  </si>
  <si>
    <t>9UU4-RC9-VT70</t>
  </si>
  <si>
    <t>MO</t>
  </si>
  <si>
    <t>TROY</t>
  </si>
  <si>
    <t>WILCOX</t>
  </si>
  <si>
    <t>6AJ6-DU0-NK44</t>
  </si>
  <si>
    <t>Varnum</t>
  </si>
  <si>
    <t>Katherine</t>
  </si>
  <si>
    <t>IN</t>
  </si>
  <si>
    <t>LC</t>
  </si>
  <si>
    <t>MCFARLAND JR</t>
  </si>
  <si>
    <t>6UA2-M70-TN99</t>
  </si>
  <si>
    <t>TX</t>
  </si>
  <si>
    <t>JAMES</t>
  </si>
  <si>
    <t>WILLIAMS JR</t>
  </si>
  <si>
    <t>6KF6-HQ3-HX51</t>
  </si>
  <si>
    <t>Boyle</t>
  </si>
  <si>
    <t>Anthony</t>
  </si>
  <si>
    <t>AL</t>
  </si>
  <si>
    <t>VICKIE</t>
  </si>
  <si>
    <t>ESSEX</t>
  </si>
  <si>
    <t>6VT2-JV7-VN83</t>
  </si>
  <si>
    <t>VA</t>
  </si>
  <si>
    <t>KENDALL</t>
  </si>
  <si>
    <t>HUBERT</t>
  </si>
  <si>
    <t>3AR1-NU1-GJ38</t>
  </si>
  <si>
    <t>Kathy</t>
  </si>
  <si>
    <t>Peyton</t>
  </si>
  <si>
    <t>8N66-TR4-AT49</t>
  </si>
  <si>
    <t>(540) 905-9420</t>
  </si>
  <si>
    <t>Wesley</t>
  </si>
  <si>
    <t>Mekaylen</t>
  </si>
  <si>
    <t>ELIZABETH</t>
  </si>
  <si>
    <t>PINEDO</t>
  </si>
  <si>
    <t>8J38-HG6-NQ34</t>
  </si>
  <si>
    <t>ANTHONY</t>
  </si>
  <si>
    <t>PEARSON</t>
  </si>
  <si>
    <t>9F38-QG9-UD34</t>
  </si>
  <si>
    <t>IL</t>
  </si>
  <si>
    <t>ROY</t>
  </si>
  <si>
    <t>FARMER</t>
  </si>
  <si>
    <t>2F65-J53-UY64</t>
  </si>
  <si>
    <t>DeMarino</t>
  </si>
  <si>
    <t>Kylie</t>
  </si>
  <si>
    <t>DEBORAH</t>
  </si>
  <si>
    <t>WILSON</t>
  </si>
  <si>
    <t>6G36-R57-RQ44</t>
  </si>
  <si>
    <t>TN</t>
  </si>
  <si>
    <t>TIMOTHY</t>
  </si>
  <si>
    <t>MARQUART</t>
  </si>
  <si>
    <t>6YN1-AY4-ND91</t>
  </si>
  <si>
    <t>NV</t>
  </si>
  <si>
    <t>Shirleen</t>
  </si>
  <si>
    <t>Marquart</t>
  </si>
  <si>
    <t>5E80-RH2-UH13</t>
  </si>
  <si>
    <t>COLETTE</t>
  </si>
  <si>
    <t>HILL-EL</t>
  </si>
  <si>
    <t>3RD8-YV5-JK49</t>
  </si>
  <si>
    <t>KY</t>
  </si>
  <si>
    <t>JULIET</t>
  </si>
  <si>
    <t>FISHPAW</t>
  </si>
  <si>
    <t>6V42-JM7-PV09</t>
  </si>
  <si>
    <t>Waldropt</t>
  </si>
  <si>
    <t>Gail</t>
  </si>
  <si>
    <t>Gail Waldropt</t>
  </si>
  <si>
    <t>FL</t>
  </si>
  <si>
    <t>SANDRA</t>
  </si>
  <si>
    <t>CASMER</t>
  </si>
  <si>
    <t>2AU1-JV4-AM23</t>
  </si>
  <si>
    <t>David</t>
  </si>
  <si>
    <t>Casmer</t>
  </si>
  <si>
    <t>1AG8-Q54-YT50</t>
  </si>
  <si>
    <t>(423) 607-9507</t>
  </si>
  <si>
    <t>WESLEY</t>
  </si>
  <si>
    <t>WHITE</t>
  </si>
  <si>
    <t>7PC9-DN3-UG35</t>
  </si>
  <si>
    <t>GENEVA</t>
  </si>
  <si>
    <t>KALLIE</t>
  </si>
  <si>
    <t>5AE3-CF1-MA11</t>
  </si>
  <si>
    <t>DARLENE</t>
  </si>
  <si>
    <t>WALKER</t>
  </si>
  <si>
    <t>7KT1-QU8-YD05</t>
  </si>
  <si>
    <t>RICHARD T.</t>
  </si>
  <si>
    <t>SMITH</t>
  </si>
  <si>
    <t>8KJ3-X90-DP97</t>
  </si>
  <si>
    <t>Michael</t>
  </si>
  <si>
    <t>Crane</t>
  </si>
  <si>
    <t>1TF8-QE0-FV58</t>
  </si>
  <si>
    <t>KS</t>
  </si>
  <si>
    <t>MARY</t>
  </si>
  <si>
    <t>THOMAS</t>
  </si>
  <si>
    <t>8GP1-GM3-XY09</t>
  </si>
  <si>
    <t>KATHY</t>
  </si>
  <si>
    <t>SERATT</t>
  </si>
  <si>
    <t>4T17-FN4-XD52</t>
  </si>
  <si>
    <t>GERARDO</t>
  </si>
  <si>
    <t>PEREZ</t>
  </si>
  <si>
    <t>8YC3-JP4-AD72</t>
  </si>
  <si>
    <t>JIMMIE</t>
  </si>
  <si>
    <t>LUCKY</t>
  </si>
  <si>
    <t>1UM6-VN8-PY57</t>
  </si>
  <si>
    <t>SC</t>
  </si>
  <si>
    <t>MARISSA</t>
  </si>
  <si>
    <t>DEFILIPPO</t>
  </si>
  <si>
    <t>8N53-AV0-AU19</t>
  </si>
  <si>
    <t>Foster</t>
  </si>
  <si>
    <t>Trice</t>
  </si>
  <si>
    <t>CO</t>
  </si>
  <si>
    <t>WILFORD</t>
  </si>
  <si>
    <t>WHITE SR</t>
  </si>
  <si>
    <t>5k36-UH5-JA62</t>
  </si>
  <si>
    <t>GRAVESANDE</t>
  </si>
  <si>
    <t>9GD8-MJ8-KK68</t>
  </si>
  <si>
    <t>SARA</t>
  </si>
  <si>
    <t>JONES</t>
  </si>
  <si>
    <t>5V60-Q92-VX43</t>
  </si>
  <si>
    <t>PATRICIA</t>
  </si>
  <si>
    <t>GIBSON</t>
  </si>
  <si>
    <t>8MD3-AD7-DJ78</t>
  </si>
  <si>
    <t>Stillwell</t>
  </si>
  <si>
    <t>Sandra</t>
  </si>
  <si>
    <t>AR</t>
  </si>
  <si>
    <t>DEBBIE</t>
  </si>
  <si>
    <t>CANADA</t>
  </si>
  <si>
    <t>6D21-VP5-PH97</t>
  </si>
  <si>
    <t>PEARLINE</t>
  </si>
  <si>
    <t>MACLIN</t>
  </si>
  <si>
    <t>1JW2-C48-NW23</t>
  </si>
  <si>
    <t>TAMARA</t>
  </si>
  <si>
    <t>DILLARD</t>
  </si>
  <si>
    <t>5CA5-GP6-UN79</t>
  </si>
  <si>
    <t>SHERTEEN</t>
  </si>
  <si>
    <t>DAVIS</t>
  </si>
  <si>
    <t>3X65-XD9-VC96</t>
  </si>
  <si>
    <t>MELODY</t>
  </si>
  <si>
    <t>MARCUS</t>
  </si>
  <si>
    <t>9cy2-v39-av94</t>
  </si>
  <si>
    <t>Livingston</t>
  </si>
  <si>
    <t>Bernie</t>
  </si>
  <si>
    <t>CURBIT</t>
  </si>
  <si>
    <t>CROSS</t>
  </si>
  <si>
    <t>3TJ4-AN7-MM74</t>
  </si>
  <si>
    <t>Rivera</t>
  </si>
  <si>
    <t>Gabriela</t>
  </si>
  <si>
    <t>Bell</t>
  </si>
  <si>
    <t>1MD9-X25-JE54</t>
  </si>
  <si>
    <t>Wyke</t>
  </si>
  <si>
    <t>Lauren</t>
  </si>
  <si>
    <t>TAMMY</t>
  </si>
  <si>
    <t>CARTER</t>
  </si>
  <si>
    <t>5R66-P55-XH51</t>
  </si>
  <si>
    <t>GORDON</t>
  </si>
  <si>
    <t>HASTINGS</t>
  </si>
  <si>
    <t>4PY7-M24-UV34</t>
  </si>
  <si>
    <t>SHIRLEY</t>
  </si>
  <si>
    <t>CLAYTON</t>
  </si>
  <si>
    <t>1W53-VX9-QJ71</t>
  </si>
  <si>
    <t>KRISTOPHER</t>
  </si>
  <si>
    <t>JEFFERS</t>
  </si>
  <si>
    <t>1JU3-P27-GU99</t>
  </si>
  <si>
    <t>Magee</t>
  </si>
  <si>
    <t>Charles</t>
  </si>
  <si>
    <t>NEVILLE</t>
  </si>
  <si>
    <t>BECKFORD</t>
  </si>
  <si>
    <t>7ND9-NG3-FW40</t>
  </si>
  <si>
    <t>Roberta</t>
  </si>
  <si>
    <t>kaletta</t>
  </si>
  <si>
    <t>2T79-FX8-DA36</t>
  </si>
  <si>
    <t>GREGORY</t>
  </si>
  <si>
    <t>OGLESBY</t>
  </si>
  <si>
    <t>1KY9-N73-CY27</t>
  </si>
  <si>
    <t>NC</t>
  </si>
  <si>
    <t>BRENDA</t>
  </si>
  <si>
    <t>3MG0-HK1-PF08</t>
  </si>
  <si>
    <t>SHANNON</t>
  </si>
  <si>
    <t>FLOYD</t>
  </si>
  <si>
    <t>9TT2-G83-UH09</t>
  </si>
  <si>
    <t>Maria</t>
  </si>
  <si>
    <t>Sanchez</t>
  </si>
  <si>
    <t>7m01-ka9-xu14</t>
  </si>
  <si>
    <t>LA</t>
  </si>
  <si>
    <t>LARAINE</t>
  </si>
  <si>
    <t>8AW9-Q08-HF59</t>
  </si>
  <si>
    <t>Begley</t>
  </si>
  <si>
    <t>Chaney</t>
  </si>
  <si>
    <t>Chaney Begley</t>
  </si>
  <si>
    <t>Calvin</t>
  </si>
  <si>
    <t>Brown</t>
  </si>
  <si>
    <t>2GW2-WH0-WQ88</t>
  </si>
  <si>
    <t>GA</t>
  </si>
  <si>
    <t>KENNETH</t>
  </si>
  <si>
    <t>CROWDER</t>
  </si>
  <si>
    <t>9P32-J47-FQ14</t>
  </si>
  <si>
    <t>Toby</t>
  </si>
  <si>
    <t>Estep</t>
  </si>
  <si>
    <t>8YA3-KT7-WM78</t>
  </si>
  <si>
    <t>Filimonchuk</t>
  </si>
  <si>
    <t>Victor</t>
  </si>
  <si>
    <t>KUNTA</t>
  </si>
  <si>
    <t>GLADNEY</t>
  </si>
  <si>
    <t>1EP6-C27-YW47</t>
  </si>
  <si>
    <t>JOHNNY</t>
  </si>
  <si>
    <t>STALLION</t>
  </si>
  <si>
    <t>3WU2-RF7-HA94</t>
  </si>
  <si>
    <t>SAMUEL</t>
  </si>
  <si>
    <t>CLINTON</t>
  </si>
  <si>
    <t>8ED8-Q93-HE24</t>
  </si>
  <si>
    <t>WHITNEY</t>
  </si>
  <si>
    <t>5K32-TY7-JC02</t>
  </si>
  <si>
    <t>Estelle</t>
  </si>
  <si>
    <t>8JP9-MY8-AT44</t>
  </si>
  <si>
    <t>LEWIS</t>
  </si>
  <si>
    <t>9U60-TQ0-ET38</t>
  </si>
  <si>
    <t>Lisa</t>
  </si>
  <si>
    <t>Brant</t>
  </si>
  <si>
    <t>9KX4-W29-QC88</t>
  </si>
  <si>
    <t>(229) 269-7864</t>
  </si>
  <si>
    <t>Morris</t>
  </si>
  <si>
    <t>Andrea</t>
  </si>
  <si>
    <t>REBECCA</t>
  </si>
  <si>
    <t>MINGS</t>
  </si>
  <si>
    <t>3cd5-vj4-ng75</t>
  </si>
  <si>
    <t>GILBERT</t>
  </si>
  <si>
    <t>MANNING</t>
  </si>
  <si>
    <t>2NR4-MT8-NH68</t>
  </si>
  <si>
    <t>EMORY</t>
  </si>
  <si>
    <t>DUCKWORTH</t>
  </si>
  <si>
    <t>4JW7-AY2-DN36</t>
  </si>
  <si>
    <t>ZANDEL</t>
  </si>
  <si>
    <t>3C29-Q56-JP22</t>
  </si>
  <si>
    <t>FORCE</t>
  </si>
  <si>
    <t>5YJ2-WT6-DX24</t>
  </si>
  <si>
    <t>FELICIA</t>
  </si>
  <si>
    <t>LIPSCOMB</t>
  </si>
  <si>
    <t>9W07-PF9-VU44</t>
  </si>
  <si>
    <t>Laster</t>
  </si>
  <si>
    <t>Jessica</t>
  </si>
  <si>
    <t>CAROL</t>
  </si>
  <si>
    <t>RAINE</t>
  </si>
  <si>
    <t>4FJ7-A46-QU51</t>
  </si>
  <si>
    <t>ROBERT</t>
  </si>
  <si>
    <t>FORST</t>
  </si>
  <si>
    <t>8DX8-E56-CD48</t>
  </si>
  <si>
    <t>WI</t>
  </si>
  <si>
    <t>WILLIE</t>
  </si>
  <si>
    <t>7X80-JC6-ME49</t>
  </si>
  <si>
    <t>SONYA</t>
  </si>
  <si>
    <t>FELIPE</t>
  </si>
  <si>
    <t>7HW3-FT6-TC07</t>
  </si>
  <si>
    <t>Lesha</t>
  </si>
  <si>
    <t>Webster</t>
  </si>
  <si>
    <t>8R86-DA5-PK74</t>
  </si>
  <si>
    <t>Curbelo</t>
  </si>
  <si>
    <t>Janet</t>
  </si>
  <si>
    <t>Janet Curbelo</t>
  </si>
  <si>
    <t>Pamela</t>
  </si>
  <si>
    <t>Jones</t>
  </si>
  <si>
    <t>7H57-F17-AX52</t>
  </si>
  <si>
    <t>(502) 262-7095</t>
  </si>
  <si>
    <t>TINA</t>
  </si>
  <si>
    <t>7r22-hh1-vk99</t>
  </si>
  <si>
    <t>Maver</t>
  </si>
  <si>
    <t>Krista</t>
  </si>
  <si>
    <t>RHONDA</t>
  </si>
  <si>
    <t>HUGHLING</t>
  </si>
  <si>
    <t>9F10-J64-YY09</t>
  </si>
  <si>
    <t>RICE</t>
  </si>
  <si>
    <t>5uw6-jh0-cp77</t>
  </si>
  <si>
    <t>BRUCH</t>
  </si>
  <si>
    <t>3tu5-uq1-rf78</t>
  </si>
  <si>
    <t>JEFFREY</t>
  </si>
  <si>
    <t>MINTON</t>
  </si>
  <si>
    <t>1yj7-d82-ud47</t>
  </si>
  <si>
    <t>Nguyen</t>
  </si>
  <si>
    <t>Christina</t>
  </si>
  <si>
    <t>JACKSON</t>
  </si>
  <si>
    <t>1PY1-DH0-CT31</t>
  </si>
  <si>
    <t>Debra</t>
  </si>
  <si>
    <t>Pinkins</t>
  </si>
  <si>
    <t>4H31-VP0-DD04</t>
  </si>
  <si>
    <t>BEVERLY</t>
  </si>
  <si>
    <t>MCGARY</t>
  </si>
  <si>
    <t>2WP0-H60-AA49</t>
  </si>
  <si>
    <t>CONNIE</t>
  </si>
  <si>
    <t>WILKERSON</t>
  </si>
  <si>
    <t>2dn6-hm1-wh74</t>
  </si>
  <si>
    <t>KEVIN</t>
  </si>
  <si>
    <t>BLACKWELL</t>
  </si>
  <si>
    <t>7EF0-E50-QH09</t>
  </si>
  <si>
    <t>(417) 593-4113</t>
  </si>
  <si>
    <t>FARLEY- MOORE</t>
  </si>
  <si>
    <t>4Y65-PF1-GP86</t>
  </si>
  <si>
    <t>JERRY</t>
  </si>
  <si>
    <t>LANE</t>
  </si>
  <si>
    <t>6U31-QN9-XQ94</t>
  </si>
  <si>
    <t>YRABE</t>
  </si>
  <si>
    <t>Nasse  Lambert</t>
  </si>
  <si>
    <t>8J17-KP4-XK50</t>
  </si>
  <si>
    <t>Patricia</t>
  </si>
  <si>
    <t>Carson</t>
  </si>
  <si>
    <t>4KH8-E72-JW62</t>
  </si>
  <si>
    <t>FORD</t>
  </si>
  <si>
    <t>7NQ4-FR1-JG06</t>
  </si>
  <si>
    <t>POWELL</t>
  </si>
  <si>
    <t>6J11-H66-KM00</t>
  </si>
  <si>
    <t>RICKY</t>
  </si>
  <si>
    <t>SPRINGS</t>
  </si>
  <si>
    <t>2RN4-A04-TX97</t>
  </si>
  <si>
    <t>RAMONA</t>
  </si>
  <si>
    <t>GILL</t>
  </si>
  <si>
    <t>6WP6-EQ0-JW86</t>
  </si>
  <si>
    <t>JULIE</t>
  </si>
  <si>
    <t>CARROLL</t>
  </si>
  <si>
    <t>8gw6-rw9-tx54</t>
  </si>
  <si>
    <t>Rivas</t>
  </si>
  <si>
    <t>Amanda</t>
  </si>
  <si>
    <t>DONALD</t>
  </si>
  <si>
    <t>Swofford</t>
  </si>
  <si>
    <t>4FR9-PX9-VF16</t>
  </si>
  <si>
    <t>AUCOIN</t>
  </si>
  <si>
    <t>4QR1-AP2-FF06</t>
  </si>
  <si>
    <t>RUTH</t>
  </si>
  <si>
    <t>HALLMAN</t>
  </si>
  <si>
    <t>5DC8-X84-KT24</t>
  </si>
  <si>
    <t>(512) 429-2019</t>
  </si>
  <si>
    <t>LILLIE</t>
  </si>
  <si>
    <t>RYAN</t>
  </si>
  <si>
    <t>1C13-EJ5-WQ72</t>
  </si>
  <si>
    <t>Lynn</t>
  </si>
  <si>
    <t>Hanson</t>
  </si>
  <si>
    <t>9D06-H49-KH84</t>
  </si>
  <si>
    <t>Mitzie</t>
  </si>
  <si>
    <t>Ledbetter</t>
  </si>
  <si>
    <t>9v40-vy3-dh38</t>
  </si>
  <si>
    <t>Harris</t>
  </si>
  <si>
    <t>Lorenzo</t>
  </si>
  <si>
    <t>FRANKLIN</t>
  </si>
  <si>
    <t>3V00-GV2-AY28</t>
  </si>
  <si>
    <t>Wright</t>
  </si>
  <si>
    <t>Aleccia</t>
  </si>
  <si>
    <t>CATHY</t>
  </si>
  <si>
    <t>SLIGAR</t>
  </si>
  <si>
    <t>4M63-KP6-XN05</t>
  </si>
  <si>
    <t>Lefler</t>
  </si>
  <si>
    <t>Ryan</t>
  </si>
  <si>
    <t>Sheila</t>
  </si>
  <si>
    <t>Wilkerson</t>
  </si>
  <si>
    <t>3yx1-a71-qv13</t>
  </si>
  <si>
    <t>Benoit</t>
  </si>
  <si>
    <t>Whitney</t>
  </si>
  <si>
    <t>MOSS</t>
  </si>
  <si>
    <t>9J35-FE6-AQ64</t>
  </si>
  <si>
    <t>JUDY</t>
  </si>
  <si>
    <t>JENNINGS</t>
  </si>
  <si>
    <t>8N52-HJ2-DX01</t>
  </si>
  <si>
    <t>Dennis</t>
  </si>
  <si>
    <t>Phillips</t>
  </si>
  <si>
    <t>8P35-KR6-WT56</t>
  </si>
  <si>
    <t>Gallego</t>
  </si>
  <si>
    <t>Mark</t>
  </si>
  <si>
    <t>Travis</t>
  </si>
  <si>
    <t>Bosier</t>
  </si>
  <si>
    <t>6V43-U60-XD05</t>
  </si>
  <si>
    <t>DARREL</t>
  </si>
  <si>
    <t>MILLS</t>
  </si>
  <si>
    <t>1xk6-xm3-xp68</t>
  </si>
  <si>
    <t>Muir</t>
  </si>
  <si>
    <t>Thomas</t>
  </si>
  <si>
    <t>Thomas Muir</t>
  </si>
  <si>
    <t>ELLEN</t>
  </si>
  <si>
    <t>BLAKLEY</t>
  </si>
  <si>
    <t>2WC7-N57-WJ56</t>
  </si>
  <si>
    <t>TODD</t>
  </si>
  <si>
    <t>RASMUSSEN</t>
  </si>
  <si>
    <t>3D17-YE2-KF44</t>
  </si>
  <si>
    <t>Vann</t>
  </si>
  <si>
    <t>Asia</t>
  </si>
  <si>
    <t>Patrick</t>
  </si>
  <si>
    <t>Villa Jr</t>
  </si>
  <si>
    <t>1JK8-W37-AW34</t>
  </si>
  <si>
    <t>EDWARD</t>
  </si>
  <si>
    <t>ELEAM</t>
  </si>
  <si>
    <t>4M29-TQ7-JR24</t>
  </si>
  <si>
    <t>Kipp</t>
  </si>
  <si>
    <t>Duane</t>
  </si>
  <si>
    <t>Terri</t>
  </si>
  <si>
    <t>Benefield</t>
  </si>
  <si>
    <t>9U87-F11-MM65</t>
  </si>
  <si>
    <t>(706) 882-8562</t>
  </si>
  <si>
    <t>Dodd</t>
  </si>
  <si>
    <t>Deanna</t>
  </si>
  <si>
    <t>Deanna Dodd</t>
  </si>
  <si>
    <t>REGGIE</t>
  </si>
  <si>
    <t>CATHEY</t>
  </si>
  <si>
    <t>5A12-RJ3-XC91</t>
  </si>
  <si>
    <t>Joanne</t>
  </si>
  <si>
    <t>Lang</t>
  </si>
  <si>
    <t>6AP7-XH8-YK50</t>
  </si>
  <si>
    <t>Anna</t>
  </si>
  <si>
    <t>Hamilton</t>
  </si>
  <si>
    <t>2WA6-YA4-GG54</t>
  </si>
  <si>
    <t>DWIGHT</t>
  </si>
  <si>
    <t>LANGSTON</t>
  </si>
  <si>
    <t>9QG7-GH8-HR37</t>
  </si>
  <si>
    <t>CHERYL</t>
  </si>
  <si>
    <t>PARSONS</t>
  </si>
  <si>
    <t>5VA8-JQ3-FR32</t>
  </si>
  <si>
    <t>ALBERT</t>
  </si>
  <si>
    <t>MURRAY</t>
  </si>
  <si>
    <t>1h08-kc0-ty47</t>
  </si>
  <si>
    <t>Christian</t>
  </si>
  <si>
    <t>Justice</t>
  </si>
  <si>
    <t>Laurie</t>
  </si>
  <si>
    <t>Hawkins</t>
  </si>
  <si>
    <t>5me7-wr5-gm51</t>
  </si>
  <si>
    <t>HANSEN</t>
  </si>
  <si>
    <t>8TU0-AP0-CP15</t>
  </si>
  <si>
    <t>LONZO</t>
  </si>
  <si>
    <t>BARBER</t>
  </si>
  <si>
    <t>7P43-RN1-XT77</t>
  </si>
  <si>
    <t>BENJAMIN</t>
  </si>
  <si>
    <t>SERVANDA</t>
  </si>
  <si>
    <t>5H78-TH5-MQ10</t>
  </si>
  <si>
    <t>1M72-GH2-NN06</t>
  </si>
  <si>
    <t>RODNEY</t>
  </si>
  <si>
    <t>DEVEAUX</t>
  </si>
  <si>
    <t>9VR0-AM0-KF26</t>
  </si>
  <si>
    <t>SIOSAIA</t>
  </si>
  <si>
    <t>FAUPULA</t>
  </si>
  <si>
    <t>6KM0-GT7-WP30</t>
  </si>
  <si>
    <t>Fanilla</t>
  </si>
  <si>
    <t>Tezeno</t>
  </si>
  <si>
    <t>7H07-VQ0-FY57</t>
  </si>
  <si>
    <t>LISA</t>
  </si>
  <si>
    <t>1tw2-u09-rd28</t>
  </si>
  <si>
    <t>James</t>
  </si>
  <si>
    <t>Carpenter</t>
  </si>
  <si>
    <t>2FE7-GQ5-QN42</t>
  </si>
  <si>
    <t>Shelp</t>
  </si>
  <si>
    <t>Jeremy</t>
  </si>
  <si>
    <t>Jeremy Shelp</t>
  </si>
  <si>
    <t>BRUCE</t>
  </si>
  <si>
    <t>STINSON</t>
  </si>
  <si>
    <t>1R30-KH3-MH90</t>
  </si>
  <si>
    <t>Jacqueline</t>
  </si>
  <si>
    <t>Lane</t>
  </si>
  <si>
    <t>9JU7-A93-GU79</t>
  </si>
  <si>
    <t>RONALD</t>
  </si>
  <si>
    <t>WINNEX</t>
  </si>
  <si>
    <t>1VT7-P10-JD35</t>
  </si>
  <si>
    <t>Connie</t>
  </si>
  <si>
    <t>PASQUARIELLO</t>
  </si>
  <si>
    <t>3c89-e24-ep57</t>
  </si>
  <si>
    <t>Chester</t>
  </si>
  <si>
    <t>Payton</t>
  </si>
  <si>
    <t>8JU4-TM6-ER07</t>
  </si>
  <si>
    <t>CHARLES</t>
  </si>
  <si>
    <t>WALTON</t>
  </si>
  <si>
    <t>3PM6-KF5-DE41</t>
  </si>
  <si>
    <t>Nesia Fake</t>
  </si>
  <si>
    <t>Test</t>
  </si>
  <si>
    <t>1V23BC4DE56</t>
  </si>
  <si>
    <t>123-456-7890</t>
  </si>
  <si>
    <t/>
  </si>
  <si>
    <t>VANFOSSEN</t>
  </si>
  <si>
    <t>3YN3-NV5-CF92</t>
  </si>
  <si>
    <t>(740) 484-1848</t>
  </si>
  <si>
    <t>MIKE</t>
  </si>
  <si>
    <t>REINEGGER</t>
  </si>
  <si>
    <t>4P85-PH1-EH63</t>
  </si>
  <si>
    <t>BONNIE</t>
  </si>
  <si>
    <t>MILLER</t>
  </si>
  <si>
    <t>3PE7-W28-TD44</t>
  </si>
  <si>
    <t>Elvin</t>
  </si>
  <si>
    <t>BABIN</t>
  </si>
  <si>
    <t>8GQ4-K87-FT75</t>
  </si>
  <si>
    <t>MALIZONE</t>
  </si>
  <si>
    <t>HENRY</t>
  </si>
  <si>
    <t>9P26-EK0-JU46</t>
  </si>
  <si>
    <t>CHARLENE</t>
  </si>
  <si>
    <t>ERVIN</t>
  </si>
  <si>
    <t>3V40-RT7-NF27</t>
  </si>
  <si>
    <t>LEO</t>
  </si>
  <si>
    <t>MCGILL</t>
  </si>
  <si>
    <t>8FH4-C21-RK73</t>
  </si>
  <si>
    <t>DICK</t>
  </si>
  <si>
    <t>7VC7-RR0-EP61</t>
  </si>
  <si>
    <t>Cristina</t>
  </si>
  <si>
    <t>Ariza</t>
  </si>
  <si>
    <t>2TV9-NC2-GG49</t>
  </si>
  <si>
    <t>REGINALD</t>
  </si>
  <si>
    <t>YOUNG</t>
  </si>
  <si>
    <t>7RF9-FW2-EE46</t>
  </si>
  <si>
    <t>Deborah</t>
  </si>
  <si>
    <t>Cornett</t>
  </si>
  <si>
    <t>1m61-vu1-pq17</t>
  </si>
  <si>
    <t>Jarrell</t>
  </si>
  <si>
    <t>Sara</t>
  </si>
  <si>
    <t>MAEREAN</t>
  </si>
  <si>
    <t>KENDRICK</t>
  </si>
  <si>
    <t>1JF2-M45-AC84</t>
  </si>
  <si>
    <t>PRINCE</t>
  </si>
  <si>
    <t>BOHANON JR</t>
  </si>
  <si>
    <t>4E76-KE3-RG71</t>
  </si>
  <si>
    <t>DEWAYNE</t>
  </si>
  <si>
    <t>CORBIN</t>
  </si>
  <si>
    <t>1DU8-G54-GJ41</t>
  </si>
  <si>
    <t>HUNTER</t>
  </si>
  <si>
    <t>4TG8-XD1-GU49</t>
  </si>
  <si>
    <t>ME</t>
  </si>
  <si>
    <t>CHADWICK</t>
  </si>
  <si>
    <t>9GQ0-UQ8-CA41</t>
  </si>
  <si>
    <t>COLEMAN</t>
  </si>
  <si>
    <t>4mn1-mq4-ue21</t>
  </si>
  <si>
    <t>MARSH</t>
  </si>
  <si>
    <t>9HA5-YM5-DU54</t>
  </si>
  <si>
    <t>PAUL</t>
  </si>
  <si>
    <t>PRIDGEN</t>
  </si>
  <si>
    <t>2PW8-RQ6-HN36</t>
  </si>
  <si>
    <t>MARILYN</t>
  </si>
  <si>
    <t>CASEY</t>
  </si>
  <si>
    <t>3HG1-T93-CN24</t>
  </si>
  <si>
    <t>Henry</t>
  </si>
  <si>
    <t>Conyon</t>
  </si>
  <si>
    <t>8q83p36gyo6</t>
  </si>
  <si>
    <t>Moore</t>
  </si>
  <si>
    <t>Stanley</t>
  </si>
  <si>
    <t>Capricia</t>
  </si>
  <si>
    <t>Capricia Moore Stanley</t>
  </si>
  <si>
    <t>NANCY C</t>
  </si>
  <si>
    <t>6rq7-u52-mw20</t>
  </si>
  <si>
    <t>MARCELLA</t>
  </si>
  <si>
    <t>ADAMS</t>
  </si>
  <si>
    <t>2XC1-MX3-DY20</t>
  </si>
  <si>
    <t>BENETTA</t>
  </si>
  <si>
    <t>TEAGUE</t>
  </si>
  <si>
    <t>3P62-Q11-YR08</t>
  </si>
  <si>
    <t>ERSA</t>
  </si>
  <si>
    <t>BELL</t>
  </si>
  <si>
    <t>1CP8-YP4-XD22</t>
  </si>
  <si>
    <t>DEREK</t>
  </si>
  <si>
    <t>DUNCAN</t>
  </si>
  <si>
    <t>2VF3-MP9-HP94</t>
  </si>
  <si>
    <t>George</t>
  </si>
  <si>
    <t>Urgent</t>
  </si>
  <si>
    <t>3hw1-cd0-gd98</t>
  </si>
  <si>
    <t>Long</t>
  </si>
  <si>
    <t>4YK6-CY4-WD49</t>
  </si>
  <si>
    <t>RICHARD</t>
  </si>
  <si>
    <t>BRYANT</t>
  </si>
  <si>
    <t>3CN0-R93-CW16</t>
  </si>
  <si>
    <t>Ornaldo</t>
  </si>
  <si>
    <t>Avila</t>
  </si>
  <si>
    <t>9H01-eK3-DG94</t>
  </si>
  <si>
    <t>(956) 334-1656</t>
  </si>
  <si>
    <t>SHEILA K</t>
  </si>
  <si>
    <t>KEGG</t>
  </si>
  <si>
    <t>6Y73-UY4-UN86</t>
  </si>
  <si>
    <t>STEVEN</t>
  </si>
  <si>
    <t>LAWHORN</t>
  </si>
  <si>
    <t>2HP5-CV0-PG74</t>
  </si>
  <si>
    <t>Morival</t>
  </si>
  <si>
    <t>Ricky</t>
  </si>
  <si>
    <t>Ricky Morival</t>
  </si>
  <si>
    <t>GUEST</t>
  </si>
  <si>
    <t>1YT2-MV5-CY82</t>
  </si>
  <si>
    <t>JOAN</t>
  </si>
  <si>
    <t>TYLER</t>
  </si>
  <si>
    <t>2XA2-Q43-JX27</t>
  </si>
  <si>
    <t>Ritter</t>
  </si>
  <si>
    <t>7FF9YG3RU30</t>
  </si>
  <si>
    <t>Larbi</t>
  </si>
  <si>
    <t>Ruth</t>
  </si>
  <si>
    <t>CATANIA</t>
  </si>
  <si>
    <t>6kx2-xh5-ed99</t>
  </si>
  <si>
    <t>MIGUEL</t>
  </si>
  <si>
    <t>TAFOYA</t>
  </si>
  <si>
    <t>9nt2-gk4-th10</t>
  </si>
  <si>
    <t>BELINDA</t>
  </si>
  <si>
    <t>STALLWORTH</t>
  </si>
  <si>
    <t>8KN2-E21-DK27</t>
  </si>
  <si>
    <t>Hollis</t>
  </si>
  <si>
    <t>Savannah</t>
  </si>
  <si>
    <t>Jan</t>
  </si>
  <si>
    <t>Sanders</t>
  </si>
  <si>
    <t>4KC9-J73-WX20</t>
  </si>
  <si>
    <t>SCUDDER</t>
  </si>
  <si>
    <t>7WU2-VW5-DX21</t>
  </si>
  <si>
    <t>(775) 230-3349</t>
  </si>
  <si>
    <t>RAYNARDO</t>
  </si>
  <si>
    <t>HEBRON</t>
  </si>
  <si>
    <t>6F66-AV3-HC65</t>
  </si>
  <si>
    <t>BARRY</t>
  </si>
  <si>
    <t>ARMSTEAD</t>
  </si>
  <si>
    <t>1WD7-UM1-TD63</t>
  </si>
  <si>
    <t>WALLIN</t>
  </si>
  <si>
    <t>3QN1-K72-VK07</t>
  </si>
  <si>
    <t>BETTY</t>
  </si>
  <si>
    <t>CASADA</t>
  </si>
  <si>
    <t>5cd5-pt2-kj80</t>
  </si>
  <si>
    <t>VANA</t>
  </si>
  <si>
    <t>DENNIS</t>
  </si>
  <si>
    <t>4PT4-MY0-JT07</t>
  </si>
  <si>
    <t>MARVIN</t>
  </si>
  <si>
    <t>HARRIS</t>
  </si>
  <si>
    <t>8q06-jx0-hy58</t>
  </si>
  <si>
    <t>LINDA</t>
  </si>
  <si>
    <t>BURTON</t>
  </si>
  <si>
    <t>6vd9-t41-yu16</t>
  </si>
  <si>
    <t>WILLIAM</t>
  </si>
  <si>
    <t>LICKLIDER</t>
  </si>
  <si>
    <t>5U36-YT9-NT75</t>
  </si>
  <si>
    <t>APRIL</t>
  </si>
  <si>
    <t>ECHOLS</t>
  </si>
  <si>
    <t>3NC2-VM3-PY99</t>
  </si>
  <si>
    <t>JEFFERY</t>
  </si>
  <si>
    <t>DIXON</t>
  </si>
  <si>
    <t>5Q37-EK8-ED64</t>
  </si>
  <si>
    <t>SERVOSS</t>
  </si>
  <si>
    <t>6K25-JM5-AG75</t>
  </si>
  <si>
    <t>Annie</t>
  </si>
  <si>
    <t>Scott</t>
  </si>
  <si>
    <t>9P08-KV8-HW65</t>
  </si>
  <si>
    <t>(256) 651-6715</t>
  </si>
  <si>
    <t>Vanous</t>
  </si>
  <si>
    <t>Merkerson</t>
  </si>
  <si>
    <t>8c86-ne8-en57</t>
  </si>
  <si>
    <t>TIFFANY</t>
  </si>
  <si>
    <t>1NT5-T34-TG80</t>
  </si>
  <si>
    <t>WILLINDA</t>
  </si>
  <si>
    <t>STANCIL</t>
  </si>
  <si>
    <t>2G63-CY4-PE80</t>
  </si>
  <si>
    <t>ELVIRA</t>
  </si>
  <si>
    <t>SIMMONS</t>
  </si>
  <si>
    <t>3NR0-KP5-WF26</t>
  </si>
  <si>
    <t>Khauka</t>
  </si>
  <si>
    <t>Davis</t>
  </si>
  <si>
    <t>Nicole</t>
  </si>
  <si>
    <t>Jennings</t>
  </si>
  <si>
    <t>8UD6-G52-NH56</t>
  </si>
  <si>
    <t>JACKIE</t>
  </si>
  <si>
    <t>BROOKS</t>
  </si>
  <si>
    <t>9A98-DV2-DW35</t>
  </si>
  <si>
    <t>TERRENCE</t>
  </si>
  <si>
    <t>DOODY</t>
  </si>
  <si>
    <t>1pr3-ck2-ju07</t>
  </si>
  <si>
    <t>MORRIS</t>
  </si>
  <si>
    <t>3QF6-XC0-HT47</t>
  </si>
  <si>
    <t>Ester</t>
  </si>
  <si>
    <t>Quilimaco</t>
  </si>
  <si>
    <t>7HN0-XE3-QH05</t>
  </si>
  <si>
    <t>BRIDGET</t>
  </si>
  <si>
    <t>BURNEY</t>
  </si>
  <si>
    <t>8FM1-VA4-AP09</t>
  </si>
  <si>
    <t>Kitsmiller</t>
  </si>
  <si>
    <t>Tanner</t>
  </si>
  <si>
    <t>Tanner Kitsmiller</t>
  </si>
  <si>
    <t>GARY</t>
  </si>
  <si>
    <t>HAMBY</t>
  </si>
  <si>
    <t>7UU1-P13-PR97</t>
  </si>
  <si>
    <t>ELIZABETH J.</t>
  </si>
  <si>
    <t>9AG9-HR8-EQ26</t>
  </si>
  <si>
    <t>Rampersaud</t>
  </si>
  <si>
    <t>Ron</t>
  </si>
  <si>
    <t>Ron Rampersaud</t>
  </si>
  <si>
    <t>ANGELA</t>
  </si>
  <si>
    <t>HILL</t>
  </si>
  <si>
    <t>2YH7-E95-PE20</t>
  </si>
  <si>
    <t>GLORIA</t>
  </si>
  <si>
    <t>SHELTON</t>
  </si>
  <si>
    <t>7Y26-HE4-NP82</t>
  </si>
  <si>
    <t>Barry</t>
  </si>
  <si>
    <t>Ware</t>
  </si>
  <si>
    <t>6ua1-fd9-aj16</t>
  </si>
  <si>
    <t>DEBRA</t>
  </si>
  <si>
    <t>FURMAN</t>
  </si>
  <si>
    <t>7DG9-GQ3-HM53</t>
  </si>
  <si>
    <t>PETER</t>
  </si>
  <si>
    <t>JONES JR</t>
  </si>
  <si>
    <t>9FM4-TP9-EU92</t>
  </si>
  <si>
    <t>JESSE</t>
  </si>
  <si>
    <t>Lea</t>
  </si>
  <si>
    <t>2GQ6-JD0-CA61</t>
  </si>
  <si>
    <t>Geraldine</t>
  </si>
  <si>
    <t>Seets</t>
  </si>
  <si>
    <t>5C91-NM5-HF21</t>
  </si>
  <si>
    <t>DANIEL</t>
  </si>
  <si>
    <t>VICKERS</t>
  </si>
  <si>
    <t>5D24-AM0-VC82</t>
  </si>
  <si>
    <t>ROBAIR</t>
  </si>
  <si>
    <t>5x93-mv7-ka08</t>
  </si>
  <si>
    <t>Darlene</t>
  </si>
  <si>
    <t>ESTAY</t>
  </si>
  <si>
    <t>8QD1-WP1-KY29</t>
  </si>
  <si>
    <t>CLARK</t>
  </si>
  <si>
    <t>7Y80-G23-TM16</t>
  </si>
  <si>
    <t>LUCILLE ELAINE</t>
  </si>
  <si>
    <t>WRIGHT</t>
  </si>
  <si>
    <t>6KY6-Q27-VE41</t>
  </si>
  <si>
    <t>5NT2-N39-FH10</t>
  </si>
  <si>
    <t>Scoggins</t>
  </si>
  <si>
    <t>1WG2-Q21-VC05</t>
  </si>
  <si>
    <t>Burleigh</t>
  </si>
  <si>
    <t>4CK2-J51-JG11</t>
  </si>
  <si>
    <t>HUSTON</t>
  </si>
  <si>
    <t>4U95-RR8-JH83</t>
  </si>
  <si>
    <t>Dana</t>
  </si>
  <si>
    <t>Mikkelsen</t>
  </si>
  <si>
    <t>8C11-UD6-WK90</t>
  </si>
  <si>
    <t>417-468-8907</t>
  </si>
  <si>
    <t>Prettygar</t>
  </si>
  <si>
    <t>Charine</t>
  </si>
  <si>
    <t>RACHEL</t>
  </si>
  <si>
    <t>WOOD</t>
  </si>
  <si>
    <t>1RP8-WV1-TW27</t>
  </si>
  <si>
    <t>Hernandez</t>
  </si>
  <si>
    <t>Robert</t>
  </si>
  <si>
    <t>KEITH</t>
  </si>
  <si>
    <t>HUSKEY</t>
  </si>
  <si>
    <t>8EH8-DJ6-DF29</t>
  </si>
  <si>
    <t>Marcella</t>
  </si>
  <si>
    <t>Propst</t>
  </si>
  <si>
    <t>1UY4-DC3-NW85</t>
  </si>
  <si>
    <t>EDMONDSON</t>
  </si>
  <si>
    <t>4H21-QX4-EF25</t>
  </si>
  <si>
    <t>BOBBY</t>
  </si>
  <si>
    <t>HENDERSON</t>
  </si>
  <si>
    <t>8R39-T14-VK59</t>
  </si>
  <si>
    <t>Richard</t>
  </si>
  <si>
    <t>3hm1-hd6-dj95</t>
  </si>
  <si>
    <t>THACKER</t>
  </si>
  <si>
    <t>5FW4-V48-WC87</t>
  </si>
  <si>
    <t>CLIFTON</t>
  </si>
  <si>
    <t>ALSTON</t>
  </si>
  <si>
    <t>4XY7-N74-HM56</t>
  </si>
  <si>
    <t>John</t>
  </si>
  <si>
    <t>Fuller</t>
  </si>
  <si>
    <t>8X94-CM1-PU02</t>
  </si>
  <si>
    <t>Rosie</t>
  </si>
  <si>
    <t>Nix</t>
  </si>
  <si>
    <t>1NW0-UN1-JM25</t>
  </si>
  <si>
    <t>MALONE</t>
  </si>
  <si>
    <t>8YJ7-E23-PD20</t>
  </si>
  <si>
    <t>352-286-4600</t>
  </si>
  <si>
    <t>Troy</t>
  </si>
  <si>
    <t>Taylor</t>
  </si>
  <si>
    <t>5DD7-D50-RX39</t>
  </si>
  <si>
    <t>AZ</t>
  </si>
  <si>
    <t>HARLETTA</t>
  </si>
  <si>
    <t>CASE</t>
  </si>
  <si>
    <t>2e36-mx2-yu66</t>
  </si>
  <si>
    <t>SETLIFF</t>
  </si>
  <si>
    <t>3gv5-am6-nv51</t>
  </si>
  <si>
    <t>ROGER</t>
  </si>
  <si>
    <t>CORNELL</t>
  </si>
  <si>
    <t>4AP4-Q59-NR73</t>
  </si>
  <si>
    <t>WV</t>
  </si>
  <si>
    <t>Carlyle</t>
  </si>
  <si>
    <t>Guthrie</t>
  </si>
  <si>
    <t>3U47-H12-UK71</t>
  </si>
  <si>
    <t>KARLETON</t>
  </si>
  <si>
    <t>BRADFORD</t>
  </si>
  <si>
    <t>7H51-CM3-HF98</t>
  </si>
  <si>
    <t>Ward</t>
  </si>
  <si>
    <t>6XA0-WV1-XA38</t>
  </si>
  <si>
    <t>Monica</t>
  </si>
  <si>
    <t>3FW8-X93-WD57</t>
  </si>
  <si>
    <t>5NE4-GG0-JR85</t>
  </si>
  <si>
    <t>Cohen</t>
  </si>
  <si>
    <t>Winter</t>
  </si>
  <si>
    <t>Winter Cohen</t>
  </si>
  <si>
    <t>JOHNSON</t>
  </si>
  <si>
    <t>8MP6-TK8-PX88</t>
  </si>
  <si>
    <t>LASHAWN</t>
  </si>
  <si>
    <t>FERGUSON</t>
  </si>
  <si>
    <t>8CK6-G31-XG72</t>
  </si>
  <si>
    <t>FRANK</t>
  </si>
  <si>
    <t>SNEAD</t>
  </si>
  <si>
    <t>5CP7-U75-YE33</t>
  </si>
  <si>
    <t>PETERSON</t>
  </si>
  <si>
    <t>9mr8-ce1-jc63</t>
  </si>
  <si>
    <t>Brian</t>
  </si>
  <si>
    <t>Brian Christian</t>
  </si>
  <si>
    <t>AGEE</t>
  </si>
  <si>
    <t>2un1-vg7-je12</t>
  </si>
  <si>
    <t>GUTHRIE</t>
  </si>
  <si>
    <t>5PC6-M76-TF44</t>
  </si>
  <si>
    <t>Saludie</t>
  </si>
  <si>
    <t>Thompson</t>
  </si>
  <si>
    <t>1u41-xc9-vh10</t>
  </si>
  <si>
    <t>HERRON</t>
  </si>
  <si>
    <t>1Y39-W58-VH28</t>
  </si>
  <si>
    <t>+1 765-438-5691</t>
  </si>
  <si>
    <t>Barlow</t>
  </si>
  <si>
    <t>Cynthia</t>
  </si>
  <si>
    <t>Cynthia Barlow</t>
  </si>
  <si>
    <t>GEORGE</t>
  </si>
  <si>
    <t>PANDELES</t>
  </si>
  <si>
    <t>6VY3-XG9-VG73</t>
  </si>
  <si>
    <t>9PV4-KK9-DR90</t>
  </si>
  <si>
    <t>DOROTHY</t>
  </si>
  <si>
    <t>7CP7-V28-NU55</t>
  </si>
  <si>
    <t>JESUS</t>
  </si>
  <si>
    <t>CAMPOLLA</t>
  </si>
  <si>
    <t>4K62-DQ3-RT19</t>
  </si>
  <si>
    <t>GAIL</t>
  </si>
  <si>
    <t>CHATMAN</t>
  </si>
  <si>
    <t>5a76-eu3-da65</t>
  </si>
  <si>
    <t>Harrison</t>
  </si>
  <si>
    <t>3TK0-A93-XU02</t>
  </si>
  <si>
    <t>ANDREW</t>
  </si>
  <si>
    <t>DICKEMANN</t>
  </si>
  <si>
    <t>1P02-QK4-JW06</t>
  </si>
  <si>
    <t>Frank</t>
  </si>
  <si>
    <t>Nieto Jr</t>
  </si>
  <si>
    <t>1W40-PP3-QK21</t>
  </si>
  <si>
    <t>LILLIAN</t>
  </si>
  <si>
    <t>2QH9-MW0-CR00</t>
  </si>
  <si>
    <t>Angela</t>
  </si>
  <si>
    <t>Keziah</t>
  </si>
  <si>
    <t>6QX2P54RJ94</t>
  </si>
  <si>
    <t>JACKSON SR.</t>
  </si>
  <si>
    <t>5kc7-r08-up31</t>
  </si>
  <si>
    <t>VICKI</t>
  </si>
  <si>
    <t>DENNEY</t>
  </si>
  <si>
    <t>9YT3-HD1-RC84</t>
  </si>
  <si>
    <t>WILLIAMS</t>
  </si>
  <si>
    <t>4V04-U99-YJ96</t>
  </si>
  <si>
    <t>ARTHUR</t>
  </si>
  <si>
    <t>6TA7-CY9-FY78</t>
  </si>
  <si>
    <t>ANNETTE</t>
  </si>
  <si>
    <t>2X55-PQ1-KU89</t>
  </si>
  <si>
    <t>PHILLIP</t>
  </si>
  <si>
    <t>HARRISON</t>
  </si>
  <si>
    <t>2CY3-QX7-NV84</t>
  </si>
  <si>
    <t>Canderlario</t>
  </si>
  <si>
    <t>Randy</t>
  </si>
  <si>
    <t>Randy Canderlario</t>
  </si>
  <si>
    <t>YANHUA</t>
  </si>
  <si>
    <t>BULLION</t>
  </si>
  <si>
    <t>6GQ5-KR1-CA71</t>
  </si>
  <si>
    <t>LAVERNE</t>
  </si>
  <si>
    <t>GRAHAM</t>
  </si>
  <si>
    <t>7h86-h78-yu52</t>
  </si>
  <si>
    <t>WYATT</t>
  </si>
  <si>
    <t>8FY8-CE9-TG43</t>
  </si>
  <si>
    <t>Frankie</t>
  </si>
  <si>
    <t>Richardson</t>
  </si>
  <si>
    <t>9QM7-MY9-JN38</t>
  </si>
  <si>
    <t>ISON</t>
  </si>
  <si>
    <t>4p63-rf5-ch91</t>
  </si>
  <si>
    <t>GERONIMO</t>
  </si>
  <si>
    <t>MORALEZ JR.</t>
  </si>
  <si>
    <t>5AX5-U63-EM56</t>
  </si>
  <si>
    <t>VERA</t>
  </si>
  <si>
    <t>BROWN</t>
  </si>
  <si>
    <t>9JA8-NG1-DJ26</t>
  </si>
  <si>
    <t>Juanita</t>
  </si>
  <si>
    <t>Garavaldi</t>
  </si>
  <si>
    <t>9G92-QT2-CG02</t>
  </si>
  <si>
    <t>MARTIN</t>
  </si>
  <si>
    <t>8AC1-QK7-YR13</t>
  </si>
  <si>
    <t>5PR1-U28-GR15</t>
  </si>
  <si>
    <t>CLELAND</t>
  </si>
  <si>
    <t>9J55-PN4-GG79</t>
  </si>
  <si>
    <t>Donna</t>
  </si>
  <si>
    <t>Kinker</t>
  </si>
  <si>
    <t>9RC2-QP4-JM19</t>
  </si>
  <si>
    <t>THOMPSON</t>
  </si>
  <si>
    <t>6VE4-Q96-TY91</t>
  </si>
  <si>
    <t>BOEHMER</t>
  </si>
  <si>
    <t>6R73-KD9-AK03</t>
  </si>
  <si>
    <t>JACK</t>
  </si>
  <si>
    <t>2R65-EC9-VF59</t>
  </si>
  <si>
    <t>CORA</t>
  </si>
  <si>
    <t>MCCANTS</t>
  </si>
  <si>
    <t>6C95-CX4-GP89</t>
  </si>
  <si>
    <t>VINCENT</t>
  </si>
  <si>
    <t>BRUNO</t>
  </si>
  <si>
    <t>5FM5-XF3-GK95</t>
  </si>
  <si>
    <t>HICKLEN</t>
  </si>
  <si>
    <t>3CV8-G49-PA25</t>
  </si>
  <si>
    <t>CARDEN</t>
  </si>
  <si>
    <t>8UP8-TV3-KT54</t>
  </si>
  <si>
    <t>DAVID</t>
  </si>
  <si>
    <t>MCCAULEY</t>
  </si>
  <si>
    <t>2UR0-QC4-KC13</t>
  </si>
  <si>
    <t>CARMELO</t>
  </si>
  <si>
    <t>MALDONADO</t>
  </si>
  <si>
    <t>8MJ6-PE8-XY55</t>
  </si>
  <si>
    <t>CHRISTENSON</t>
  </si>
  <si>
    <t>4VD8-AG8-FP22</t>
  </si>
  <si>
    <t>Curtis</t>
  </si>
  <si>
    <t>Goodwin</t>
  </si>
  <si>
    <t>5XT2-M06-EN03</t>
  </si>
  <si>
    <t>CAYTON</t>
  </si>
  <si>
    <t>5gh3-hm4-we98</t>
  </si>
  <si>
    <t>ELOUISE</t>
  </si>
  <si>
    <t>WESTER</t>
  </si>
  <si>
    <t>7g82-xg1-gm16</t>
  </si>
  <si>
    <t>DALTILIO</t>
  </si>
  <si>
    <t>5G92-WN0-FJ05</t>
  </si>
  <si>
    <t>CHRISTOPHER</t>
  </si>
  <si>
    <t>BOURGEOIS</t>
  </si>
  <si>
    <t>4cx3-p12-yw13</t>
  </si>
  <si>
    <t>TILLMAN</t>
  </si>
  <si>
    <t>7TF8-J65-ET27</t>
  </si>
  <si>
    <t>(478) 318-0940</t>
  </si>
  <si>
    <t>LEON</t>
  </si>
  <si>
    <t>2EY7-J22-RR71</t>
  </si>
  <si>
    <t>Aaron</t>
  </si>
  <si>
    <t>Dosela</t>
  </si>
  <si>
    <t>1AJ2-AC6-MW02</t>
  </si>
  <si>
    <t>Sonntag</t>
  </si>
  <si>
    <t>SONN</t>
  </si>
  <si>
    <t>7ED2-RK0-XG16</t>
  </si>
  <si>
    <t>Bryant</t>
  </si>
  <si>
    <t>3YU5-TN3-UR57</t>
  </si>
  <si>
    <t>TOOTHMAN</t>
  </si>
  <si>
    <t>1RR3-QT3-AA72</t>
  </si>
  <si>
    <t>DELLA</t>
  </si>
  <si>
    <t>STCYRE</t>
  </si>
  <si>
    <t>2ty4-vy5-wf01</t>
  </si>
  <si>
    <t>Georgetta</t>
  </si>
  <si>
    <t>Kersey</t>
  </si>
  <si>
    <t>2GG7-V06-FC55</t>
  </si>
  <si>
    <t>769-926-1256</t>
  </si>
  <si>
    <t>Isaiah</t>
  </si>
  <si>
    <t>Magitt</t>
  </si>
  <si>
    <t>9WR1-D63-RA01</t>
  </si>
  <si>
    <t>Lonnie</t>
  </si>
  <si>
    <t>Nall</t>
  </si>
  <si>
    <t>2KV4-CN2-AC76</t>
  </si>
  <si>
    <t>Felicia</t>
  </si>
  <si>
    <t>Borden</t>
  </si>
  <si>
    <t>3D91-DW1-TT21</t>
  </si>
  <si>
    <t>Carter</t>
  </si>
  <si>
    <t>1YT3-NV3-JV19</t>
  </si>
  <si>
    <t>JANET</t>
  </si>
  <si>
    <t>LAWING</t>
  </si>
  <si>
    <t>5XW8-AK5-CG31</t>
  </si>
  <si>
    <t>RALPH</t>
  </si>
  <si>
    <t>1QP6-RT2-FJ76</t>
  </si>
  <si>
    <t>CASTILLE</t>
  </si>
  <si>
    <t>2WW8-JE7-RV22</t>
  </si>
  <si>
    <t>CALVIN</t>
  </si>
  <si>
    <t>LAWS</t>
  </si>
  <si>
    <t>4KH9-Q31-WR30</t>
  </si>
  <si>
    <t>8hf2-fq4-eq85</t>
  </si>
  <si>
    <t>CARR</t>
  </si>
  <si>
    <t>6QK1-K62-RK15</t>
  </si>
  <si>
    <t>MASON-MORRIS</t>
  </si>
  <si>
    <t>4A18-AH8-CF54</t>
  </si>
  <si>
    <t>WALTER</t>
  </si>
  <si>
    <t>BUSKE</t>
  </si>
  <si>
    <t>8fh5-t15-nt99</t>
  </si>
  <si>
    <t>TRUMAN</t>
  </si>
  <si>
    <t>HUGHES</t>
  </si>
  <si>
    <t>3y30-tk6-wk29</t>
  </si>
  <si>
    <t>COOKSEY</t>
  </si>
  <si>
    <t>7E21-DK0-NJ98</t>
  </si>
  <si>
    <t>GARDNER</t>
  </si>
  <si>
    <t>5FA6-J26-YY78</t>
  </si>
  <si>
    <t>BLAS</t>
  </si>
  <si>
    <t>OLIVERAS</t>
  </si>
  <si>
    <t>5RU7-QY9-NX32</t>
  </si>
  <si>
    <t>McKeldin</t>
  </si>
  <si>
    <t>Christopher</t>
  </si>
  <si>
    <t>Christopher McKeldin</t>
  </si>
  <si>
    <t>TONY</t>
  </si>
  <si>
    <t>ODEMS</t>
  </si>
  <si>
    <t>6TX7-UA1-RC48</t>
  </si>
  <si>
    <t>ROOSEVELT</t>
  </si>
  <si>
    <t>9jg8tn2pd65</t>
  </si>
  <si>
    <t>NANCY</t>
  </si>
  <si>
    <t>8RW9-HU7-VT49</t>
  </si>
  <si>
    <t>Mary</t>
  </si>
  <si>
    <t>cleveland</t>
  </si>
  <si>
    <t>9RD3-RD0-JK89</t>
  </si>
  <si>
    <t>BELLAMY</t>
  </si>
  <si>
    <t>3R91-V12-DJ25</t>
  </si>
  <si>
    <t>Ana</t>
  </si>
  <si>
    <t>7Y90-HH2-XQ29</t>
  </si>
  <si>
    <t>318-704-9860</t>
  </si>
  <si>
    <t>CRAWFORD</t>
  </si>
  <si>
    <t>3C52-C63-FT28</t>
  </si>
  <si>
    <t>LORETTA</t>
  </si>
  <si>
    <t>MALLORY</t>
  </si>
  <si>
    <t>1EC4-UJ5-XH66</t>
  </si>
  <si>
    <t>Janetta</t>
  </si>
  <si>
    <t>Mills</t>
  </si>
  <si>
    <t>5DU8-R95-EG39</t>
  </si>
  <si>
    <t>EDWIN</t>
  </si>
  <si>
    <t>SPRINGER</t>
  </si>
  <si>
    <t>4c16-qh0-cu45</t>
  </si>
  <si>
    <t>TERESA</t>
  </si>
  <si>
    <t>HERRELL</t>
  </si>
  <si>
    <t>3rd8-u34-nj10</t>
  </si>
  <si>
    <t>SNIDER</t>
  </si>
  <si>
    <t>9GX4-WU5-FX74</t>
  </si>
  <si>
    <t>Means</t>
  </si>
  <si>
    <t>1x47-ye3-xg68</t>
  </si>
  <si>
    <t>PAULETTE</t>
  </si>
  <si>
    <t>FOSTER</t>
  </si>
  <si>
    <t>1PH9-PH7-RX43</t>
  </si>
  <si>
    <t>DANKENBRING</t>
  </si>
  <si>
    <t>2QP1-GH1-GJ97</t>
  </si>
  <si>
    <t>NIXON</t>
  </si>
  <si>
    <t>4JR3-JR8-EU97</t>
  </si>
  <si>
    <t>Loretta</t>
  </si>
  <si>
    <t>Gordon</t>
  </si>
  <si>
    <t>7R27-AY8-PR54</t>
  </si>
  <si>
    <t>Carlino</t>
  </si>
  <si>
    <t>Barbara</t>
  </si>
  <si>
    <t>Barbara Carlino</t>
  </si>
  <si>
    <t>AENION</t>
  </si>
  <si>
    <t>HOWARD</t>
  </si>
  <si>
    <t>1Q20-KV5-EE14</t>
  </si>
  <si>
    <t>DAISY</t>
  </si>
  <si>
    <t>5Y45-PH0-QQ84</t>
  </si>
  <si>
    <t>4F94-HA4-KY77</t>
  </si>
  <si>
    <t>Nita</t>
  </si>
  <si>
    <t>4fp6gp5am49</t>
  </si>
  <si>
    <t>MCPETERS</t>
  </si>
  <si>
    <t>3VA0-Y45-YW06</t>
  </si>
  <si>
    <t>9CD6-P63-NF45</t>
  </si>
  <si>
    <t>TRESIA</t>
  </si>
  <si>
    <t>PACK</t>
  </si>
  <si>
    <t>1mq3-fm1-je13</t>
  </si>
  <si>
    <t>2M08-D01-KU34</t>
  </si>
  <si>
    <t>DARREN</t>
  </si>
  <si>
    <t>3rj9-f32-gd18</t>
  </si>
  <si>
    <t>JOY</t>
  </si>
  <si>
    <t>PENNINGTON</t>
  </si>
  <si>
    <t>6RF9-XN8-YY42</t>
  </si>
  <si>
    <t>LONELL</t>
  </si>
  <si>
    <t>3ta9-r72-ty28</t>
  </si>
  <si>
    <t>PATRICE</t>
  </si>
  <si>
    <t>CHARLESTON</t>
  </si>
  <si>
    <t>5C04-KY1-WM80</t>
  </si>
  <si>
    <t>JOSE</t>
  </si>
  <si>
    <t>TRUJILLO</t>
  </si>
  <si>
    <t>4RJ7-E66-FD47</t>
  </si>
  <si>
    <t>EVANS</t>
  </si>
  <si>
    <t>6EH6-NC9-DF89</t>
  </si>
  <si>
    <t>Rutledge</t>
  </si>
  <si>
    <t>2Q44-NY4-AU70</t>
  </si>
  <si>
    <t>JEWEL</t>
  </si>
  <si>
    <t>LACUE</t>
  </si>
  <si>
    <t>8NQ6-DU8-GQ73</t>
  </si>
  <si>
    <t>Jean</t>
  </si>
  <si>
    <t>1kp6-h18-pj57</t>
  </si>
  <si>
    <t>BROIDY</t>
  </si>
  <si>
    <t>1J75-RQ0-FP87</t>
  </si>
  <si>
    <t>Nathan</t>
  </si>
  <si>
    <t>Brewer</t>
  </si>
  <si>
    <t>8Q89-CM4-JD38</t>
  </si>
  <si>
    <t>SCHULZE</t>
  </si>
  <si>
    <t>7MA8-Y77-VF53</t>
  </si>
  <si>
    <t>WANDA</t>
  </si>
  <si>
    <t>WESTFIELD</t>
  </si>
  <si>
    <t>5Q26-V51-RF84</t>
  </si>
  <si>
    <t>GREG</t>
  </si>
  <si>
    <t>OLSON</t>
  </si>
  <si>
    <t>5HX3-Y76-VD79</t>
  </si>
  <si>
    <t>KHAMIS</t>
  </si>
  <si>
    <t>HEATH</t>
  </si>
  <si>
    <t>9EQ7-H31-WU75</t>
  </si>
  <si>
    <t>Audrey</t>
  </si>
  <si>
    <t>LeBlanc</t>
  </si>
  <si>
    <t>4K76-DV9-CC76</t>
  </si>
  <si>
    <t>Maria emma</t>
  </si>
  <si>
    <t>blanco de Perez</t>
  </si>
  <si>
    <t>7WE8-MF7-RM61</t>
  </si>
  <si>
    <t>(239) 271-0128</t>
  </si>
  <si>
    <t>burton</t>
  </si>
  <si>
    <t>4VV6-G49-DF79</t>
  </si>
  <si>
    <t>RONNIE</t>
  </si>
  <si>
    <t>GRIFFIN</t>
  </si>
  <si>
    <t>2NM4-GR0-GU73</t>
  </si>
  <si>
    <t>4XY6-WV2-DA50</t>
  </si>
  <si>
    <t>BREVELLE</t>
  </si>
  <si>
    <t>5V98-DE8-RR31</t>
  </si>
  <si>
    <t>BARBARA</t>
  </si>
  <si>
    <t>MEBANE</t>
  </si>
  <si>
    <t>2WG0-TP4-FF90</t>
  </si>
  <si>
    <t>PAMELA</t>
  </si>
  <si>
    <t>TELLEZ</t>
  </si>
  <si>
    <t>7W83-QK4-EH02</t>
  </si>
  <si>
    <t>RONALD G.</t>
  </si>
  <si>
    <t>ROSE</t>
  </si>
  <si>
    <t>7MJ2-PC0-NC27</t>
  </si>
  <si>
    <t>SHELIA</t>
  </si>
  <si>
    <t>BIGGS</t>
  </si>
  <si>
    <t>1qw1-p89-hd18</t>
  </si>
  <si>
    <t>LARRY</t>
  </si>
  <si>
    <t>HINDS</t>
  </si>
  <si>
    <t>3RA3-WD3-GK97</t>
  </si>
  <si>
    <t>MIFFLIN</t>
  </si>
  <si>
    <t>9K21-T28-PG26</t>
  </si>
  <si>
    <t>Vanessa</t>
  </si>
  <si>
    <t>Fowler</t>
  </si>
  <si>
    <t>7EN0-J11-GA20</t>
  </si>
  <si>
    <t>Daniel</t>
  </si>
  <si>
    <t>Tumey</t>
  </si>
  <si>
    <t>8FQ7-DG9-GF45</t>
  </si>
  <si>
    <t>GRIER</t>
  </si>
  <si>
    <t>3MQ5-JH1-UA71</t>
  </si>
  <si>
    <t>RITA</t>
  </si>
  <si>
    <t>LANGLEY</t>
  </si>
  <si>
    <t>8YD0-H25-QE34</t>
  </si>
  <si>
    <t>LARSON</t>
  </si>
  <si>
    <t>8XG2-R57-VQ86</t>
  </si>
  <si>
    <t>LUNDERMAN</t>
  </si>
  <si>
    <t>9ej6-rg7-uh82</t>
  </si>
  <si>
    <t>JEANNE</t>
  </si>
  <si>
    <t>SCHAUFFLERRENECKER</t>
  </si>
  <si>
    <t>7m08-m03-nw46</t>
  </si>
  <si>
    <t>Middlebrooks</t>
  </si>
  <si>
    <t>4my9-ak1-ax46</t>
  </si>
  <si>
    <t>MCKENZIE</t>
  </si>
  <si>
    <t>2x72-ny3-va16</t>
  </si>
  <si>
    <t>WAYNE</t>
  </si>
  <si>
    <t>PONDER</t>
  </si>
  <si>
    <t>2C50-CF8-MN24</t>
  </si>
  <si>
    <t>6XX4-XD5-VA97</t>
  </si>
  <si>
    <t>ESTRALETA</t>
  </si>
  <si>
    <t>5K78-KP2-KW23</t>
  </si>
  <si>
    <t>FRANCISCO</t>
  </si>
  <si>
    <t>VILLARREAL</t>
  </si>
  <si>
    <t>6EN8-E93-VF43</t>
  </si>
  <si>
    <t>Crawford</t>
  </si>
  <si>
    <t>6Y48-N34-FQ45</t>
  </si>
  <si>
    <t>2W30-Y31-AK39</t>
  </si>
  <si>
    <t>KAREN</t>
  </si>
  <si>
    <t>PHILLIPS</t>
  </si>
  <si>
    <t>1VD3-QE5-TQ92</t>
  </si>
  <si>
    <t>MARIAN</t>
  </si>
  <si>
    <t>RIOUS</t>
  </si>
  <si>
    <t>4QN8-VF9-QT53</t>
  </si>
  <si>
    <t>(623) 456-3142</t>
  </si>
  <si>
    <t>Otis</t>
  </si>
  <si>
    <t>Chaffin</t>
  </si>
  <si>
    <t>6RN7-R68-RX56</t>
  </si>
  <si>
    <t>CAROTHERS</t>
  </si>
  <si>
    <t>8T24-M03-XD92</t>
  </si>
  <si>
    <t>BRILL</t>
  </si>
  <si>
    <t>4JM0-J46-YC30</t>
  </si>
  <si>
    <t>LUSTER Jordan</t>
  </si>
  <si>
    <t>6R47-KD2-KK71</t>
  </si>
  <si>
    <t>1AK1-DU0-MH33</t>
  </si>
  <si>
    <t>MENDENHALL</t>
  </si>
  <si>
    <t>5N84-EH8-CD99</t>
  </si>
  <si>
    <t>GARCIA</t>
  </si>
  <si>
    <t>9uc1-yq5-mg35</t>
  </si>
  <si>
    <t>ROBINSON</t>
  </si>
  <si>
    <t>4E28-NF6-CK49</t>
  </si>
  <si>
    <t>Gregory</t>
  </si>
  <si>
    <t>VISGER</t>
  </si>
  <si>
    <t>6Q85-K33-AP60</t>
  </si>
  <si>
    <t>Sherran</t>
  </si>
  <si>
    <t>6EM3-VN3-GF82</t>
  </si>
  <si>
    <t>NICOLE</t>
  </si>
  <si>
    <t>WATERS</t>
  </si>
  <si>
    <t>8PR8-Y70-QV10</t>
  </si>
  <si>
    <t>Delilah</t>
  </si>
  <si>
    <t>Martinez</t>
  </si>
  <si>
    <t>4R06-JY2-MM30</t>
  </si>
  <si>
    <t>JALONDA</t>
  </si>
  <si>
    <t>HARVICK</t>
  </si>
  <si>
    <t>1D71-H29-EE19</t>
  </si>
  <si>
    <t>STEPHEN C.</t>
  </si>
  <si>
    <t>GALLOWAY</t>
  </si>
  <si>
    <t>4PN2-D13-VW06</t>
  </si>
  <si>
    <t>RETHA</t>
  </si>
  <si>
    <t>COVINGTON</t>
  </si>
  <si>
    <t>2H09-NN5-GY28</t>
  </si>
  <si>
    <t>WYMAN</t>
  </si>
  <si>
    <t>4w72-h29-uk94</t>
  </si>
  <si>
    <t>Reymundo</t>
  </si>
  <si>
    <t>Ortega</t>
  </si>
  <si>
    <t>6EC6-HH0-TD52</t>
  </si>
  <si>
    <t>ELDON</t>
  </si>
  <si>
    <t>KILPATRICK</t>
  </si>
  <si>
    <t>9J51-XW5-EQ26</t>
  </si>
  <si>
    <t>COX</t>
  </si>
  <si>
    <t>4T50-A76-RE37</t>
  </si>
  <si>
    <t>JANET (Jan)</t>
  </si>
  <si>
    <t>4um5-w05-kv64</t>
  </si>
  <si>
    <t>KATHLEEN</t>
  </si>
  <si>
    <t>SAVOIE</t>
  </si>
  <si>
    <t>9W24-QH3-VT74</t>
  </si>
  <si>
    <t>TONEY</t>
  </si>
  <si>
    <t>LAWSON</t>
  </si>
  <si>
    <t>7U35-V79-QU97</t>
  </si>
  <si>
    <t>Wilmer</t>
  </si>
  <si>
    <t>Stinchcomb</t>
  </si>
  <si>
    <t>3RX5-HG9-FY86</t>
  </si>
  <si>
    <t>Juliet</t>
  </si>
  <si>
    <t>GONSALVES</t>
  </si>
  <si>
    <t>5D30-R39-NF26</t>
  </si>
  <si>
    <t>CONDREY</t>
  </si>
  <si>
    <t>3NF3-VV4-UP74</t>
  </si>
  <si>
    <t>Rhonda</t>
  </si>
  <si>
    <t>O'Dell</t>
  </si>
  <si>
    <t>7KV4-E91-NN65</t>
  </si>
  <si>
    <t>Earnestine</t>
  </si>
  <si>
    <t>Parker-Brown</t>
  </si>
  <si>
    <t>3AU8-TC2-DP45</t>
  </si>
  <si>
    <t>HARGIS</t>
  </si>
  <si>
    <t>8FP7-MR9-UG35</t>
  </si>
  <si>
    <t>Linda</t>
  </si>
  <si>
    <t>Newton</t>
  </si>
  <si>
    <t>9GU1XH8TA24</t>
  </si>
  <si>
    <t>Eldon</t>
  </si>
  <si>
    <t>4G41-P06-RP04</t>
  </si>
  <si>
    <t>HOFFMANN</t>
  </si>
  <si>
    <t>4D03-X85-MH95</t>
  </si>
  <si>
    <t>Jeter</t>
  </si>
  <si>
    <t>8HT3-E51-NM72</t>
  </si>
  <si>
    <t>SPICER</t>
  </si>
  <si>
    <t>3UH2-XY7-KY04</t>
  </si>
  <si>
    <t>2P56-N93-YT58</t>
  </si>
  <si>
    <t>Tena</t>
  </si>
  <si>
    <t>Demers</t>
  </si>
  <si>
    <t>3GQ7-VT2-WW38</t>
  </si>
  <si>
    <t>SUSAN</t>
  </si>
  <si>
    <t>STROH</t>
  </si>
  <si>
    <t>2ND7-RX5-FW20</t>
  </si>
  <si>
    <t>POIRIER</t>
  </si>
  <si>
    <t>8DA3-H70-EA79</t>
  </si>
  <si>
    <t>YVONNE</t>
  </si>
  <si>
    <t>MCDANIEL</t>
  </si>
  <si>
    <t>1YG3-X62-TD16</t>
  </si>
  <si>
    <t>DELL</t>
  </si>
  <si>
    <t>PEEK</t>
  </si>
  <si>
    <t>2NA9-FW8-RR52</t>
  </si>
  <si>
    <t>SHADWICK</t>
  </si>
  <si>
    <t>7J21-Y88-FJ28</t>
  </si>
  <si>
    <t>TURLEY</t>
  </si>
  <si>
    <t>8AM4-HX4-MU92</t>
  </si>
  <si>
    <t>Kristi</t>
  </si>
  <si>
    <t>5PM2-GP8-TG83</t>
  </si>
  <si>
    <t>Diane</t>
  </si>
  <si>
    <t>Robinson</t>
  </si>
  <si>
    <t>3qp3-n29-pr12</t>
  </si>
  <si>
    <t>404-202-9910</t>
  </si>
  <si>
    <t>Karen</t>
  </si>
  <si>
    <t>Hinsberger</t>
  </si>
  <si>
    <t>8k87-rv4-hu62</t>
  </si>
  <si>
    <t>660-971-6375</t>
  </si>
  <si>
    <t>ROWE</t>
  </si>
  <si>
    <t>5CC6-VY8-XE53</t>
  </si>
  <si>
    <t>CHAMBERS</t>
  </si>
  <si>
    <t>3AT7-N42-FG38</t>
  </si>
  <si>
    <t>Michelle</t>
  </si>
  <si>
    <t>Lee Chance</t>
  </si>
  <si>
    <t>7j01-p53-xr92</t>
  </si>
  <si>
    <t>Reba</t>
  </si>
  <si>
    <t>Ramey</t>
  </si>
  <si>
    <t>9TG9-NT7-GV59</t>
  </si>
  <si>
    <t>Dorothy</t>
  </si>
  <si>
    <t>Kargacin</t>
  </si>
  <si>
    <t>2f87-de9-mc38</t>
  </si>
  <si>
    <t>Delbert</t>
  </si>
  <si>
    <t>Reynolds</t>
  </si>
  <si>
    <t>3TW4-M08-TE09</t>
  </si>
  <si>
    <t>Ronald</t>
  </si>
  <si>
    <t>Dunlap</t>
  </si>
  <si>
    <t>3hk5-xq1-un77</t>
  </si>
  <si>
    <t>Williams</t>
  </si>
  <si>
    <t>1vv8-ce0-qf49</t>
  </si>
  <si>
    <t>ROZELLA</t>
  </si>
  <si>
    <t>7FD6-E20-DP52</t>
  </si>
  <si>
    <t>CASTRO</t>
  </si>
  <si>
    <t>8w65w41rj52</t>
  </si>
  <si>
    <t>GONZALO</t>
  </si>
  <si>
    <t>PAIZ JR</t>
  </si>
  <si>
    <t>5N16-XV1-EX40</t>
  </si>
  <si>
    <t>OSTROWSKI</t>
  </si>
  <si>
    <t>7F97-M10-PR31</t>
  </si>
  <si>
    <t>WELSH</t>
  </si>
  <si>
    <t>8hf9-ry4-nu40</t>
  </si>
  <si>
    <t>Alan</t>
  </si>
  <si>
    <t>Roth</t>
  </si>
  <si>
    <t>8NG1-C37-UN94</t>
  </si>
  <si>
    <t>SAUNDRA</t>
  </si>
  <si>
    <t>ACKLES</t>
  </si>
  <si>
    <t>8ym8-jy9-ua57</t>
  </si>
  <si>
    <t>GONZALEZ</t>
  </si>
  <si>
    <t>3NW1-EN7-GJ33</t>
  </si>
  <si>
    <t>G</t>
  </si>
  <si>
    <t>yates</t>
  </si>
  <si>
    <t>8Q77-DJ8-NQ50</t>
  </si>
  <si>
    <t>MUSSO</t>
  </si>
  <si>
    <t>5U40-DD5-GK21</t>
  </si>
  <si>
    <t>Elijah</t>
  </si>
  <si>
    <t>Hicks Jr</t>
  </si>
  <si>
    <t>6TE5-R80-TV78</t>
  </si>
  <si>
    <t>Vornola</t>
  </si>
  <si>
    <t>Rogers</t>
  </si>
  <si>
    <t>9JF0-T79-GH38</t>
  </si>
  <si>
    <t>TYREE</t>
  </si>
  <si>
    <t>4NR1-A99-CJ09</t>
  </si>
  <si>
    <t>(480) 849-1036</t>
  </si>
  <si>
    <t>GERALDINE</t>
  </si>
  <si>
    <t>SPARROW</t>
  </si>
  <si>
    <t>7D31-H11-DW99</t>
  </si>
  <si>
    <t>MCMANNUS</t>
  </si>
  <si>
    <t>7UA0-AE3-FP49</t>
  </si>
  <si>
    <t>Halina</t>
  </si>
  <si>
    <t>mcmannus</t>
  </si>
  <si>
    <t>7h28-ga8-ac42</t>
  </si>
  <si>
    <t>6GH5-GH4-HD87</t>
  </si>
  <si>
    <t>3W47-CM4-GP54</t>
  </si>
  <si>
    <t>MARGARET</t>
  </si>
  <si>
    <t>8UK9-PV9-RE59</t>
  </si>
  <si>
    <t>LUTHERINE</t>
  </si>
  <si>
    <t>6CR8-M17-MC33</t>
  </si>
  <si>
    <t>CHARLOTTE</t>
  </si>
  <si>
    <t>JOYNER</t>
  </si>
  <si>
    <t>5AF4-EA7-NQ84</t>
  </si>
  <si>
    <t>HELLEN</t>
  </si>
  <si>
    <t>HOPP</t>
  </si>
  <si>
    <t>7Q00-U00-AY90</t>
  </si>
  <si>
    <t>MOODY-DURANT</t>
  </si>
  <si>
    <t>5J83-U56-UP78</t>
  </si>
  <si>
    <t>PAULA</t>
  </si>
  <si>
    <t>NESMITH</t>
  </si>
  <si>
    <t>3gn1-tu7-da20</t>
  </si>
  <si>
    <t>SYLLEST</t>
  </si>
  <si>
    <t>4wa6-dr5-mk67</t>
  </si>
  <si>
    <t>Nora</t>
  </si>
  <si>
    <t>Shenekia</t>
  </si>
  <si>
    <t>DWAYNE</t>
  </si>
  <si>
    <t>BILLS</t>
  </si>
  <si>
    <t>9C41W01RT27</t>
  </si>
  <si>
    <t>4YC8-X98-EG35</t>
  </si>
  <si>
    <t>Stevenson</t>
  </si>
  <si>
    <t>5HT7-DR4-DP34</t>
  </si>
  <si>
    <t>SHEILA</t>
  </si>
  <si>
    <t>STANLEY</t>
  </si>
  <si>
    <t>8CF1-K50-UJ29</t>
  </si>
  <si>
    <t>DEL CAMPO</t>
  </si>
  <si>
    <t>5HT0-XV1-NH20</t>
  </si>
  <si>
    <t>THERESA</t>
  </si>
  <si>
    <t>8V62Y41EW01</t>
  </si>
  <si>
    <t>Centene Corporation</t>
  </si>
  <si>
    <t>HEDRICK</t>
  </si>
  <si>
    <t>1NV8-X76-XE47</t>
  </si>
  <si>
    <t>ALCALA</t>
  </si>
  <si>
    <t>3GR5-DX7-HU67</t>
  </si>
  <si>
    <t>JOHN</t>
  </si>
  <si>
    <t>1VN0-EA6-WH05</t>
  </si>
  <si>
    <t>TOMMIE</t>
  </si>
  <si>
    <t>HAMILTON</t>
  </si>
  <si>
    <t>9u35-jw5-wq83</t>
  </si>
  <si>
    <t>WENDY</t>
  </si>
  <si>
    <t>SANSOUCIE</t>
  </si>
  <si>
    <t>7JV0-Q20-XW02</t>
  </si>
  <si>
    <t>SUTTON</t>
  </si>
  <si>
    <t>6GG8-X05-RA64</t>
  </si>
  <si>
    <t>Bonita</t>
  </si>
  <si>
    <t>Black</t>
  </si>
  <si>
    <t>5C68-Y97-NN25</t>
  </si>
  <si>
    <t>Susan</t>
  </si>
  <si>
    <t>Day</t>
  </si>
  <si>
    <t>1UM6-N51-KG53</t>
  </si>
  <si>
    <t>Cesar</t>
  </si>
  <si>
    <t>Garcia</t>
  </si>
  <si>
    <t>7ry8-gm2-yt52</t>
  </si>
  <si>
    <t>PHENIX</t>
  </si>
  <si>
    <t>7N50-HU7-TX02</t>
  </si>
  <si>
    <t>BECKY</t>
  </si>
  <si>
    <t>BARNES GROSS</t>
  </si>
  <si>
    <t>8WX1-NN7-UV33</t>
  </si>
  <si>
    <t>7Y60-EQ5-WF19</t>
  </si>
  <si>
    <t>KIM</t>
  </si>
  <si>
    <t>SCHREIBER</t>
  </si>
  <si>
    <t>2MF2-P42-EH09</t>
  </si>
  <si>
    <t>TAMMARA</t>
  </si>
  <si>
    <t>MITCHELL</t>
  </si>
  <si>
    <t>8C81-UU8-UR29</t>
  </si>
  <si>
    <t>BLUE</t>
  </si>
  <si>
    <t>4KH8YD7PP26</t>
  </si>
  <si>
    <t>DEBOSE</t>
  </si>
  <si>
    <t>2W98-M91-JK46</t>
  </si>
  <si>
    <t>HAYWARD</t>
  </si>
  <si>
    <t>CRENSHAW</t>
  </si>
  <si>
    <t>9JC3-UA6-QH86</t>
  </si>
  <si>
    <t>HEBB</t>
  </si>
  <si>
    <t>9WQ9-FX8-HE24</t>
  </si>
  <si>
    <t>MARYJO</t>
  </si>
  <si>
    <t>MONAGHAN</t>
  </si>
  <si>
    <t>4df8-xy4-mq45</t>
  </si>
  <si>
    <t>LETITIA</t>
  </si>
  <si>
    <t>ROHR</t>
  </si>
  <si>
    <t>8YP4-WQ7-NX80</t>
  </si>
  <si>
    <t>TRICE</t>
  </si>
  <si>
    <t>9QP0-MF2-KM19</t>
  </si>
  <si>
    <t>5JY9-UP6-KN10</t>
  </si>
  <si>
    <t>Bradford</t>
  </si>
  <si>
    <t>1M51-GG6-PR07</t>
  </si>
  <si>
    <t>JENNIFER</t>
  </si>
  <si>
    <t>GEIST</t>
  </si>
  <si>
    <t>2VD4-V36-PW08</t>
  </si>
  <si>
    <t>RUDY</t>
  </si>
  <si>
    <t>CRUZ</t>
  </si>
  <si>
    <t>9T73-GU6-NX94</t>
  </si>
  <si>
    <t>IGNACIO</t>
  </si>
  <si>
    <t>ARMENGOL</t>
  </si>
  <si>
    <t>5Y10-MH3-AQ32</t>
  </si>
  <si>
    <t>JENETA</t>
  </si>
  <si>
    <t>SHAND</t>
  </si>
  <si>
    <t>9V67-DQ0-FR50</t>
  </si>
  <si>
    <t>O'Kelly</t>
  </si>
  <si>
    <t>6FF0-XG0-WR16</t>
  </si>
  <si>
    <t>ALEXIS</t>
  </si>
  <si>
    <t>1W71-D80-GK34</t>
  </si>
  <si>
    <t>BACA</t>
  </si>
  <si>
    <t>1P72-YA5-UM95</t>
  </si>
  <si>
    <t>KATHERINE</t>
  </si>
  <si>
    <t>7GN0-VA8-FV35</t>
  </si>
  <si>
    <t>6GD2-J36-QJ80</t>
  </si>
  <si>
    <t>BRIAN</t>
  </si>
  <si>
    <t>PEPIN</t>
  </si>
  <si>
    <t>6FN1-K84-NP29</t>
  </si>
  <si>
    <t>ROBISON</t>
  </si>
  <si>
    <t>6W60-GC7-QH01</t>
  </si>
  <si>
    <t>WILL</t>
  </si>
  <si>
    <t>HANDY III</t>
  </si>
  <si>
    <t>2Q21-VA0-NW80</t>
  </si>
  <si>
    <t>VICTORIA</t>
  </si>
  <si>
    <t>STEWART</t>
  </si>
  <si>
    <t>6GA1-DF5-KN38</t>
  </si>
  <si>
    <t>1NU7-NQ5-FF50</t>
  </si>
  <si>
    <t>5pq8-fr4-gt35</t>
  </si>
  <si>
    <t>JESSIE</t>
  </si>
  <si>
    <t>STARR</t>
  </si>
  <si>
    <t>1QH6-CH1-GQ76</t>
  </si>
  <si>
    <t>DIANE</t>
  </si>
  <si>
    <t>SIMS</t>
  </si>
  <si>
    <t>3XN4-JV3-UJ66</t>
  </si>
  <si>
    <t>Tampata</t>
  </si>
  <si>
    <t>Gonzalez</t>
  </si>
  <si>
    <t>9n95-x54-et52</t>
  </si>
  <si>
    <t>TATIANA</t>
  </si>
  <si>
    <t>MILDESTEIN</t>
  </si>
  <si>
    <t>4ET7-UY9-WQ55</t>
  </si>
  <si>
    <t>6H31-KW6-NA22</t>
  </si>
  <si>
    <t>Eva</t>
  </si>
  <si>
    <t>Maldonado</t>
  </si>
  <si>
    <t>6VN5-YX1-VT53</t>
  </si>
  <si>
    <t>KEISHA</t>
  </si>
  <si>
    <t>LITTLE</t>
  </si>
  <si>
    <t>9G11-TY3-CK80</t>
  </si>
  <si>
    <t>Peter</t>
  </si>
  <si>
    <t>Gallagher</t>
  </si>
  <si>
    <t>3W81-A60-CR39</t>
  </si>
  <si>
    <t>MEDLEY</t>
  </si>
  <si>
    <t>5T59-C65-WT00</t>
  </si>
  <si>
    <t>Eric</t>
  </si>
  <si>
    <t>7KR0-G40-MQ14</t>
  </si>
  <si>
    <t>JONATHAN</t>
  </si>
  <si>
    <t>MAINS</t>
  </si>
  <si>
    <t>8EA3-HX5-QN89</t>
  </si>
  <si>
    <t>MORAIDA LARRIVA</t>
  </si>
  <si>
    <t>6H47-UJ7-EE65</t>
  </si>
  <si>
    <t>DIANA</t>
  </si>
  <si>
    <t>FITZGERALD</t>
  </si>
  <si>
    <t>1CU4-DA1-ET78</t>
  </si>
  <si>
    <t>CARLETA</t>
  </si>
  <si>
    <t>7V46-RW0-RX71</t>
  </si>
  <si>
    <t>DONNA</t>
  </si>
  <si>
    <t>HIVELY</t>
  </si>
  <si>
    <t>3JG1-HE9-KX22</t>
  </si>
  <si>
    <t>Strickland</t>
  </si>
  <si>
    <t>3cf5-wd2-pe56</t>
  </si>
  <si>
    <t>Norma</t>
  </si>
  <si>
    <t>Moncier</t>
  </si>
  <si>
    <t>6Q46-FA4-DA43</t>
  </si>
  <si>
    <t>Marleene</t>
  </si>
  <si>
    <t>Bobo</t>
  </si>
  <si>
    <t>9X80-VH1-KC28</t>
  </si>
  <si>
    <t>Ruby</t>
  </si>
  <si>
    <t>Jackson</t>
  </si>
  <si>
    <t>9e08-u81-ut53</t>
  </si>
  <si>
    <t>bobo</t>
  </si>
  <si>
    <t>2e99-h24-ug43</t>
  </si>
  <si>
    <t>(720) 499-7003</t>
  </si>
  <si>
    <t>Gerald</t>
  </si>
  <si>
    <t>Bible</t>
  </si>
  <si>
    <t>2DY8-JA8-QC29</t>
  </si>
  <si>
    <t>Carol</t>
  </si>
  <si>
    <t>Albaugh</t>
  </si>
  <si>
    <t>9PQ7-RV0-QA31</t>
  </si>
  <si>
    <t>LON</t>
  </si>
  <si>
    <t>RONGSTAD</t>
  </si>
  <si>
    <t>2FF3-WV8-WR06</t>
  </si>
  <si>
    <t>BILLIE</t>
  </si>
  <si>
    <t>CRIDER</t>
  </si>
  <si>
    <t>2FX7-AJ3-EG52</t>
  </si>
  <si>
    <t>DARRELL</t>
  </si>
  <si>
    <t>3PP5-P33-ED82</t>
  </si>
  <si>
    <t>Brent</t>
  </si>
  <si>
    <t>Macey</t>
  </si>
  <si>
    <t>2KT4-PN0-YD65</t>
  </si>
  <si>
    <t>REYNOLDS</t>
  </si>
  <si>
    <t>5UF3-QK4-JG70</t>
  </si>
  <si>
    <t>Joseph</t>
  </si>
  <si>
    <t>sweeney Jr</t>
  </si>
  <si>
    <t>1GA7-NV6-DM50</t>
  </si>
  <si>
    <t>BANUCHI</t>
  </si>
  <si>
    <t>2Q29-FD2-TF35</t>
  </si>
  <si>
    <t>VICKY</t>
  </si>
  <si>
    <t>QUINTIN</t>
  </si>
  <si>
    <t>9GE6-NG9-RD54</t>
  </si>
  <si>
    <t>KAY</t>
  </si>
  <si>
    <t>PATTERSON</t>
  </si>
  <si>
    <t>3EM7-G77-GF72</t>
  </si>
  <si>
    <t>Orville</t>
  </si>
  <si>
    <t>Kemp</t>
  </si>
  <si>
    <t>3EC8-R17-WH65</t>
  </si>
  <si>
    <t>West</t>
  </si>
  <si>
    <t>4XP1-JX1-RR23</t>
  </si>
  <si>
    <t>DUFFY</t>
  </si>
  <si>
    <t>4GM2-UW9-KC19</t>
  </si>
  <si>
    <t>Case</t>
  </si>
  <si>
    <t>9WY4-H94-VW04</t>
  </si>
  <si>
    <t>LYDIA</t>
  </si>
  <si>
    <t>MORALEZ</t>
  </si>
  <si>
    <t>7NN6-CU0-NM58</t>
  </si>
  <si>
    <t>DORA</t>
  </si>
  <si>
    <t>RAMSEY</t>
  </si>
  <si>
    <t>3UV9-U45-KX23</t>
  </si>
  <si>
    <t>FREEMAN</t>
  </si>
  <si>
    <t>3Q06-JU6-AD71</t>
  </si>
  <si>
    <t>SAMULSKI</t>
  </si>
  <si>
    <t>5NQ1-EQ2-XH37</t>
  </si>
  <si>
    <t>Hood</t>
  </si>
  <si>
    <t>2JU6-XU0-QC55</t>
  </si>
  <si>
    <t>Roger</t>
  </si>
  <si>
    <t>5qu2-pf3-fd96</t>
  </si>
  <si>
    <t>MARTIN BOWERS</t>
  </si>
  <si>
    <t>3e22-c77-fj70</t>
  </si>
  <si>
    <t>8WK6-NC1-TG52</t>
  </si>
  <si>
    <t>TERRY</t>
  </si>
  <si>
    <t>CONRAD</t>
  </si>
  <si>
    <t>6RH8-F25-TE47</t>
  </si>
  <si>
    <t>2Y06-WV5-VM48</t>
  </si>
  <si>
    <t>Mercado</t>
  </si>
  <si>
    <t>6A16-GT5-GY79</t>
  </si>
  <si>
    <t>BYRD</t>
  </si>
  <si>
    <t>5A58-FJ9-NY43</t>
  </si>
  <si>
    <t>Overby</t>
  </si>
  <si>
    <t>5F38-HN3-DV30</t>
  </si>
  <si>
    <t>ALFRED</t>
  </si>
  <si>
    <t>GILLIS</t>
  </si>
  <si>
    <t>8D42-QT2-NE96</t>
  </si>
  <si>
    <t>CHRISTINE</t>
  </si>
  <si>
    <t>KLING</t>
  </si>
  <si>
    <t>2DE6-NA6-HP53</t>
  </si>
  <si>
    <t>1WX4-QN6-XN97</t>
  </si>
  <si>
    <t>Simmons</t>
  </si>
  <si>
    <t>5jm8-cc7-cw25</t>
  </si>
  <si>
    <t>ROBIN</t>
  </si>
  <si>
    <t>TATE</t>
  </si>
  <si>
    <t>5N68M17UX53</t>
  </si>
  <si>
    <t>DELOZIER</t>
  </si>
  <si>
    <t>9v95-r52-ww74</t>
  </si>
  <si>
    <t>9A87-CE2-EA66</t>
  </si>
  <si>
    <t>LIGHT</t>
  </si>
  <si>
    <t>8AX0MU7XF01</t>
  </si>
  <si>
    <t>3VM1-DH6-WJ35</t>
  </si>
  <si>
    <t>STEPHANIE</t>
  </si>
  <si>
    <t>HICKERSON</t>
  </si>
  <si>
    <t>1HN0-KX1-PG34</t>
  </si>
  <si>
    <t>HESS</t>
  </si>
  <si>
    <t>8W20-WQ4-NK09</t>
  </si>
  <si>
    <t>Timmons</t>
  </si>
  <si>
    <t>7XE2-WU9-XV98</t>
  </si>
  <si>
    <t>VAUGHN</t>
  </si>
  <si>
    <t>DUWYENIE</t>
  </si>
  <si>
    <t>5G22-KT3-AN91</t>
  </si>
  <si>
    <t>ROYCE</t>
  </si>
  <si>
    <t>BENNETT</t>
  </si>
  <si>
    <t>2M28-A48-UP32</t>
  </si>
  <si>
    <t>JOYCE</t>
  </si>
  <si>
    <t>BEATTY</t>
  </si>
  <si>
    <t>9PV4-R61-TX63</t>
  </si>
  <si>
    <t>CLARENCE</t>
  </si>
  <si>
    <t>BANFORTH</t>
  </si>
  <si>
    <t>4JU7-DD5-PA64</t>
  </si>
  <si>
    <t>EVERETTE</t>
  </si>
  <si>
    <t>PATTON</t>
  </si>
  <si>
    <t>5JU1MW0FT18</t>
  </si>
  <si>
    <t>JOANN</t>
  </si>
  <si>
    <t>COCOZZA</t>
  </si>
  <si>
    <t>4RV4-Q95-RP06</t>
  </si>
  <si>
    <t>KELVIN</t>
  </si>
  <si>
    <t>FOOTE</t>
  </si>
  <si>
    <t>6QU6-GA3-TD46</t>
  </si>
  <si>
    <t>LERMA</t>
  </si>
  <si>
    <t>1XJ9-E89-WP27</t>
  </si>
  <si>
    <t>KIMBERLY</t>
  </si>
  <si>
    <t>HOLBROOK</t>
  </si>
  <si>
    <t>6fx5-et1-fh63</t>
  </si>
  <si>
    <t>CLAY</t>
  </si>
  <si>
    <t>8KD8-UT7-WW30</t>
  </si>
  <si>
    <t>Bobby</t>
  </si>
  <si>
    <t>Manasco</t>
  </si>
  <si>
    <t>1JU0-PQ7-TT28</t>
  </si>
  <si>
    <t>Tarantino</t>
  </si>
  <si>
    <t>8T66-H71-PC65</t>
  </si>
  <si>
    <t>MARY ANN</t>
  </si>
  <si>
    <t>FERNALD</t>
  </si>
  <si>
    <t>1EK8-D38-MA37</t>
  </si>
  <si>
    <t>HARTMAN</t>
  </si>
  <si>
    <t>8PT1-CR2-MV19</t>
  </si>
  <si>
    <t>LORSIE</t>
  </si>
  <si>
    <t>9FX1GV2yd09</t>
  </si>
  <si>
    <t>MIRZA</t>
  </si>
  <si>
    <t>JABBAR</t>
  </si>
  <si>
    <t>4FM8-VY8-QR21</t>
  </si>
  <si>
    <t>703-398-6191</t>
  </si>
  <si>
    <t>Lopez</t>
  </si>
  <si>
    <t>6N42-QY1-AV19</t>
  </si>
  <si>
    <t>RAMIREZ</t>
  </si>
  <si>
    <t>8XQ9-C35-RQ33</t>
  </si>
  <si>
    <t>Jayne</t>
  </si>
  <si>
    <t>jones</t>
  </si>
  <si>
    <t>6F84-GM6-GX04</t>
  </si>
  <si>
    <t>Denis</t>
  </si>
  <si>
    <t>Blackwell</t>
  </si>
  <si>
    <t>4MD7-H19-RK79</t>
  </si>
  <si>
    <t>ROSIA</t>
  </si>
  <si>
    <t>WASHINGTON</t>
  </si>
  <si>
    <t>3AM3-EQ0-TM77</t>
  </si>
  <si>
    <t>7FP4-FX5-DP71</t>
  </si>
  <si>
    <t>JOSEPH</t>
  </si>
  <si>
    <t>BAER</t>
  </si>
  <si>
    <t>3RQ6-NA3-RV76</t>
  </si>
  <si>
    <t>DUFOUR</t>
  </si>
  <si>
    <t>6R83-XE8-GN87</t>
  </si>
  <si>
    <t>ILEAN</t>
  </si>
  <si>
    <t>WARD</t>
  </si>
  <si>
    <t>2J15-DN7-KQ82</t>
  </si>
  <si>
    <t>RILEY</t>
  </si>
  <si>
    <t>6WC4-XX2-NK88</t>
  </si>
  <si>
    <t>Elaine</t>
  </si>
  <si>
    <t>Spivey</t>
  </si>
  <si>
    <t>3dh6-dh3-uv41</t>
  </si>
  <si>
    <t>Hancock</t>
  </si>
  <si>
    <t>3M70-X74-AN16</t>
  </si>
  <si>
    <t>219-863-7888</t>
  </si>
  <si>
    <t>POTTER</t>
  </si>
  <si>
    <t>7EJ9-FY3-JY55</t>
  </si>
  <si>
    <t>4fn5-t73-uj85</t>
  </si>
  <si>
    <t>ACRES</t>
  </si>
  <si>
    <t>1F08-MF4-WX37</t>
  </si>
  <si>
    <t>SCHULTZ</t>
  </si>
  <si>
    <t>5WY6-RY9-KY86</t>
  </si>
  <si>
    <t>BYRON</t>
  </si>
  <si>
    <t>BYRNS</t>
  </si>
  <si>
    <t>8TU4-AG1-AP04</t>
  </si>
  <si>
    <t>Whigham</t>
  </si>
  <si>
    <t>9cm9-h61-qa47</t>
  </si>
  <si>
    <t>Jeanette</t>
  </si>
  <si>
    <t>Fine</t>
  </si>
  <si>
    <t>7C96-YK2-JF52</t>
  </si>
  <si>
    <t>PHAEDRA</t>
  </si>
  <si>
    <t>1YD6-GG0-MA51</t>
  </si>
  <si>
    <t>STARK</t>
  </si>
  <si>
    <t>1at0-qq4-xk11</t>
  </si>
  <si>
    <t>2TG7-M87-DR56</t>
  </si>
  <si>
    <t>CECILIA</t>
  </si>
  <si>
    <t>ASCANIO Diaz</t>
  </si>
  <si>
    <t>8V46-TM1-VA73</t>
  </si>
  <si>
    <t>COONS</t>
  </si>
  <si>
    <t>4MK3-KA3-VV73</t>
  </si>
  <si>
    <t>JARED</t>
  </si>
  <si>
    <t>RANGEL</t>
  </si>
  <si>
    <t>5WD7-FW9-WH76</t>
  </si>
  <si>
    <t>7VV7-EM7-QF59</t>
  </si>
  <si>
    <t>Isabelle</t>
  </si>
  <si>
    <t>McGriff Meadows</t>
  </si>
  <si>
    <t>5W52-KN6-RM02</t>
  </si>
  <si>
    <t>CLEVRON</t>
  </si>
  <si>
    <t>BUCKLEY</t>
  </si>
  <si>
    <t>8VJ6-TN7-UV82</t>
  </si>
  <si>
    <t>FAVORS</t>
  </si>
  <si>
    <t>3D19-PU1-XF34</t>
  </si>
  <si>
    <t>Parrott</t>
  </si>
  <si>
    <t>7A87-D39-GC78</t>
  </si>
  <si>
    <t>MADER</t>
  </si>
  <si>
    <t>7FA3-VR0-EY90</t>
  </si>
  <si>
    <t>Sharon</t>
  </si>
  <si>
    <t>Going</t>
  </si>
  <si>
    <t>2GQ7-RR7-CA51</t>
  </si>
  <si>
    <t>CADLE</t>
  </si>
  <si>
    <t>1HH8-FE3-QN35</t>
  </si>
  <si>
    <t>Owens</t>
  </si>
  <si>
    <t>2MT7-FQ2-CU58</t>
  </si>
  <si>
    <t>Winston</t>
  </si>
  <si>
    <t>Cadette</t>
  </si>
  <si>
    <t>6A08-HD6-CG64</t>
  </si>
  <si>
    <t>MERRIEL</t>
  </si>
  <si>
    <t>6AX5-CU7-DK55</t>
  </si>
  <si>
    <t>CARLOS</t>
  </si>
  <si>
    <t>DELAROSA</t>
  </si>
  <si>
    <t>7J18-C88-CT24</t>
  </si>
  <si>
    <t>NELSON</t>
  </si>
  <si>
    <t>2PR7-RH5-UR45</t>
  </si>
  <si>
    <t>5UP7-GP6-WD72</t>
  </si>
  <si>
    <t>HOGUE</t>
  </si>
  <si>
    <t>8N38-CM5-EV30</t>
  </si>
  <si>
    <t>Ann</t>
  </si>
  <si>
    <t>ASHAUER</t>
  </si>
  <si>
    <t>5Q08-QF4-RG54</t>
  </si>
  <si>
    <t>VERNON</t>
  </si>
  <si>
    <t>4WW0-JQ3-JY15</t>
  </si>
  <si>
    <t>6FH4-KQ3-UN65</t>
  </si>
  <si>
    <t>EDNA</t>
  </si>
  <si>
    <t>LESTER</t>
  </si>
  <si>
    <t>8EF7-JJ4-QH49</t>
  </si>
  <si>
    <t>ARNOLD</t>
  </si>
  <si>
    <t>1P65-RP6-KQ87</t>
  </si>
  <si>
    <t>NUGENT</t>
  </si>
  <si>
    <t>9WJ0-X85-CF49</t>
  </si>
  <si>
    <t>ISAAC</t>
  </si>
  <si>
    <t>BURGOS</t>
  </si>
  <si>
    <t>6RF1-DG1-GG28</t>
  </si>
  <si>
    <t>WISNIEWSKI</t>
  </si>
  <si>
    <t>5YT6-JU7-RC64</t>
  </si>
  <si>
    <t>GUYNN</t>
  </si>
  <si>
    <t>1ku7-ye6-ne76</t>
  </si>
  <si>
    <t>KIRK</t>
  </si>
  <si>
    <t>8KD4-DE5-FX79</t>
  </si>
  <si>
    <t>ROBERTO</t>
  </si>
  <si>
    <t>HINJOSA</t>
  </si>
  <si>
    <t>3TW6-JX7-PC76</t>
  </si>
  <si>
    <t>LAPIN</t>
  </si>
  <si>
    <t>6MN2-M62-JF13</t>
  </si>
  <si>
    <t>KING</t>
  </si>
  <si>
    <t>7WA2-CY3-DE11</t>
  </si>
  <si>
    <t>Gwendolyn</t>
  </si>
  <si>
    <t>6XN9-YN5-RG24</t>
  </si>
  <si>
    <t>2KM6-Q05-MJ55</t>
  </si>
  <si>
    <t>MELISSA</t>
  </si>
  <si>
    <t>MCWILLIAMS</t>
  </si>
  <si>
    <t>2CW1-T04-CN06</t>
  </si>
  <si>
    <t>RODRIGUEZ</t>
  </si>
  <si>
    <t>4je5-g61-km71</t>
  </si>
  <si>
    <t>BERTHA</t>
  </si>
  <si>
    <t>KISER</t>
  </si>
  <si>
    <t>4G87-NE2-MQ59</t>
  </si>
  <si>
    <t>ALLEN</t>
  </si>
  <si>
    <t>2CH6-FA2-MA84</t>
  </si>
  <si>
    <t>ROBENA</t>
  </si>
  <si>
    <t>LOGAN</t>
  </si>
  <si>
    <t>2JV3-F88-JW01</t>
  </si>
  <si>
    <t>ROSA</t>
  </si>
  <si>
    <t>SALAS</t>
  </si>
  <si>
    <t>4dt5-nh7-cg98</t>
  </si>
  <si>
    <t>CLEMONS</t>
  </si>
  <si>
    <t>2R16-WN5-MK50</t>
  </si>
  <si>
    <t>LUCILLE</t>
  </si>
  <si>
    <t>MARSINKA</t>
  </si>
  <si>
    <t>5QM7-CD7-QH54</t>
  </si>
  <si>
    <t>WASHKOVIAK</t>
  </si>
  <si>
    <t>5Y35-U55-TT95</t>
  </si>
  <si>
    <t>MARSHA</t>
  </si>
  <si>
    <t>COMPTON</t>
  </si>
  <si>
    <t>6U63-GG5-WM13</t>
  </si>
  <si>
    <t>KEELYE</t>
  </si>
  <si>
    <t>TOMLINSON</t>
  </si>
  <si>
    <t>3G32-FJ5-XJ19</t>
  </si>
  <si>
    <t>MCNAIR</t>
  </si>
  <si>
    <t>7C78-K05-GR49</t>
  </si>
  <si>
    <t>Thomas branson</t>
  </si>
  <si>
    <t>wood</t>
  </si>
  <si>
    <t>1EM4-HJ0-YY67</t>
  </si>
  <si>
    <t>RAYMOND</t>
  </si>
  <si>
    <t>GREEN</t>
  </si>
  <si>
    <t>5V30-UV9-GA02</t>
  </si>
  <si>
    <t>Murschel</t>
  </si>
  <si>
    <t>8KV8-RW5-AC36</t>
  </si>
  <si>
    <t>PARKER</t>
  </si>
  <si>
    <t>5PC6-UW0-NM59</t>
  </si>
  <si>
    <t>Adolphus</t>
  </si>
  <si>
    <t>Benson</t>
  </si>
  <si>
    <t>1UJ6-D84-WH72</t>
  </si>
  <si>
    <t>TRESA</t>
  </si>
  <si>
    <t>7kv9-g37-ym54</t>
  </si>
  <si>
    <t>Gabriel</t>
  </si>
  <si>
    <t>Goss</t>
  </si>
  <si>
    <t>1HT0-F78-NH10</t>
  </si>
  <si>
    <t>9f41ky3uc24</t>
  </si>
  <si>
    <t>HENDRICKS</t>
  </si>
  <si>
    <t>5x78-g68-wd57</t>
  </si>
  <si>
    <t>RUBY</t>
  </si>
  <si>
    <t>SHERMAN PRESCOTT</t>
  </si>
  <si>
    <t>1X06-EP5-QE42</t>
  </si>
  <si>
    <t>LYNETTE</t>
  </si>
  <si>
    <t>KWEITKO</t>
  </si>
  <si>
    <t>7Q95-X49-FX75</t>
  </si>
  <si>
    <t>ANDRES</t>
  </si>
  <si>
    <t>MARTINEZ</t>
  </si>
  <si>
    <t>9DP1-W21-RN39</t>
  </si>
  <si>
    <t>APODACA</t>
  </si>
  <si>
    <t>3JE2-NT9-XC22</t>
  </si>
  <si>
    <t>2MH6-C64-MD76</t>
  </si>
  <si>
    <t>RANDALL</t>
  </si>
  <si>
    <t>YAZZIE</t>
  </si>
  <si>
    <t>6XC3-R22-WW87</t>
  </si>
  <si>
    <t>TISH</t>
  </si>
  <si>
    <t>6y10-xj5-pr03</t>
  </si>
  <si>
    <t>DUKE</t>
  </si>
  <si>
    <t>6RY4-Y43-DV64</t>
  </si>
  <si>
    <t>PERRET</t>
  </si>
  <si>
    <t>9yv8-pc0-wt29</t>
  </si>
  <si>
    <t>7HD6-Q88-CR54</t>
  </si>
  <si>
    <t>Donald</t>
  </si>
  <si>
    <t>KENNEDY</t>
  </si>
  <si>
    <t>7w11-dv3-dq11</t>
  </si>
  <si>
    <t>Eula</t>
  </si>
  <si>
    <t>Kennedy</t>
  </si>
  <si>
    <t>5NG6-HY7-FT50</t>
  </si>
  <si>
    <t>ILDI</t>
  </si>
  <si>
    <t>GUIGNETTE</t>
  </si>
  <si>
    <t>4TH3-GK7-GT19</t>
  </si>
  <si>
    <t>VIRGINIA</t>
  </si>
  <si>
    <t>4CQ0-VC0-EW18</t>
  </si>
  <si>
    <t>6RC4-PT5-AF93</t>
  </si>
  <si>
    <t>FLAVIA</t>
  </si>
  <si>
    <t>MORENO</t>
  </si>
  <si>
    <t>2HW9-UF3-QK24</t>
  </si>
  <si>
    <t>Leon</t>
  </si>
  <si>
    <t>McMillan</t>
  </si>
  <si>
    <t>9MX7-ND6-NP57</t>
  </si>
  <si>
    <t>PATRICK</t>
  </si>
  <si>
    <t>HOBERG</t>
  </si>
  <si>
    <t>5GW7-JQ9-FX44</t>
  </si>
  <si>
    <t>CHARLIE</t>
  </si>
  <si>
    <t>7kU2-UH5-AP25</t>
  </si>
  <si>
    <t>ANNIE</t>
  </si>
  <si>
    <t>PARKS</t>
  </si>
  <si>
    <t>9VN8-XJ0-FQ41</t>
  </si>
  <si>
    <t>Phyllis</t>
  </si>
  <si>
    <t>Dean</t>
  </si>
  <si>
    <t>6D97-VF7-UN40</t>
  </si>
  <si>
    <t>INDRAWATI</t>
  </si>
  <si>
    <t>GO</t>
  </si>
  <si>
    <t>5G17-T78-KM39</t>
  </si>
  <si>
    <t>WILLEANER</t>
  </si>
  <si>
    <t>5R98-KJ0-GN57</t>
  </si>
  <si>
    <t>Ervin</t>
  </si>
  <si>
    <t>richardson</t>
  </si>
  <si>
    <t>1NJ6-JP2-RU81</t>
  </si>
  <si>
    <t>HERNANDEZ</t>
  </si>
  <si>
    <t>8j18-ga9-um29</t>
  </si>
  <si>
    <t>4QY0-UX7-HA28</t>
  </si>
  <si>
    <t>Phipps</t>
  </si>
  <si>
    <t>5T30-X68-WW10</t>
  </si>
  <si>
    <t>CAROLYN</t>
  </si>
  <si>
    <t>BARKER</t>
  </si>
  <si>
    <t>4N31-U08-HD14</t>
  </si>
  <si>
    <t>AUSTIN</t>
  </si>
  <si>
    <t>SIMPSON</t>
  </si>
  <si>
    <t>1A50-TM7-GU09</t>
  </si>
  <si>
    <t>ROBLES</t>
  </si>
  <si>
    <t>9JX7-P34-FP68</t>
  </si>
  <si>
    <t>FOWLER</t>
  </si>
  <si>
    <t>7A98-N22-DW25</t>
  </si>
  <si>
    <t>HEIDE</t>
  </si>
  <si>
    <t>HOFFLEIT</t>
  </si>
  <si>
    <t>9KQ9-WD4-EJ28</t>
  </si>
  <si>
    <t>ISBELL</t>
  </si>
  <si>
    <t>4W56-GD2-RF40</t>
  </si>
  <si>
    <t>STEPHEN</t>
  </si>
  <si>
    <t>SKAGGS</t>
  </si>
  <si>
    <t>7JU9-YK0-UV49</t>
  </si>
  <si>
    <t>WINGFIELD</t>
  </si>
  <si>
    <t>3Y33-DM3-HU17</t>
  </si>
  <si>
    <t>MATIENZO</t>
  </si>
  <si>
    <t>1E43-UN7-PH09</t>
  </si>
  <si>
    <t>BADIENE</t>
  </si>
  <si>
    <t>RANSOM</t>
  </si>
  <si>
    <t>7jh5-ga6-kh51</t>
  </si>
  <si>
    <t>CICERO</t>
  </si>
  <si>
    <t>2GP5-TV6-DD62</t>
  </si>
  <si>
    <t>Cheryl</t>
  </si>
  <si>
    <t>4WD1-XV9-PK19</t>
  </si>
  <si>
    <t>DEATON</t>
  </si>
  <si>
    <t>5FW2-XH7-ED90</t>
  </si>
  <si>
    <t>BEARDSLEE</t>
  </si>
  <si>
    <t>8E32-DG8-TP22</t>
  </si>
  <si>
    <t>Roberto</t>
  </si>
  <si>
    <t>Santiago</t>
  </si>
  <si>
    <t>6RD6-DJ0-FH57</t>
  </si>
  <si>
    <t>Lillian</t>
  </si>
  <si>
    <t>Meade</t>
  </si>
  <si>
    <t>6G75-CR0-FN75</t>
  </si>
  <si>
    <t>Lee</t>
  </si>
  <si>
    <t>Ray Lee</t>
  </si>
  <si>
    <t>8GX6-C14-CU52</t>
  </si>
  <si>
    <t>GILBERTO</t>
  </si>
  <si>
    <t>CHAPOY</t>
  </si>
  <si>
    <t>3D68-WX8-CE67</t>
  </si>
  <si>
    <t>Roy</t>
  </si>
  <si>
    <t>5GA6-Q62-RG54</t>
  </si>
  <si>
    <t>5MU5-U59-YQ76</t>
  </si>
  <si>
    <t>Myers</t>
  </si>
  <si>
    <t>2F59-YU4-KF57</t>
  </si>
  <si>
    <t>KARL</t>
  </si>
  <si>
    <t>DIEKER</t>
  </si>
  <si>
    <t>7FM6-UG7-MN48</t>
  </si>
  <si>
    <t>8RP2-KG7-HY19</t>
  </si>
  <si>
    <t>6CE1-Y68-WN01</t>
  </si>
  <si>
    <t>BROCK</t>
  </si>
  <si>
    <t>9XJ1-AF0-YR09</t>
  </si>
  <si>
    <t>CARPENTIER</t>
  </si>
  <si>
    <t>8XF6-M26-RQ74</t>
  </si>
  <si>
    <t>8AR1-JM5-KN31</t>
  </si>
  <si>
    <t>AIKEY</t>
  </si>
  <si>
    <t>8J22-QT3-TV27</t>
  </si>
  <si>
    <t>TOMBLIN</t>
  </si>
  <si>
    <t>9UW3-QK2-NY05</t>
  </si>
  <si>
    <t>ERIC</t>
  </si>
  <si>
    <t>HOPPER</t>
  </si>
  <si>
    <t>3KE8H40CT26</t>
  </si>
  <si>
    <t>VELASCO</t>
  </si>
  <si>
    <t>9U22-R71-GP11</t>
  </si>
  <si>
    <t>Randal-wendy</t>
  </si>
  <si>
    <t>Chase</t>
  </si>
  <si>
    <t>8EF9-U78-KE26</t>
  </si>
  <si>
    <t>Richburg</t>
  </si>
  <si>
    <t>1wp7-qa9-kx47</t>
  </si>
  <si>
    <t>Wilma</t>
  </si>
  <si>
    <t>Bowen</t>
  </si>
  <si>
    <t>7W05-MR0-HU64</t>
  </si>
  <si>
    <t>LAMOM</t>
  </si>
  <si>
    <t>KLEIN</t>
  </si>
  <si>
    <t>8X64-XX0-KT89</t>
  </si>
  <si>
    <t>NASCO</t>
  </si>
  <si>
    <t>6G31-VD2-WH18</t>
  </si>
  <si>
    <t>7DF5-JK9-CT77</t>
  </si>
  <si>
    <t>CREASEY</t>
  </si>
  <si>
    <t>8AW4-HC1-QM05</t>
  </si>
  <si>
    <t>TIVONE</t>
  </si>
  <si>
    <t>LUSK</t>
  </si>
  <si>
    <t>4YD2-HT3-CD23</t>
  </si>
  <si>
    <t>RAMON</t>
  </si>
  <si>
    <t>6J96-A27-CJ55</t>
  </si>
  <si>
    <t>6C40-TP2-VK41</t>
  </si>
  <si>
    <t>Carolyn</t>
  </si>
  <si>
    <t>Shaffer</t>
  </si>
  <si>
    <t>5WP9-FD0-YX28</t>
  </si>
  <si>
    <t>BROWN-MAULDIN</t>
  </si>
  <si>
    <t>9RU0-UW0-EC15</t>
  </si>
  <si>
    <t>Betty</t>
  </si>
  <si>
    <t>MYERS</t>
  </si>
  <si>
    <t>6RW1-VK2-CW93</t>
  </si>
  <si>
    <t>FREDDIE</t>
  </si>
  <si>
    <t>ZEGAR</t>
  </si>
  <si>
    <t>8WP4-QX3-EX90</t>
  </si>
  <si>
    <t>5XV0-A25-DJ12</t>
  </si>
  <si>
    <t>RUSSELL</t>
  </si>
  <si>
    <t>FRANKENBERG</t>
  </si>
  <si>
    <t>8Y87-QC6-KQ59</t>
  </si>
  <si>
    <t>GLINDA</t>
  </si>
  <si>
    <t>CURRY</t>
  </si>
  <si>
    <t>3QC3-VF7-CR73</t>
  </si>
  <si>
    <t>ISABEL</t>
  </si>
  <si>
    <t>7T95-P94-RY67</t>
  </si>
  <si>
    <t>6HQ1-K38-VJ08</t>
  </si>
  <si>
    <t>LYDIA R</t>
  </si>
  <si>
    <t>GONZALES</t>
  </si>
  <si>
    <t>3T46-QY2-AC64</t>
  </si>
  <si>
    <t>6DY8-GE2-KH54</t>
  </si>
  <si>
    <t>8NH8-DY2-XQ56</t>
  </si>
  <si>
    <t>Laura</t>
  </si>
  <si>
    <t>Cheek</t>
  </si>
  <si>
    <t>6H80-KG5-GA07</t>
  </si>
  <si>
    <t>318-669-5510</t>
  </si>
  <si>
    <t>5G39-RV1-VU56</t>
  </si>
  <si>
    <t>CYNTHIA</t>
  </si>
  <si>
    <t>SHANE</t>
  </si>
  <si>
    <t>7DQ5-MW8-NH67</t>
  </si>
  <si>
    <t>ANTONIO</t>
  </si>
  <si>
    <t>VASQUEZ</t>
  </si>
  <si>
    <t>8AR4-AV6-MH80</t>
  </si>
  <si>
    <t>ALEXANDER</t>
  </si>
  <si>
    <t>1n70-nn1-yd47</t>
  </si>
  <si>
    <t>ARBUCKLE</t>
  </si>
  <si>
    <t>8X83-VE3-HY86</t>
  </si>
  <si>
    <t>Marquis</t>
  </si>
  <si>
    <t>3MN4-AX4-PY78</t>
  </si>
  <si>
    <t>945-349-4042</t>
  </si>
  <si>
    <t>FOX</t>
  </si>
  <si>
    <t>6Q65-PQ5-GC96</t>
  </si>
  <si>
    <t>1CN4-E72-YG03</t>
  </si>
  <si>
    <t>CRAYCROFT</t>
  </si>
  <si>
    <t>1FM1-RE4-TH04</t>
  </si>
  <si>
    <t>THELMA</t>
  </si>
  <si>
    <t>7C26-P78-AT74</t>
  </si>
  <si>
    <t>TORRES</t>
  </si>
  <si>
    <t>2WK8-PV1-TG42</t>
  </si>
  <si>
    <t>CALZADA</t>
  </si>
  <si>
    <t>1QN5-KK9-DT53</t>
  </si>
  <si>
    <t>ALICE</t>
  </si>
  <si>
    <t>BENENATE</t>
  </si>
  <si>
    <t>8TE3-CG5-QT96</t>
  </si>
  <si>
    <t>MELVIN</t>
  </si>
  <si>
    <t>VIRE</t>
  </si>
  <si>
    <t>8K96-WK5-UR51</t>
  </si>
  <si>
    <t>8JG8-YG1-VG29</t>
  </si>
  <si>
    <t>SWAMI</t>
  </si>
  <si>
    <t>SUDDHANANDA</t>
  </si>
  <si>
    <t>9XD5-QD2-FT74</t>
  </si>
  <si>
    <t>4P37-RU3-CM31</t>
  </si>
  <si>
    <t>RYANS</t>
  </si>
  <si>
    <t>4M57-RR4-WN64</t>
  </si>
  <si>
    <t>GLOVER</t>
  </si>
  <si>
    <t>6CW9-YN3-FR19</t>
  </si>
  <si>
    <t>BROCKWAY</t>
  </si>
  <si>
    <t>8J44-YW1-YN63</t>
  </si>
  <si>
    <t>Carlos</t>
  </si>
  <si>
    <t>Roldos</t>
  </si>
  <si>
    <t>6DF3-CK4-UY11</t>
  </si>
  <si>
    <t>GARRIS</t>
  </si>
  <si>
    <t>2F70-TT7-PU21</t>
  </si>
  <si>
    <t>DOUGLAS</t>
  </si>
  <si>
    <t>BLEVINS</t>
  </si>
  <si>
    <t>3J68-ME9-WH41</t>
  </si>
  <si>
    <t>Morgan</t>
  </si>
  <si>
    <t>9cw2-fm1-pn26</t>
  </si>
  <si>
    <t>LAWRENCE</t>
  </si>
  <si>
    <t>SWEAT</t>
  </si>
  <si>
    <t>1XQ9-AC9-QJ30</t>
  </si>
  <si>
    <t>Vicki</t>
  </si>
  <si>
    <t>Gaudio</t>
  </si>
  <si>
    <t>5AJ1-AH2-FP27</t>
  </si>
  <si>
    <t>SHELLEY</t>
  </si>
  <si>
    <t>DREWS</t>
  </si>
  <si>
    <t>6AM7-G58-DK36</t>
  </si>
  <si>
    <t>SUMMERS</t>
  </si>
  <si>
    <t>2av8-ju4-xh31</t>
  </si>
  <si>
    <t>MCCOY</t>
  </si>
  <si>
    <t>7XY6-EY3-KC79</t>
  </si>
  <si>
    <t>Smith</t>
  </si>
  <si>
    <t>4DY5-YT3-AY87</t>
  </si>
  <si>
    <t>MAYO</t>
  </si>
  <si>
    <t>4NG7-VN3-RW61</t>
  </si>
  <si>
    <t>9F04-DN7-JJ76</t>
  </si>
  <si>
    <t>9GD3-A89-DJ90</t>
  </si>
  <si>
    <t>HALL</t>
  </si>
  <si>
    <t>2DD1-M62-EX09</t>
  </si>
  <si>
    <t>JASON</t>
  </si>
  <si>
    <t>ATWELL</t>
  </si>
  <si>
    <t>1VG2-W92-YQ16</t>
  </si>
  <si>
    <t>LOUMANDA</t>
  </si>
  <si>
    <t>BAUCAM</t>
  </si>
  <si>
    <t>9WT8-A43-KU57</t>
  </si>
  <si>
    <t>VANDERVORT</t>
  </si>
  <si>
    <t>7EX5-AN8-VV53</t>
  </si>
  <si>
    <t>EDWARDS</t>
  </si>
  <si>
    <t>9H87-K48-YU62</t>
  </si>
  <si>
    <t>AQUINO</t>
  </si>
  <si>
    <t>7NY9-E33-AD49</t>
  </si>
  <si>
    <t>8JD2-JM6-JC21</t>
  </si>
  <si>
    <t>Gerry</t>
  </si>
  <si>
    <t>Leonard</t>
  </si>
  <si>
    <t>4FT1-D52-FN23</t>
  </si>
  <si>
    <t>Haskell</t>
  </si>
  <si>
    <t>2CF0-RR6-WK01</t>
  </si>
  <si>
    <t>BOBBIE</t>
  </si>
  <si>
    <t>SPARKS</t>
  </si>
  <si>
    <t>9AH5F77MK73</t>
  </si>
  <si>
    <t>1AC6-NW3-QU45</t>
  </si>
  <si>
    <t>CARRINE</t>
  </si>
  <si>
    <t>MOORE</t>
  </si>
  <si>
    <t>6HK8-M17-AP10</t>
  </si>
  <si>
    <t>GEREALD</t>
  </si>
  <si>
    <t>DELANEY</t>
  </si>
  <si>
    <t>3R90-C05-WQ39</t>
  </si>
  <si>
    <t>BINKLEY</t>
  </si>
  <si>
    <t>9PP1-A13-TE13</t>
  </si>
  <si>
    <t>LOUISE</t>
  </si>
  <si>
    <t>JENKINS</t>
  </si>
  <si>
    <t>9M54-PE8-HN03</t>
  </si>
  <si>
    <t>Carl</t>
  </si>
  <si>
    <t>Angry</t>
  </si>
  <si>
    <t>7A88-KC2-PW24</t>
  </si>
  <si>
    <t>CURTIS</t>
  </si>
  <si>
    <t>3HY2-J99-NA70</t>
  </si>
  <si>
    <t>FADNESS</t>
  </si>
  <si>
    <t>7D50-W40-VX22</t>
  </si>
  <si>
    <t>Marple</t>
  </si>
  <si>
    <t>9GP7-WX4-HX77</t>
  </si>
  <si>
    <t>ALAN</t>
  </si>
  <si>
    <t>CHRISTIE</t>
  </si>
  <si>
    <t>7PH1-VX8-UA95</t>
  </si>
  <si>
    <t>MCMORRIS</t>
  </si>
  <si>
    <t>1U46-WY3-NR75</t>
  </si>
  <si>
    <t>HUNEKE</t>
  </si>
  <si>
    <t>3M41-M93-GM12</t>
  </si>
  <si>
    <t>REITZELL</t>
  </si>
  <si>
    <t>1fq2-kp0-gr84</t>
  </si>
  <si>
    <t>JANA</t>
  </si>
  <si>
    <t>1C64-C16-WJ72</t>
  </si>
  <si>
    <t>Rudy</t>
  </si>
  <si>
    <t>Johnson</t>
  </si>
  <si>
    <t>5NX9-M83-TG32</t>
  </si>
  <si>
    <t>ROCHA</t>
  </si>
  <si>
    <t>5JP1-XF8-AT04</t>
  </si>
  <si>
    <t>ISATU</t>
  </si>
  <si>
    <t>FOFANAH</t>
  </si>
  <si>
    <t>7FA7-EU5-RY30</t>
  </si>
  <si>
    <t>Matthew</t>
  </si>
  <si>
    <t>Dickman</t>
  </si>
  <si>
    <t>7E31-NN7-TJ10</t>
  </si>
  <si>
    <t>EDITH</t>
  </si>
  <si>
    <t>2YY0-EU2-MR21</t>
  </si>
  <si>
    <t>DAWSON</t>
  </si>
  <si>
    <t>4A09-XF4-RJ26</t>
  </si>
  <si>
    <t>Campbell</t>
  </si>
  <si>
    <t>8DA4-DH0-PX07</t>
  </si>
  <si>
    <t>6d08-re5-gd61</t>
  </si>
  <si>
    <t>OLEN</t>
  </si>
  <si>
    <t>POLSON</t>
  </si>
  <si>
    <t>1P67-PQ0-WP46</t>
  </si>
  <si>
    <t>Littlejohn</t>
  </si>
  <si>
    <t>4GM3-W40-EH03</t>
  </si>
  <si>
    <t>SPAINHOUR</t>
  </si>
  <si>
    <t>5K13-P09-HX70</t>
  </si>
  <si>
    <t>Chris</t>
  </si>
  <si>
    <t>DeMott</t>
  </si>
  <si>
    <t>9J54-XV5-JJ71</t>
  </si>
  <si>
    <t>LEBOEUF</t>
  </si>
  <si>
    <t>1N64-VY6-XC06</t>
  </si>
  <si>
    <t>Cleota</t>
  </si>
  <si>
    <t>Bishop</t>
  </si>
  <si>
    <t>3T52-AU6-CC95</t>
  </si>
  <si>
    <t>GREER</t>
  </si>
  <si>
    <t>7FH1-F20-ET10</t>
  </si>
  <si>
    <t>Harrell</t>
  </si>
  <si>
    <t>3A65-VP9-CA74</t>
  </si>
  <si>
    <t>Lacy</t>
  </si>
  <si>
    <t>3UQ2-JN1-PV17</t>
  </si>
  <si>
    <t>Cheeseman</t>
  </si>
  <si>
    <t>6R86-QW9-AH63</t>
  </si>
  <si>
    <t>9VA6-T74-AX57</t>
  </si>
  <si>
    <t>RIEMAN</t>
  </si>
  <si>
    <t>9KK1-P04-KJ04</t>
  </si>
  <si>
    <t>DENNY</t>
  </si>
  <si>
    <t>1KC7-VD3-FY59</t>
  </si>
  <si>
    <t>WINDING</t>
  </si>
  <si>
    <t>2ae7-fg1-mp63</t>
  </si>
  <si>
    <t>6CP1-RP0-WY10</t>
  </si>
  <si>
    <t>GRIGGS</t>
  </si>
  <si>
    <t>5DP6-W07-VQ72</t>
  </si>
  <si>
    <t>BRIDGEMON</t>
  </si>
  <si>
    <t>6D20-KX0-JD03</t>
  </si>
  <si>
    <t>THERESE</t>
  </si>
  <si>
    <t>6VE8-HY0-FY51</t>
  </si>
  <si>
    <t>DILL</t>
  </si>
  <si>
    <t>2DE8-j58-VP23</t>
  </si>
  <si>
    <t>DENISE</t>
  </si>
  <si>
    <t>ROOKER</t>
  </si>
  <si>
    <t>5NM7-EH8-CP49</t>
  </si>
  <si>
    <t>LIGON</t>
  </si>
  <si>
    <t>1C85-X33-HF71</t>
  </si>
  <si>
    <t>FULBRIGHT</t>
  </si>
  <si>
    <t>8P00-X44-PQ21</t>
  </si>
  <si>
    <t>FRANCES</t>
  </si>
  <si>
    <t>WOLFE</t>
  </si>
  <si>
    <t>1QU7-Q73-QM33</t>
  </si>
  <si>
    <t>SUZANNE</t>
  </si>
  <si>
    <t>INGRAM</t>
  </si>
  <si>
    <t>6ET4-D60-EX81</t>
  </si>
  <si>
    <t>EVA</t>
  </si>
  <si>
    <t>SCOTT</t>
  </si>
  <si>
    <t>4AF6-PP2-AP64</t>
  </si>
  <si>
    <t>7AD8-PC2-UX58</t>
  </si>
  <si>
    <t>FLOWERS</t>
  </si>
  <si>
    <t>5NH0-FE3-EV01</t>
  </si>
  <si>
    <t>SHIRLEEN</t>
  </si>
  <si>
    <t>7J30-Y13-YP43</t>
  </si>
  <si>
    <t>WATSON</t>
  </si>
  <si>
    <t>7C81A63XH33</t>
  </si>
  <si>
    <t>7NV7-K40-EH51</t>
  </si>
  <si>
    <t>Pete</t>
  </si>
  <si>
    <t>Woodward</t>
  </si>
  <si>
    <t>5MY4-A26-MW95</t>
  </si>
  <si>
    <t>CRAIG</t>
  </si>
  <si>
    <t>BLOHM</t>
  </si>
  <si>
    <t>6YY5-XY8-GX56</t>
  </si>
  <si>
    <t>8QW2-D40-PJ02</t>
  </si>
  <si>
    <t>COLE</t>
  </si>
  <si>
    <t>5ET6-TT6-TU40</t>
  </si>
  <si>
    <t>DOXIE</t>
  </si>
  <si>
    <t>2V47-N42-XD45</t>
  </si>
  <si>
    <t>3T96-KF5-VR61</t>
  </si>
  <si>
    <t>AARON</t>
  </si>
  <si>
    <t>OVERBY</t>
  </si>
  <si>
    <t>3JH1-E49-AY24</t>
  </si>
  <si>
    <t>RANDY</t>
  </si>
  <si>
    <t>NICHOLS</t>
  </si>
  <si>
    <t>2XU7-C71-FN54</t>
  </si>
  <si>
    <t>RODGER</t>
  </si>
  <si>
    <t>CORKE</t>
  </si>
  <si>
    <t>5n56-yv8-nu79</t>
  </si>
  <si>
    <t>EVELYN</t>
  </si>
  <si>
    <t>9AQ6-D42-GJ88</t>
  </si>
  <si>
    <t>OLIVER</t>
  </si>
  <si>
    <t>5E82-NN0-FH12</t>
  </si>
  <si>
    <t>TERENCE</t>
  </si>
  <si>
    <t>HANSPARD</t>
  </si>
  <si>
    <t>3K00-VN6-MG14</t>
  </si>
  <si>
    <t>Joyner</t>
  </si>
  <si>
    <t>9J27-WH7-YQ73</t>
  </si>
  <si>
    <t>Harold</t>
  </si>
  <si>
    <t>Willey</t>
  </si>
  <si>
    <t>6XM8-RF2-DN40</t>
  </si>
  <si>
    <t>PHYLLIS</t>
  </si>
  <si>
    <t>LEONARD</t>
  </si>
  <si>
    <t>8VK5-HD3-UU82</t>
  </si>
  <si>
    <t>TAILLON</t>
  </si>
  <si>
    <t>5F91-UD0-GV14</t>
  </si>
  <si>
    <t>MARTHA</t>
  </si>
  <si>
    <t>9UE7-FT3-JC73</t>
  </si>
  <si>
    <t>BERNADINE</t>
  </si>
  <si>
    <t>VAZQUEZ QUINONES</t>
  </si>
  <si>
    <t>4MC2-TN9-YH86</t>
  </si>
  <si>
    <t>AMOS</t>
  </si>
  <si>
    <t>TIPPENS</t>
  </si>
  <si>
    <t>2K20-RT0-DW28</t>
  </si>
  <si>
    <t>FLETCHER</t>
  </si>
  <si>
    <t>8qc6-c03-cx50</t>
  </si>
  <si>
    <t>MACLEAN</t>
  </si>
  <si>
    <t>5cn7-cg0-wy50</t>
  </si>
  <si>
    <t>Tammy</t>
  </si>
  <si>
    <t>3XQ8-EA6-HH37</t>
  </si>
  <si>
    <t>DERRICK</t>
  </si>
  <si>
    <t>9KQ5-DT4-TK79</t>
  </si>
  <si>
    <t>Baker</t>
  </si>
  <si>
    <t>3A80-CK4-XU32</t>
  </si>
  <si>
    <t>8jg4-m73-ee97</t>
  </si>
  <si>
    <t>Paul</t>
  </si>
  <si>
    <t>1WK2-PX2-MC08</t>
  </si>
  <si>
    <t>7NM1Q30HJ95</t>
  </si>
  <si>
    <t>MARTELL</t>
  </si>
  <si>
    <t>5R44-F48-VU78</t>
  </si>
  <si>
    <t>JUAN</t>
  </si>
  <si>
    <t>RUEDA</t>
  </si>
  <si>
    <t>6TF6-F90-KN43</t>
  </si>
  <si>
    <t>1EA4-J83-GM50</t>
  </si>
  <si>
    <t>DEL</t>
  </si>
  <si>
    <t>LOVINS</t>
  </si>
  <si>
    <t>7kk5-yy1-xk74</t>
  </si>
  <si>
    <t>4XW5-YK6-PG81</t>
  </si>
  <si>
    <t>5CR0-R30-WW00</t>
  </si>
  <si>
    <t>Gustafson SR</t>
  </si>
  <si>
    <t>4T61-TQ2-TE18</t>
  </si>
  <si>
    <t>PRICE</t>
  </si>
  <si>
    <t>2y06-er0-hm58</t>
  </si>
  <si>
    <t>KAUSHALYA</t>
  </si>
  <si>
    <t>CHARAN DE</t>
  </si>
  <si>
    <t>8HM6-V61-MR81</t>
  </si>
  <si>
    <t>ROBERTSON</t>
  </si>
  <si>
    <t>6J03-D78-KM70</t>
  </si>
  <si>
    <t>Griffith</t>
  </si>
  <si>
    <t>7JA6-WG6-TK57</t>
  </si>
  <si>
    <t>PETTIFORD</t>
  </si>
  <si>
    <t>5GX1-RA1-CP90</t>
  </si>
  <si>
    <t>8P11-AW7-HU05</t>
  </si>
  <si>
    <t>DAY</t>
  </si>
  <si>
    <t>4RK1-WC4-AC80</t>
  </si>
  <si>
    <t>SILVIA</t>
  </si>
  <si>
    <t>ALVAREZ</t>
  </si>
  <si>
    <t>8PQ0-EF5-RC02</t>
  </si>
  <si>
    <t>RASMUS</t>
  </si>
  <si>
    <t>6KW3-UV8-RE89</t>
  </si>
  <si>
    <t>4CE7-GR2-KC73</t>
  </si>
  <si>
    <t>DEDE</t>
  </si>
  <si>
    <t>3JC5D66NF54</t>
  </si>
  <si>
    <t>DORIS</t>
  </si>
  <si>
    <t>8WC3-K64-KJ07</t>
  </si>
  <si>
    <t>MICHELLE</t>
  </si>
  <si>
    <t>MERRYMAN</t>
  </si>
  <si>
    <t>1P98-R37-QF22</t>
  </si>
  <si>
    <t>VICKEY</t>
  </si>
  <si>
    <t>STANSIL</t>
  </si>
  <si>
    <t>1ME1-J57-HC03</t>
  </si>
  <si>
    <t>5VF6-W61-VP54</t>
  </si>
  <si>
    <t>ARLETTE</t>
  </si>
  <si>
    <t>KALEOPA</t>
  </si>
  <si>
    <t>8P24-TW2-ER83</t>
  </si>
  <si>
    <t>AURORA</t>
  </si>
  <si>
    <t>MORALES</t>
  </si>
  <si>
    <t>6AT1-VN0-CP04</t>
  </si>
  <si>
    <t>8qm8-ej0-hn67</t>
  </si>
  <si>
    <t>POLLOCK</t>
  </si>
  <si>
    <t>1mx0-ay0-dq19</t>
  </si>
  <si>
    <t>Chad</t>
  </si>
  <si>
    <t>SALTON</t>
  </si>
  <si>
    <t>9RX7-EV8-HQ59</t>
  </si>
  <si>
    <t>Kathi</t>
  </si>
  <si>
    <t>Garbell</t>
  </si>
  <si>
    <t>3K83-XD1-GT81</t>
  </si>
  <si>
    <t>(602) 582-7622</t>
  </si>
  <si>
    <t>3DH2-QU0-EU29</t>
  </si>
  <si>
    <t>DANNY</t>
  </si>
  <si>
    <t>JARRETT</t>
  </si>
  <si>
    <t>9YR7-CD7-DC73</t>
  </si>
  <si>
    <t>Gosha</t>
  </si>
  <si>
    <t>3G83-RW8-XP08</t>
  </si>
  <si>
    <t>HONNERT</t>
  </si>
  <si>
    <t>7XT4-DU8-JG68</t>
  </si>
  <si>
    <t>TRACEY</t>
  </si>
  <si>
    <t>PATONAI</t>
  </si>
  <si>
    <t>9KE5-TC4-QU57</t>
  </si>
  <si>
    <t>VIOLA</t>
  </si>
  <si>
    <t>6N98QD1TU53</t>
  </si>
  <si>
    <t>MESERAULLER JR.</t>
  </si>
  <si>
    <t>4KY4-RW4-WA80</t>
  </si>
  <si>
    <t>GAILYNN</t>
  </si>
  <si>
    <t>8VP7-A21-WG55</t>
  </si>
  <si>
    <t>LARRIE</t>
  </si>
  <si>
    <t>HOLMES</t>
  </si>
  <si>
    <t>4ME1-YE5-WD34</t>
  </si>
  <si>
    <t>ELMER WAYNE</t>
  </si>
  <si>
    <t>WARE</t>
  </si>
  <si>
    <t>2H54-JQ0-RC65</t>
  </si>
  <si>
    <t>GAUTREAUX JR</t>
  </si>
  <si>
    <t>7CK4-ME2-EC88</t>
  </si>
  <si>
    <t>ODELLIE</t>
  </si>
  <si>
    <t>8DJ8-F41-NN26</t>
  </si>
  <si>
    <t>Brenda</t>
  </si>
  <si>
    <t>Isler-Christian</t>
  </si>
  <si>
    <t>5HX2-FK7-GC98</t>
  </si>
  <si>
    <t>Stephanie</t>
  </si>
  <si>
    <t>Montague</t>
  </si>
  <si>
    <t>1YJ2-D43-VD88</t>
  </si>
  <si>
    <t>DANNY JO</t>
  </si>
  <si>
    <t>3Q50-QP3-WG38</t>
  </si>
  <si>
    <t>5RF3-V66-QD95</t>
  </si>
  <si>
    <t>MARSHALL</t>
  </si>
  <si>
    <t>5P96-FF3-EG43</t>
  </si>
  <si>
    <t>ADAM</t>
  </si>
  <si>
    <t>YOUNGKIN</t>
  </si>
  <si>
    <t>5UE4-M25-HC02</t>
  </si>
  <si>
    <t>Jacobs</t>
  </si>
  <si>
    <t>5UV5-W80-NC95</t>
  </si>
  <si>
    <t>STRINGFELLOW</t>
  </si>
  <si>
    <t>9AG5-K42-FR67</t>
  </si>
  <si>
    <t>7N92-WM6-PC99</t>
  </si>
  <si>
    <t>2EE7-T58-XG76</t>
  </si>
  <si>
    <t>JESSICA</t>
  </si>
  <si>
    <t>RESENDEZ</t>
  </si>
  <si>
    <t>8jp1-hy8-uy09</t>
  </si>
  <si>
    <t>Jamie</t>
  </si>
  <si>
    <t>Walker</t>
  </si>
  <si>
    <t>1VV6-CD6-KP75</t>
  </si>
  <si>
    <t>SIXTA</t>
  </si>
  <si>
    <t>WELCH</t>
  </si>
  <si>
    <t>6NM5-UK0-YM57</t>
  </si>
  <si>
    <t>CHURCH</t>
  </si>
  <si>
    <t>1J09-UV7-DV35</t>
  </si>
  <si>
    <t>Moyer</t>
  </si>
  <si>
    <t>5G66-E88-QM83</t>
  </si>
  <si>
    <t>Atcheson</t>
  </si>
  <si>
    <t>7U09-KW9-NV45</t>
  </si>
  <si>
    <t>MOISES</t>
  </si>
  <si>
    <t>VALLEJO</t>
  </si>
  <si>
    <t>6X81-W84-YD19</t>
  </si>
  <si>
    <t>1W25-Y59-UR64</t>
  </si>
  <si>
    <t>PURVIS</t>
  </si>
  <si>
    <t>AVANT</t>
  </si>
  <si>
    <t>6WV8-HW8-EW42</t>
  </si>
  <si>
    <t>Wolfe</t>
  </si>
  <si>
    <t>3EF7-J00-NG78</t>
  </si>
  <si>
    <t>ALEJANDRO</t>
  </si>
  <si>
    <t>CANTU</t>
  </si>
  <si>
    <t>5YH1-J71-DY14</t>
  </si>
  <si>
    <t>WILLARD</t>
  </si>
  <si>
    <t>1VE8-TF2-MT26</t>
  </si>
  <si>
    <t>SELENA</t>
  </si>
  <si>
    <t>GEE</t>
  </si>
  <si>
    <t>5JM6-PN7-XE61</t>
  </si>
  <si>
    <t>DELAIGLE</t>
  </si>
  <si>
    <t>5UJ7-C52-JH62</t>
  </si>
  <si>
    <t>207-408-5187</t>
  </si>
  <si>
    <t>PARLOCK</t>
  </si>
  <si>
    <t>3GN2-CM3-PD91</t>
  </si>
  <si>
    <t>4UT0-UG2-GX31</t>
  </si>
  <si>
    <t>MCNEIL</t>
  </si>
  <si>
    <t>2XK7GH0DP50</t>
  </si>
  <si>
    <t>COWAN</t>
  </si>
  <si>
    <t>5JE2-XY0-ND84</t>
  </si>
  <si>
    <t>JULIA</t>
  </si>
  <si>
    <t>FARRALL</t>
  </si>
  <si>
    <t>8UP0-QK8-VY20</t>
  </si>
  <si>
    <t>BENITA</t>
  </si>
  <si>
    <t>CADDY</t>
  </si>
  <si>
    <t>8RX5-TM3-TY56</t>
  </si>
  <si>
    <t>Jose</t>
  </si>
  <si>
    <t>Serrano</t>
  </si>
  <si>
    <t>2XX0-VJ6-RH13</t>
  </si>
  <si>
    <t>BROWER</t>
  </si>
  <si>
    <t>5JE1-V78-CE05</t>
  </si>
  <si>
    <t>ORVILLE</t>
  </si>
  <si>
    <t>BRONSTON</t>
  </si>
  <si>
    <t>7KW5-XD6-PC87</t>
  </si>
  <si>
    <t>DODSON</t>
  </si>
  <si>
    <t>5mx7-p01-wv53</t>
  </si>
  <si>
    <t>WARREN</t>
  </si>
  <si>
    <t>LAMB</t>
  </si>
  <si>
    <t>6A53-DP9-RD86</t>
  </si>
  <si>
    <t>MARCIE</t>
  </si>
  <si>
    <t>REDGRAVE</t>
  </si>
  <si>
    <t>7NV1-H81-FJ22</t>
  </si>
  <si>
    <t>LORA</t>
  </si>
  <si>
    <t>9JY0-K65-XT12</t>
  </si>
  <si>
    <t>RIC</t>
  </si>
  <si>
    <t>SPANGLER</t>
  </si>
  <si>
    <t>2VJ6-JC6-UJ53</t>
  </si>
  <si>
    <t>Tyler</t>
  </si>
  <si>
    <t>6UV5-F35-NP86</t>
  </si>
  <si>
    <t>DUNFORD</t>
  </si>
  <si>
    <t>7H77-KK4-RY55</t>
  </si>
  <si>
    <t>MOSLEY</t>
  </si>
  <si>
    <t>5EY1-RN9-XW05</t>
  </si>
  <si>
    <t>VALDEZ</t>
  </si>
  <si>
    <t>8UX7-M39-MW34</t>
  </si>
  <si>
    <t>SUE</t>
  </si>
  <si>
    <t>GANTER</t>
  </si>
  <si>
    <t>3EV0-WT1-XA05</t>
  </si>
  <si>
    <t>EARNEST</t>
  </si>
  <si>
    <t>POINDEXTER</t>
  </si>
  <si>
    <t>2K14-G42-PH66</t>
  </si>
  <si>
    <t>ILDEFONZO</t>
  </si>
  <si>
    <t>3CV6-G52-CA45</t>
  </si>
  <si>
    <t>COOK</t>
  </si>
  <si>
    <t>9KK8-VR2-KJ24</t>
  </si>
  <si>
    <t>ROBLEDO</t>
  </si>
  <si>
    <t>2A46-AG5-CD84</t>
  </si>
  <si>
    <t>FLORES</t>
  </si>
  <si>
    <t>9KY2-AE6-RC19</t>
  </si>
  <si>
    <t>VALERIE</t>
  </si>
  <si>
    <t>WHITT</t>
  </si>
  <si>
    <t>7U46E98GK51</t>
  </si>
  <si>
    <t>DARLA</t>
  </si>
  <si>
    <t>CRUM</t>
  </si>
  <si>
    <t>2Y57-RW8-AK52</t>
  </si>
  <si>
    <t>BEASLEY</t>
  </si>
  <si>
    <t>5G30-FK9-GR25</t>
  </si>
  <si>
    <t>SHAUNA</t>
  </si>
  <si>
    <t>MITTERLING</t>
  </si>
  <si>
    <t>7W49-DW8-UP24</t>
  </si>
  <si>
    <t>CASSANDRA</t>
  </si>
  <si>
    <t>BUTLER</t>
  </si>
  <si>
    <t>3U22-RV4-QJ28</t>
  </si>
  <si>
    <t>JEROME</t>
  </si>
  <si>
    <t>ALLISON</t>
  </si>
  <si>
    <t>7EK5-XD1-AC88</t>
  </si>
  <si>
    <t>1MD3-WT4-VK00</t>
  </si>
  <si>
    <t>Craig</t>
  </si>
  <si>
    <t>Schultz</t>
  </si>
  <si>
    <t>8W01-X79-YM08</t>
  </si>
  <si>
    <t>HASKINS</t>
  </si>
  <si>
    <t>8AE7-XU2-YV30</t>
  </si>
  <si>
    <t>(480) 261-8200</t>
  </si>
  <si>
    <t>Profit</t>
  </si>
  <si>
    <t>8DE3-RX1-HW00</t>
  </si>
  <si>
    <t>Spencer</t>
  </si>
  <si>
    <t>2CN0-FF3-YU34</t>
  </si>
  <si>
    <t>ERLINDA</t>
  </si>
  <si>
    <t>VALENZUELA</t>
  </si>
  <si>
    <t>1qx5-ap8-ek94</t>
  </si>
  <si>
    <t>Gant</t>
  </si>
  <si>
    <t>3R34-N76-MH80</t>
  </si>
  <si>
    <t>NORRIS</t>
  </si>
  <si>
    <t>3MM3-AG3-MX06</t>
  </si>
  <si>
    <t>LAKETHA</t>
  </si>
  <si>
    <t>Ellis</t>
  </si>
  <si>
    <t>6hm4-pg2-dj75</t>
  </si>
  <si>
    <t>MARIA</t>
  </si>
  <si>
    <t>5V68-EE2-HX23</t>
  </si>
  <si>
    <t>3JV6-ET1-JV81</t>
  </si>
  <si>
    <t>NASTASI</t>
  </si>
  <si>
    <t>8D50-C38-PE07</t>
  </si>
  <si>
    <t>URBAN</t>
  </si>
  <si>
    <t>4VC7-FT1-WT34</t>
  </si>
  <si>
    <t>CONSTANCE</t>
  </si>
  <si>
    <t>SINGLETON</t>
  </si>
  <si>
    <t>3Q36-WV1-AV30</t>
  </si>
  <si>
    <t>TESHERRICA</t>
  </si>
  <si>
    <t>4RR0-G37-DR05</t>
  </si>
  <si>
    <t>HOSKINS</t>
  </si>
  <si>
    <t>3m48-nu5-pu67</t>
  </si>
  <si>
    <t>Handy</t>
  </si>
  <si>
    <t>2W72-TG7-CR89</t>
  </si>
  <si>
    <t>SAID</t>
  </si>
  <si>
    <t>AMAN</t>
  </si>
  <si>
    <t>6R46-PJ2-HH49</t>
  </si>
  <si>
    <t>ELLIS</t>
  </si>
  <si>
    <t>7CV6-F85-PC65</t>
  </si>
  <si>
    <t>BELK</t>
  </si>
  <si>
    <t>8xv7-d94-dj42</t>
  </si>
  <si>
    <t>BAKER</t>
  </si>
  <si>
    <t>4DQ5-GE9-QJ78</t>
  </si>
  <si>
    <t>HITEFIELD</t>
  </si>
  <si>
    <t>1QW3-U53-TM15</t>
  </si>
  <si>
    <t>HELEN</t>
  </si>
  <si>
    <t>NELETTE</t>
  </si>
  <si>
    <t>5NV4-GD1-PF99</t>
  </si>
  <si>
    <t>RAELYN</t>
  </si>
  <si>
    <t>3ER7-PW7-VC43</t>
  </si>
  <si>
    <t>Fair</t>
  </si>
  <si>
    <t>3H41-T21-NY32</t>
  </si>
  <si>
    <t>REGINA</t>
  </si>
  <si>
    <t>4JU4-PP5-NA03</t>
  </si>
  <si>
    <t>Loraine</t>
  </si>
  <si>
    <t>Beye</t>
  </si>
  <si>
    <t>3G92-NM9-QG13</t>
  </si>
  <si>
    <t>CARVER</t>
  </si>
  <si>
    <t>6PJ5-EH9-ME59</t>
  </si>
  <si>
    <t>McLendon</t>
  </si>
  <si>
    <t>7U71-RP1-HD80</t>
  </si>
  <si>
    <t>1f72-ux1-dw92</t>
  </si>
  <si>
    <t>Muniz</t>
  </si>
  <si>
    <t>2CP2-J21-JD11</t>
  </si>
  <si>
    <t>NITIDA</t>
  </si>
  <si>
    <t>RIVERA</t>
  </si>
  <si>
    <t>8NU7-YN8-FK42</t>
  </si>
  <si>
    <t>1N98-W72-ET32</t>
  </si>
  <si>
    <t>PATRICA</t>
  </si>
  <si>
    <t>6WJ4-G11-NE89</t>
  </si>
  <si>
    <t>Terry</t>
  </si>
  <si>
    <t>Dowlen</t>
  </si>
  <si>
    <t>3MR9-V17-KD24</t>
  </si>
  <si>
    <t>MATTIE</t>
  </si>
  <si>
    <t>HARDAWAY</t>
  </si>
  <si>
    <t>5XE6-DQ3-JU77</t>
  </si>
  <si>
    <t>CAMPBELL</t>
  </si>
  <si>
    <t>7J86-YN7-CM65</t>
  </si>
  <si>
    <t>ELLA</t>
  </si>
  <si>
    <t>TEWA</t>
  </si>
  <si>
    <t>1C46-K22-WM52</t>
  </si>
  <si>
    <t>ORLINDA</t>
  </si>
  <si>
    <t>JIM</t>
  </si>
  <si>
    <t>5P42-VR2-CM21</t>
  </si>
  <si>
    <t>MACIAS</t>
  </si>
  <si>
    <t>9MP6-HM4-YW66</t>
  </si>
  <si>
    <t>SIMONEAUX</t>
  </si>
  <si>
    <t>1JV1-PW6-RQ07</t>
  </si>
  <si>
    <t>GALE</t>
  </si>
  <si>
    <t>2A06-PX3-TY78</t>
  </si>
  <si>
    <t>Janis</t>
  </si>
  <si>
    <t>2hk5-hx0-qm85</t>
  </si>
  <si>
    <t>Alice</t>
  </si>
  <si>
    <t>Deitch</t>
  </si>
  <si>
    <t>6N60-Q70-DV01</t>
  </si>
  <si>
    <t>Marlene</t>
  </si>
  <si>
    <t>Ramirez</t>
  </si>
  <si>
    <t>3UM4-TR9-RC09</t>
  </si>
  <si>
    <t>FELETCIA</t>
  </si>
  <si>
    <t>5FJ0-RP4-QU11</t>
  </si>
  <si>
    <t>White</t>
  </si>
  <si>
    <t>1PE2-WH5-UE25</t>
  </si>
  <si>
    <t>6AG7-W51-FT57</t>
  </si>
  <si>
    <t>7N71-XH6-PE99</t>
  </si>
  <si>
    <t>HOCHHAUS</t>
  </si>
  <si>
    <t>8FM8-G75-HM56</t>
  </si>
  <si>
    <t>MOZELL</t>
  </si>
  <si>
    <t>WESTON</t>
  </si>
  <si>
    <t>8UJ7-CK1-JD40</t>
  </si>
  <si>
    <t>GRACIELA</t>
  </si>
  <si>
    <t>BLANCO</t>
  </si>
  <si>
    <t>6UQ8-F48-AV56</t>
  </si>
  <si>
    <t>JANICE</t>
  </si>
  <si>
    <t>VANDENAKKER</t>
  </si>
  <si>
    <t>3TC3-UQ8-PU75</t>
  </si>
  <si>
    <t>Becky</t>
  </si>
  <si>
    <t>3WG8-DF6-TY23</t>
  </si>
  <si>
    <t>6F36-UD2-UD64</t>
  </si>
  <si>
    <t>1HQ5-JC5-CQ63</t>
  </si>
  <si>
    <t>LUIS</t>
  </si>
  <si>
    <t>SOLAIZA</t>
  </si>
  <si>
    <t>3QU1-QK1-PG10</t>
  </si>
  <si>
    <t>2D42-A30-FY11</t>
  </si>
  <si>
    <t>BERT</t>
  </si>
  <si>
    <t>2EK8-Y46-HW34</t>
  </si>
  <si>
    <t>FYFFE</t>
  </si>
  <si>
    <t>7AQ6-A18-YJ40</t>
  </si>
  <si>
    <t>LEEANN</t>
  </si>
  <si>
    <t>MERRITT</t>
  </si>
  <si>
    <t>4RY3-WJ8-TM07</t>
  </si>
  <si>
    <t>Priscilla</t>
  </si>
  <si>
    <t>9UV9-JW0-VW42</t>
  </si>
  <si>
    <t>PEARCE</t>
  </si>
  <si>
    <t>4M58-TC7-DG59</t>
  </si>
  <si>
    <t>DUBOIS</t>
  </si>
  <si>
    <t>6FJ9-R16-FK24</t>
  </si>
  <si>
    <t>Lynette</t>
  </si>
  <si>
    <t>Poleyviyaoma</t>
  </si>
  <si>
    <t>3TM7-NN3-YU63</t>
  </si>
  <si>
    <t>Rosati</t>
  </si>
  <si>
    <t>7AH8-KF9-NM34</t>
  </si>
  <si>
    <t>HALE</t>
  </si>
  <si>
    <t>1HN7-UK6-NR62</t>
  </si>
  <si>
    <t>Maritta</t>
  </si>
  <si>
    <t>Maple</t>
  </si>
  <si>
    <t>3XT0-YE6-WG08</t>
  </si>
  <si>
    <t>JO ANN</t>
  </si>
  <si>
    <t>FEARING</t>
  </si>
  <si>
    <t>8UW4-QK7-KW73</t>
  </si>
  <si>
    <t>LAND</t>
  </si>
  <si>
    <t>2FY6-D99-RA40</t>
  </si>
  <si>
    <t>LARIOS</t>
  </si>
  <si>
    <t>6TQ2-T23-NF25</t>
  </si>
  <si>
    <t>Short</t>
  </si>
  <si>
    <t>5tf9-jg2-mp54</t>
  </si>
  <si>
    <t>PERRI</t>
  </si>
  <si>
    <t>9HF2-TJ8-MM82</t>
  </si>
  <si>
    <t>HEYWARD JR</t>
  </si>
  <si>
    <t>6T72-QG7-RC27</t>
  </si>
  <si>
    <t>ASHLEY</t>
  </si>
  <si>
    <t>CAMPER</t>
  </si>
  <si>
    <t>3m65-xw0-np96</t>
  </si>
  <si>
    <t>CHESTER</t>
  </si>
  <si>
    <t>LARIMORE</t>
  </si>
  <si>
    <t>7KX7-J17-MJ34</t>
  </si>
  <si>
    <t>TOMMY</t>
  </si>
  <si>
    <t>6FJ5-CC9-UM55</t>
  </si>
  <si>
    <t>COFFEY</t>
  </si>
  <si>
    <t>8U52-DP2-CQ26</t>
  </si>
  <si>
    <t>ALLIE</t>
  </si>
  <si>
    <t>KERSHAW</t>
  </si>
  <si>
    <t>2CF8-U70-KA23</t>
  </si>
  <si>
    <t>9QT3-UT9-CG60</t>
  </si>
  <si>
    <t>ERNEST</t>
  </si>
  <si>
    <t>CASTILLO</t>
  </si>
  <si>
    <t>5R42-EA4-TR86</t>
  </si>
  <si>
    <t>LAURIE</t>
  </si>
  <si>
    <t>BRANCHE</t>
  </si>
  <si>
    <t>5P16-T71-KW67</t>
  </si>
  <si>
    <t>Monahon</t>
  </si>
  <si>
    <t>2VP1-AE5-XH16</t>
  </si>
  <si>
    <t>KATHELIA</t>
  </si>
  <si>
    <t>EAVES</t>
  </si>
  <si>
    <t>4JV1-UV1-WW11</t>
  </si>
  <si>
    <t>BERNICE</t>
  </si>
  <si>
    <t>6TX4-MP0-MJ03</t>
  </si>
  <si>
    <t>RAMOS</t>
  </si>
  <si>
    <t>3DT4-CX8-GK71</t>
  </si>
  <si>
    <t>3YQ2-KR1-WX89</t>
  </si>
  <si>
    <t>MICHELE</t>
  </si>
  <si>
    <t>STELLY</t>
  </si>
  <si>
    <t>3AP3-KP3-GK98</t>
  </si>
  <si>
    <t>JOEL</t>
  </si>
  <si>
    <t>WHITLEY</t>
  </si>
  <si>
    <t>3PQ3-YD0-WV77</t>
  </si>
  <si>
    <t>Nellie</t>
  </si>
  <si>
    <t>Severin</t>
  </si>
  <si>
    <t>9PR9-DK5-PY51</t>
  </si>
  <si>
    <t>DAVIDSON</t>
  </si>
  <si>
    <t>1U24-WH3-HJ60</t>
  </si>
  <si>
    <t>2D03-JM5-AX87</t>
  </si>
  <si>
    <t>KATIE</t>
  </si>
  <si>
    <t>RICHARDSON</t>
  </si>
  <si>
    <t>1QA8-HD7-PT33</t>
  </si>
  <si>
    <t>ELMIRA</t>
  </si>
  <si>
    <t>TURNBO-AL</t>
  </si>
  <si>
    <t>7H28-W38-RF35</t>
  </si>
  <si>
    <t>(803) 230-7366</t>
  </si>
  <si>
    <t>Tomas</t>
  </si>
  <si>
    <t>Al</t>
  </si>
  <si>
    <t>8H26-J12-MW40</t>
  </si>
  <si>
    <t>BRADLEY</t>
  </si>
  <si>
    <t>9PN4-HE7-YA99</t>
  </si>
  <si>
    <t>Easter</t>
  </si>
  <si>
    <t>8YV9-NC6-QX53</t>
  </si>
  <si>
    <t>DESIREE</t>
  </si>
  <si>
    <t>TARELLO</t>
  </si>
  <si>
    <t>6F99-F32-HW25</t>
  </si>
  <si>
    <t>SHERRIE</t>
  </si>
  <si>
    <t>YSAGUIRRE</t>
  </si>
  <si>
    <t>7RJ6-VC6-AW63</t>
  </si>
  <si>
    <t>HOLLADAY</t>
  </si>
  <si>
    <t>5tq4-ry9-uk79</t>
  </si>
  <si>
    <t>4PM3-KP7-GW05</t>
  </si>
  <si>
    <t>7VT5-Y48-NG78</t>
  </si>
  <si>
    <t>Carbone</t>
  </si>
  <si>
    <t>6JG2-PA5-KY22</t>
  </si>
  <si>
    <t>Spence</t>
  </si>
  <si>
    <t>1D18-P44-QK47</t>
  </si>
  <si>
    <t>RENFORD</t>
  </si>
  <si>
    <t>6TA2-K52-VQ91</t>
  </si>
  <si>
    <t>HERBERT</t>
  </si>
  <si>
    <t>STOTLER</t>
  </si>
  <si>
    <t>1R98-HQ5-NG63</t>
  </si>
  <si>
    <t>INEZ</t>
  </si>
  <si>
    <t>HANEY</t>
  </si>
  <si>
    <t>2VN0-D82-VG14</t>
  </si>
  <si>
    <t>HEROD</t>
  </si>
  <si>
    <t>5P29-RD4-MM39</t>
  </si>
  <si>
    <t>PINNER</t>
  </si>
  <si>
    <t>2KR2-V60-CG07</t>
  </si>
  <si>
    <t>LORAINE</t>
  </si>
  <si>
    <t>RAY</t>
  </si>
  <si>
    <t>4AT4-HE1-HH79</t>
  </si>
  <si>
    <t>MARBURY</t>
  </si>
  <si>
    <t>2hy4-v25-tk06</t>
  </si>
  <si>
    <t>MACK</t>
  </si>
  <si>
    <t>LANGFORD III</t>
  </si>
  <si>
    <t>6K09-Q13-HD21</t>
  </si>
  <si>
    <t>HOUN MENG</t>
  </si>
  <si>
    <t>MENG</t>
  </si>
  <si>
    <t>4HQ9-D40-EG36</t>
  </si>
  <si>
    <t>CARBAJAL</t>
  </si>
  <si>
    <t>6FP2-JA4-GG05</t>
  </si>
  <si>
    <t>AUGUST</t>
  </si>
  <si>
    <t>3kj5-k20-jj63</t>
  </si>
  <si>
    <t>JAVIER</t>
  </si>
  <si>
    <t>2DF0-A01-HN03</t>
  </si>
  <si>
    <t>HAYES</t>
  </si>
  <si>
    <t>6h83-mh5-mv92</t>
  </si>
  <si>
    <t>BRITTON</t>
  </si>
  <si>
    <t>BRANNON</t>
  </si>
  <si>
    <t>8P28-G99-DJ50</t>
  </si>
  <si>
    <t>ESTRELLA</t>
  </si>
  <si>
    <t>2CA7-KJ9-KM60</t>
  </si>
  <si>
    <t>BALDERRAMA</t>
  </si>
  <si>
    <t>6EM3-PW9-KX96</t>
  </si>
  <si>
    <t>GUADALUPE</t>
  </si>
  <si>
    <t>GODINA</t>
  </si>
  <si>
    <t>8QR5-ND1-ER74</t>
  </si>
  <si>
    <t>CANTRELL</t>
  </si>
  <si>
    <t>6TW9-WQ6-QC37</t>
  </si>
  <si>
    <t>JOE</t>
  </si>
  <si>
    <t>LIRA</t>
  </si>
  <si>
    <t>4QY3-Q31-PG12</t>
  </si>
  <si>
    <t>PRUITT</t>
  </si>
  <si>
    <t>4J83-D07-GP78</t>
  </si>
  <si>
    <t>WINGATE</t>
  </si>
  <si>
    <t>5xy3-fd8-hk86</t>
  </si>
  <si>
    <t>NEWKIRK</t>
  </si>
  <si>
    <t>2JP5-XP5-NT64</t>
  </si>
  <si>
    <t>JEANETTE</t>
  </si>
  <si>
    <t>BASHFUL</t>
  </si>
  <si>
    <t>6k94-y30-dy97</t>
  </si>
  <si>
    <t>PEGGIE</t>
  </si>
  <si>
    <t>2MR6-RC5-FY61</t>
  </si>
  <si>
    <t>PRESTON</t>
  </si>
  <si>
    <t>LANIER</t>
  </si>
  <si>
    <t>5FF6-H01-KT67</t>
  </si>
  <si>
    <t>GERALD</t>
  </si>
  <si>
    <t>7QQ3-WQ6-UH07</t>
  </si>
  <si>
    <t>Jeffrey</t>
  </si>
  <si>
    <t>Ralston</t>
  </si>
  <si>
    <t>6DH0-XR9-HK23</t>
  </si>
  <si>
    <t>+1 970 556 9257</t>
  </si>
  <si>
    <t>Kelly</t>
  </si>
  <si>
    <t>1M16-R51-GQ82</t>
  </si>
  <si>
    <t>PAULINE</t>
  </si>
  <si>
    <t>DRESCHER</t>
  </si>
  <si>
    <t>8X93-QJ6-GW75</t>
  </si>
  <si>
    <t>MATHIS</t>
  </si>
  <si>
    <t>6XW9-V37-HC17</t>
  </si>
  <si>
    <t>SCHUELER</t>
  </si>
  <si>
    <t>5e49-tt3-pj49</t>
  </si>
  <si>
    <t>BELMON</t>
  </si>
  <si>
    <t>6ja2-xm5-ch95</t>
  </si>
  <si>
    <t>JULIAN</t>
  </si>
  <si>
    <t>SAUCEDO</t>
  </si>
  <si>
    <t>3VU1-HH3-KD26</t>
  </si>
  <si>
    <t>PETRONILO</t>
  </si>
  <si>
    <t>VALDEZ JR</t>
  </si>
  <si>
    <t>3GX2-Y87-KQ09</t>
  </si>
  <si>
    <t>WILBERT</t>
  </si>
  <si>
    <t>QUICK</t>
  </si>
  <si>
    <t>2HW7-GW4-GD58</t>
  </si>
  <si>
    <t>Debbie</t>
  </si>
  <si>
    <t>Hanks</t>
  </si>
  <si>
    <t>2WY1-P41-MN98</t>
  </si>
  <si>
    <t>7rk2-pf6-cw94</t>
  </si>
  <si>
    <t>CLOSSON</t>
  </si>
  <si>
    <t>3J88-W44-NJ54</t>
  </si>
  <si>
    <t>8rx6-q07-hq69</t>
  </si>
  <si>
    <t>(504) 265-2429</t>
  </si>
  <si>
    <t>Melanie</t>
  </si>
  <si>
    <t>Melton</t>
  </si>
  <si>
    <t>1Y93-DD7-AA90</t>
  </si>
  <si>
    <t>JOANNE</t>
  </si>
  <si>
    <t>RUSH</t>
  </si>
  <si>
    <t>9A52-KU3-YY12</t>
  </si>
  <si>
    <t>CLIFFORD</t>
  </si>
  <si>
    <t>4KQ2-TG0-JJ70</t>
  </si>
  <si>
    <t>7w30-hh3-jr15</t>
  </si>
  <si>
    <t>832-977-8437</t>
  </si>
  <si>
    <t>June</t>
  </si>
  <si>
    <t>8VR9-FM6-DJ19</t>
  </si>
  <si>
    <t>Rosalyn</t>
  </si>
  <si>
    <t>Glaspie</t>
  </si>
  <si>
    <t>1PY7-YV5-QN40</t>
  </si>
  <si>
    <t>ALLGOOD</t>
  </si>
  <si>
    <t>8V65-MQ1-PT89</t>
  </si>
  <si>
    <t>BYARS</t>
  </si>
  <si>
    <t>8FQ9-JC1-TQ43</t>
  </si>
  <si>
    <t>6CN8-FV5-MF53</t>
  </si>
  <si>
    <t>LAWANDA</t>
  </si>
  <si>
    <t>1FY4-UW8-JY77</t>
  </si>
  <si>
    <t>ROSEEREE</t>
  </si>
  <si>
    <t>SINGLETARY</t>
  </si>
  <si>
    <t>1WJ0-C92-TW03</t>
  </si>
  <si>
    <t>NEILLY</t>
  </si>
  <si>
    <t>4KY7-KG8-MH44</t>
  </si>
  <si>
    <t>Steven</t>
  </si>
  <si>
    <t>Hamblin</t>
  </si>
  <si>
    <t>6NX1-WA8-GH93</t>
  </si>
  <si>
    <t>SESSIONS</t>
  </si>
  <si>
    <t>2RU3-V06-AX82</t>
  </si>
  <si>
    <t>REVA</t>
  </si>
  <si>
    <t>NOPENS</t>
  </si>
  <si>
    <t>9YG5-T35-DC84</t>
  </si>
  <si>
    <t>LOUIE</t>
  </si>
  <si>
    <t>MCHUGH</t>
  </si>
  <si>
    <t>6N15-HW8-HF64</t>
  </si>
  <si>
    <t>Lionel</t>
  </si>
  <si>
    <t>5VY4-GN2-GF82</t>
  </si>
  <si>
    <t>TALBOT</t>
  </si>
  <si>
    <t>5NE2-F94-PW89</t>
  </si>
  <si>
    <t>STOWELL</t>
  </si>
  <si>
    <t>7WN9-JM5-WW36</t>
  </si>
  <si>
    <t>Gloria</t>
  </si>
  <si>
    <t>Chavez</t>
  </si>
  <si>
    <t>4EU0-RQ9-XQ36</t>
  </si>
  <si>
    <t>Jake</t>
  </si>
  <si>
    <t>Jackson Jr</t>
  </si>
  <si>
    <t>5MF5-TD2-UY52</t>
  </si>
  <si>
    <t>TITUS</t>
  </si>
  <si>
    <t>1PG7-AA1-JF67</t>
  </si>
  <si>
    <t>EASON</t>
  </si>
  <si>
    <t>5KU9-U14-WK32</t>
  </si>
  <si>
    <t>Sue Ellen</t>
  </si>
  <si>
    <t>Bullock</t>
  </si>
  <si>
    <t>8N45-M46-RU70</t>
  </si>
  <si>
    <t>Bloomfield</t>
  </si>
  <si>
    <t>8X10-AY2-CY20</t>
  </si>
  <si>
    <t>MURPHY</t>
  </si>
  <si>
    <t>1G87-C33-PG62</t>
  </si>
  <si>
    <t>(304) 466-5779</t>
  </si>
  <si>
    <t>CURMIT</t>
  </si>
  <si>
    <t>SIBERT</t>
  </si>
  <si>
    <t>5NQ2-G33-JG26</t>
  </si>
  <si>
    <t>PENNY</t>
  </si>
  <si>
    <t>MCQUEEN</t>
  </si>
  <si>
    <t>2MX8-G41-TT61</t>
  </si>
  <si>
    <t>DEALVA</t>
  </si>
  <si>
    <t>4GG1-RE7-CX92</t>
  </si>
  <si>
    <t>Joel</t>
  </si>
  <si>
    <t>Sholes</t>
  </si>
  <si>
    <t>7NH0-MF2-TT30</t>
  </si>
  <si>
    <t>PRUETT</t>
  </si>
  <si>
    <t>1AN7QW7PH35</t>
  </si>
  <si>
    <t>CATHIE</t>
  </si>
  <si>
    <t>EBERHARD</t>
  </si>
  <si>
    <t>4EJ9-HM7-GH52</t>
  </si>
  <si>
    <t>VANTREECK</t>
  </si>
  <si>
    <t>5NU4-P84-JP85</t>
  </si>
  <si>
    <t>Violet</t>
  </si>
  <si>
    <t>Irvin</t>
  </si>
  <si>
    <t>6UX7-W46-HP20</t>
  </si>
  <si>
    <t>ELTON</t>
  </si>
  <si>
    <t>BENSON JR</t>
  </si>
  <si>
    <t>6E49-MT9-AU47</t>
  </si>
  <si>
    <t>CHRIS</t>
  </si>
  <si>
    <t>HOOD</t>
  </si>
  <si>
    <t>2CX9-RA4-FR39</t>
  </si>
  <si>
    <t>NORMA</t>
  </si>
  <si>
    <t>LOPER</t>
  </si>
  <si>
    <t>3ee5-yv6-dj99</t>
  </si>
  <si>
    <t>BEAVOR</t>
  </si>
  <si>
    <t>9AP3-Q26-MK60</t>
  </si>
  <si>
    <t>Julie</t>
  </si>
  <si>
    <t>Bantin</t>
  </si>
  <si>
    <t>4AX8-M14-MC40</t>
  </si>
  <si>
    <t>BRINK</t>
  </si>
  <si>
    <t>4UF2-XW6-VY82</t>
  </si>
  <si>
    <t>Dent</t>
  </si>
  <si>
    <t>8tc4-vq2-cu65</t>
  </si>
  <si>
    <t>William</t>
  </si>
  <si>
    <t>Madden</t>
  </si>
  <si>
    <t>8VQ5-H70-JG85</t>
  </si>
  <si>
    <t>BEDELL</t>
  </si>
  <si>
    <t>2QH1-UD7-QM14</t>
  </si>
  <si>
    <t>LODGE</t>
  </si>
  <si>
    <t>1PU3-E75-JR77</t>
  </si>
  <si>
    <t>SAVOURY</t>
  </si>
  <si>
    <t>7CX9-RG5-QN17</t>
  </si>
  <si>
    <t>Kimberly</t>
  </si>
  <si>
    <t>3N84-UM9-EV92</t>
  </si>
  <si>
    <t>CRYSTAL</t>
  </si>
  <si>
    <t>6UP9-T27-KT44</t>
  </si>
  <si>
    <t>CiprianoGA</t>
  </si>
  <si>
    <t>Contreras Sr</t>
  </si>
  <si>
    <t>4DP3-TJ9-UP71</t>
  </si>
  <si>
    <t>2YV8-N16-FP46</t>
  </si>
  <si>
    <t>DOTTIE</t>
  </si>
  <si>
    <t>5M21-QK2-UP02</t>
  </si>
  <si>
    <t>PARATORE</t>
  </si>
  <si>
    <t>9VQ0-AQ0-WR14</t>
  </si>
  <si>
    <t>WIEGAND</t>
  </si>
  <si>
    <t>1YV9-XV9-UR57</t>
  </si>
  <si>
    <t>Beatrice</t>
  </si>
  <si>
    <t>1TV2-AA2-QD17</t>
  </si>
  <si>
    <t>CARL</t>
  </si>
  <si>
    <t>MELLBERG</t>
  </si>
  <si>
    <t>9JM9-FJ8-EY17</t>
  </si>
  <si>
    <t>JERRI</t>
  </si>
  <si>
    <t>HICKS</t>
  </si>
  <si>
    <t>7MV3NA4YP06</t>
  </si>
  <si>
    <t>TRAYLOR</t>
  </si>
  <si>
    <t>7X96-N11-KA48</t>
  </si>
  <si>
    <t>THEODORE</t>
  </si>
  <si>
    <t>VALENCIA</t>
  </si>
  <si>
    <t>7DM4-PR0-WH64</t>
  </si>
  <si>
    <t>5R84-NA6-MH92</t>
  </si>
  <si>
    <t>2QK1-VX6-KQ19</t>
  </si>
  <si>
    <t>Morrison</t>
  </si>
  <si>
    <t>4M48-HD0-GG10</t>
  </si>
  <si>
    <t>LONNIE</t>
  </si>
  <si>
    <t>MORRISON</t>
  </si>
  <si>
    <t>3CD7-YP5-KJ20</t>
  </si>
  <si>
    <t>HINES</t>
  </si>
  <si>
    <t>9W36-VK3-QM81</t>
  </si>
  <si>
    <t>MCNUTT</t>
  </si>
  <si>
    <t>7XR8-N55-DH10</t>
  </si>
  <si>
    <t>STELLA</t>
  </si>
  <si>
    <t>JORDAN</t>
  </si>
  <si>
    <t>7F19-W53-XY48</t>
  </si>
  <si>
    <t>BALAGEO</t>
  </si>
  <si>
    <t>8F94-FG9-QN70</t>
  </si>
  <si>
    <t>BOOSE</t>
  </si>
  <si>
    <t>7ED7-U14-MH37</t>
  </si>
  <si>
    <t>JEFF</t>
  </si>
  <si>
    <t>2R91-E30-DJ95</t>
  </si>
  <si>
    <t>LYTLE</t>
  </si>
  <si>
    <t>6RM5-VP9-UA58</t>
  </si>
  <si>
    <t>PAYNE</t>
  </si>
  <si>
    <t>5MG6-KY1-HF30</t>
  </si>
  <si>
    <t>Sadiqua</t>
  </si>
  <si>
    <t>1JK9-TK3-GE59</t>
  </si>
  <si>
    <t>VANDELIA</t>
  </si>
  <si>
    <t>BLAKE</t>
  </si>
  <si>
    <t>3J66-WJ8-JH71</t>
  </si>
  <si>
    <t>BUNGARD</t>
  </si>
  <si>
    <t>3DQ1-WU6-YG16</t>
  </si>
  <si>
    <t>6M88-QD9-EQ49</t>
  </si>
  <si>
    <t>9CQ6-UY0-JW40</t>
  </si>
  <si>
    <t>ARIAS</t>
  </si>
  <si>
    <t>6XW7-RJ0-XE49</t>
  </si>
  <si>
    <t>JON</t>
  </si>
  <si>
    <t>1EF9-T13-PH58</t>
  </si>
  <si>
    <t>SMART</t>
  </si>
  <si>
    <t>8GK6-N35-WC88</t>
  </si>
  <si>
    <t>MARGRET</t>
  </si>
  <si>
    <t>7XQ2-EJ0-QQ02</t>
  </si>
  <si>
    <t>LONG</t>
  </si>
  <si>
    <t>1UC1-GN4-RK18</t>
  </si>
  <si>
    <t>HUCKLEBRIDGE</t>
  </si>
  <si>
    <t>2ET7-D81-EX71</t>
  </si>
  <si>
    <t>DELIA</t>
  </si>
  <si>
    <t>GALVEZ</t>
  </si>
  <si>
    <t>2HC8-FC2-FW56</t>
  </si>
  <si>
    <t>COKELEY</t>
  </si>
  <si>
    <t>5RE8-NQ5-PD54</t>
  </si>
  <si>
    <t>CARMELITA</t>
  </si>
  <si>
    <t>TALAVERA</t>
  </si>
  <si>
    <t>2VN2-UK1-KJ86</t>
  </si>
  <si>
    <t>1YT3-PA8-WV89</t>
  </si>
  <si>
    <t>Tosh</t>
  </si>
  <si>
    <t>7CJ9-DF6-KH42</t>
  </si>
  <si>
    <t>6PA3-EM9-RM80</t>
  </si>
  <si>
    <t>Guadalupe</t>
  </si>
  <si>
    <t>Patterson</t>
  </si>
  <si>
    <t>8V86-UG2-TP70</t>
  </si>
  <si>
    <t>DEY</t>
  </si>
  <si>
    <t>8PG0-GU3-RY13</t>
  </si>
  <si>
    <t>1P75-AG7-QH52</t>
  </si>
  <si>
    <t>1GD8-CV3-CC42</t>
  </si>
  <si>
    <t>CURLEY</t>
  </si>
  <si>
    <t>3UT2-HJ1-YQ25</t>
  </si>
  <si>
    <t>9P44-K42-YU78</t>
  </si>
  <si>
    <t>LAWVER</t>
  </si>
  <si>
    <t>7MY6-GT9-NM47</t>
  </si>
  <si>
    <t>4yt4-p93-dc83</t>
  </si>
  <si>
    <t>NICK</t>
  </si>
  <si>
    <t>LUCERO</t>
  </si>
  <si>
    <t>6AM4-GY3-XR91</t>
  </si>
  <si>
    <t>EDDIE</t>
  </si>
  <si>
    <t>PALMER</t>
  </si>
  <si>
    <t>9D56-N24-DF48</t>
  </si>
  <si>
    <t>DELORIS</t>
  </si>
  <si>
    <t>9F12-XW4-VG95</t>
  </si>
  <si>
    <t>TAYLOR</t>
  </si>
  <si>
    <t>1W05-GT0-AN69</t>
  </si>
  <si>
    <t>3g27-wm2-an51</t>
  </si>
  <si>
    <t>Sondra</t>
  </si>
  <si>
    <t>McMahan</t>
  </si>
  <si>
    <t>1gd3-mj1-pc82</t>
  </si>
  <si>
    <t>440-538-2794</t>
  </si>
  <si>
    <t>GARLAND</t>
  </si>
  <si>
    <t>7G72-KN5-VN96</t>
  </si>
  <si>
    <t>4F74-EH7-AE99</t>
  </si>
  <si>
    <t>1K86-AC7-HU52</t>
  </si>
  <si>
    <t>Wanda</t>
  </si>
  <si>
    <t>DRANE</t>
  </si>
  <si>
    <t>9FK4-HP5-TK84</t>
  </si>
  <si>
    <t>HAROLD</t>
  </si>
  <si>
    <t>4HC1-U31-VX28</t>
  </si>
  <si>
    <t>9J94-R04-QK66</t>
  </si>
  <si>
    <t>Walker SR</t>
  </si>
  <si>
    <t>6UN3-QK2-RA09</t>
  </si>
  <si>
    <t>Rebecca</t>
  </si>
  <si>
    <t>Verdugo Castro</t>
  </si>
  <si>
    <t>1UX3-WW1-PY86</t>
  </si>
  <si>
    <t>VELA</t>
  </si>
  <si>
    <t>2W83-M98-UJ14</t>
  </si>
  <si>
    <t>HOLLEY</t>
  </si>
  <si>
    <t>2H77-W67-YQ20</t>
  </si>
  <si>
    <t>Jada</t>
  </si>
  <si>
    <t>Jordan</t>
  </si>
  <si>
    <t>7HN5-G49-HM58</t>
  </si>
  <si>
    <t>2G26-Y46-ER44</t>
  </si>
  <si>
    <t>MARQUEZ</t>
  </si>
  <si>
    <t>7R53-F24-VT88</t>
  </si>
  <si>
    <t>MCKEIL</t>
  </si>
  <si>
    <t>3ke9-gu6-wv10</t>
  </si>
  <si>
    <t>BETH</t>
  </si>
  <si>
    <t>1KR0-P30-JN32</t>
  </si>
  <si>
    <t>6HK5-JW2-UN67</t>
  </si>
  <si>
    <t>BEEBE</t>
  </si>
  <si>
    <t>5V48-C00-XE65</t>
  </si>
  <si>
    <t>9UR7-C66-UY71</t>
  </si>
  <si>
    <t>PACHECO</t>
  </si>
  <si>
    <t>7J14-N79-UM79</t>
  </si>
  <si>
    <t>HORACE</t>
  </si>
  <si>
    <t>MCCULLOUDH</t>
  </si>
  <si>
    <t>6XA3-EM6-CT92</t>
  </si>
  <si>
    <t>Myrtle</t>
  </si>
  <si>
    <t>stevenson</t>
  </si>
  <si>
    <t>1RH9-PK7-YH41</t>
  </si>
  <si>
    <t>JAY</t>
  </si>
  <si>
    <t>2NJ3-P77-NQ08</t>
  </si>
  <si>
    <t>ARCHIE</t>
  </si>
  <si>
    <t>HATFIELD</t>
  </si>
  <si>
    <t>8RQ6-PW3-FV47</t>
  </si>
  <si>
    <t>MONICA</t>
  </si>
  <si>
    <t>HUBBARD</t>
  </si>
  <si>
    <t>7XM7-D00-TK65</t>
  </si>
  <si>
    <t>KARIN</t>
  </si>
  <si>
    <t>FIRMAN</t>
  </si>
  <si>
    <t>7T18-F65-EX28</t>
  </si>
  <si>
    <t>AUDREY</t>
  </si>
  <si>
    <t>NICOLIA</t>
  </si>
  <si>
    <t>3JM9-K26-PW35</t>
  </si>
  <si>
    <t>Pedro</t>
  </si>
  <si>
    <t>Paez</t>
  </si>
  <si>
    <t>1DJ2-HU2-VJ03</t>
  </si>
  <si>
    <t>7XC0-JH0-GU25</t>
  </si>
  <si>
    <t>GALANG</t>
  </si>
  <si>
    <t>1YM9-DJ0-QG23</t>
  </si>
  <si>
    <t>DANIELS</t>
  </si>
  <si>
    <t>4FD3-YW2-TR84</t>
  </si>
  <si>
    <t>KANE</t>
  </si>
  <si>
    <t>1PP6-XM7-YY59</t>
  </si>
  <si>
    <t>HAMPTON</t>
  </si>
  <si>
    <t>4T52-CF7-YY03</t>
  </si>
  <si>
    <t>2EY4-RX9-KW05</t>
  </si>
  <si>
    <t>ENYART</t>
  </si>
  <si>
    <t>6N86-XF3-NC48</t>
  </si>
  <si>
    <t>1JR8-QN2-UW49</t>
  </si>
  <si>
    <t>McMillen</t>
  </si>
  <si>
    <t>9TP5-X89-DJ97</t>
  </si>
  <si>
    <t>JACQUELINE L</t>
  </si>
  <si>
    <t>RABBETH</t>
  </si>
  <si>
    <t>3T26-UM6-FX49</t>
  </si>
  <si>
    <t>4GT2-HJ5-EA13</t>
  </si>
  <si>
    <t>4W09-J32-RM40</t>
  </si>
  <si>
    <t>4XE3-MR2-DW00</t>
  </si>
  <si>
    <t>ALFONSO</t>
  </si>
  <si>
    <t>2A51-JP7-ED16</t>
  </si>
  <si>
    <t>MENDOZA</t>
  </si>
  <si>
    <t>5TE1-QP6-TV08</t>
  </si>
  <si>
    <t>REX</t>
  </si>
  <si>
    <t>3NH0-HJ2-TT30</t>
  </si>
  <si>
    <t>Sue</t>
  </si>
  <si>
    <t>2KK5-QU0-WJ93</t>
  </si>
  <si>
    <t>520-260-4903</t>
  </si>
  <si>
    <t>SHERRY</t>
  </si>
  <si>
    <t>8EK0-M60-UC90</t>
  </si>
  <si>
    <t>REISER</t>
  </si>
  <si>
    <t>2CF3-D16-ND95</t>
  </si>
  <si>
    <t>CLARA</t>
  </si>
  <si>
    <t>PRITCHETT</t>
  </si>
  <si>
    <t>8UT2-JG0-EV99</t>
  </si>
  <si>
    <t>EARL</t>
  </si>
  <si>
    <t>6A88-JM2-JT41</t>
  </si>
  <si>
    <t>8KG4-TA7-CQ76</t>
  </si>
  <si>
    <t>Lorinza</t>
  </si>
  <si>
    <t>Cherry</t>
  </si>
  <si>
    <t>4W82-DC7-TH93</t>
  </si>
  <si>
    <t>Suzanne</t>
  </si>
  <si>
    <t>1HQ3-MF0-QR94</t>
  </si>
  <si>
    <t>TUTT</t>
  </si>
  <si>
    <t>6XV7-U94-HE77</t>
  </si>
  <si>
    <t>7AA4-Y89-MU83</t>
  </si>
  <si>
    <t>KELLY</t>
  </si>
  <si>
    <t>BEARCE</t>
  </si>
  <si>
    <t>6XN3-U90-EU83</t>
  </si>
  <si>
    <t>6XK7-TC0-YQ59</t>
  </si>
  <si>
    <t>STEVE</t>
  </si>
  <si>
    <t>2TW3-UE0-KE00</t>
  </si>
  <si>
    <t>HOLSHOUSER</t>
  </si>
  <si>
    <t>6H03-VD3-NF92</t>
  </si>
  <si>
    <t>Kenneth</t>
  </si>
  <si>
    <t>3MQ3-VR7-GW80</t>
  </si>
  <si>
    <t>VICTOR</t>
  </si>
  <si>
    <t>LOUISSENA</t>
  </si>
  <si>
    <t>4F29-G80-MY49</t>
  </si>
  <si>
    <t>ZOILA JEANNETTE</t>
  </si>
  <si>
    <t>CISNEROS CRAWFORD</t>
  </si>
  <si>
    <t>4XP6-G53-VJ67</t>
  </si>
  <si>
    <t>PATTILOU</t>
  </si>
  <si>
    <t>VAN HOEY</t>
  </si>
  <si>
    <t>4AF8-PF8-UU28</t>
  </si>
  <si>
    <t>HOBACK</t>
  </si>
  <si>
    <t>2vp3-xw6-pk78</t>
  </si>
  <si>
    <t>KLOCEK</t>
  </si>
  <si>
    <t>1VK0-W48-XM26</t>
  </si>
  <si>
    <t>west</t>
  </si>
  <si>
    <t>8AR9-N36-GH18</t>
  </si>
  <si>
    <t>CHOICE</t>
  </si>
  <si>
    <t>9A65-EE3-YX92</t>
  </si>
  <si>
    <t>9JU0-R55-JW41</t>
  </si>
  <si>
    <t>Tommie</t>
  </si>
  <si>
    <t>8NY6-VV1-XY87</t>
  </si>
  <si>
    <t>Nichols</t>
  </si>
  <si>
    <t>7HU3-TG0-RD76</t>
  </si>
  <si>
    <t>Colleen</t>
  </si>
  <si>
    <t>1a99-yj3-kt22</t>
  </si>
  <si>
    <t>Walter</t>
  </si>
  <si>
    <t>Mayberry</t>
  </si>
  <si>
    <t>6MC7-K84-EM79</t>
  </si>
  <si>
    <t>SIDNEY</t>
  </si>
  <si>
    <t>FREMIN</t>
  </si>
  <si>
    <t>8V57-PJ6-AF77</t>
  </si>
  <si>
    <t>JULIUS</t>
  </si>
  <si>
    <t>5HU6-K70-EE56</t>
  </si>
  <si>
    <t>LARRIVA</t>
  </si>
  <si>
    <t>8QD0-PP9-HV17</t>
  </si>
  <si>
    <t>Lois</t>
  </si>
  <si>
    <t>estep</t>
  </si>
  <si>
    <t>6E63-QE8-FK92</t>
  </si>
  <si>
    <t>LOY</t>
  </si>
  <si>
    <t>MCLAUGHLIN</t>
  </si>
  <si>
    <t>3NR3-PK0-JF06</t>
  </si>
  <si>
    <t>PENELOPE</t>
  </si>
  <si>
    <t>7F71-JA0-YD98</t>
  </si>
  <si>
    <t>7KD2-W51-XR04</t>
  </si>
  <si>
    <t>602-653-4454</t>
  </si>
  <si>
    <t>EILEEN</t>
  </si>
  <si>
    <t>LOYA</t>
  </si>
  <si>
    <t>9HM6-X87-PH64</t>
  </si>
  <si>
    <t>MARIE</t>
  </si>
  <si>
    <t>LUNA</t>
  </si>
  <si>
    <t>2EH0-DM3-UJ32</t>
  </si>
  <si>
    <t>MCCALL</t>
  </si>
  <si>
    <t>5C18-WX6-DW56</t>
  </si>
  <si>
    <t>Anita</t>
  </si>
  <si>
    <t>5UV1-H10-RT19</t>
  </si>
  <si>
    <t>Gravely</t>
  </si>
  <si>
    <t>6NX9-YJ8-FG12</t>
  </si>
  <si>
    <t>LUPE</t>
  </si>
  <si>
    <t>MEDINA</t>
  </si>
  <si>
    <t>2xg9-y17-hq16</t>
  </si>
  <si>
    <t>7A97-J52-DW55</t>
  </si>
  <si>
    <t>DEWANA</t>
  </si>
  <si>
    <t>3KE4-RN5-KQ64</t>
  </si>
  <si>
    <t>(757) 796-2024</t>
  </si>
  <si>
    <t>NOBLES</t>
  </si>
  <si>
    <t>4f32-gu1-ud84</t>
  </si>
  <si>
    <t>HARTWELL</t>
  </si>
  <si>
    <t>MENEFEE</t>
  </si>
  <si>
    <t>3VK2-M84-GH03</t>
  </si>
  <si>
    <t>Docter</t>
  </si>
  <si>
    <t>9VJ0-M61-GV22</t>
  </si>
  <si>
    <t>LASHLEY</t>
  </si>
  <si>
    <t>5UW3-EE2-KX83</t>
  </si>
  <si>
    <t>BAILEY</t>
  </si>
  <si>
    <t>9N65PW4YD77</t>
  </si>
  <si>
    <t>GRANBERG</t>
  </si>
  <si>
    <t>7Y57-KP6-DN54</t>
  </si>
  <si>
    <t>Gerardo</t>
  </si>
  <si>
    <t>4MT6-XX6-XD84</t>
  </si>
  <si>
    <t>CHAPMAN</t>
  </si>
  <si>
    <t>8V51-PV9-MD36</t>
  </si>
  <si>
    <t>CARLA</t>
  </si>
  <si>
    <t>KRAFT</t>
  </si>
  <si>
    <t>8PV3-RM9-QR70</t>
  </si>
  <si>
    <t>CHWALINSKI</t>
  </si>
  <si>
    <t>4FC6-AT9-JW86</t>
  </si>
  <si>
    <t>NICOLAS</t>
  </si>
  <si>
    <t>CORTEZ</t>
  </si>
  <si>
    <t>9v83-y98-ww74</t>
  </si>
  <si>
    <t>GAGNE</t>
  </si>
  <si>
    <t>3XJ9-T21-YT39</t>
  </si>
  <si>
    <t>PAIGE SR</t>
  </si>
  <si>
    <t>4RY5-NM4-RX85</t>
  </si>
  <si>
    <t>COKER</t>
  </si>
  <si>
    <t>7HV0-DN2-FD37</t>
  </si>
  <si>
    <t>GUTIERREZ</t>
  </si>
  <si>
    <t>9X52-QY7-FA84</t>
  </si>
  <si>
    <t>9GT5-DE6-XV79</t>
  </si>
  <si>
    <t>ELVIS</t>
  </si>
  <si>
    <t>9QN0-MQ8-RH05</t>
  </si>
  <si>
    <t>MCFADDEN</t>
  </si>
  <si>
    <t>1G43-U23-XU88</t>
  </si>
  <si>
    <t>WHITFIELD</t>
  </si>
  <si>
    <t>2HA2-DY7-QU24</t>
  </si>
  <si>
    <t>GLENNIS</t>
  </si>
  <si>
    <t>1KD9-C26-KR24</t>
  </si>
  <si>
    <t>ILA</t>
  </si>
  <si>
    <t>BLAIR</t>
  </si>
  <si>
    <t>1U95-KD8-GE61</t>
  </si>
  <si>
    <t>AUDIE</t>
  </si>
  <si>
    <t>TRAHAN</t>
  </si>
  <si>
    <t>9an3-tm5-vn09</t>
  </si>
  <si>
    <t>WEISEND</t>
  </si>
  <si>
    <t>1PC2-AX4-EE83</t>
  </si>
  <si>
    <t>JENENE</t>
  </si>
  <si>
    <t>1DG4-KX5-CR67</t>
  </si>
  <si>
    <t>STRICKLER</t>
  </si>
  <si>
    <t>7JF8-GJ6-PE65</t>
  </si>
  <si>
    <t>HARDIE</t>
  </si>
  <si>
    <t>8UA4-RR6-TN99</t>
  </si>
  <si>
    <t>PUEBLA</t>
  </si>
  <si>
    <t>1ET1-AM5-YT37</t>
  </si>
  <si>
    <t>BILLIOT</t>
  </si>
  <si>
    <t>7Q57-TK1-NT60</t>
  </si>
  <si>
    <t>Helen</t>
  </si>
  <si>
    <t>smith</t>
  </si>
  <si>
    <t>4F37-TX0-XV78</t>
  </si>
  <si>
    <t>304-538-4414</t>
  </si>
  <si>
    <t>THORPE</t>
  </si>
  <si>
    <t>2U81-K02-MK15</t>
  </si>
  <si>
    <t>2DC7-GY8-AV36</t>
  </si>
  <si>
    <t>Toni</t>
  </si>
  <si>
    <t>Paulvir Fuller</t>
  </si>
  <si>
    <t>2AA0-GM4-CU14</t>
  </si>
  <si>
    <t>GAILANN</t>
  </si>
  <si>
    <t>BARTOK</t>
  </si>
  <si>
    <t>1CN0-Y74-WD31</t>
  </si>
  <si>
    <t>LESLIE</t>
  </si>
  <si>
    <t>BENYON</t>
  </si>
  <si>
    <t>7XV9-W65-GN35</t>
  </si>
  <si>
    <t>IRENE</t>
  </si>
  <si>
    <t>MEYERS</t>
  </si>
  <si>
    <t>7AY7-H60-EK46</t>
  </si>
  <si>
    <t>7DH8-YY5-HK43</t>
  </si>
  <si>
    <t>1J59-N95-EQ36</t>
  </si>
  <si>
    <t>4my8-ej2-vu43</t>
  </si>
  <si>
    <t>AUXILIADORA</t>
  </si>
  <si>
    <t>1Y43-D68-JH79</t>
  </si>
  <si>
    <t>Bartok</t>
  </si>
  <si>
    <t>8N51-Y57-ME37</t>
  </si>
  <si>
    <t>5QY0-MD6-CC20</t>
  </si>
  <si>
    <t>Yvette</t>
  </si>
  <si>
    <t>5JW5-FR3-XV82</t>
  </si>
  <si>
    <t>1F38-HA0-VE55</t>
  </si>
  <si>
    <t>VALYNN</t>
  </si>
  <si>
    <t>2NH3-T63-FR90</t>
  </si>
  <si>
    <t>2mn2-jy2-wf03</t>
  </si>
  <si>
    <t>MICHAEL L</t>
  </si>
  <si>
    <t>MANESS</t>
  </si>
  <si>
    <t>5GW6-AM5-RW43</t>
  </si>
  <si>
    <t>ALEXANDRU</t>
  </si>
  <si>
    <t>PASTRAMA</t>
  </si>
  <si>
    <t>5XR5-Q11-RP73</t>
  </si>
  <si>
    <t>maness</t>
  </si>
  <si>
    <t>7WH4-TM4-GA74</t>
  </si>
  <si>
    <t>303-668-7065</t>
  </si>
  <si>
    <t>HANKS</t>
  </si>
  <si>
    <t>7PK1-TX4-EV93</t>
  </si>
  <si>
    <t>COONES</t>
  </si>
  <si>
    <t>9HK9-CR7-NP30</t>
  </si>
  <si>
    <t>Lara</t>
  </si>
  <si>
    <t>6J67-A24-TR77</t>
  </si>
  <si>
    <t>ANGELLA</t>
  </si>
  <si>
    <t>MANNA</t>
  </si>
  <si>
    <t>7KQ8-P44-KQ43</t>
  </si>
  <si>
    <t>PEGGY</t>
  </si>
  <si>
    <t>PARRISH</t>
  </si>
  <si>
    <t>4H30-QN2-KY41</t>
  </si>
  <si>
    <t>MAASSEN</t>
  </si>
  <si>
    <t>8W65-FP8-DH91</t>
  </si>
  <si>
    <t>MARK</t>
  </si>
  <si>
    <t>BOLLINGER</t>
  </si>
  <si>
    <t>7E90-GX6-TF02</t>
  </si>
  <si>
    <t>2FF7-RE4-KU47</t>
  </si>
  <si>
    <t>HAGERMAN</t>
  </si>
  <si>
    <t>4C13-YK9-EW07</t>
  </si>
  <si>
    <t>Clifford</t>
  </si>
  <si>
    <t>Greer</t>
  </si>
  <si>
    <t>8UW0-XV5-HR00</t>
  </si>
  <si>
    <t>CHASE</t>
  </si>
  <si>
    <t>7MM0-UE8-HC10</t>
  </si>
  <si>
    <t>207-739-9417</t>
  </si>
  <si>
    <t>EUGENE</t>
  </si>
  <si>
    <t>6GQ2-AN9-CW70</t>
  </si>
  <si>
    <t>ROZELL</t>
  </si>
  <si>
    <t>4QN3-RR4-HK87</t>
  </si>
  <si>
    <t>MICKEY</t>
  </si>
  <si>
    <t>QUIJADA</t>
  </si>
  <si>
    <t>5A86-DG5-DY75</t>
  </si>
  <si>
    <t>parker</t>
  </si>
  <si>
    <t>4GM7-XH9-RG73</t>
  </si>
  <si>
    <t>OLIVAS</t>
  </si>
  <si>
    <t>7CH4-C07-MA74</t>
  </si>
  <si>
    <t>Weaver</t>
  </si>
  <si>
    <t>2kj8-u65-rq28</t>
  </si>
  <si>
    <t>CARMEN</t>
  </si>
  <si>
    <t>9w26-fm2-qn41</t>
  </si>
  <si>
    <t>9A09-JQ4-XD31</t>
  </si>
  <si>
    <t>4Q52-VF5-FC15</t>
  </si>
  <si>
    <t>5C36-TJ5-WN72</t>
  </si>
  <si>
    <t>CL</t>
  </si>
  <si>
    <t>MELTON</t>
  </si>
  <si>
    <t>2FX5-K38-VM65</t>
  </si>
  <si>
    <t>Carrie</t>
  </si>
  <si>
    <t>Hardie</t>
  </si>
  <si>
    <t>3FF7-Y83-DM52</t>
  </si>
  <si>
    <t>DOTIMAS</t>
  </si>
  <si>
    <t>5D41-FD8-GV10</t>
  </si>
  <si>
    <t>JAN</t>
  </si>
  <si>
    <t>PETTY</t>
  </si>
  <si>
    <t>6Q26-YV9-UG46</t>
  </si>
  <si>
    <t>BRADEN</t>
  </si>
  <si>
    <t>3Q27-QM1-WX59</t>
  </si>
  <si>
    <t>WINFRED</t>
  </si>
  <si>
    <t>FLECTHER</t>
  </si>
  <si>
    <t>8WQ4-T81-YW08</t>
  </si>
  <si>
    <t>FILIP</t>
  </si>
  <si>
    <t>7GU3-JP1-WT98</t>
  </si>
  <si>
    <t>BOWMAN</t>
  </si>
  <si>
    <t>4VF5-W41-FX61</t>
  </si>
  <si>
    <t>FREDRICK</t>
  </si>
  <si>
    <t>GEGGATT</t>
  </si>
  <si>
    <t>2D11-FA2-GD11</t>
  </si>
  <si>
    <t>DUDLEY</t>
  </si>
  <si>
    <t>3RK7-TK9-FC67</t>
  </si>
  <si>
    <t>SPERANZA</t>
  </si>
  <si>
    <t>3M38-R13-UH20</t>
  </si>
  <si>
    <t>DONELLA</t>
  </si>
  <si>
    <t>NEALEY</t>
  </si>
  <si>
    <t>9GT6-HA8-FQ55</t>
  </si>
  <si>
    <t>LAKEMAN</t>
  </si>
  <si>
    <t>1GW9-P14-CV22</t>
  </si>
  <si>
    <t>7ET5-V95-WQ55</t>
  </si>
  <si>
    <t>EADDY</t>
  </si>
  <si>
    <t>4R85-NU6-MC80</t>
  </si>
  <si>
    <t>LENTZ</t>
  </si>
  <si>
    <t>3V56-G20-JC74</t>
  </si>
  <si>
    <t>DAN</t>
  </si>
  <si>
    <t>DEWINTER</t>
  </si>
  <si>
    <t>9kj1-mk1-cn16</t>
  </si>
  <si>
    <t>ANNAMARIE</t>
  </si>
  <si>
    <t>5P65-X09-EM83</t>
  </si>
  <si>
    <t>6HP3-TQ6-MP91</t>
  </si>
  <si>
    <t>JANIS</t>
  </si>
  <si>
    <t>3CC7-Y24-MF54</t>
  </si>
  <si>
    <t>8TW4-FW9-YK03</t>
  </si>
  <si>
    <t>WAGENER</t>
  </si>
  <si>
    <t>6jy5-hg0-kn80</t>
  </si>
  <si>
    <t>BRADBERRY COLE</t>
  </si>
  <si>
    <t>2Y41-AE1-NM32</t>
  </si>
  <si>
    <t>JIROM</t>
  </si>
  <si>
    <t>MICAEL</t>
  </si>
  <si>
    <t>1Q05-DT3-RH84</t>
  </si>
  <si>
    <t>OPERLE</t>
  </si>
  <si>
    <t>8WX5-J03-QT71</t>
  </si>
  <si>
    <t>GATTER</t>
  </si>
  <si>
    <t>3HG4-PX5-YW71</t>
  </si>
  <si>
    <t>MCCLURKIN</t>
  </si>
  <si>
    <t>2GV9-UW9-PR10</t>
  </si>
  <si>
    <t>7FJ7-ME5-FM74</t>
  </si>
  <si>
    <t>5D13-DN9-YG95</t>
  </si>
  <si>
    <t>LEROY</t>
  </si>
  <si>
    <t>PRIEST</t>
  </si>
  <si>
    <t>5DH0-YK8-ET09</t>
  </si>
  <si>
    <t>ABBS</t>
  </si>
  <si>
    <t>8FN2-A07-TT23</t>
  </si>
  <si>
    <t>817-661-7196</t>
  </si>
  <si>
    <t>EATON</t>
  </si>
  <si>
    <t>5VN4-X05-JH65</t>
  </si>
  <si>
    <t>Erzsbet</t>
  </si>
  <si>
    <t>AGOCS</t>
  </si>
  <si>
    <t>2JX3-W92-NV73</t>
  </si>
  <si>
    <t>MASON</t>
  </si>
  <si>
    <t>6HQ4-TF5-MN61</t>
  </si>
  <si>
    <t>BERTA</t>
  </si>
  <si>
    <t>8R01-Y76-MR02</t>
  </si>
  <si>
    <t>HEAVENER</t>
  </si>
  <si>
    <t>7H05-R60-VA99</t>
  </si>
  <si>
    <t>HOTCHKISS</t>
  </si>
  <si>
    <t>1QE4-JE3-DR84</t>
  </si>
  <si>
    <t>6DK2-UA3-HH03</t>
  </si>
  <si>
    <t>Ruiz</t>
  </si>
  <si>
    <t>8HC8-P81-MQ62</t>
  </si>
  <si>
    <t>NAJERA - GARZA</t>
  </si>
  <si>
    <t>4RE9-T63-NC43</t>
  </si>
  <si>
    <t>Sammie</t>
  </si>
  <si>
    <t>Bush</t>
  </si>
  <si>
    <t>1P94-CU9-DG02</t>
  </si>
  <si>
    <t>Miley</t>
  </si>
  <si>
    <t>6PH9-AF5-NF19</t>
  </si>
  <si>
    <t>Hunter Jr</t>
  </si>
  <si>
    <t>2h55-p23-pa83</t>
  </si>
  <si>
    <t>brink</t>
  </si>
  <si>
    <t>3UC2-Y86-NH86</t>
  </si>
  <si>
    <t>Esther</t>
  </si>
  <si>
    <t>3AG0-U28-YM03</t>
  </si>
  <si>
    <t>DRAWHORN</t>
  </si>
  <si>
    <t>8JG1-Q64-YG00</t>
  </si>
  <si>
    <t>5G40-WN0-GQ25</t>
  </si>
  <si>
    <t>Webb</t>
  </si>
  <si>
    <t>1KW6-XA9-DD58</t>
  </si>
  <si>
    <t>JOVITA</t>
  </si>
  <si>
    <t>VELASQUEZ</t>
  </si>
  <si>
    <t>3X19-E36-JX18</t>
  </si>
  <si>
    <t>VASTI</t>
  </si>
  <si>
    <t>2TH4-HV9-YN94</t>
  </si>
  <si>
    <t>Ayers</t>
  </si>
  <si>
    <t>8KX5-JW1-WC80</t>
  </si>
  <si>
    <t>7FH0-WU2-FM44</t>
  </si>
  <si>
    <t>OHARA</t>
  </si>
  <si>
    <t>3MD5-HU3-AH67</t>
  </si>
  <si>
    <t>BURDINE</t>
  </si>
  <si>
    <t>8p82-k54-yp88</t>
  </si>
  <si>
    <t>9FT4-Y29-AH99</t>
  </si>
  <si>
    <t>843-253-6347</t>
  </si>
  <si>
    <t>KATHRYN</t>
  </si>
  <si>
    <t>BURNS</t>
  </si>
  <si>
    <t>3TF6-EQ1-PR75</t>
  </si>
  <si>
    <t>3K75-EQ9-HV52</t>
  </si>
  <si>
    <t>CARLOS A.</t>
  </si>
  <si>
    <t>JIMENEZ</t>
  </si>
  <si>
    <t>7CY1-Q40-QM37</t>
  </si>
  <si>
    <t>Charmayne</t>
  </si>
  <si>
    <t>King</t>
  </si>
  <si>
    <t>7UP8-UJ8-WD22</t>
  </si>
  <si>
    <t>469-939-7703</t>
  </si>
  <si>
    <t>MURTAGH</t>
  </si>
  <si>
    <t>6TA7-T60-RY77</t>
  </si>
  <si>
    <t>LOUDERMILK</t>
  </si>
  <si>
    <t>6CW6-EX7-NY74</t>
  </si>
  <si>
    <t>PROELS</t>
  </si>
  <si>
    <t>2qp2-vg7-pr12</t>
  </si>
  <si>
    <t>8G06-JT2-CR62</t>
  </si>
  <si>
    <t>2PW5-MU3-MR79</t>
  </si>
  <si>
    <t>6EX2-G47-AP08</t>
  </si>
  <si>
    <t>3YJ8-TC3-AG31</t>
  </si>
  <si>
    <t>BLACKENSHIP</t>
  </si>
  <si>
    <t>5C19-P96-EM48</t>
  </si>
  <si>
    <t>REDDICK</t>
  </si>
  <si>
    <t>7UU4-AK1-CR67</t>
  </si>
  <si>
    <t>ROBERSON</t>
  </si>
  <si>
    <t>8ae6-j12-yv60</t>
  </si>
  <si>
    <t>Milton</t>
  </si>
  <si>
    <t>1TJ3-PD4-GR79</t>
  </si>
  <si>
    <t>ROMINE</t>
  </si>
  <si>
    <t>5MA9-C22-JG24</t>
  </si>
  <si>
    <t>BLASSINGAME</t>
  </si>
  <si>
    <t>6RJ1-PW9-EA26</t>
  </si>
  <si>
    <t>EMMA</t>
  </si>
  <si>
    <t>9V32-QN0-YF26</t>
  </si>
  <si>
    <t>johnson</t>
  </si>
  <si>
    <t>6XQ2-W35-FR94</t>
  </si>
  <si>
    <t>931-982-2838</t>
  </si>
  <si>
    <t>8KE5-RG6-FW79</t>
  </si>
  <si>
    <t>JOHNSTON</t>
  </si>
  <si>
    <t>8KN5-JN9-RM98</t>
  </si>
  <si>
    <t>TEASLEY</t>
  </si>
  <si>
    <t>5C75-MT8-JD50</t>
  </si>
  <si>
    <t>4TH0-GU1-DP46</t>
  </si>
  <si>
    <t>MORENO Jr</t>
  </si>
  <si>
    <t>6RY8-HP4-HP29</t>
  </si>
  <si>
    <t>FORGUS</t>
  </si>
  <si>
    <t>8J86-GC8-AJ64</t>
  </si>
  <si>
    <t>FINN</t>
  </si>
  <si>
    <t>5M78-JC0-TG41</t>
  </si>
  <si>
    <t>1KF3-E00-JU70</t>
  </si>
  <si>
    <t>TIDWELL</t>
  </si>
  <si>
    <t>3C26-VJ9-NT84</t>
  </si>
  <si>
    <t>RENE</t>
  </si>
  <si>
    <t>5T29-YC6-QH56</t>
  </si>
  <si>
    <t>Page</t>
  </si>
  <si>
    <t>3MP4-TQ4-YV86</t>
  </si>
  <si>
    <t>LASALLE</t>
  </si>
  <si>
    <t>6DY8-UH2-KH44</t>
  </si>
  <si>
    <t>1KN9-Y92-RN38</t>
  </si>
  <si>
    <t>ANITA</t>
  </si>
  <si>
    <t>HERRERA</t>
  </si>
  <si>
    <t>8fr7-h51-mh68</t>
  </si>
  <si>
    <t>HARTLINE</t>
  </si>
  <si>
    <t>7jp3-mm2-qv06</t>
  </si>
  <si>
    <t>7X65J61TA94</t>
  </si>
  <si>
    <t>PIERCE</t>
  </si>
  <si>
    <t>3A76-GN9-XV72</t>
  </si>
  <si>
    <t>HUGGINS</t>
  </si>
  <si>
    <t>7FT7-UH1-HF56</t>
  </si>
  <si>
    <t>BALLARD</t>
  </si>
  <si>
    <t>5HU3-V14-EP05</t>
  </si>
  <si>
    <t>4t96-r50-px75</t>
  </si>
  <si>
    <t>BOONE</t>
  </si>
  <si>
    <t>9QD0-XU3-PX00</t>
  </si>
  <si>
    <t>CURRAN</t>
  </si>
  <si>
    <t>1FM2-DN8-VK16</t>
  </si>
  <si>
    <t>VIRTIS</t>
  </si>
  <si>
    <t>3G24-C06-PP72</t>
  </si>
  <si>
    <t>PARSON</t>
  </si>
  <si>
    <t>3EG6-UV4-QG89</t>
  </si>
  <si>
    <t>Green Jr</t>
  </si>
  <si>
    <t>6U96-QR6-TP59</t>
  </si>
  <si>
    <t>BOWDRY</t>
  </si>
  <si>
    <t>4GU1-HA4-DX12</t>
  </si>
  <si>
    <t>9QN8-GC7-FK66</t>
  </si>
  <si>
    <t>501-547-4040</t>
  </si>
  <si>
    <t>2QY0-VE8-GA47</t>
  </si>
  <si>
    <t>4v56-df6-md46</t>
  </si>
  <si>
    <t>WILMA</t>
  </si>
  <si>
    <t>BOBO</t>
  </si>
  <si>
    <t>2D82-P31-UV12</t>
  </si>
  <si>
    <t>PHILIP</t>
  </si>
  <si>
    <t>STUMEF</t>
  </si>
  <si>
    <t>7C36-TQ8-JN52</t>
  </si>
  <si>
    <t>DINGLE</t>
  </si>
  <si>
    <t>4Y28-VN0-NP42</t>
  </si>
  <si>
    <t>STUBBS</t>
  </si>
  <si>
    <t>3HD3-C73-WX89</t>
  </si>
  <si>
    <t>JANE</t>
  </si>
  <si>
    <t>SWEGMAN</t>
  </si>
  <si>
    <t>5TR5-XK0-GJ99</t>
  </si>
  <si>
    <t>4G25-K89-WJ68</t>
  </si>
  <si>
    <t>LEACHMAN</t>
  </si>
  <si>
    <t>3U39-RA9-QU37</t>
  </si>
  <si>
    <t>(813) 613-1595</t>
  </si>
  <si>
    <t>HEIT</t>
  </si>
  <si>
    <t>5H58-FT6-ED65</t>
  </si>
  <si>
    <t>LAURA</t>
  </si>
  <si>
    <t>LYNCH</t>
  </si>
  <si>
    <t>2A56-V44-TE47</t>
  </si>
  <si>
    <t>3nh3-v01-pt99</t>
  </si>
  <si>
    <t>DAVIS CLEMONS</t>
  </si>
  <si>
    <t>1EH0-QY5-XC26</t>
  </si>
  <si>
    <t>KELLERUP</t>
  </si>
  <si>
    <t>2t27-h03-ne34</t>
  </si>
  <si>
    <t>6A57-GC6-PA34</t>
  </si>
  <si>
    <t>HENDRIX</t>
  </si>
  <si>
    <t>5ER0-YW2-FW00</t>
  </si>
  <si>
    <t>1F06-A06-HH45</t>
  </si>
  <si>
    <t>Bright</t>
  </si>
  <si>
    <t>4H83-AF0-PW83</t>
  </si>
  <si>
    <t>HUFF</t>
  </si>
  <si>
    <t>2GD1-CD8-XJ18</t>
  </si>
  <si>
    <t>STOLTZ</t>
  </si>
  <si>
    <t>8CC1-PX7-QJ27</t>
  </si>
  <si>
    <t>MADSEN</t>
  </si>
  <si>
    <t>3YK8-FP5-PG22</t>
  </si>
  <si>
    <t>Clayrine</t>
  </si>
  <si>
    <t>Whaley</t>
  </si>
  <si>
    <t>7CU1-Y26-FV29</t>
  </si>
  <si>
    <t>OSLEY</t>
  </si>
  <si>
    <t>4MH0-C56-HX33</t>
  </si>
  <si>
    <t>EMMETT</t>
  </si>
  <si>
    <t>CONROW</t>
  </si>
  <si>
    <t>2VK2-UU8-PP98</t>
  </si>
  <si>
    <t>MILLENDER</t>
  </si>
  <si>
    <t>4T90-U41-HR11</t>
  </si>
  <si>
    <t>BILLY</t>
  </si>
  <si>
    <t>LOCKAMY</t>
  </si>
  <si>
    <t>5HU8-YC3-AK62</t>
  </si>
  <si>
    <t>NEWSAME</t>
  </si>
  <si>
    <t>8XA2-QJ3-WX87</t>
  </si>
  <si>
    <t>LIDEKER</t>
  </si>
  <si>
    <t>6J62-X45-AM94</t>
  </si>
  <si>
    <t>Carmichael</t>
  </si>
  <si>
    <t>8he8-wf7-nv30</t>
  </si>
  <si>
    <t>(214) 356-2500</t>
  </si>
  <si>
    <t>BINGNAN</t>
  </si>
  <si>
    <t>5r25-g44-tu86</t>
  </si>
  <si>
    <t>KELLEY</t>
  </si>
  <si>
    <t>1VR3-YC8-WE15</t>
  </si>
  <si>
    <t>MARTINA</t>
  </si>
  <si>
    <t>9F22-GQ5-QW90</t>
  </si>
  <si>
    <t>LOTT</t>
  </si>
  <si>
    <t>7U06-P92-VM40</t>
  </si>
  <si>
    <t>REDDITT</t>
  </si>
  <si>
    <t>1A92-KY5-PV94</t>
  </si>
  <si>
    <t>4C92-FN7-WA70</t>
  </si>
  <si>
    <t>SEIBS</t>
  </si>
  <si>
    <t>2E02-F36-PN19</t>
  </si>
  <si>
    <t>CROCKETT</t>
  </si>
  <si>
    <t>2FA4-HR6-DR82</t>
  </si>
  <si>
    <t>DEFAZIO</t>
  </si>
  <si>
    <t>5CT3-W38-MA73</t>
  </si>
  <si>
    <t>PORTIS</t>
  </si>
  <si>
    <t>1Y96-DD5-KP59</t>
  </si>
  <si>
    <t>LEE</t>
  </si>
  <si>
    <t>1V05-CY4-XJ95</t>
  </si>
  <si>
    <t>Earle</t>
  </si>
  <si>
    <t>Asberry</t>
  </si>
  <si>
    <t>2c08ww7xt23</t>
  </si>
  <si>
    <t>TWIGG</t>
  </si>
  <si>
    <t>9P43-E87-KT17</t>
  </si>
  <si>
    <t>REED</t>
  </si>
  <si>
    <t>1NT5-E29-UN53</t>
  </si>
  <si>
    <t>Watters</t>
  </si>
  <si>
    <t>6D12-UY9-PJ17</t>
  </si>
  <si>
    <t>Garmon</t>
  </si>
  <si>
    <t>9Y45-W35-YK81</t>
  </si>
  <si>
    <t>Gibson</t>
  </si>
  <si>
    <t>5N87-PJ4-VW44</t>
  </si>
  <si>
    <t>SMITH SR</t>
  </si>
  <si>
    <t>6GY2-FJ5-NR91</t>
  </si>
  <si>
    <t>9JC1-KU6-YM20</t>
  </si>
  <si>
    <t>276-333-0205</t>
  </si>
  <si>
    <t>MORGAN</t>
  </si>
  <si>
    <t>1W55-NC0-GP74</t>
  </si>
  <si>
    <t>WINSOME</t>
  </si>
  <si>
    <t>BARRIFFE</t>
  </si>
  <si>
    <t>2H23-RR8-ND12</t>
  </si>
  <si>
    <t>Beliles</t>
  </si>
  <si>
    <t>9JF0-NP2-MA13</t>
  </si>
  <si>
    <t>JOYCELYN</t>
  </si>
  <si>
    <t>DICKEY</t>
  </si>
  <si>
    <t>3YP7-FA3-GW37</t>
  </si>
  <si>
    <t>Blue</t>
  </si>
  <si>
    <t>6CA7-MP7-CJ46</t>
  </si>
  <si>
    <t>Carolee</t>
  </si>
  <si>
    <t>Moody</t>
  </si>
  <si>
    <t>7HP9-F93-RH36</t>
  </si>
  <si>
    <t>3JW9-YT5-QY25</t>
  </si>
  <si>
    <t>YORKER</t>
  </si>
  <si>
    <t>9G24-FM9-QR83</t>
  </si>
  <si>
    <t>IRIZ</t>
  </si>
  <si>
    <t>7XF9-JP9-EP54</t>
  </si>
  <si>
    <t>LESKO</t>
  </si>
  <si>
    <t>1mw1-jh3-ap27</t>
  </si>
  <si>
    <t>Stafford</t>
  </si>
  <si>
    <t>3YK4-J86-UA97</t>
  </si>
  <si>
    <t>WENGERD</t>
  </si>
  <si>
    <t>5NG5-M34-TN93</t>
  </si>
  <si>
    <t>Dillard</t>
  </si>
  <si>
    <t>Spruill</t>
  </si>
  <si>
    <t>3WF2-HF5-FH10</t>
  </si>
  <si>
    <t>THINALD</t>
  </si>
  <si>
    <t>OCONNOR JR.</t>
  </si>
  <si>
    <t>3C06-QQ7-VQ51</t>
  </si>
  <si>
    <t>4R72-UV0-KG91</t>
  </si>
  <si>
    <t>Velma</t>
  </si>
  <si>
    <t>Barnes</t>
  </si>
  <si>
    <t>1U13PF0VK70</t>
  </si>
  <si>
    <t>9XQ4-KP3-YK89</t>
  </si>
  <si>
    <t>HELENIA</t>
  </si>
  <si>
    <t>COPELAND</t>
  </si>
  <si>
    <t>2JH8-J53-NY44</t>
  </si>
  <si>
    <t>IVEY</t>
  </si>
  <si>
    <t>6V56-D93-XD75</t>
  </si>
  <si>
    <t>Cooper</t>
  </si>
  <si>
    <t>2CY7-RH9-DY56</t>
  </si>
  <si>
    <t>TANYA</t>
  </si>
  <si>
    <t>MONTLOUIS</t>
  </si>
  <si>
    <t>3MK9-FR0-VG52</t>
  </si>
  <si>
    <t>JOSEFINA</t>
  </si>
  <si>
    <t>7H64-VF1-HE08</t>
  </si>
  <si>
    <t>MCCLATCHY</t>
  </si>
  <si>
    <t>9MC9-KD4-DM38</t>
  </si>
  <si>
    <t>GROVER</t>
  </si>
  <si>
    <t>9X42-RA7-GD25</t>
  </si>
  <si>
    <t>MCGEE</t>
  </si>
  <si>
    <t>1JR0-Y97-UX49</t>
  </si>
  <si>
    <t>JUDITH</t>
  </si>
  <si>
    <t>SHELL</t>
  </si>
  <si>
    <t>1MQ3-RJ0-CW98</t>
  </si>
  <si>
    <t>BOST</t>
  </si>
  <si>
    <t>5MV4-H86-TV91</t>
  </si>
  <si>
    <t>DEANNA</t>
  </si>
  <si>
    <t>STOUT</t>
  </si>
  <si>
    <t>9CJ4-TC1-TE09</t>
  </si>
  <si>
    <t>Ellie</t>
  </si>
  <si>
    <t>Allen</t>
  </si>
  <si>
    <t>6mu2-ee4-jy03</t>
  </si>
  <si>
    <t>GINA</t>
  </si>
  <si>
    <t>6G01-CW0-PR12</t>
  </si>
  <si>
    <t>Lynda</t>
  </si>
  <si>
    <t>Combs</t>
  </si>
  <si>
    <t>7NR3-RJ6-WF06</t>
  </si>
  <si>
    <t>DAMATO</t>
  </si>
  <si>
    <t>2T43-TC3-TV99</t>
  </si>
  <si>
    <t>JACKEY</t>
  </si>
  <si>
    <t>McDowell</t>
  </si>
  <si>
    <t>2VN3-QN8-WH75</t>
  </si>
  <si>
    <t>9dt5-v68-hg80</t>
  </si>
  <si>
    <t>VINK</t>
  </si>
  <si>
    <t>7T61-R24-TF38</t>
  </si>
  <si>
    <t>Maschelle</t>
  </si>
  <si>
    <t>McCoy</t>
  </si>
  <si>
    <t>8UR6-N40-YD44</t>
  </si>
  <si>
    <t>DALE V.</t>
  </si>
  <si>
    <t>DRAPER</t>
  </si>
  <si>
    <t>8C82-UV0-YJ04</t>
  </si>
  <si>
    <t>Sutton</t>
  </si>
  <si>
    <t>2qr6-d02-gg57</t>
  </si>
  <si>
    <t>7CC1-GF4-FK28</t>
  </si>
  <si>
    <t>7Y13-KM7-JM19</t>
  </si>
  <si>
    <t>LOWERY</t>
  </si>
  <si>
    <t>1TD2-K35-MR84</t>
  </si>
  <si>
    <t>LaSalle</t>
  </si>
  <si>
    <t>3MD1-EK7-FC31</t>
  </si>
  <si>
    <t>954-665-4743</t>
  </si>
  <si>
    <t>Pinkie</t>
  </si>
  <si>
    <t>5DK7-F39-HU52</t>
  </si>
  <si>
    <t>8QQ4-XP4-PQ92</t>
  </si>
  <si>
    <t>SOGHRA</t>
  </si>
  <si>
    <t>khakpour</t>
  </si>
  <si>
    <t>1WX1-XP0-YQ38</t>
  </si>
  <si>
    <t>CALHOUN</t>
  </si>
  <si>
    <t>7A51-YR1-JW91</t>
  </si>
  <si>
    <t>PEATROSS</t>
  </si>
  <si>
    <t>9AP6-VE2-AR43</t>
  </si>
  <si>
    <t>WILKINSON</t>
  </si>
  <si>
    <t>4UD2-A72-JD83</t>
  </si>
  <si>
    <t>4HM9-RJ2-HP38</t>
  </si>
  <si>
    <t>NEAL</t>
  </si>
  <si>
    <t>5G31-NK1-UR05</t>
  </si>
  <si>
    <t>HELMS</t>
  </si>
  <si>
    <t>7HT1-F60-WH19</t>
  </si>
  <si>
    <t>JOHNNIE MAE</t>
  </si>
  <si>
    <t>ATKINSON</t>
  </si>
  <si>
    <t>9R90-KX5-NG43</t>
  </si>
  <si>
    <t>MAXWELL</t>
  </si>
  <si>
    <t>9J74-YD4-YK03</t>
  </si>
  <si>
    <t>RICARDO</t>
  </si>
  <si>
    <t>JUANCITO</t>
  </si>
  <si>
    <t>3R37-NR8-HJ69</t>
  </si>
  <si>
    <t>Aycoth</t>
  </si>
  <si>
    <t>9KG5-M75-QR97</t>
  </si>
  <si>
    <t>PICASO</t>
  </si>
  <si>
    <t>6EG0-D01-GY03</t>
  </si>
  <si>
    <t>BETSY</t>
  </si>
  <si>
    <t>LORD</t>
  </si>
  <si>
    <t>3JV1-PP7-JV91</t>
  </si>
  <si>
    <t>JACQUELINE</t>
  </si>
  <si>
    <t>5TM6-P99-CM86</t>
  </si>
  <si>
    <t>Vernon</t>
  </si>
  <si>
    <t>Cook Jr</t>
  </si>
  <si>
    <t>3t78-ga2-nx54</t>
  </si>
  <si>
    <t>(520) 370-4385</t>
  </si>
  <si>
    <t>SANDE</t>
  </si>
  <si>
    <t>5XY3-YF6-TH94</t>
  </si>
  <si>
    <t>9JN8-J86-NF23</t>
  </si>
  <si>
    <t>5GK6-EW3-VA77</t>
  </si>
  <si>
    <t>2Q79-C19-FY45</t>
  </si>
  <si>
    <t>Evelyn</t>
  </si>
  <si>
    <t>3VT0-T42-MF07</t>
  </si>
  <si>
    <t>7TD2-H18-TW98</t>
  </si>
  <si>
    <t>Tom</t>
  </si>
  <si>
    <t>4G47-VY6-UR65</t>
  </si>
  <si>
    <t>CROWFOOT</t>
  </si>
  <si>
    <t>9QH0-D60-PK33</t>
  </si>
  <si>
    <t>ROBERTS</t>
  </si>
  <si>
    <t>4X07-QN1-UH35</t>
  </si>
  <si>
    <t>9F37-KU7-KG37</t>
  </si>
  <si>
    <t>BENNY (BEN)</t>
  </si>
  <si>
    <t>MIDGETT</t>
  </si>
  <si>
    <t>5EY7-A64-RR51</t>
  </si>
  <si>
    <t>SARAH</t>
  </si>
  <si>
    <t>7HF8-G08-VV38</t>
  </si>
  <si>
    <t>TAMERA</t>
  </si>
  <si>
    <t>CHANDLER</t>
  </si>
  <si>
    <t>9T74-KA1-UE89</t>
  </si>
  <si>
    <t>OWEN</t>
  </si>
  <si>
    <t>3QQ0-H51-UH17</t>
  </si>
  <si>
    <t>ARTIS</t>
  </si>
  <si>
    <t>1F63-AD4-YT19</t>
  </si>
  <si>
    <t>MENDELL</t>
  </si>
  <si>
    <t>SOWELL</t>
  </si>
  <si>
    <t>3JH0-HK3-HF19</t>
  </si>
  <si>
    <t>8W74-RY0-NQ98</t>
  </si>
  <si>
    <t>DARDEN</t>
  </si>
  <si>
    <t>1TF2-E72-TU88</t>
  </si>
  <si>
    <t>2EP4-XD4-UD82</t>
  </si>
  <si>
    <t>KNIGHT</t>
  </si>
  <si>
    <t>6D86-DN8-TT81</t>
  </si>
  <si>
    <t>GILGHREST</t>
  </si>
  <si>
    <t>6H27-AC6-PD73</t>
  </si>
  <si>
    <t>GUSSIE</t>
  </si>
  <si>
    <t>9RR2-M20-ET16</t>
  </si>
  <si>
    <t>STEVENSON</t>
  </si>
  <si>
    <t>6rg9-k19-tf47</t>
  </si>
  <si>
    <t>8TM9-VW1-PK36</t>
  </si>
  <si>
    <t>Keith</t>
  </si>
  <si>
    <t>ODONNELL</t>
  </si>
  <si>
    <t>5J37-W99-KH50</t>
  </si>
  <si>
    <t>6W33-E30-YH78</t>
  </si>
  <si>
    <t>Marvin</t>
  </si>
  <si>
    <t>6PP5-EJ1-GV75</t>
  </si>
  <si>
    <t>BRODERICK</t>
  </si>
  <si>
    <t>9WE5-D92-GD64</t>
  </si>
  <si>
    <t>Bratton</t>
  </si>
  <si>
    <t>High</t>
  </si>
  <si>
    <t>4GU8-NA1-TA44</t>
  </si>
  <si>
    <t>615-969-3962</t>
  </si>
  <si>
    <t>Duncan</t>
  </si>
  <si>
    <t>7YE3-F76-FF96</t>
  </si>
  <si>
    <t>HOLLIS</t>
  </si>
  <si>
    <t>LYNN</t>
  </si>
  <si>
    <t>9QY0-R36-GY37</t>
  </si>
  <si>
    <t>Dalia</t>
  </si>
  <si>
    <t>Emery</t>
  </si>
  <si>
    <t>2AG2-YD8-NN24</t>
  </si>
  <si>
    <t>1hc1x66eu95</t>
  </si>
  <si>
    <t>SOULE</t>
  </si>
  <si>
    <t>6AJ3-X96-AK84</t>
  </si>
  <si>
    <t>Rosa</t>
  </si>
  <si>
    <t>Sadler</t>
  </si>
  <si>
    <t>6KP4-JQ0-HP71</t>
  </si>
  <si>
    <t>MARIEYANICK</t>
  </si>
  <si>
    <t>DERIVAL</t>
  </si>
  <si>
    <t>4HN5-QK0-NR62</t>
  </si>
  <si>
    <t>KIMBROUGH</t>
  </si>
  <si>
    <t>5MU6-HQ7-VX52</t>
  </si>
  <si>
    <t>PRIDE</t>
  </si>
  <si>
    <t>2NX5-CR9-UH63</t>
  </si>
  <si>
    <t>1CC1-EP2-YF24</t>
  </si>
  <si>
    <t>EASLEY</t>
  </si>
  <si>
    <t>5WK6-WD3-FV53</t>
  </si>
  <si>
    <t>GOODSON</t>
  </si>
  <si>
    <t>8PW8-F04-MR49</t>
  </si>
  <si>
    <t>7QQ9-FJ3-DQ33</t>
  </si>
  <si>
    <t>Charlotte</t>
  </si>
  <si>
    <t>Kimbrough</t>
  </si>
  <si>
    <t>7TD6-N78-DV66</t>
  </si>
  <si>
    <t>205-269-5740</t>
  </si>
  <si>
    <t>MARGARITA</t>
  </si>
  <si>
    <t>ESCOBAR</t>
  </si>
  <si>
    <t>8UH2-XQ9-JX83</t>
  </si>
  <si>
    <t>JEWELL</t>
  </si>
  <si>
    <t>ROWLAND</t>
  </si>
  <si>
    <t>7QK5-JA0-JP68</t>
  </si>
  <si>
    <t>WHITMOYER</t>
  </si>
  <si>
    <t>2up5rk7je92</t>
  </si>
  <si>
    <t>7XQ8-WU3-TR64</t>
  </si>
  <si>
    <t>7GE0-AF7-MJ09</t>
  </si>
  <si>
    <t>5KE8-C46-DU37</t>
  </si>
  <si>
    <t>CHEYENNE</t>
  </si>
  <si>
    <t>MENARD</t>
  </si>
  <si>
    <t>9UD8-EK5-CH37</t>
  </si>
  <si>
    <t>ALMA</t>
  </si>
  <si>
    <t>KREBILL</t>
  </si>
  <si>
    <t>2H32-YT9-QD94</t>
  </si>
  <si>
    <t>FAVER</t>
  </si>
  <si>
    <t>5W48-XP7-AH49</t>
  </si>
  <si>
    <t>RICHMIRE</t>
  </si>
  <si>
    <t>4WV1-Y28-WA15</t>
  </si>
  <si>
    <t>Gleason</t>
  </si>
  <si>
    <t>2R27-XQ7-KN51</t>
  </si>
  <si>
    <t>MECHELLE</t>
  </si>
  <si>
    <t>MCCLELLAND</t>
  </si>
  <si>
    <t>3NV5-VG1-ME68</t>
  </si>
  <si>
    <t>Erwin</t>
  </si>
  <si>
    <t>6VM1-E90-WJ25</t>
  </si>
  <si>
    <t>ROSEMARY</t>
  </si>
  <si>
    <t>MODLESKY</t>
  </si>
  <si>
    <t>7VQ5-JR8-WG65</t>
  </si>
  <si>
    <t>Anibal</t>
  </si>
  <si>
    <t>Gonzales Caro</t>
  </si>
  <si>
    <t>8QF2-EN6-DP24</t>
  </si>
  <si>
    <t>Randall</t>
  </si>
  <si>
    <t>2MV3-DN4-NQ77</t>
  </si>
  <si>
    <t>EARNESTINE</t>
  </si>
  <si>
    <t>RICHARDS</t>
  </si>
  <si>
    <t>3UT0-ME8-QU18</t>
  </si>
  <si>
    <t>VARGAS</t>
  </si>
  <si>
    <t>9X60-YE2-KF48</t>
  </si>
  <si>
    <t>PILCHER</t>
  </si>
  <si>
    <t>6D95-GT8-GN40</t>
  </si>
  <si>
    <t>CHRISTINA</t>
  </si>
  <si>
    <t>MINGO</t>
  </si>
  <si>
    <t>6xu7-y11-cj41</t>
  </si>
  <si>
    <t>ZENA</t>
  </si>
  <si>
    <t>WILLIAMSON</t>
  </si>
  <si>
    <t>5K82-U00-DA87</t>
  </si>
  <si>
    <t>LARMOT</t>
  </si>
  <si>
    <t>WATKINS</t>
  </si>
  <si>
    <t>1W73-QG1-UK74</t>
  </si>
  <si>
    <t>ROYAL</t>
  </si>
  <si>
    <t>STURDIVANT</t>
  </si>
  <si>
    <t>5Q70-QH4-UA36</t>
  </si>
  <si>
    <t>Willebaugh</t>
  </si>
  <si>
    <t>9MA0-F95-QM18</t>
  </si>
  <si>
    <t>TILLERY</t>
  </si>
  <si>
    <t>8PA2-D37-NN89</t>
  </si>
  <si>
    <t>STANGL</t>
  </si>
  <si>
    <t>9D91-V36-NX16</t>
  </si>
  <si>
    <t>9gw3-k57-tx14</t>
  </si>
  <si>
    <t>DEROSIER</t>
  </si>
  <si>
    <t>8PF3-PY2-DK81</t>
  </si>
  <si>
    <t>ABDU</t>
  </si>
  <si>
    <t>AWOL</t>
  </si>
  <si>
    <t>1q43-yk2-mx71</t>
  </si>
  <si>
    <t>CONNELLY</t>
  </si>
  <si>
    <t>9W89-X53-RG42</t>
  </si>
  <si>
    <t>Marguerite</t>
  </si>
  <si>
    <t>Camarillo</t>
  </si>
  <si>
    <t>2EP9-EF3-KW56</t>
  </si>
  <si>
    <t>RENEE</t>
  </si>
  <si>
    <t>KNOWLES</t>
  </si>
  <si>
    <t>2M70-XE7-QQ08</t>
  </si>
  <si>
    <t>BONELLY</t>
  </si>
  <si>
    <t>1CP7-VF2-RX68</t>
  </si>
  <si>
    <t>JAYNE</t>
  </si>
  <si>
    <t>WILSON-SOUZA</t>
  </si>
  <si>
    <t>1NJ3-TT0-PR79</t>
  </si>
  <si>
    <t>HILDA</t>
  </si>
  <si>
    <t>PADEREZ</t>
  </si>
  <si>
    <t>2J32-V06-KP02</t>
  </si>
  <si>
    <t>Timothy</t>
  </si>
  <si>
    <t>5N57-WA4-NF38</t>
  </si>
  <si>
    <t>sober</t>
  </si>
  <si>
    <t>1qm2-v65-tk16</t>
  </si>
  <si>
    <t>SANCHEZ</t>
  </si>
  <si>
    <t>4J99-RK9-NH24</t>
  </si>
  <si>
    <t>SHELLY</t>
  </si>
  <si>
    <t>REMINGTON</t>
  </si>
  <si>
    <t>2CE8-VT9-XH30</t>
  </si>
  <si>
    <t>Jeffries</t>
  </si>
  <si>
    <t>2H86-K64-WD89</t>
  </si>
  <si>
    <t>Murray</t>
  </si>
  <si>
    <t>5DW6-XU6-KK54</t>
  </si>
  <si>
    <t>Bruce</t>
  </si>
  <si>
    <t>TSINNIJINNIE</t>
  </si>
  <si>
    <t>5UV4-YU7-VR50</t>
  </si>
  <si>
    <t>Natalia</t>
  </si>
  <si>
    <t>Goncalves</t>
  </si>
  <si>
    <t>3VQ7-XW7-CJ68</t>
  </si>
  <si>
    <t>3UU4-QY2-YC84</t>
  </si>
  <si>
    <t>8WK1-PR4-FV93</t>
  </si>
  <si>
    <t>Lula</t>
  </si>
  <si>
    <t>Lewis</t>
  </si>
  <si>
    <t>1H87-PY5-HC38</t>
  </si>
  <si>
    <t>ERNESTINE</t>
  </si>
  <si>
    <t>8E84-E05-NN07</t>
  </si>
  <si>
    <t>Mathis</t>
  </si>
  <si>
    <t>4NV3-FA1-GM03</t>
  </si>
  <si>
    <t>GREEN-MORGAN</t>
  </si>
  <si>
    <t>4J28-TR7-WN51</t>
  </si>
  <si>
    <t>3XA7-QE7-PR42</t>
  </si>
  <si>
    <t>Rose</t>
  </si>
  <si>
    <t>Mcie</t>
  </si>
  <si>
    <t>9N23-AV1-VE14</t>
  </si>
  <si>
    <t>PERRY</t>
  </si>
  <si>
    <t>HINTON</t>
  </si>
  <si>
    <t>8KD1-RX6-EW18</t>
  </si>
  <si>
    <t>JANITA</t>
  </si>
  <si>
    <t>5FR5-VC3-AJ99</t>
  </si>
  <si>
    <t>(606) 396-1383</t>
  </si>
  <si>
    <t>HARRY</t>
  </si>
  <si>
    <t>2A77-HC5-FD67</t>
  </si>
  <si>
    <t>6MV1-TC8-FW01</t>
  </si>
  <si>
    <t>7PV0-VF5-MU39</t>
  </si>
  <si>
    <t>6H33-MF3-UV08</t>
  </si>
  <si>
    <t>Cochran</t>
  </si>
  <si>
    <t>9Q91-VU6-KD39</t>
  </si>
  <si>
    <t>276-639-3333</t>
  </si>
  <si>
    <t>Lester</t>
  </si>
  <si>
    <t>Glasper Jr</t>
  </si>
  <si>
    <t>9CP8-AY0-KD52</t>
  </si>
  <si>
    <t>BURKHART</t>
  </si>
  <si>
    <t>1NP6-KV1-XJ77</t>
  </si>
  <si>
    <t>Marseena</t>
  </si>
  <si>
    <t>5EG3-KJ0-QG89</t>
  </si>
  <si>
    <t>GRISSOM</t>
  </si>
  <si>
    <t>3ND5-VT7-UR64</t>
  </si>
  <si>
    <t>Vance</t>
  </si>
  <si>
    <t>3XF2-FJ0-CY21</t>
  </si>
  <si>
    <t>Pettis-Freeman</t>
  </si>
  <si>
    <t>2CJ0-QW6-XW03</t>
  </si>
  <si>
    <t>6gv2-eh7-ua15</t>
  </si>
  <si>
    <t>ALINA</t>
  </si>
  <si>
    <t>ROLLINS</t>
  </si>
  <si>
    <t>4QE1-AW8-PA11</t>
  </si>
  <si>
    <t>5KP2-KC9-KF24</t>
  </si>
  <si>
    <t>SCHOENFELDT</t>
  </si>
  <si>
    <t>7CX7-C43-CX55</t>
  </si>
  <si>
    <t>Barche</t>
  </si>
  <si>
    <t>8E91-UM9-XK26</t>
  </si>
  <si>
    <t>PATSY</t>
  </si>
  <si>
    <t>MURRY</t>
  </si>
  <si>
    <t>8mw6-tf2-uq40</t>
  </si>
  <si>
    <t>DEMETRIUS</t>
  </si>
  <si>
    <t>NELMS</t>
  </si>
  <si>
    <t>6FH1-P87-JP36</t>
  </si>
  <si>
    <t>Luis</t>
  </si>
  <si>
    <t>Cruz</t>
  </si>
  <si>
    <t>7H75-CH6-HD68</t>
  </si>
  <si>
    <t>2RW7-V63-YV62</t>
  </si>
  <si>
    <t>3PY6-X55-GV44</t>
  </si>
  <si>
    <t>CONNOR</t>
  </si>
  <si>
    <t>2JV4-AX1-RQ67</t>
  </si>
  <si>
    <t>6YU8-NV5-VU48</t>
  </si>
  <si>
    <t>GWENDOLYN</t>
  </si>
  <si>
    <t>HOLLENQUEST</t>
  </si>
  <si>
    <t>2V41-QF4-XD05</t>
  </si>
  <si>
    <t>LOIS</t>
  </si>
  <si>
    <t>BARTSOFF</t>
  </si>
  <si>
    <t>9JX3-FD2-NW03</t>
  </si>
  <si>
    <t>DODD</t>
  </si>
  <si>
    <t>6KV2-JV5-TF19</t>
  </si>
  <si>
    <t>LUIGI</t>
  </si>
  <si>
    <t>MANZINI</t>
  </si>
  <si>
    <t>4UP0-WF2-CW27</t>
  </si>
  <si>
    <t>MCCARTT</t>
  </si>
  <si>
    <t>8GF4-Y82-GE06</t>
  </si>
  <si>
    <t>GLADYS</t>
  </si>
  <si>
    <t>SALAZAR</t>
  </si>
  <si>
    <t>3RD9-Y22-NJ40</t>
  </si>
  <si>
    <t>2NR0-CW2-RM21</t>
  </si>
  <si>
    <t>JOCELYNE</t>
  </si>
  <si>
    <t>AIME</t>
  </si>
  <si>
    <t>8CK3-GN7-TD19</t>
  </si>
  <si>
    <t>7GQ7-UP9-PW50</t>
  </si>
  <si>
    <t>1hg1-rg9-jv39</t>
  </si>
  <si>
    <t>Larry</t>
  </si>
  <si>
    <t>Swinford</t>
  </si>
  <si>
    <t>8J01-VU3-YT93</t>
  </si>
  <si>
    <t>TUCKER</t>
  </si>
  <si>
    <t>9H89-E71-PV33</t>
  </si>
  <si>
    <t>WARDEN</t>
  </si>
  <si>
    <t>2FF1-HQ8-TP04</t>
  </si>
  <si>
    <t>MORAN Jr</t>
  </si>
  <si>
    <t>4GG9-XN4-CJ31</t>
  </si>
  <si>
    <t>ROUSSEL</t>
  </si>
  <si>
    <t>6DD0-J13-HQ23</t>
  </si>
  <si>
    <t>3e80-c62-cq48</t>
  </si>
  <si>
    <t>GLENN</t>
  </si>
  <si>
    <t>REESE</t>
  </si>
  <si>
    <t>6W06-V05-KX66</t>
  </si>
  <si>
    <t>DEFELICE</t>
  </si>
  <si>
    <t>9GA5-A96-WK57</t>
  </si>
  <si>
    <t>VERONICA</t>
  </si>
  <si>
    <t>GARBELLA</t>
  </si>
  <si>
    <t>7KE6QT7HY81</t>
  </si>
  <si>
    <t>MENGELSON</t>
  </si>
  <si>
    <t>8U66-UH3-EF89</t>
  </si>
  <si>
    <t>BERNATCHEZ</t>
  </si>
  <si>
    <t>7T00-A98-EY28</t>
  </si>
  <si>
    <t>CORTNEY</t>
  </si>
  <si>
    <t>BATY</t>
  </si>
  <si>
    <t>1CD0-N86-JC42</t>
  </si>
  <si>
    <t>7KE5-JW0-JV60</t>
  </si>
  <si>
    <t>CUMMINGS</t>
  </si>
  <si>
    <t>5AD2-W27-RU86</t>
  </si>
  <si>
    <t>FRED</t>
  </si>
  <si>
    <t>6TJ9-KJ3-XJ13</t>
  </si>
  <si>
    <t>CHEVALIER</t>
  </si>
  <si>
    <t>6FV9-J40-FK13</t>
  </si>
  <si>
    <t>YORK</t>
  </si>
  <si>
    <t>9TR8-KW2-NE55</t>
  </si>
  <si>
    <t>5JA3-K23-UM98</t>
  </si>
  <si>
    <t>SAENZ</t>
  </si>
  <si>
    <t>6FR9-M22-QM31</t>
  </si>
  <si>
    <t>7d39-k08-pg27</t>
  </si>
  <si>
    <t>DANIAL</t>
  </si>
  <si>
    <t>ENGEL</t>
  </si>
  <si>
    <t>5nc1-e92-fr33</t>
  </si>
  <si>
    <t>HOPE</t>
  </si>
  <si>
    <t>9HT0-GJ1-NH00</t>
  </si>
  <si>
    <t>Micucci</t>
  </si>
  <si>
    <t>9KK9-GA7-KJ44</t>
  </si>
  <si>
    <t>6UR6-XA2-QV78</t>
  </si>
  <si>
    <t>VAN</t>
  </si>
  <si>
    <t>WELLS</t>
  </si>
  <si>
    <t>6AN0-V77-MM90</t>
  </si>
  <si>
    <t>4FE7-TD2-TQ64</t>
  </si>
  <si>
    <t>MCCLUNEY</t>
  </si>
  <si>
    <t>5KA1-NG0-TA99</t>
  </si>
  <si>
    <t>3M51-EY0-DG19</t>
  </si>
  <si>
    <t>Ronnie</t>
  </si>
  <si>
    <t>Hall</t>
  </si>
  <si>
    <t>8r02-m37-ev05</t>
  </si>
  <si>
    <t>GOLDMAN</t>
  </si>
  <si>
    <t>2M14-EP7-QM89</t>
  </si>
  <si>
    <t>JUANA</t>
  </si>
  <si>
    <t>VALENTIN-CYR</t>
  </si>
  <si>
    <t>3jv9-rj1-wv21</t>
  </si>
  <si>
    <t>Eli</t>
  </si>
  <si>
    <t>Watts</t>
  </si>
  <si>
    <t>6Y94V27ME71</t>
  </si>
  <si>
    <t>8W49-WJ0-NV58</t>
  </si>
  <si>
    <t>CLEARAETTE</t>
  </si>
  <si>
    <t>9KX6-EU8-JC50</t>
  </si>
  <si>
    <t>9K60-G74-AA35</t>
  </si>
  <si>
    <t>OTTO</t>
  </si>
  <si>
    <t>1H67-UV2-FD56</t>
  </si>
  <si>
    <t>GENEVIA</t>
  </si>
  <si>
    <t>6T54-Y70-AC74</t>
  </si>
  <si>
    <t>VALENTINE</t>
  </si>
  <si>
    <t>8TV6-XG5-DD47</t>
  </si>
  <si>
    <t>6R35-E49-NP63</t>
  </si>
  <si>
    <t>PETRA</t>
  </si>
  <si>
    <t>DEMING</t>
  </si>
  <si>
    <t>2TM2-CV0-CK96</t>
  </si>
  <si>
    <t>8C88-P90-TQ48</t>
  </si>
  <si>
    <t>SEZILEE</t>
  </si>
  <si>
    <t>SMITH REID</t>
  </si>
  <si>
    <t>1DF5-QW3-VU60</t>
  </si>
  <si>
    <t>SURENDRA</t>
  </si>
  <si>
    <t>MAHENDRA</t>
  </si>
  <si>
    <t>3WG4-HF4-VC65</t>
  </si>
  <si>
    <t>5QP5-ET4-AP51</t>
  </si>
  <si>
    <t>BANKS</t>
  </si>
  <si>
    <t>5Q97-PD0-VA77</t>
  </si>
  <si>
    <t>Ramon</t>
  </si>
  <si>
    <t>Coronado</t>
  </si>
  <si>
    <t>8TX4-HT6-PK65</t>
  </si>
  <si>
    <t>BOOKER</t>
  </si>
  <si>
    <t>2DV5-HD0-YC86</t>
  </si>
  <si>
    <t>Vern</t>
  </si>
  <si>
    <t>1AR5-E20-QF66</t>
  </si>
  <si>
    <t>THRALL</t>
  </si>
  <si>
    <t>4T08-HA3-KE42</t>
  </si>
  <si>
    <t>Fore</t>
  </si>
  <si>
    <t>1HE4-FW6-PR04</t>
  </si>
  <si>
    <t>9VJ0-CX9-WM05</t>
  </si>
  <si>
    <t>Shanda</t>
  </si>
  <si>
    <t>Wheeler</t>
  </si>
  <si>
    <t>2MK8-D87-HV43</t>
  </si>
  <si>
    <t>BOGAN</t>
  </si>
  <si>
    <t>7p16-ea3-qq72</t>
  </si>
  <si>
    <t>720-586-9629</t>
  </si>
  <si>
    <t>LOUVINA</t>
  </si>
  <si>
    <t>6VU1-TA6-DG99</t>
  </si>
  <si>
    <t>HESTERS</t>
  </si>
  <si>
    <t>3CQ2-W47-KC82</t>
  </si>
  <si>
    <t>HEFLIN</t>
  </si>
  <si>
    <t>7A34-V06-RF86</t>
  </si>
  <si>
    <t>SANDERS</t>
  </si>
  <si>
    <t>5TH1-RC3-XR90</t>
  </si>
  <si>
    <t>Joetta</t>
  </si>
  <si>
    <t>Halter</t>
  </si>
  <si>
    <t>9YA5-V34-EJ95</t>
  </si>
  <si>
    <t>JERNIGAN</t>
  </si>
  <si>
    <t>7YM1-PV0-QG13</t>
  </si>
  <si>
    <t>Schneider</t>
  </si>
  <si>
    <t>2R12-YH9-UW27</t>
  </si>
  <si>
    <t>HAUSDORFF</t>
  </si>
  <si>
    <t>3ah2-v93-kw21</t>
  </si>
  <si>
    <t>Linese</t>
  </si>
  <si>
    <t>8AF2-TU6-UU28</t>
  </si>
  <si>
    <t>Sherry</t>
  </si>
  <si>
    <t>5tn3-m25-gn89</t>
  </si>
  <si>
    <t>Thurman</t>
  </si>
  <si>
    <t>Horton</t>
  </si>
  <si>
    <t>9X39-U62-QA22</t>
  </si>
  <si>
    <t>Sloan</t>
  </si>
  <si>
    <t>6QV7-TW4-PE40</t>
  </si>
  <si>
    <t>Lori</t>
  </si>
  <si>
    <t>Reveles</t>
  </si>
  <si>
    <t>5CT1-UQ2-EU18</t>
  </si>
  <si>
    <t>TERRI</t>
  </si>
  <si>
    <t>LESURE</t>
  </si>
  <si>
    <t>5JD3-FG7-AE74</t>
  </si>
  <si>
    <t>TURGEON</t>
  </si>
  <si>
    <t>2A76-JM1-GD58</t>
  </si>
  <si>
    <t>Watson</t>
  </si>
  <si>
    <t>5kg3-hc0-jm73</t>
  </si>
  <si>
    <t>4AR8-JX0-CE45</t>
  </si>
  <si>
    <t>5KD8-Y15-XR54</t>
  </si>
  <si>
    <t>Leslie</t>
  </si>
  <si>
    <t>fox</t>
  </si>
  <si>
    <t>5RF6-QN3-GG68</t>
  </si>
  <si>
    <t>YVETTE</t>
  </si>
  <si>
    <t>4MU7-UP4-KA64</t>
  </si>
  <si>
    <t>9DH7-YY1-VR50</t>
  </si>
  <si>
    <t>Claracile</t>
  </si>
  <si>
    <t>Early</t>
  </si>
  <si>
    <t>3R67-KE6-HF39</t>
  </si>
  <si>
    <t>1HA6-YA6-HY88</t>
  </si>
  <si>
    <t>Rosetti</t>
  </si>
  <si>
    <t>8GW0-PA9-RW13</t>
  </si>
  <si>
    <t>SARRACENT</t>
  </si>
  <si>
    <t>7GY3-PV4-AR71</t>
  </si>
  <si>
    <t>Buchanan</t>
  </si>
  <si>
    <t>4HX9-RF2-GC28</t>
  </si>
  <si>
    <t>LLOYD</t>
  </si>
  <si>
    <t>DELOACH</t>
  </si>
  <si>
    <t>5jp6-r57-md82</t>
  </si>
  <si>
    <t>4GW8-C37-JR48</t>
  </si>
  <si>
    <t>DOBBS</t>
  </si>
  <si>
    <t>4XD1-XU5-VU06</t>
  </si>
  <si>
    <t>Adler</t>
  </si>
  <si>
    <t>2RP6-E52-HY49</t>
  </si>
  <si>
    <t>FLEMING</t>
  </si>
  <si>
    <t>7cN2-Y46-NV15</t>
  </si>
  <si>
    <t>ALVA</t>
  </si>
  <si>
    <t>WHITEHEAD</t>
  </si>
  <si>
    <t>9C03-HY0-JM60</t>
  </si>
  <si>
    <t>CORLEY</t>
  </si>
  <si>
    <t>9PX9-K05-WY16</t>
  </si>
  <si>
    <t>GWENDA</t>
  </si>
  <si>
    <t>BRELAND</t>
  </si>
  <si>
    <t>2H41-GU8-QC04</t>
  </si>
  <si>
    <t>Aylor</t>
  </si>
  <si>
    <t>5PP1-QC9-DD01</t>
  </si>
  <si>
    <t>URRBE</t>
  </si>
  <si>
    <t>4FF9-JC4-QM52</t>
  </si>
  <si>
    <t>EZEKIEL</t>
  </si>
  <si>
    <t>2F62-HK4-WC26</t>
  </si>
  <si>
    <t>Billie</t>
  </si>
  <si>
    <t>Martin</t>
  </si>
  <si>
    <t>8YY1-V45-HN28</t>
  </si>
  <si>
    <t>WALTERS</t>
  </si>
  <si>
    <t>3MH3-M63-WY84</t>
  </si>
  <si>
    <t>WILLIAM (TIMOTHY)</t>
  </si>
  <si>
    <t>SIPE</t>
  </si>
  <si>
    <t>1GU4-P03-VR07</t>
  </si>
  <si>
    <t>8DR9-R60-YF16</t>
  </si>
  <si>
    <t>LEILA</t>
  </si>
  <si>
    <t>STEADWELL</t>
  </si>
  <si>
    <t>8EE0-UW8-GC13</t>
  </si>
  <si>
    <t>ADRIANE</t>
  </si>
  <si>
    <t>ROBINSON LECHE</t>
  </si>
  <si>
    <t>4RJ0-MQ9-JF29</t>
  </si>
  <si>
    <t>BALL</t>
  </si>
  <si>
    <t>7wy2-nm7-vv24</t>
  </si>
  <si>
    <t>POLLARD</t>
  </si>
  <si>
    <t>4CC5-KP2-DJ57</t>
  </si>
  <si>
    <t>OSBORN</t>
  </si>
  <si>
    <t>8HY6-A48-PG43</t>
  </si>
  <si>
    <t>TERESSA</t>
  </si>
  <si>
    <t>MORAN</t>
  </si>
  <si>
    <t>4MR8-YV5-MU56</t>
  </si>
  <si>
    <t>ROBIN C</t>
  </si>
  <si>
    <t>RUDOLPH DAVIS</t>
  </si>
  <si>
    <t>2FP1-C32-AM19</t>
  </si>
  <si>
    <t>8KM2-PR8-HR91</t>
  </si>
  <si>
    <t>SUSIE</t>
  </si>
  <si>
    <t>CLAYTON WALTON</t>
  </si>
  <si>
    <t>3t04-pd2-jd91</t>
  </si>
  <si>
    <t>MARCIA</t>
  </si>
  <si>
    <t>MOHR</t>
  </si>
  <si>
    <t>7FM3-D80-NP79</t>
  </si>
  <si>
    <t>BURR</t>
  </si>
  <si>
    <t>1CA5-D50-PJ86</t>
  </si>
  <si>
    <t>BERENICE</t>
  </si>
  <si>
    <t>SCHWARTZBECK</t>
  </si>
  <si>
    <t>1JP3-RT8-TX08</t>
  </si>
  <si>
    <t>DAWNA</t>
  </si>
  <si>
    <t>3FT7-NV1-DK31</t>
  </si>
  <si>
    <t>CARAPEZZA</t>
  </si>
  <si>
    <t>1YY5-MV2-RW74</t>
  </si>
  <si>
    <t>SANTILLAN</t>
  </si>
  <si>
    <t>2KH7-PK8-CP36</t>
  </si>
  <si>
    <t>Youngs</t>
  </si>
  <si>
    <t>1W59-CC2-YT47</t>
  </si>
  <si>
    <t>Bronzella</t>
  </si>
  <si>
    <t>Calloway</t>
  </si>
  <si>
    <t>1HR1-C47-AJ10</t>
  </si>
  <si>
    <t>LORI</t>
  </si>
  <si>
    <t>MOLINA</t>
  </si>
  <si>
    <t>9G64-U17-CE70</t>
  </si>
  <si>
    <t>2CH9-JQ2-XE20</t>
  </si>
  <si>
    <t>970-361-5424</t>
  </si>
  <si>
    <t>GISELLE</t>
  </si>
  <si>
    <t>CIORARU</t>
  </si>
  <si>
    <t>6DD0-PW0-VX10</t>
  </si>
  <si>
    <t>Bonnie</t>
  </si>
  <si>
    <t>1wt8-r23-wr26</t>
  </si>
  <si>
    <t>ZIOBRON</t>
  </si>
  <si>
    <t>5AQ0-EM8-YK20</t>
  </si>
  <si>
    <t>TRINIE</t>
  </si>
  <si>
    <t>6tf0-wk1-gw49</t>
  </si>
  <si>
    <t>REYES</t>
  </si>
  <si>
    <t>8Q70-R48-AQ90</t>
  </si>
  <si>
    <t>Ronda</t>
  </si>
  <si>
    <t>Stoddard</t>
  </si>
  <si>
    <t>2DN2-KY2-QM18</t>
  </si>
  <si>
    <t>Lawrence</t>
  </si>
  <si>
    <t>7XR1-GE8-YJ99</t>
  </si>
  <si>
    <t>IBARRA</t>
  </si>
  <si>
    <t>4WW0-PG0-WY15</t>
  </si>
  <si>
    <t>FRATZKE</t>
  </si>
  <si>
    <t>7HN7-V53-PH74</t>
  </si>
  <si>
    <t>Wilson</t>
  </si>
  <si>
    <t>Phelps</t>
  </si>
  <si>
    <t>4CW0-N46-CN16</t>
  </si>
  <si>
    <t>HEADLEY</t>
  </si>
  <si>
    <t>8TY1-DR6-QK16</t>
  </si>
  <si>
    <t>Sherman</t>
  </si>
  <si>
    <t>6F04-GU9-TG93</t>
  </si>
  <si>
    <t>Wallace</t>
  </si>
  <si>
    <t>1HC8-RK6-JY49</t>
  </si>
  <si>
    <t>Fisher</t>
  </si>
  <si>
    <t>8G22-RG1-NP11</t>
  </si>
  <si>
    <t>Celestine</t>
  </si>
  <si>
    <t>Fletcher</t>
  </si>
  <si>
    <t>2GA2-P81-AE01</t>
  </si>
  <si>
    <t>4FR0-C52-UE15</t>
  </si>
  <si>
    <t>5CG2-CM9-NC15</t>
  </si>
  <si>
    <t>FATE</t>
  </si>
  <si>
    <t>3HD6-G78-NW70</t>
  </si>
  <si>
    <t>UNDERWOOD</t>
  </si>
  <si>
    <t>6DW9-FA7-ND57</t>
  </si>
  <si>
    <t>Vera</t>
  </si>
  <si>
    <t>Grooms</t>
  </si>
  <si>
    <t>6U86-CC0-RP58</t>
  </si>
  <si>
    <t>LUCAS</t>
  </si>
  <si>
    <t>1QF4-FN6-DQ04</t>
  </si>
  <si>
    <t>8NN2-GF8-EQ91</t>
  </si>
  <si>
    <t>Bratcher</t>
  </si>
  <si>
    <t>8ka7-aa1-aw65</t>
  </si>
  <si>
    <t>Teresa</t>
  </si>
  <si>
    <t>Priddy</t>
  </si>
  <si>
    <t>3TH8-KY3-JV41</t>
  </si>
  <si>
    <t>REEVES-JAMES</t>
  </si>
  <si>
    <t>8TD6-H44-PU85</t>
  </si>
  <si>
    <t>(520) 822-1151</t>
  </si>
  <si>
    <t>Charmaine</t>
  </si>
  <si>
    <t>Gentz</t>
  </si>
  <si>
    <t>9XK9-EN3-QP30</t>
  </si>
  <si>
    <t>WADDLE</t>
  </si>
  <si>
    <t>1TX5KC8CM95</t>
  </si>
  <si>
    <t>MARI</t>
  </si>
  <si>
    <t>6VG4-GQ5-TW71</t>
  </si>
  <si>
    <t>(602) 309-2145</t>
  </si>
  <si>
    <t>FLEISHMAN</t>
  </si>
  <si>
    <t>7CF3-XD0-ND05</t>
  </si>
  <si>
    <t>BAUER</t>
  </si>
  <si>
    <t>2YU4-TF8-TC95</t>
  </si>
  <si>
    <t>MORIARTY</t>
  </si>
  <si>
    <t>6WR0-AE2-QY11</t>
  </si>
  <si>
    <t>Arlene</t>
  </si>
  <si>
    <t>Sollon</t>
  </si>
  <si>
    <t>7pm6-fd2-qe61</t>
  </si>
  <si>
    <t>WYOMIA</t>
  </si>
  <si>
    <t>6G09-EK3-PR52</t>
  </si>
  <si>
    <t>BUCHHOLZ</t>
  </si>
  <si>
    <t>2W41-AP4-JQ95</t>
  </si>
  <si>
    <t>6HG6-D51-MK42</t>
  </si>
  <si>
    <t>BOWDEN</t>
  </si>
  <si>
    <t>6QU4-WE1-GE77</t>
  </si>
  <si>
    <t>Catherine</t>
  </si>
  <si>
    <t>Sullivan</t>
  </si>
  <si>
    <t>5EQ8-AN6-AX68</t>
  </si>
  <si>
    <t>IRMA</t>
  </si>
  <si>
    <t>BERRY</t>
  </si>
  <si>
    <t>6MP7-T52-QY59</t>
  </si>
  <si>
    <t>KAUFMAN</t>
  </si>
  <si>
    <t>3C70-D39-YK44</t>
  </si>
  <si>
    <t>PYLE</t>
  </si>
  <si>
    <t>2QH9-YE5-CW12</t>
  </si>
  <si>
    <t>ODOM</t>
  </si>
  <si>
    <t>4TQ2-QU0-UK89</t>
  </si>
  <si>
    <t>Kevin</t>
  </si>
  <si>
    <t>Shore</t>
  </si>
  <si>
    <t>5KR4-KH7-WN72</t>
  </si>
  <si>
    <t>9U63-K02-WM13</t>
  </si>
  <si>
    <t>(623) 376-7534</t>
  </si>
  <si>
    <t>Canada</t>
  </si>
  <si>
    <t>4YN4-CQ8-QF73</t>
  </si>
  <si>
    <t>Rogers Jr</t>
  </si>
  <si>
    <t>9CQ2-WX1-WA91</t>
  </si>
  <si>
    <t>WEAVER</t>
  </si>
  <si>
    <t>9Q91-CU2-FW95</t>
  </si>
  <si>
    <t>Porcha</t>
  </si>
  <si>
    <t>Washington</t>
  </si>
  <si>
    <t>6yf5-qd3-Nk51</t>
  </si>
  <si>
    <t>Charlie</t>
  </si>
  <si>
    <t>Mains</t>
  </si>
  <si>
    <t>4KW5-PF6-NN65</t>
  </si>
  <si>
    <t>JUVENTINO</t>
  </si>
  <si>
    <t>MENA</t>
  </si>
  <si>
    <t>6ya6-h18-jm58</t>
  </si>
  <si>
    <t>RIES</t>
  </si>
  <si>
    <t>1MU1-CV9-KA24</t>
  </si>
  <si>
    <t>Gary</t>
  </si>
  <si>
    <t>Ates</t>
  </si>
  <si>
    <t>6wy8-e54-mn28</t>
  </si>
  <si>
    <t>CLOUD</t>
  </si>
  <si>
    <t>8AN3-K51-PH05</t>
  </si>
  <si>
    <t>LETT</t>
  </si>
  <si>
    <t>8JX5-WU3-JT61</t>
  </si>
  <si>
    <t>CHRISTIAN</t>
  </si>
  <si>
    <t>2T78-RX2-WV22</t>
  </si>
  <si>
    <t>SCHEPER</t>
  </si>
  <si>
    <t>8M82-XY6-KK05</t>
  </si>
  <si>
    <t>Melinda</t>
  </si>
  <si>
    <t>Bradbury</t>
  </si>
  <si>
    <t>6F13-UV7-JH76</t>
  </si>
  <si>
    <t>GAYLE</t>
  </si>
  <si>
    <t>BARDEN</t>
  </si>
  <si>
    <t>2dy4-yx2-kj04</t>
  </si>
  <si>
    <t>GUY</t>
  </si>
  <si>
    <t>2E23-F58-NJ88</t>
  </si>
  <si>
    <t>Jay</t>
  </si>
  <si>
    <t>Green</t>
  </si>
  <si>
    <t>8kh1vu5ft19</t>
  </si>
  <si>
    <t>wilcox</t>
  </si>
  <si>
    <t>7D51-D84-WY03</t>
  </si>
  <si>
    <t>BERNIE</t>
  </si>
  <si>
    <t>4NW5-MY9-UK83</t>
  </si>
  <si>
    <t>WHEELER</t>
  </si>
  <si>
    <t>8NC5-F70-NX58</t>
  </si>
  <si>
    <t>Vicky</t>
  </si>
  <si>
    <t>Etheridge</t>
  </si>
  <si>
    <t>8CY9-VV3-VR41</t>
  </si>
  <si>
    <t>Russell</t>
  </si>
  <si>
    <t>Creamer</t>
  </si>
  <si>
    <t>1QR5-QA2-EF85</t>
  </si>
  <si>
    <t>RUBEN</t>
  </si>
  <si>
    <t>HAMM</t>
  </si>
  <si>
    <t>8EK1-MU8-FG31</t>
  </si>
  <si>
    <t>RIOSECO</t>
  </si>
  <si>
    <t>2AW5-WU8-MH62</t>
  </si>
  <si>
    <t>Gonzalo</t>
  </si>
  <si>
    <t>De la torre</t>
  </si>
  <si>
    <t>1T98-R23-WN40</t>
  </si>
  <si>
    <t>(786) 543-2118</t>
  </si>
  <si>
    <t>9MK5-RK9-UF81</t>
  </si>
  <si>
    <t>NOELLE</t>
  </si>
  <si>
    <t>7H23-K03-DE74</t>
  </si>
  <si>
    <t>Serrano Rodriguez</t>
  </si>
  <si>
    <t>1R47-KD2-YG50</t>
  </si>
  <si>
    <t>Presley</t>
  </si>
  <si>
    <t>2R47-H92-AN33</t>
  </si>
  <si>
    <t>PRIBORSKY</t>
  </si>
  <si>
    <t>5dh8-a80-cq37</t>
  </si>
  <si>
    <t>REMONIA</t>
  </si>
  <si>
    <t>9E25-KN4-UQ63</t>
  </si>
  <si>
    <t>Valerie</t>
  </si>
  <si>
    <t>HARPER-CHERRY</t>
  </si>
  <si>
    <t>6DF4-XU8-NR06</t>
  </si>
  <si>
    <t>Sieple</t>
  </si>
  <si>
    <t>6P37-GX0-WT46</t>
  </si>
  <si>
    <t>DALIJA</t>
  </si>
  <si>
    <t>7VF9-XY5-XQ35</t>
  </si>
  <si>
    <t>Degia</t>
  </si>
  <si>
    <t>2WW8-HY4-WA65</t>
  </si>
  <si>
    <t>MANUEL</t>
  </si>
  <si>
    <t>ORIA</t>
  </si>
  <si>
    <t>9P42-Q76-MH99</t>
  </si>
  <si>
    <t>McDoe</t>
  </si>
  <si>
    <t>7DE7-X99-CV57</t>
  </si>
  <si>
    <t>Bethany</t>
  </si>
  <si>
    <t>Aiken</t>
  </si>
  <si>
    <t>7er9-t49-nw48</t>
  </si>
  <si>
    <t>TIETZ</t>
  </si>
  <si>
    <t>8RK6-X22-CW54</t>
  </si>
  <si>
    <t>(928) 200-2066</t>
  </si>
  <si>
    <t>2U65-GV0-GH91</t>
  </si>
  <si>
    <t>Jo</t>
  </si>
  <si>
    <t>Lavender</t>
  </si>
  <si>
    <t>5FW4-GN5-VA86</t>
  </si>
  <si>
    <t>Sang</t>
  </si>
  <si>
    <t>Huynh</t>
  </si>
  <si>
    <t>3NX6-RD2-TG72</t>
  </si>
  <si>
    <t>Pass</t>
  </si>
  <si>
    <t>1q06yn1ux87</t>
  </si>
  <si>
    <t>Ledford</t>
  </si>
  <si>
    <t>1A24-T72-UX89</t>
  </si>
  <si>
    <t>1CA0-F89-AH35</t>
  </si>
  <si>
    <t>BARBEAU</t>
  </si>
  <si>
    <t>1A10-X36-XY00</t>
  </si>
  <si>
    <t>Robyn</t>
  </si>
  <si>
    <t>4AD0-RP2-WN31</t>
  </si>
  <si>
    <t>1a59-dp7-fe37</t>
  </si>
  <si>
    <t>Glen</t>
  </si>
  <si>
    <t>6M70-F15-XM15</t>
  </si>
  <si>
    <t>Justine</t>
  </si>
  <si>
    <t>Bailes</t>
  </si>
  <si>
    <t>9AJ6-Q34-EP56</t>
  </si>
  <si>
    <t>Blake</t>
  </si>
  <si>
    <t>5DR3-MG9-HP92</t>
  </si>
  <si>
    <t>4QK6-F12-VN57</t>
  </si>
  <si>
    <t>843-330-3392</t>
  </si>
  <si>
    <t>WOOLRIDGE</t>
  </si>
  <si>
    <t>1HM2-XP3-RK26</t>
  </si>
  <si>
    <t>Herron</t>
  </si>
  <si>
    <t>4XE3-NV6-HT96</t>
  </si>
  <si>
    <t>Woolridge</t>
  </si>
  <si>
    <t>1WJ5-H97-VA95</t>
  </si>
  <si>
    <t>MEL</t>
  </si>
  <si>
    <t>5WA0-WX5-FF33</t>
  </si>
  <si>
    <t>Walton</t>
  </si>
  <si>
    <t>Wilkins</t>
  </si>
  <si>
    <t>7J57-UU3-PP35</t>
  </si>
  <si>
    <t>STACKHOUSE</t>
  </si>
  <si>
    <t>6HU2-DV9-CM93</t>
  </si>
  <si>
    <t>6MJ4-RK8-PD68</t>
  </si>
  <si>
    <t>Silvario</t>
  </si>
  <si>
    <t>3M26-UJ8-NV76</t>
  </si>
  <si>
    <t>6FV3-HQ3-KE88</t>
  </si>
  <si>
    <t>Leach</t>
  </si>
  <si>
    <t>1FX4-WE4-JA87</t>
  </si>
  <si>
    <t>TENIA</t>
  </si>
  <si>
    <t>6m39-th6-uh20</t>
  </si>
  <si>
    <t>RYAN-DELP</t>
  </si>
  <si>
    <t>7AJ7-Q47-HR49</t>
  </si>
  <si>
    <t>Buck</t>
  </si>
  <si>
    <t>6gd0-hj9-na21</t>
  </si>
  <si>
    <t>Christell</t>
  </si>
  <si>
    <t>5NG5-KN7-EK52</t>
  </si>
  <si>
    <t>STEPTER JR.</t>
  </si>
  <si>
    <t>4y76-tn1-xr59</t>
  </si>
  <si>
    <t>Harms</t>
  </si>
  <si>
    <t>5d91-f83-gt12</t>
  </si>
  <si>
    <t>3w68-ax4-re10</t>
  </si>
  <si>
    <t>Adams</t>
  </si>
  <si>
    <t>5T02-DQ5-XF12</t>
  </si>
  <si>
    <t>CLORAN</t>
  </si>
  <si>
    <t>7VN0-GV7-TQ01</t>
  </si>
  <si>
    <t>RAYBORN</t>
  </si>
  <si>
    <t>3F52-R95-DT80</t>
  </si>
  <si>
    <t>GABRIUS</t>
  </si>
  <si>
    <t>2Q64-CW7-JT79</t>
  </si>
  <si>
    <t>XIOMARA</t>
  </si>
  <si>
    <t>ANDERSON</t>
  </si>
  <si>
    <t>6CW8-XJ4-ER68</t>
  </si>
  <si>
    <t>Kathleen</t>
  </si>
  <si>
    <t>Roman</t>
  </si>
  <si>
    <t>6XT8-E59-FD45</t>
  </si>
  <si>
    <t>DALTON</t>
  </si>
  <si>
    <t>6DP4-U31-VQ82</t>
  </si>
  <si>
    <t>Patsy</t>
  </si>
  <si>
    <t>evans</t>
  </si>
  <si>
    <t>1a40-rh8-re26</t>
  </si>
  <si>
    <t>Pierce</t>
  </si>
  <si>
    <t>7JG7-J56-MY43</t>
  </si>
  <si>
    <t>ALOYSIUS</t>
  </si>
  <si>
    <t>JALLAH</t>
  </si>
  <si>
    <t>7V36-ND5-TV70</t>
  </si>
  <si>
    <t>BERG</t>
  </si>
  <si>
    <t>9C18-C88-DW66</t>
  </si>
  <si>
    <t>MIKLE</t>
  </si>
  <si>
    <t>4X81-YT4-JA17</t>
  </si>
  <si>
    <t>KEAR</t>
  </si>
  <si>
    <t>3FD5-AH5-RQ53</t>
  </si>
  <si>
    <t>HIMMEL</t>
  </si>
  <si>
    <t>1T88-NJ0-WP50</t>
  </si>
  <si>
    <t>3ED6-EA3-PJ68</t>
  </si>
  <si>
    <t>(704) 776-9986</t>
  </si>
  <si>
    <t>Janette</t>
  </si>
  <si>
    <t>Reeves</t>
  </si>
  <si>
    <t>5GX7-CW4-VA76</t>
  </si>
  <si>
    <t>JODI</t>
  </si>
  <si>
    <t>BAIR</t>
  </si>
  <si>
    <t>3pr3-g21-ud84</t>
  </si>
  <si>
    <t>Brashears</t>
  </si>
  <si>
    <t>7Q00-AC9-EG44</t>
  </si>
  <si>
    <t>Sams</t>
  </si>
  <si>
    <t>9GK2-YJ8-EW04</t>
  </si>
  <si>
    <t>SCHMID</t>
  </si>
  <si>
    <t>6YM7-DX3-CA20</t>
  </si>
  <si>
    <t>Theodore</t>
  </si>
  <si>
    <t>9G05-V95-HK97</t>
  </si>
  <si>
    <t>ROGERS</t>
  </si>
  <si>
    <t>4J04-VE3-FM88</t>
  </si>
  <si>
    <t>MARGIE</t>
  </si>
  <si>
    <t>3MU7-G02-JY43</t>
  </si>
  <si>
    <t>Kay</t>
  </si>
  <si>
    <t>Kay Green</t>
  </si>
  <si>
    <t>SANTINI</t>
  </si>
  <si>
    <t>7D53-HU2-FX01</t>
  </si>
  <si>
    <t>VAN ANDA</t>
  </si>
  <si>
    <t>6H64-EK5-FC66</t>
  </si>
  <si>
    <t>7HC5-YK9-QU94</t>
  </si>
  <si>
    <t>ROSEANNE</t>
  </si>
  <si>
    <t>RANDOLPH</t>
  </si>
  <si>
    <t>3P76-E03-DD30</t>
  </si>
  <si>
    <t>Herbert</t>
  </si>
  <si>
    <t>Victorian</t>
  </si>
  <si>
    <t>1WM5-N39-MA98</t>
  </si>
  <si>
    <t>MOONEYHAM</t>
  </si>
  <si>
    <t>9KH4-JP4-PP76</t>
  </si>
  <si>
    <t>Abbott</t>
  </si>
  <si>
    <t>2KD8-CG8-CU26</t>
  </si>
  <si>
    <t>MCLAMB</t>
  </si>
  <si>
    <t>5MR4-Y67-FY91</t>
  </si>
  <si>
    <t>3UQ4-PU1-AU66</t>
  </si>
  <si>
    <t>LONNELL</t>
  </si>
  <si>
    <t>9G58-YM5-AJ41</t>
  </si>
  <si>
    <t>9Q77-X76-YU51</t>
  </si>
  <si>
    <t>FLORENCE</t>
  </si>
  <si>
    <t>MCRAY</t>
  </si>
  <si>
    <t>4W73-EJ9-PR89</t>
  </si>
  <si>
    <t>minshall</t>
  </si>
  <si>
    <t>5YN2-AR0-PF12</t>
  </si>
  <si>
    <t>7uq5-jq9-hw80</t>
  </si>
  <si>
    <t>8GY1-WV2-DU23</t>
  </si>
  <si>
    <t>ARVILLAMAE</t>
  </si>
  <si>
    <t>ERSKIN</t>
  </si>
  <si>
    <t>8TV3-KR0-YM03</t>
  </si>
  <si>
    <t>6RF1-FE3-RE36</t>
  </si>
  <si>
    <t>Isabell</t>
  </si>
  <si>
    <t>Marquez</t>
  </si>
  <si>
    <t>5VV4-T55-MD67</t>
  </si>
  <si>
    <t>Hussey</t>
  </si>
  <si>
    <t>8M94-AG7-MK06</t>
  </si>
  <si>
    <t>Mason</t>
  </si>
  <si>
    <t>5ph6-a93-ta74</t>
  </si>
  <si>
    <t>LYNDA</t>
  </si>
  <si>
    <t>5RM8-R53-VC39</t>
  </si>
  <si>
    <t>1HU0-G35-AK42</t>
  </si>
  <si>
    <t>MAE</t>
  </si>
  <si>
    <t>6EN4-C13-NY68</t>
  </si>
  <si>
    <t>4H58-U55-HG58</t>
  </si>
  <si>
    <t>5KY7-PU8-AJ55</t>
  </si>
  <si>
    <t>Peck</t>
  </si>
  <si>
    <t>2E55-P19-UM73</t>
  </si>
  <si>
    <t>Albert</t>
  </si>
  <si>
    <t>8K61-AQ9-YY24</t>
  </si>
  <si>
    <t>3fr8-cu8-hf46</t>
  </si>
  <si>
    <t>8K20-E58-DH07</t>
  </si>
  <si>
    <t>KESSINGER</t>
  </si>
  <si>
    <t>7P87-QP4-QC60</t>
  </si>
  <si>
    <t>FOREHAND</t>
  </si>
  <si>
    <t>9F91-EV4-GV24</t>
  </si>
  <si>
    <t>Shirley</t>
  </si>
  <si>
    <t>Dowdell</t>
  </si>
  <si>
    <t>7ar5-g13-pq64</t>
  </si>
  <si>
    <t>RICK</t>
  </si>
  <si>
    <t>MCCABE</t>
  </si>
  <si>
    <t>1ND5-JC9-RP72</t>
  </si>
  <si>
    <t>Eifert</t>
  </si>
  <si>
    <t>7AT2-CV6-XK81</t>
  </si>
  <si>
    <t>CABANISS</t>
  </si>
  <si>
    <t>6vu9-gv6-fj41</t>
  </si>
  <si>
    <t>HOLZENDORF Sr</t>
  </si>
  <si>
    <t>7ME9-QP2-UA42</t>
  </si>
  <si>
    <t>Virginia</t>
  </si>
  <si>
    <t>Rinehart</t>
  </si>
  <si>
    <t>9mx5-uu7-ay76</t>
  </si>
  <si>
    <t>9FN4-RF1-TU83</t>
  </si>
  <si>
    <t>BRYAN</t>
  </si>
  <si>
    <t>3GD8-C96-RE34</t>
  </si>
  <si>
    <t>7RF5-RJ1-AG70</t>
  </si>
  <si>
    <t>(407) 252-5353</t>
  </si>
  <si>
    <t>3f54-t41-xe87</t>
  </si>
  <si>
    <t>HOUSTON</t>
  </si>
  <si>
    <t>3QJ6-T58-PJ63</t>
  </si>
  <si>
    <t>3X73-J41-FX04</t>
  </si>
  <si>
    <t>MACKETT</t>
  </si>
  <si>
    <t>3A51-X88-ED16</t>
  </si>
  <si>
    <t>REDDING</t>
  </si>
  <si>
    <t>2n48-jd9-ch38</t>
  </si>
  <si>
    <t>Walker-Steen</t>
  </si>
  <si>
    <t>1WN5-JH6-EY80</t>
  </si>
  <si>
    <t>JENSEN</t>
  </si>
  <si>
    <t>1P42-J07-CM01</t>
  </si>
  <si>
    <t>Sparrow</t>
  </si>
  <si>
    <t>4YN7-VR0-AD41</t>
  </si>
  <si>
    <t>FRANCIS</t>
  </si>
  <si>
    <t>HOYT</t>
  </si>
  <si>
    <t>9J59-D51-AN54</t>
  </si>
  <si>
    <t>PEOPLES</t>
  </si>
  <si>
    <t>4GY5-JV6-CN50</t>
  </si>
  <si>
    <t>GRAY</t>
  </si>
  <si>
    <t>1RQ4-N59-YW60</t>
  </si>
  <si>
    <t>CARMAN</t>
  </si>
  <si>
    <t>HELGESTAD</t>
  </si>
  <si>
    <t>5v23-tr3-ah87</t>
  </si>
  <si>
    <t>STOKES</t>
  </si>
  <si>
    <t>9W19-H50-XV46</t>
  </si>
  <si>
    <t>DIA</t>
  </si>
  <si>
    <t>4MU4-M32-TW61</t>
  </si>
  <si>
    <t>GLENDA</t>
  </si>
  <si>
    <t>KIRBY</t>
  </si>
  <si>
    <t>9EQ7-HX0-MW67</t>
  </si>
  <si>
    <t>MONTGOMERY</t>
  </si>
  <si>
    <t>9vm8-jY7-ut62</t>
  </si>
  <si>
    <t>928-256-1128</t>
  </si>
  <si>
    <t>Kinshasha</t>
  </si>
  <si>
    <t>7K22-AQ7-ME14</t>
  </si>
  <si>
    <t>334-391-1100</t>
  </si>
  <si>
    <t>GWYNELLE</t>
  </si>
  <si>
    <t>1UP2-PR5-HX70</t>
  </si>
  <si>
    <t>LEONARDO</t>
  </si>
  <si>
    <t>DEL ROSARIO</t>
  </si>
  <si>
    <t>6ED8-Y91-GD23</t>
  </si>
  <si>
    <t>Gina</t>
  </si>
  <si>
    <t>French</t>
  </si>
  <si>
    <t>8K42-KK1-MC04</t>
  </si>
  <si>
    <t>8P49-R73-WR16</t>
  </si>
  <si>
    <t>RHEA</t>
  </si>
  <si>
    <t>4KP8-FH6-NH26</t>
  </si>
  <si>
    <t>6UP6-U48-AW56</t>
  </si>
  <si>
    <t>Lorraine</t>
  </si>
  <si>
    <t>9DA3-HP9-RA79</t>
  </si>
  <si>
    <t>2R14-FJ6-YK60</t>
  </si>
  <si>
    <t>3TA0-QV7-TA38</t>
  </si>
  <si>
    <t>2HA1-CF6-CA00</t>
  </si>
  <si>
    <t>Campon</t>
  </si>
  <si>
    <t>6H63-P92-AX12</t>
  </si>
  <si>
    <t>NICHOLAS</t>
  </si>
  <si>
    <t>CARBONE</t>
  </si>
  <si>
    <t>3HK1-J64-AH03</t>
  </si>
  <si>
    <t>7GJ9-WT9-RX34</t>
  </si>
  <si>
    <t>SIROOS</t>
  </si>
  <si>
    <t>HABIBI</t>
  </si>
  <si>
    <t>8cw8-qx5-yw63</t>
  </si>
  <si>
    <t>5J72-QE1-TP97</t>
  </si>
  <si>
    <t>COOPER</t>
  </si>
  <si>
    <t>7U10-XN1-QW27</t>
  </si>
  <si>
    <t>ROSELLEN</t>
  </si>
  <si>
    <t>HOLT</t>
  </si>
  <si>
    <t>2DY9-F40-YJ25</t>
  </si>
  <si>
    <t>DONAHUE</t>
  </si>
  <si>
    <t>4QT3-WC6-HG18</t>
  </si>
  <si>
    <t>727-787-2077</t>
  </si>
  <si>
    <t>WESTHOFF</t>
  </si>
  <si>
    <t>6n97-qp3-ma57</t>
  </si>
  <si>
    <t>BENTFORD</t>
  </si>
  <si>
    <t>6XD2-G48-KW08</t>
  </si>
  <si>
    <t>Hampton</t>
  </si>
  <si>
    <t>1dw2-jp5-ym85</t>
  </si>
  <si>
    <t>FELTY</t>
  </si>
  <si>
    <t>1PE1-AV8-RJ00</t>
  </si>
  <si>
    <t>Armstrong</t>
  </si>
  <si>
    <t>7DR9-MV8-KE35</t>
  </si>
  <si>
    <t>Candice</t>
  </si>
  <si>
    <t>Graham</t>
  </si>
  <si>
    <t>6yu3-ut5-ur97</t>
  </si>
  <si>
    <t>Sonia</t>
  </si>
  <si>
    <t>Gallimore</t>
  </si>
  <si>
    <t>5N94-Y44-NA98</t>
  </si>
  <si>
    <t>2J06-V08-TM78</t>
  </si>
  <si>
    <t>ROBBY</t>
  </si>
  <si>
    <t>3UD1-HP8-GC31</t>
  </si>
  <si>
    <t>Rosen</t>
  </si>
  <si>
    <t>9M44-EE3-QH99</t>
  </si>
  <si>
    <t>4CG4-CA4-JX82</t>
  </si>
  <si>
    <t>BLAIN</t>
  </si>
  <si>
    <t>7CW4-DU1-PN66</t>
  </si>
  <si>
    <t>PHIFER</t>
  </si>
  <si>
    <t>8YV6-JV4-HR58</t>
  </si>
  <si>
    <t>Pearson</t>
  </si>
  <si>
    <t>6RF7-WY7-QD55</t>
  </si>
  <si>
    <t>MAYES</t>
  </si>
  <si>
    <t>7JT2-N51-CC94</t>
  </si>
  <si>
    <t>2UP3-EY0-XF93</t>
  </si>
  <si>
    <t>GRANT</t>
  </si>
  <si>
    <t>4UV7-HQ5-VW32</t>
  </si>
  <si>
    <t>STOREY</t>
  </si>
  <si>
    <t>2UQ7-CJ6-YE64</t>
  </si>
  <si>
    <t>Geisler</t>
  </si>
  <si>
    <t>3J14-HA7-TK78</t>
  </si>
  <si>
    <t>Silvia</t>
  </si>
  <si>
    <t>Vattuoni</t>
  </si>
  <si>
    <t>4WF3-XG7-YG88</t>
  </si>
  <si>
    <t>Salmons</t>
  </si>
  <si>
    <t>6DV3-GD2-HJ82</t>
  </si>
  <si>
    <t>2WK2-YU6-FH92</t>
  </si>
  <si>
    <t>Ahne</t>
  </si>
  <si>
    <t>1J43-NE6-JM11</t>
  </si>
  <si>
    <t>8FC3-NF1-RY00</t>
  </si>
  <si>
    <t>KRAMER</t>
  </si>
  <si>
    <t>4UT9-W29-JY12</t>
  </si>
  <si>
    <t>SPARACO</t>
  </si>
  <si>
    <t>6W71-XW7-MP37</t>
  </si>
  <si>
    <t>GRIFFITS</t>
  </si>
  <si>
    <t>9DY8-M59-DC39</t>
  </si>
  <si>
    <t>RUNGE</t>
  </si>
  <si>
    <t>8UD5-KK1-XF84</t>
  </si>
  <si>
    <t>TERRANCE</t>
  </si>
  <si>
    <t>6J81-HG6-WG01</t>
  </si>
  <si>
    <t>BERRIEN</t>
  </si>
  <si>
    <t>3HM1-RW3-NP20</t>
  </si>
  <si>
    <t>Gene</t>
  </si>
  <si>
    <t>1HX0-CH0-UD38</t>
  </si>
  <si>
    <t>PADELFORD</t>
  </si>
  <si>
    <t>9TJ4-H35-JU91</t>
  </si>
  <si>
    <t>9XK9-N37-XP28</t>
  </si>
  <si>
    <t>ANA</t>
  </si>
  <si>
    <t>2FV7-CK3-NF59</t>
  </si>
  <si>
    <t>9y72-e94-em05</t>
  </si>
  <si>
    <t>SHEREE</t>
  </si>
  <si>
    <t>SEGAFREDO</t>
  </si>
  <si>
    <t>1HD4-N79-XN61</t>
  </si>
  <si>
    <t>Byers</t>
  </si>
  <si>
    <t>3G03-P97-XN19</t>
  </si>
  <si>
    <t>6X05-VH0-CY50</t>
  </si>
  <si>
    <t>MURREY</t>
  </si>
  <si>
    <t>4W05-X95-DQ81</t>
  </si>
  <si>
    <t>MINGLETON</t>
  </si>
  <si>
    <t>5ED4-RH8-UJ80</t>
  </si>
  <si>
    <t>BORDERS</t>
  </si>
  <si>
    <t>3M52-HC7-HM93</t>
  </si>
  <si>
    <t>CINDY</t>
  </si>
  <si>
    <t>SNYDER</t>
  </si>
  <si>
    <t>9AM5-F71-XR81</t>
  </si>
  <si>
    <t>BAUTA</t>
  </si>
  <si>
    <t>8U15-VW4-YT54</t>
  </si>
  <si>
    <t>3K89-A40-NX45</t>
  </si>
  <si>
    <t>VALERO MONDUYS</t>
  </si>
  <si>
    <t>4UR6-T52-NU56</t>
  </si>
  <si>
    <t>TONI</t>
  </si>
  <si>
    <t>NARCIA</t>
  </si>
  <si>
    <t>8XT1-JK2-CM21</t>
  </si>
  <si>
    <t>3T44-VF5-KY82</t>
  </si>
  <si>
    <t>WHELAN</t>
  </si>
  <si>
    <t>2K59-Q01-VT10</t>
  </si>
  <si>
    <t>JEANNIE</t>
  </si>
  <si>
    <t>9JV6-KX9-CA74</t>
  </si>
  <si>
    <t>Antonio</t>
  </si>
  <si>
    <t>Taylor, Jr.</t>
  </si>
  <si>
    <t>4FE9-C43-QY11</t>
  </si>
  <si>
    <t>4XR7-UW3-PM41</t>
  </si>
  <si>
    <t>BRIGGS</t>
  </si>
  <si>
    <t>2D68-QD2-NC46</t>
  </si>
  <si>
    <t>LOUIS</t>
  </si>
  <si>
    <t>HEYWARD</t>
  </si>
  <si>
    <t>7GQ5-K49-RD63</t>
  </si>
  <si>
    <t>MCPEEK</t>
  </si>
  <si>
    <t>2K62-D73-NA15</t>
  </si>
  <si>
    <t>NOEL</t>
  </si>
  <si>
    <t>BLAIS</t>
  </si>
  <si>
    <t>2t64-au3-kx02</t>
  </si>
  <si>
    <t>SHERWIN</t>
  </si>
  <si>
    <t>MARRIETTA</t>
  </si>
  <si>
    <t>9FP8-MU7-UG55</t>
  </si>
  <si>
    <t>GEORGIA</t>
  </si>
  <si>
    <t>HARVEY</t>
  </si>
  <si>
    <t>4pm8-rd6-ea20</t>
  </si>
  <si>
    <t>TEDDY</t>
  </si>
  <si>
    <t>3PC1-EM2-DD32</t>
  </si>
  <si>
    <t>HAZEL</t>
  </si>
  <si>
    <t>7ND9-PV8-UR44</t>
  </si>
  <si>
    <t>Delorme</t>
  </si>
  <si>
    <t>6K34-H28-PF86</t>
  </si>
  <si>
    <t>FEARSON</t>
  </si>
  <si>
    <t>8N88-WE5-WY65</t>
  </si>
  <si>
    <t>AGNES</t>
  </si>
  <si>
    <t>5NU4-GQ2-XE97</t>
  </si>
  <si>
    <t>Chapman</t>
  </si>
  <si>
    <t>8FX5-KF4-RG52</t>
  </si>
  <si>
    <t>GODOY</t>
  </si>
  <si>
    <t>2m95-F22-JJ94</t>
  </si>
  <si>
    <t>DENTON</t>
  </si>
  <si>
    <t>5W70-H93-VM25</t>
  </si>
  <si>
    <t>WALLS</t>
  </si>
  <si>
    <t>3NX6-WJ7-AD89</t>
  </si>
  <si>
    <t>BRANSDORF</t>
  </si>
  <si>
    <t>2K62-EF2-CC06</t>
  </si>
  <si>
    <t>5V21-EM9-TC01</t>
  </si>
  <si>
    <t>1UC2-X45-AH26</t>
  </si>
  <si>
    <t>ALONZO</t>
  </si>
  <si>
    <t>8YK5-X73-CC40</t>
  </si>
  <si>
    <t>Ralph</t>
  </si>
  <si>
    <t>Casteel</t>
  </si>
  <si>
    <t>4KQ6-CV2-HN41</t>
  </si>
  <si>
    <t>WYRICK</t>
  </si>
  <si>
    <t>1AX7-UT9-MG42</t>
  </si>
  <si>
    <t>MANLEY</t>
  </si>
  <si>
    <t>6P63-DG1-WP16</t>
  </si>
  <si>
    <t>DUBOISE</t>
  </si>
  <si>
    <t>5EA5-FR6-GM50</t>
  </si>
  <si>
    <t>Small</t>
  </si>
  <si>
    <t>6AV9-HT8-PM44</t>
  </si>
  <si>
    <t>BLUETT</t>
  </si>
  <si>
    <t>1N98-RT3-MA47</t>
  </si>
  <si>
    <t>Oliver</t>
  </si>
  <si>
    <t>Williams Junior</t>
  </si>
  <si>
    <t>4WR9-MH1-MW38</t>
  </si>
  <si>
    <t>RAVINE</t>
  </si>
  <si>
    <t>8N13-NA0-RX70</t>
  </si>
  <si>
    <t>MCGEHEE</t>
  </si>
  <si>
    <t>8FN5-Q60-MM58</t>
  </si>
  <si>
    <t>CROOMS</t>
  </si>
  <si>
    <t>1VW5-UN9-GH62</t>
  </si>
  <si>
    <t>FRANZEN</t>
  </si>
  <si>
    <t>1JC2-K19-KE02</t>
  </si>
  <si>
    <t>Edward</t>
  </si>
  <si>
    <t>Kelley</t>
  </si>
  <si>
    <t>1XX5-D57-JC78</t>
  </si>
  <si>
    <t>7AW0-TD9-XG01</t>
  </si>
  <si>
    <t>FIDELE</t>
  </si>
  <si>
    <t>TSHIMANGA</t>
  </si>
  <si>
    <t>1AJ0-Y15-RN46</t>
  </si>
  <si>
    <t>DAKIS</t>
  </si>
  <si>
    <t>3yr0-n84-rr15</t>
  </si>
  <si>
    <t>Graves</t>
  </si>
  <si>
    <t>1RW8-HU6-XU31</t>
  </si>
  <si>
    <t>NEW</t>
  </si>
  <si>
    <t>7PP3-A20-XX78</t>
  </si>
  <si>
    <t>Parlier</t>
  </si>
  <si>
    <t>1U31-W57-NR05</t>
  </si>
  <si>
    <t>FERBER</t>
  </si>
  <si>
    <t>3PD7-NU0-MJ78</t>
  </si>
  <si>
    <t>CLYDE</t>
  </si>
  <si>
    <t>WILCHER</t>
  </si>
  <si>
    <t>1M70-Y73-CP27</t>
  </si>
  <si>
    <t>DOLORES</t>
  </si>
  <si>
    <t>MORFORD</t>
  </si>
  <si>
    <t>9XA7-AD3-YA79</t>
  </si>
  <si>
    <t>WORCESTER</t>
  </si>
  <si>
    <t>2Q37-PY5-FF65</t>
  </si>
  <si>
    <t>GNAPP</t>
  </si>
  <si>
    <t>1FV3-V00-VC76</t>
  </si>
  <si>
    <t>ADRIAN</t>
  </si>
  <si>
    <t>LOVE</t>
  </si>
  <si>
    <t>1E72-MV1-EH21</t>
  </si>
  <si>
    <t>Carla</t>
  </si>
  <si>
    <t>Colbert</t>
  </si>
  <si>
    <t>1QV3-C30-UD87</t>
  </si>
  <si>
    <t>Marie</t>
  </si>
  <si>
    <t>Nobles</t>
  </si>
  <si>
    <t>2H73-WF2-RY15</t>
  </si>
  <si>
    <t>SHAMBAUGH</t>
  </si>
  <si>
    <t>5ea6-m64-rd81</t>
  </si>
  <si>
    <t>9E22-F42-YU06</t>
  </si>
  <si>
    <t>REDNOUR</t>
  </si>
  <si>
    <t>1KC6-QX0-NU45</t>
  </si>
  <si>
    <t>BAXTER</t>
  </si>
  <si>
    <t>2VU5-V36-NF88</t>
  </si>
  <si>
    <t>KITE</t>
  </si>
  <si>
    <t>3DH7-RP3-VK63</t>
  </si>
  <si>
    <t>9KN7-KJ3-YH35</t>
  </si>
  <si>
    <t>LATHAM</t>
  </si>
  <si>
    <t>4MJ5-XV3-VH82</t>
  </si>
  <si>
    <t>6F20-K47-FD13</t>
  </si>
  <si>
    <t>5PX1-TQ9-MQ99</t>
  </si>
  <si>
    <t>NYE</t>
  </si>
  <si>
    <t>6KU0-VE3-WG00</t>
  </si>
  <si>
    <t>LILLY</t>
  </si>
  <si>
    <t>4JH8-H09-ME50</t>
  </si>
  <si>
    <t>ANNE</t>
  </si>
  <si>
    <t>GRAUER</t>
  </si>
  <si>
    <t>7N05-UD4-RY70</t>
  </si>
  <si>
    <t>DIDONATO</t>
  </si>
  <si>
    <t>7YF5-C63-NK81</t>
  </si>
  <si>
    <t>REINA</t>
  </si>
  <si>
    <t>RAGLAND</t>
  </si>
  <si>
    <t>6F14-EY1-MY79</t>
  </si>
  <si>
    <t>MOYER</t>
  </si>
  <si>
    <t>4cv1-hw0-pa95</t>
  </si>
  <si>
    <t>RAUL</t>
  </si>
  <si>
    <t>8kD0-wh6-pu16</t>
  </si>
  <si>
    <t>HARP</t>
  </si>
  <si>
    <t>5ER4-XH4-CW89</t>
  </si>
  <si>
    <t>Bennett</t>
  </si>
  <si>
    <t>3D38-KJ7-CG37</t>
  </si>
  <si>
    <t>9UW3-DJ6-RR89</t>
  </si>
  <si>
    <t>Usher</t>
  </si>
  <si>
    <t>5X63-Q73-HC76</t>
  </si>
  <si>
    <t>7MA7-A25-CM77</t>
  </si>
  <si>
    <t>HILLARD</t>
  </si>
  <si>
    <t>6MH0-D91-VF10</t>
  </si>
  <si>
    <t>Lorenza</t>
  </si>
  <si>
    <t>Darden</t>
  </si>
  <si>
    <t>8NU2-QW0-PG89</t>
  </si>
  <si>
    <t>BERGAN</t>
  </si>
  <si>
    <t>7XK4-MJ1-DJ93</t>
  </si>
  <si>
    <t>ARNEY</t>
  </si>
  <si>
    <t>4NC9-HF9-NX28</t>
  </si>
  <si>
    <t>REETA</t>
  </si>
  <si>
    <t>5FD4-V38-VT05</t>
  </si>
  <si>
    <t>7DY5-JR8-MJ55</t>
  </si>
  <si>
    <t>NENA</t>
  </si>
  <si>
    <t>2GF5-AV9-WG68</t>
  </si>
  <si>
    <t>Whittington</t>
  </si>
  <si>
    <t>3TH7-J01-KW52</t>
  </si>
  <si>
    <t>(256) 437-2811</t>
  </si>
  <si>
    <t>7C42-GA8-TH99</t>
  </si>
  <si>
    <t>DORTHA</t>
  </si>
  <si>
    <t>AYRES</t>
  </si>
  <si>
    <t>9Q28-PJ2-AA51</t>
  </si>
  <si>
    <t>THINH</t>
  </si>
  <si>
    <t>4V81-FT9-ET91</t>
  </si>
  <si>
    <t>WAGMAN</t>
  </si>
  <si>
    <t>6QE7-WD5-CP53</t>
  </si>
  <si>
    <t>Thornton</t>
  </si>
  <si>
    <t>2P19-TN1-UT14</t>
  </si>
  <si>
    <t>9ww0-xr6-vx24</t>
  </si>
  <si>
    <t>VICAR</t>
  </si>
  <si>
    <t>URUEJOMA</t>
  </si>
  <si>
    <t>9MN5-V03-HE72</t>
  </si>
  <si>
    <t>5EP0-CE4-CY09</t>
  </si>
  <si>
    <t>Sierra</t>
  </si>
  <si>
    <t>8RV5-TU5-UR78</t>
  </si>
  <si>
    <t>SPENCE</t>
  </si>
  <si>
    <t>8W14-N83-RR02</t>
  </si>
  <si>
    <t>FRAZIER</t>
  </si>
  <si>
    <t>8CK1-HM9-RC08</t>
  </si>
  <si>
    <t>MONA</t>
  </si>
  <si>
    <t>DUNN</t>
  </si>
  <si>
    <t>6W55-R05-YR87</t>
  </si>
  <si>
    <t>PODSCHELNE</t>
  </si>
  <si>
    <t>5TF3-KK4-RT07</t>
  </si>
  <si>
    <t>941-830-0658</t>
  </si>
  <si>
    <t>PALERMO</t>
  </si>
  <si>
    <t>5RM2-UQ6-HC99</t>
  </si>
  <si>
    <t>WHIRMELDA</t>
  </si>
  <si>
    <t>6X86-EG7-EV63</t>
  </si>
  <si>
    <t>Manns</t>
  </si>
  <si>
    <t>7AX2-X91-YH02</t>
  </si>
  <si>
    <t>Henson</t>
  </si>
  <si>
    <t>2VT8-D16-WD35</t>
  </si>
  <si>
    <t>GOSHAY</t>
  </si>
  <si>
    <t>6M94-QG6-GF62</t>
  </si>
  <si>
    <t>Levern</t>
  </si>
  <si>
    <t>Lyde</t>
  </si>
  <si>
    <t>1H66-CY0-YW72</t>
  </si>
  <si>
    <t>MACKEY</t>
  </si>
  <si>
    <t>3MQ6-MV1-AV87</t>
  </si>
  <si>
    <t>4X67-AK0-EX63</t>
  </si>
  <si>
    <t>WOODS</t>
  </si>
  <si>
    <t>8JN4-C30-UA69</t>
  </si>
  <si>
    <t>Cain</t>
  </si>
  <si>
    <t>3TH5-FC6-EQ57</t>
  </si>
  <si>
    <t>1ED6-X78-EA41</t>
  </si>
  <si>
    <t>NORMAcarlota</t>
  </si>
  <si>
    <t>LACSAMANA</t>
  </si>
  <si>
    <t>4n37-kj3-qy51</t>
  </si>
  <si>
    <t>ERIN</t>
  </si>
  <si>
    <t>1FQ9-VU3-QN51</t>
  </si>
  <si>
    <t>Hubert</t>
  </si>
  <si>
    <t>Ivy Jr</t>
  </si>
  <si>
    <t>9MX5-G98-MY95</t>
  </si>
  <si>
    <t>MARIANN</t>
  </si>
  <si>
    <t>PARKINSON</t>
  </si>
  <si>
    <t>9XH7-N82-RN74</t>
  </si>
  <si>
    <t>Thelma</t>
  </si>
  <si>
    <t>Forte</t>
  </si>
  <si>
    <t>3G73-FY7-FM85</t>
  </si>
  <si>
    <t>SWEET</t>
  </si>
  <si>
    <t>5R07-D92-RV55</t>
  </si>
  <si>
    <t>WADE</t>
  </si>
  <si>
    <t>2QN5-X32-RJ75</t>
  </si>
  <si>
    <t>8QM6-F38-TM86</t>
  </si>
  <si>
    <t>Leo</t>
  </si>
  <si>
    <t>2ww6-g54-qu61</t>
  </si>
  <si>
    <t>5U62-FD7-HF00</t>
  </si>
  <si>
    <t>TERRAZAS</t>
  </si>
  <si>
    <t>4q95-xj8-nn40</t>
  </si>
  <si>
    <t>6P98-UX9-GK65</t>
  </si>
  <si>
    <t>KELSO</t>
  </si>
  <si>
    <t>8CK2-XN4-EC88</t>
  </si>
  <si>
    <t>4K39-GH6-XC33</t>
  </si>
  <si>
    <t>JIMMY</t>
  </si>
  <si>
    <t>MUNDEN</t>
  </si>
  <si>
    <t>3FF7-UP7-RN53</t>
  </si>
  <si>
    <t>9F09-RR7-UG34</t>
  </si>
  <si>
    <t>3A89-C77-NV43</t>
  </si>
  <si>
    <t>817-247-4527</t>
  </si>
  <si>
    <t>8YG4-W50-XG89</t>
  </si>
  <si>
    <t>Andrew</t>
  </si>
  <si>
    <t>Pledger</t>
  </si>
  <si>
    <t>2T17-K37-FY59</t>
  </si>
  <si>
    <t>3G82-KF0-MQ09</t>
  </si>
  <si>
    <t>(904) 415-0448</t>
  </si>
  <si>
    <t>DIDONATO- COLAIZZI</t>
  </si>
  <si>
    <t>5FP2-NG6-HH06</t>
  </si>
  <si>
    <t>(772) 579-8552</t>
  </si>
  <si>
    <t>JONATHON</t>
  </si>
  <si>
    <t>7HC3-HW0-MR12</t>
  </si>
  <si>
    <t>Alta</t>
  </si>
  <si>
    <t>Haynes</t>
  </si>
  <si>
    <t>4AJ7-UE6-YV32</t>
  </si>
  <si>
    <t>3M04-UC0-CM08</t>
  </si>
  <si>
    <t>1C88-Q62-VF51</t>
  </si>
  <si>
    <t>BETINA</t>
  </si>
  <si>
    <t>1Y58-VJ8-HT47</t>
  </si>
  <si>
    <t>SILVA</t>
  </si>
  <si>
    <t>4V72-QK4-NC07</t>
  </si>
  <si>
    <t>BORDELEAU</t>
  </si>
  <si>
    <t>5Q65-HX3-VD87</t>
  </si>
  <si>
    <t>MISCHELL</t>
  </si>
  <si>
    <t>GILLESPIE</t>
  </si>
  <si>
    <t>1YX2-HR0-UY26</t>
  </si>
  <si>
    <t>Rita</t>
  </si>
  <si>
    <t>MCCARTHICK</t>
  </si>
  <si>
    <t>8FA5-YE8-XX67</t>
  </si>
  <si>
    <t>NELLIE</t>
  </si>
  <si>
    <t>YEOMAN</t>
  </si>
  <si>
    <t>7JN1-H73-AF13</t>
  </si>
  <si>
    <t>MCQUILLER</t>
  </si>
  <si>
    <t>2CG4-TV9-KF70</t>
  </si>
  <si>
    <t>Kilcline</t>
  </si>
  <si>
    <t>4X30-MJ5-DA22</t>
  </si>
  <si>
    <t>Latina</t>
  </si>
  <si>
    <t>Whirley</t>
  </si>
  <si>
    <t>4MQ0-X08-WD33</t>
  </si>
  <si>
    <t>9HW1-GY8-MH21</t>
  </si>
  <si>
    <t>BOUFFARTIGUEZ</t>
  </si>
  <si>
    <t>7WV5-EM6-KQ77</t>
  </si>
  <si>
    <t>MARYCARMEN</t>
  </si>
  <si>
    <t>CRUZ MEDINA</t>
  </si>
  <si>
    <t>7P01-AK3-DM90</t>
  </si>
  <si>
    <t>Schwaderer</t>
  </si>
  <si>
    <t>7GU2-A53-HR07</t>
  </si>
  <si>
    <t>SCHIRMER</t>
  </si>
  <si>
    <t>7EM3-HR9-UG12</t>
  </si>
  <si>
    <t>DIAZ</t>
  </si>
  <si>
    <t>4V29-A79-XF35</t>
  </si>
  <si>
    <t>ALICIA</t>
  </si>
  <si>
    <t>7AJ1-YT5-HT39</t>
  </si>
  <si>
    <t>5H78-TY7-JE59</t>
  </si>
  <si>
    <t>Dickson</t>
  </si>
  <si>
    <t>6FE3-FC8-MV08</t>
  </si>
  <si>
    <t>2G47-T55-KU48</t>
  </si>
  <si>
    <t>Finochiaro</t>
  </si>
  <si>
    <t>2X28-NA1-QC42</t>
  </si>
  <si>
    <t>2X63-PE5-VC86</t>
  </si>
  <si>
    <t>Garza</t>
  </si>
  <si>
    <t>8JJ7-QW8-DC66</t>
  </si>
  <si>
    <t>GREENHILL</t>
  </si>
  <si>
    <t>6WA8-JG2-DD31</t>
  </si>
  <si>
    <t>ENDICOTT</t>
  </si>
  <si>
    <t>8y81-KG7-AG02</t>
  </si>
  <si>
    <t>RIVIOTTA</t>
  </si>
  <si>
    <t>3FH1-QM2-NU39</t>
  </si>
  <si>
    <t>Miles</t>
  </si>
  <si>
    <t>2XD5-CM8-QQ53</t>
  </si>
  <si>
    <t>9FW6-JP6-ME59</t>
  </si>
  <si>
    <t>Cox</t>
  </si>
  <si>
    <t>5FH7-CN3-YR48</t>
  </si>
  <si>
    <t>2G74-FX8-HN06</t>
  </si>
  <si>
    <t>GOLDCAMP</t>
  </si>
  <si>
    <t>9MY5-X29-AX66</t>
  </si>
  <si>
    <t>BERNIER</t>
  </si>
  <si>
    <t>9NR6-D56-TN52</t>
  </si>
  <si>
    <t>Will</t>
  </si>
  <si>
    <t>McLena</t>
  </si>
  <si>
    <t>5R67-C29-TQ66</t>
  </si>
  <si>
    <t>DERWAIN</t>
  </si>
  <si>
    <t>9KG5-RN6-CQ66</t>
  </si>
  <si>
    <t>LUMPKIN</t>
  </si>
  <si>
    <t>9G55-XG9-FP55</t>
  </si>
  <si>
    <t>Wenden</t>
  </si>
  <si>
    <t>7T83-AH5-PX05</t>
  </si>
  <si>
    <t>Beverly</t>
  </si>
  <si>
    <t>DOOLEY</t>
  </si>
  <si>
    <t>2AC1-QT8-TW07</t>
  </si>
  <si>
    <t>3PR2-H39-XV08</t>
  </si>
  <si>
    <t>Kirk</t>
  </si>
  <si>
    <t>Stewart</t>
  </si>
  <si>
    <t>6D36-M81-QW89</t>
  </si>
  <si>
    <t>7J05-YC8-RW86</t>
  </si>
  <si>
    <t>8PX1-MW5-YQ99</t>
  </si>
  <si>
    <t>270-622-1742</t>
  </si>
  <si>
    <t>Mantia</t>
  </si>
  <si>
    <t>4WJ5-MF5-UY94</t>
  </si>
  <si>
    <t>HUNT</t>
  </si>
  <si>
    <t>8HQ7-RE7-EG36</t>
  </si>
  <si>
    <t>KEMP</t>
  </si>
  <si>
    <t>7JX4-AR0-PW64</t>
  </si>
  <si>
    <t>McClendon</t>
  </si>
  <si>
    <t>4VC0-CG8-QY19</t>
  </si>
  <si>
    <t>6R93-QY9-HN98</t>
  </si>
  <si>
    <t>Jeffery</t>
  </si>
  <si>
    <t>3G90-HF8-EH44</t>
  </si>
  <si>
    <t>KRYSTYNA</t>
  </si>
  <si>
    <t>CISLO</t>
  </si>
  <si>
    <t>1KV1-N57-FG29</t>
  </si>
  <si>
    <t>TOLER</t>
  </si>
  <si>
    <t>9RQ8-YN6-DE44</t>
  </si>
  <si>
    <t>SATCHELL</t>
  </si>
  <si>
    <t>9KC7-R50-FY39</t>
  </si>
  <si>
    <t>8RK1-V74-MG21</t>
  </si>
  <si>
    <t>CHANCE</t>
  </si>
  <si>
    <t>2VK2-W87-PP08</t>
  </si>
  <si>
    <t>Zeronie</t>
  </si>
  <si>
    <t>McIntosh</t>
  </si>
  <si>
    <t>2fd9-hw2-ju26</t>
  </si>
  <si>
    <t>7JC1-G22-JD31</t>
  </si>
  <si>
    <t>2QY2-HR5-JC99</t>
  </si>
  <si>
    <t>1HY6-NV8-DH64</t>
  </si>
  <si>
    <t>SHERI</t>
  </si>
  <si>
    <t>ANGLIM</t>
  </si>
  <si>
    <t>5EU7-FG4-XR56</t>
  </si>
  <si>
    <t>MAUREEN</t>
  </si>
  <si>
    <t>HEAD</t>
  </si>
  <si>
    <t>6QU0-DN9-PK32</t>
  </si>
  <si>
    <t>Barnhill</t>
  </si>
  <si>
    <t>1NU7-Y27-GM33</t>
  </si>
  <si>
    <t>CRAIN</t>
  </si>
  <si>
    <t>5Q80-RN8-NQ10</t>
  </si>
  <si>
    <t>JAMIA</t>
  </si>
  <si>
    <t>WOODARD</t>
  </si>
  <si>
    <t>2XG0-FC1-DM23</t>
  </si>
  <si>
    <t>2DY6-FQ3-PA78</t>
  </si>
  <si>
    <t>GROVE</t>
  </si>
  <si>
    <t>4fa9-wx8-cq31</t>
  </si>
  <si>
    <t>Sheikh</t>
  </si>
  <si>
    <t>9JK1-HC6-MV03</t>
  </si>
  <si>
    <t>MARION</t>
  </si>
  <si>
    <t>ERWIN</t>
  </si>
  <si>
    <t>1NR3-JH3-XG87</t>
  </si>
  <si>
    <t>Jill</t>
  </si>
  <si>
    <t>4VP3-RM4-YJ97</t>
  </si>
  <si>
    <t>4H21-UN4-NC12</t>
  </si>
  <si>
    <t>Keeley</t>
  </si>
  <si>
    <t>2JG2-JK1-YG00</t>
  </si>
  <si>
    <t>Clinton</t>
  </si>
  <si>
    <t>6GV4-C33-UP96</t>
  </si>
  <si>
    <t>SHUMSKI</t>
  </si>
  <si>
    <t>4YV6-HP1-AW42</t>
  </si>
  <si>
    <t>Katrina</t>
  </si>
  <si>
    <t>9H99-TX5-XR41</t>
  </si>
  <si>
    <t>Donnie</t>
  </si>
  <si>
    <t>6a70-qr1-qy25</t>
  </si>
  <si>
    <t>(870) 847-1003</t>
  </si>
  <si>
    <t>FEDERICO</t>
  </si>
  <si>
    <t>LOPEZ</t>
  </si>
  <si>
    <t>4RQ4-U22-RU66</t>
  </si>
  <si>
    <t>Brandon</t>
  </si>
  <si>
    <t>Delp</t>
  </si>
  <si>
    <t>7GX7-XG5-TX74</t>
  </si>
  <si>
    <t>Dawn</t>
  </si>
  <si>
    <t>8JG5-U45-CC55</t>
  </si>
  <si>
    <t>DIGREGORIO</t>
  </si>
  <si>
    <t>7RR4-G97-NA62</t>
  </si>
  <si>
    <t>ADKINS</t>
  </si>
  <si>
    <t>3MQ4-XP7-AV77</t>
  </si>
  <si>
    <t>6G99-PD2-CA10</t>
  </si>
  <si>
    <t>4JF5-AH2-KA92</t>
  </si>
  <si>
    <t>DUMAS</t>
  </si>
  <si>
    <t>9PW7-JX3-GY74</t>
  </si>
  <si>
    <t>7G72-P17-XQ98</t>
  </si>
  <si>
    <t>JUSTIN</t>
  </si>
  <si>
    <t>DISHMAN</t>
  </si>
  <si>
    <t>7FA7-FJ1-RY50</t>
  </si>
  <si>
    <t>Boone</t>
  </si>
  <si>
    <t>2CR0-Y87-AD14</t>
  </si>
  <si>
    <t>LETRICIA</t>
  </si>
  <si>
    <t>MCBURNEY</t>
  </si>
  <si>
    <t>4qy6-qq3-pa30</t>
  </si>
  <si>
    <t>JUANITA</t>
  </si>
  <si>
    <t>7JN4-JG4-QW86</t>
  </si>
  <si>
    <t>Raymond</t>
  </si>
  <si>
    <t>6t58-cy3-de66</t>
  </si>
  <si>
    <t>Tigwell</t>
  </si>
  <si>
    <t>5MV3-HF0-CR88</t>
  </si>
  <si>
    <t>7XM5-J20-EH64</t>
  </si>
  <si>
    <t>7pj4-hk4-dh01</t>
  </si>
  <si>
    <t>1DW9-E79-MM25</t>
  </si>
  <si>
    <t>LEYVA</t>
  </si>
  <si>
    <t>9TU3-H23-CD86</t>
  </si>
  <si>
    <t>Basil</t>
  </si>
  <si>
    <t>9EX7AJ2NP48</t>
  </si>
  <si>
    <t>HOWTON</t>
  </si>
  <si>
    <t>6NY2-PD2-KY27</t>
  </si>
  <si>
    <t>5MU1-H17-KA04</t>
  </si>
  <si>
    <t>3GF3-TY9-PK91</t>
  </si>
  <si>
    <t>3RT2-U34-TT87</t>
  </si>
  <si>
    <t>CARLTON</t>
  </si>
  <si>
    <t>4PD6-J46-RJ30</t>
  </si>
  <si>
    <t>Albergo</t>
  </si>
  <si>
    <t>2KQ9-XT1-AG36</t>
  </si>
  <si>
    <t>Doris</t>
  </si>
  <si>
    <t>Beitzel</t>
  </si>
  <si>
    <t>8QN0-QD1-PN10</t>
  </si>
  <si>
    <t>BENEFIELD</t>
  </si>
  <si>
    <t>6AH2-A89-HT99</t>
  </si>
  <si>
    <t>Broxson</t>
  </si>
  <si>
    <t>9V16-PU2-NJ77</t>
  </si>
  <si>
    <t>OSTER</t>
  </si>
  <si>
    <t>9u29-we1-rm29</t>
  </si>
  <si>
    <t>3V54-VY4-UY92</t>
  </si>
  <si>
    <t>WAGNER</t>
  </si>
  <si>
    <t>9M48-W18-HN23</t>
  </si>
  <si>
    <t>3TQ7-A10-DJ47</t>
  </si>
  <si>
    <t>BRADY</t>
  </si>
  <si>
    <t>3NH2-RR2-TR70</t>
  </si>
  <si>
    <t>MCABEE</t>
  </si>
  <si>
    <t>8GH5-TY9-GC76</t>
  </si>
  <si>
    <t>MOHAMMAD</t>
  </si>
  <si>
    <t>AKRAM</t>
  </si>
  <si>
    <t>8W97-FM4-YM37</t>
  </si>
  <si>
    <t>Ken</t>
  </si>
  <si>
    <t>Hanke</t>
  </si>
  <si>
    <t>2JT9-TU8-CQ15</t>
  </si>
  <si>
    <t>(574) 220-0348</t>
  </si>
  <si>
    <t>ANTONY</t>
  </si>
  <si>
    <t>4UA8-MC6-GD51</t>
  </si>
  <si>
    <t>7A27-HG8-YC62</t>
  </si>
  <si>
    <t>Nnette</t>
  </si>
  <si>
    <t>Wood</t>
  </si>
  <si>
    <t>8N97-Q07-PC59</t>
  </si>
  <si>
    <t>AUBREY</t>
  </si>
  <si>
    <t>JAUNDOO</t>
  </si>
  <si>
    <t>5V71-PP0-CD98</t>
  </si>
  <si>
    <t>EDMONDS</t>
  </si>
  <si>
    <t>5U62-Y23-GH81</t>
  </si>
  <si>
    <t>BUDREE</t>
  </si>
  <si>
    <t>9VK2-F32-HJ04</t>
  </si>
  <si>
    <t>Reginald</t>
  </si>
  <si>
    <t>ferguson</t>
  </si>
  <si>
    <t>3TJ4-UC3-XJ63</t>
  </si>
  <si>
    <t>Bartram</t>
  </si>
  <si>
    <t>3AE4-AP1-NR04</t>
  </si>
  <si>
    <t>Doug</t>
  </si>
  <si>
    <t>Bird</t>
  </si>
  <si>
    <t>7U40-VV6-RH09</t>
  </si>
  <si>
    <t>BARTRAM</t>
  </si>
  <si>
    <t>4AV1-NA1-FE18</t>
  </si>
  <si>
    <t>304-784-4781</t>
  </si>
  <si>
    <t>POULLARD</t>
  </si>
  <si>
    <t>4EC3-N65-GK80</t>
  </si>
  <si>
    <t>337-831-7595</t>
  </si>
  <si>
    <t>LOVELACE JR</t>
  </si>
  <si>
    <t>3GY5-U35-HM67</t>
  </si>
  <si>
    <t>9X21-EY3-WH27</t>
  </si>
  <si>
    <t>LAVONNE</t>
  </si>
  <si>
    <t>2Q62-V70-UC06</t>
  </si>
  <si>
    <t>Valentin</t>
  </si>
  <si>
    <t>2WG2-GM9-FY23</t>
  </si>
  <si>
    <t>BOTZIS</t>
  </si>
  <si>
    <t>9VW9-YY0-XA46</t>
  </si>
  <si>
    <t>MINERVA</t>
  </si>
  <si>
    <t>CARDENAS</t>
  </si>
  <si>
    <t>7C13-T24-PU15</t>
  </si>
  <si>
    <t>FANNINGS</t>
  </si>
  <si>
    <t>4TY6-EJ8-CJ45</t>
  </si>
  <si>
    <t>CEDRICK</t>
  </si>
  <si>
    <t>STONE</t>
  </si>
  <si>
    <t>9RC1-HJ3-HK28</t>
  </si>
  <si>
    <t>SATAWATEE</t>
  </si>
  <si>
    <t>PERSAUD</t>
  </si>
  <si>
    <t>3XT7-YV2-FD35</t>
  </si>
  <si>
    <t>ROBSON</t>
  </si>
  <si>
    <t>8C55-DM8-JK72</t>
  </si>
  <si>
    <t>HARDY</t>
  </si>
  <si>
    <t>1XN3-VV5-TH95</t>
  </si>
  <si>
    <t>MAGGIE</t>
  </si>
  <si>
    <t>9jh6-gx9-vf49</t>
  </si>
  <si>
    <t>7T45-C65-TV89</t>
  </si>
  <si>
    <t>BRIGHT</t>
  </si>
  <si>
    <t>5P51-G29-RM93</t>
  </si>
  <si>
    <t>FELIX JR</t>
  </si>
  <si>
    <t>9D26-EH0-VC82</t>
  </si>
  <si>
    <t>Boyce</t>
  </si>
  <si>
    <t>1U28-C21-AT55</t>
  </si>
  <si>
    <t>2F56-YK3-MU59</t>
  </si>
  <si>
    <t>MELINDA</t>
  </si>
  <si>
    <t>DYER</t>
  </si>
  <si>
    <t>9FN1-TX8-HJ96</t>
  </si>
  <si>
    <t>Marion</t>
  </si>
  <si>
    <t>Grant</t>
  </si>
  <si>
    <t>4H66-P27-XV71</t>
  </si>
  <si>
    <t>9NW8-FV0-RG51</t>
  </si>
  <si>
    <t>NOVOTNY</t>
  </si>
  <si>
    <t>9Y11-MM6-AQ02</t>
  </si>
  <si>
    <t>SUTER</t>
  </si>
  <si>
    <t>5V11-J04-WF24</t>
  </si>
  <si>
    <t>DAVID L</t>
  </si>
  <si>
    <t>8HF3-KK5-YM82</t>
  </si>
  <si>
    <t>NANKE</t>
  </si>
  <si>
    <t>7g52-xj0-wr07</t>
  </si>
  <si>
    <t>DELORES</t>
  </si>
  <si>
    <t>2XE8-TP5-WU37</t>
  </si>
  <si>
    <t>2NF3-MH6-UP94</t>
  </si>
  <si>
    <t>5t03-mn1-ng74</t>
  </si>
  <si>
    <t>Max</t>
  </si>
  <si>
    <t>2XN6-JT2-EH74</t>
  </si>
  <si>
    <t>LOVELL</t>
  </si>
  <si>
    <t>3R22-XK5-AQ03</t>
  </si>
  <si>
    <t>5EM7-WE0-CC49</t>
  </si>
  <si>
    <t>5DT4-EV3-EH89</t>
  </si>
  <si>
    <t>Alexander</t>
  </si>
  <si>
    <t>7U90-XN9-VA90</t>
  </si>
  <si>
    <t>5TF8-M55-JM52</t>
  </si>
  <si>
    <t>Jeanne</t>
  </si>
  <si>
    <t>Lovell</t>
  </si>
  <si>
    <t>2CQ9-MJ1-RX38</t>
  </si>
  <si>
    <t>1W67-D23-XQ76</t>
  </si>
  <si>
    <t>CARDUCCI</t>
  </si>
  <si>
    <t>9MY7-CG3-GT42</t>
  </si>
  <si>
    <t>PERRYMAN</t>
  </si>
  <si>
    <t>7CW9-X42-TR19</t>
  </si>
  <si>
    <t>Mack</t>
  </si>
  <si>
    <t>7E83-XH3-GJ83</t>
  </si>
  <si>
    <t>THOMASENA</t>
  </si>
  <si>
    <t>3Y40-UU3-QP24</t>
  </si>
  <si>
    <t>HAUN</t>
  </si>
  <si>
    <t>9V38-KT4-NG37</t>
  </si>
  <si>
    <t>SAINLIBON</t>
  </si>
  <si>
    <t>SAINTUBERT</t>
  </si>
  <si>
    <t>2EN0-PC1-XW26</t>
  </si>
  <si>
    <t>IRVIN</t>
  </si>
  <si>
    <t>8QH2-JG5-JR88</t>
  </si>
  <si>
    <t>KENT</t>
  </si>
  <si>
    <t>SVIR</t>
  </si>
  <si>
    <t>1G52-CH4-RN04</t>
  </si>
  <si>
    <t>8Y09-CC7-EU54</t>
  </si>
  <si>
    <t>3A67-QT0-JV31</t>
  </si>
  <si>
    <t>RODGERS</t>
  </si>
  <si>
    <t>3D78-KW6-WW43</t>
  </si>
  <si>
    <t>Shaw</t>
  </si>
  <si>
    <t>7P23-HU8-VT85</t>
  </si>
  <si>
    <t>Padgett</t>
  </si>
  <si>
    <t>3G44-XE9-KU68</t>
  </si>
  <si>
    <t>(561) 699-6350</t>
  </si>
  <si>
    <t>LATANGELA</t>
  </si>
  <si>
    <t>BARTON</t>
  </si>
  <si>
    <t>3WC3-J31-EE92</t>
  </si>
  <si>
    <t>NIA</t>
  </si>
  <si>
    <t>KOHAHNEE</t>
  </si>
  <si>
    <t>4N47-AP8-NG58</t>
  </si>
  <si>
    <t>FLORIA</t>
  </si>
  <si>
    <t>ROSS</t>
  </si>
  <si>
    <t>3W39-RR8-YH18</t>
  </si>
  <si>
    <t>ADAME</t>
  </si>
  <si>
    <t>2KK8-R12-JP10</t>
  </si>
  <si>
    <t>3M74-YN4-GJ92</t>
  </si>
  <si>
    <t>ARLENE</t>
  </si>
  <si>
    <t>williams</t>
  </si>
  <si>
    <t>3G00-KP6-HW16</t>
  </si>
  <si>
    <t>WINTERS</t>
  </si>
  <si>
    <t>1NA3-YV2-PA89</t>
  </si>
  <si>
    <t>SAMOYLOFF</t>
  </si>
  <si>
    <t>2HQ2-PK3-TH87</t>
  </si>
  <si>
    <t>LOCKHART</t>
  </si>
  <si>
    <t>7QN8-J47-XN29</t>
  </si>
  <si>
    <t>KNOX</t>
  </si>
  <si>
    <t>6FE8-NQ0-EP33</t>
  </si>
  <si>
    <t>Sydnor</t>
  </si>
  <si>
    <t>9K89-RF9-GT51</t>
  </si>
  <si>
    <t>3ED5-VM2-XG66</t>
  </si>
  <si>
    <t>LAMBERT</t>
  </si>
  <si>
    <t>6D60-PF9-GT00</t>
  </si>
  <si>
    <t>CUNNINGHAM</t>
  </si>
  <si>
    <t>5FM5-DT4-VK76</t>
  </si>
  <si>
    <t>9PR7-VY9-RA42</t>
  </si>
  <si>
    <t>DOYLE</t>
  </si>
  <si>
    <t>HARDWICK</t>
  </si>
  <si>
    <t>1VC9-KP8-AX47</t>
  </si>
  <si>
    <t>2MP8-VF1-WT64</t>
  </si>
  <si>
    <t>DEBORAH D</t>
  </si>
  <si>
    <t>2D02-RT5-NX27</t>
  </si>
  <si>
    <t>ENA</t>
  </si>
  <si>
    <t>RAMRAJ</t>
  </si>
  <si>
    <t>4D14-YD2-CJ07</t>
  </si>
  <si>
    <t>MARY LOU</t>
  </si>
  <si>
    <t>SAWKA</t>
  </si>
  <si>
    <t>8W97-CP7-VJ35</t>
  </si>
  <si>
    <t>Myland</t>
  </si>
  <si>
    <t>6MK1-X03-NA37</t>
  </si>
  <si>
    <t>Charyll</t>
  </si>
  <si>
    <t>Miller</t>
  </si>
  <si>
    <t>4GM8-YV4-RG43</t>
  </si>
  <si>
    <t>Blair</t>
  </si>
  <si>
    <t>5GD1-J93-QD33</t>
  </si>
  <si>
    <t>BARNETT</t>
  </si>
  <si>
    <t>5xy1-h15-eg93</t>
  </si>
  <si>
    <t>Tarton</t>
  </si>
  <si>
    <t>6NT7-EE1-VD55</t>
  </si>
  <si>
    <t>(941) 812-0943</t>
  </si>
  <si>
    <t>CHERICA</t>
  </si>
  <si>
    <t>STACKER</t>
  </si>
  <si>
    <t>5TN9-RM6-AH45</t>
  </si>
  <si>
    <t>CASH</t>
  </si>
  <si>
    <t>1X47-Q45-EA43</t>
  </si>
  <si>
    <t>DIGIACOMO</t>
  </si>
  <si>
    <t>8HG6-FP1-RQ75</t>
  </si>
  <si>
    <t>HOLLAND</t>
  </si>
  <si>
    <t>8jv3-gc3-da15</t>
  </si>
  <si>
    <t>pearson</t>
  </si>
  <si>
    <t>1WK3-RT0-TG72</t>
  </si>
  <si>
    <t>Frances</t>
  </si>
  <si>
    <t>Callahan</t>
  </si>
  <si>
    <t>9R72-J99-KH21</t>
  </si>
  <si>
    <t>JANIE</t>
  </si>
  <si>
    <t>LOBLEY TRIMBLE</t>
  </si>
  <si>
    <t>3GP8-H22-TU55</t>
  </si>
  <si>
    <t>CANDELARIA</t>
  </si>
  <si>
    <t>2ra2-pk8-ke21</t>
  </si>
  <si>
    <t>RAM</t>
  </si>
  <si>
    <t>3VM2-KD2-QP19</t>
  </si>
  <si>
    <t>Darrell</t>
  </si>
  <si>
    <t>Dreher</t>
  </si>
  <si>
    <t>9FN4-PN7-RM80</t>
  </si>
  <si>
    <t>RUSSEL</t>
  </si>
  <si>
    <t>2TR7-QU9-MP43</t>
  </si>
  <si>
    <t>BANNA</t>
  </si>
  <si>
    <t>2DF6-GA9-JP54</t>
  </si>
  <si>
    <t>GOMEZ-WILKERSON</t>
  </si>
  <si>
    <t>8U03-NA7-RN99</t>
  </si>
  <si>
    <t>SEFTON</t>
  </si>
  <si>
    <t>4HK3-QA1-PJ84</t>
  </si>
  <si>
    <t>MAX</t>
  </si>
  <si>
    <t>MILLIGAN</t>
  </si>
  <si>
    <t>4EV4-AJ8-XP96</t>
  </si>
  <si>
    <t>Mike</t>
  </si>
  <si>
    <t>Hopkins</t>
  </si>
  <si>
    <t>3Y77-NE1-KR49</t>
  </si>
  <si>
    <t>ward</t>
  </si>
  <si>
    <t>1QH9-W17-JR18</t>
  </si>
  <si>
    <t>LAMAR</t>
  </si>
  <si>
    <t>DONALDSON JR</t>
  </si>
  <si>
    <t>2JH8-TU2-HF29</t>
  </si>
  <si>
    <t>CARBALLO</t>
  </si>
  <si>
    <t>2RA2-CP8-KD91</t>
  </si>
  <si>
    <t>KEEN</t>
  </si>
  <si>
    <t>8un3-t98-xu04</t>
  </si>
  <si>
    <t>HAHN</t>
  </si>
  <si>
    <t>1HT7-GD1-CN63</t>
  </si>
  <si>
    <t>Dymond</t>
  </si>
  <si>
    <t>6NR0-QK3-CK29</t>
  </si>
  <si>
    <t>Kane</t>
  </si>
  <si>
    <t>4RK4-CQ1-MF91</t>
  </si>
  <si>
    <t>LEIDA</t>
  </si>
  <si>
    <t>YOKHANA</t>
  </si>
  <si>
    <t>9AV6-RX4-CM64</t>
  </si>
  <si>
    <t>9HP3-M18-JM19</t>
  </si>
  <si>
    <t>Kate</t>
  </si>
  <si>
    <t>2E51-DR9-RK01</t>
  </si>
  <si>
    <t>DAWN</t>
  </si>
  <si>
    <t>STURGEON</t>
  </si>
  <si>
    <t>4TV4-WG4-KE50</t>
  </si>
  <si>
    <t>LOUIS-JACQUES</t>
  </si>
  <si>
    <t>2KY2-H87-JC00</t>
  </si>
  <si>
    <t>5J71-K37-JH11</t>
  </si>
  <si>
    <t>Jack</t>
  </si>
  <si>
    <t>Crews</t>
  </si>
  <si>
    <t>6ME6-TP7-RJ79</t>
  </si>
  <si>
    <t>Dick</t>
  </si>
  <si>
    <t>Mechling, Jr.</t>
  </si>
  <si>
    <t>4RH5-UH7-RC66</t>
  </si>
  <si>
    <t>2yk7-tp4-cc30</t>
  </si>
  <si>
    <t>SHELBY</t>
  </si>
  <si>
    <t>6KT6-QD1-XN73</t>
  </si>
  <si>
    <t>LORINSER</t>
  </si>
  <si>
    <t>1MP6-Y13-KV65</t>
  </si>
  <si>
    <t>SHAPERO</t>
  </si>
  <si>
    <t>6X85-QP8-AT51</t>
  </si>
  <si>
    <t>Bernetta</t>
  </si>
  <si>
    <t>Polite</t>
  </si>
  <si>
    <t>7F59-YG3-QT10</t>
  </si>
  <si>
    <t>ROXANNE</t>
  </si>
  <si>
    <t>3TV7-CR0-YK33</t>
  </si>
  <si>
    <t>8HR3-YP2-AN82</t>
  </si>
  <si>
    <t>DREW</t>
  </si>
  <si>
    <t>8HU5-FA4-ED66</t>
  </si>
  <si>
    <t>BLACK</t>
  </si>
  <si>
    <t>7XW3-GR8-GA76</t>
  </si>
  <si>
    <t>Yvonne</t>
  </si>
  <si>
    <t>Carey</t>
  </si>
  <si>
    <t>4f98-g30-ru23</t>
  </si>
  <si>
    <t>Whitaker</t>
  </si>
  <si>
    <t>8TT3-TF9-KM72</t>
  </si>
  <si>
    <t>HOOLEY</t>
  </si>
  <si>
    <t>2U93-NN6-NK06</t>
  </si>
  <si>
    <t>Charlene</t>
  </si>
  <si>
    <t>MacGillivray</t>
  </si>
  <si>
    <t>2M42-UQ2-DH89</t>
  </si>
  <si>
    <t>9QA9-WM2-VX27</t>
  </si>
  <si>
    <t>Cora</t>
  </si>
  <si>
    <t>2DV1-CU3-PE98</t>
  </si>
  <si>
    <t>210-863-6698</t>
  </si>
  <si>
    <t>Martha</t>
  </si>
  <si>
    <t>Dorelus</t>
  </si>
  <si>
    <t>2PY4-CM3-GW04</t>
  </si>
  <si>
    <t>Nathaniel</t>
  </si>
  <si>
    <t>High Tower</t>
  </si>
  <si>
    <t>8re9-qh2-th57</t>
  </si>
  <si>
    <t>MCCLAIN</t>
  </si>
  <si>
    <t>5NE6-A58-KU86</t>
  </si>
  <si>
    <t>4X59-EK5-RY23</t>
  </si>
  <si>
    <t>Jon</t>
  </si>
  <si>
    <t>All</t>
  </si>
  <si>
    <t>7FJ1-AA2-RQ80</t>
  </si>
  <si>
    <t>BROWN JR</t>
  </si>
  <si>
    <t>8M98-H08-JH24</t>
  </si>
  <si>
    <t>Leleious</t>
  </si>
  <si>
    <t>Cummings</t>
  </si>
  <si>
    <t>1hc1-xx7-vx08</t>
  </si>
  <si>
    <t>7QD8-H02-TT45</t>
  </si>
  <si>
    <t>RIEDEL</t>
  </si>
  <si>
    <t>3C68-E23-QP26</t>
  </si>
  <si>
    <t>IRWIN</t>
  </si>
  <si>
    <t>7MA7-TC4-WG54</t>
  </si>
  <si>
    <t>LARSEN</t>
  </si>
  <si>
    <t>3XJ6-H13-XQ48</t>
  </si>
  <si>
    <t>Kenna</t>
  </si>
  <si>
    <t>tate</t>
  </si>
  <si>
    <t>7m56-wr5-vm43</t>
  </si>
  <si>
    <t>CLAUDIA</t>
  </si>
  <si>
    <t>POLIS</t>
  </si>
  <si>
    <t>9JA3-EG2-MG03</t>
  </si>
  <si>
    <t>HAMMONDS</t>
  </si>
  <si>
    <t>2RW0-N68-DX24</t>
  </si>
  <si>
    <t>FACISON</t>
  </si>
  <si>
    <t>6P65-UP7-XQ97</t>
  </si>
  <si>
    <t>5FH9-EV3-AU49</t>
  </si>
  <si>
    <t>CRAGO</t>
  </si>
  <si>
    <t>6YX3-EA1-NV12</t>
  </si>
  <si>
    <t>GEORGES</t>
  </si>
  <si>
    <t>NORGAISSE</t>
  </si>
  <si>
    <t>9V01-X83-KH35</t>
  </si>
  <si>
    <t>2JA8-DG4-PH45</t>
  </si>
  <si>
    <t>BECK</t>
  </si>
  <si>
    <t>2MV5-TJ9-WX73</t>
  </si>
  <si>
    <t>HERNE</t>
  </si>
  <si>
    <t>1UY5-MH0-HN70</t>
  </si>
  <si>
    <t>Juana</t>
  </si>
  <si>
    <t>Rodriguez</t>
  </si>
  <si>
    <t>7QF5-FD4-DP64</t>
  </si>
  <si>
    <t>5GH2-YK1-HD97</t>
  </si>
  <si>
    <t>BOWLER</t>
  </si>
  <si>
    <t>8CN0-KF3-PW26</t>
  </si>
  <si>
    <t>5MC9-EM7-VE43</t>
  </si>
  <si>
    <t>ZEBROWSKI</t>
  </si>
  <si>
    <t>2VE8-MT6-HQ34</t>
  </si>
  <si>
    <t>EPIGMENIO</t>
  </si>
  <si>
    <t>GARCIA JR</t>
  </si>
  <si>
    <t>5WQ8-U25-KW67</t>
  </si>
  <si>
    <t>RIDGEL</t>
  </si>
  <si>
    <t>9EC8-U79-XH46</t>
  </si>
  <si>
    <t>4YQ6-UD5-AA81</t>
  </si>
  <si>
    <t>NOWANA</t>
  </si>
  <si>
    <t>BLANTON</t>
  </si>
  <si>
    <t>7QH3-NT4-QX02</t>
  </si>
  <si>
    <t>NATHANIEL</t>
  </si>
  <si>
    <t>WILSON JR.</t>
  </si>
  <si>
    <t>9Q19-JR1-FG35</t>
  </si>
  <si>
    <t>Williams-Brown</t>
  </si>
  <si>
    <t>5E39-H60-HQ54</t>
  </si>
  <si>
    <t>FREDERICK</t>
  </si>
  <si>
    <t>LEAKE</t>
  </si>
  <si>
    <t>9KX1-KD7-HF91</t>
  </si>
  <si>
    <t>Thames</t>
  </si>
  <si>
    <t>2vh3-rd7-gm83</t>
  </si>
  <si>
    <t>FIELDS</t>
  </si>
  <si>
    <t>9FC1-G17-DQ22</t>
  </si>
  <si>
    <t>CONTRERAS</t>
  </si>
  <si>
    <t>2HM1-W79-CH04</t>
  </si>
  <si>
    <t>BREUCKMAN</t>
  </si>
  <si>
    <t>4D68-Y28-MA25</t>
  </si>
  <si>
    <t>MANEY</t>
  </si>
  <si>
    <t>8HD0-N36-PR14</t>
  </si>
  <si>
    <t>8R49-H38-VJ39</t>
  </si>
  <si>
    <t>CINDYSUE</t>
  </si>
  <si>
    <t>JAROCH</t>
  </si>
  <si>
    <t>3DY3-NX6-MJ85</t>
  </si>
  <si>
    <t>MANIX</t>
  </si>
  <si>
    <t>4K56-F09-WX42</t>
  </si>
  <si>
    <t>Anderson</t>
  </si>
  <si>
    <t>6VA0-UC6-QC29</t>
  </si>
  <si>
    <t>Lawanna</t>
  </si>
  <si>
    <t>Henderson</t>
  </si>
  <si>
    <t>2RA4-K37-JN79</t>
  </si>
  <si>
    <t>EBBS</t>
  </si>
  <si>
    <t>5EQ8-PN6-AX38</t>
  </si>
  <si>
    <t>ARY</t>
  </si>
  <si>
    <t>4WP0-TG9-GT14</t>
  </si>
  <si>
    <t>2PD1-T03-GF35</t>
  </si>
  <si>
    <t>SONIA</t>
  </si>
  <si>
    <t>GRANT RUSSELL</t>
  </si>
  <si>
    <t>1D06-EN8-KH84</t>
  </si>
  <si>
    <t>AVILA</t>
  </si>
  <si>
    <t>3W10-F42-WU15</t>
  </si>
  <si>
    <t>Lupe</t>
  </si>
  <si>
    <t>Medina</t>
  </si>
  <si>
    <t>4YG8-J24-NJ21</t>
  </si>
  <si>
    <t>726-300-9214</t>
  </si>
  <si>
    <t>MUNOZ</t>
  </si>
  <si>
    <t>6H22-CM4-PD03</t>
  </si>
  <si>
    <t>MURIEL</t>
  </si>
  <si>
    <t>8MF5-PF2-KE85</t>
  </si>
  <si>
    <t>8WN5-F58-TE82</t>
  </si>
  <si>
    <t>SULLIVAN</t>
  </si>
  <si>
    <t>8et5-g76-ha63</t>
  </si>
  <si>
    <t>NEIL</t>
  </si>
  <si>
    <t>BURNELL  Jr</t>
  </si>
  <si>
    <t>8K42-RY7-AD05</t>
  </si>
  <si>
    <t>SAUSEDO</t>
  </si>
  <si>
    <t>9KR4-VP4-NF76</t>
  </si>
  <si>
    <t>SHIVERDECKER</t>
  </si>
  <si>
    <t>3FJ8-J81-MR68</t>
  </si>
  <si>
    <t>Marilyn</t>
  </si>
  <si>
    <t>Mall</t>
  </si>
  <si>
    <t>7NU9-XP0-PH39</t>
  </si>
  <si>
    <t>MENZIE</t>
  </si>
  <si>
    <t>2EP4-AA4-GD62</t>
  </si>
  <si>
    <t>ATHOL</t>
  </si>
  <si>
    <t>SMOOT</t>
  </si>
  <si>
    <t>2nv5-xw0-fe50</t>
  </si>
  <si>
    <t>GERRY</t>
  </si>
  <si>
    <t>5TC9-P41-XR33</t>
  </si>
  <si>
    <t>Frederick</t>
  </si>
  <si>
    <t>6HN4-WR7-YQ61</t>
  </si>
  <si>
    <t>843-706-8868</t>
  </si>
  <si>
    <t>Wayne</t>
  </si>
  <si>
    <t>3YE1-CJ4-JJ38</t>
  </si>
  <si>
    <t>6DE3-T15-VV70</t>
  </si>
  <si>
    <t>5YD8-TG6-MA31</t>
  </si>
  <si>
    <t>9FP8-R72-DP51</t>
  </si>
  <si>
    <t>9g94-xc6-jm97</t>
  </si>
  <si>
    <t>3A90-G72-JR11</t>
  </si>
  <si>
    <t>Leila</t>
  </si>
  <si>
    <t>5JA2-KG3-HN19</t>
  </si>
  <si>
    <t>Tracy</t>
  </si>
  <si>
    <t>Wendt</t>
  </si>
  <si>
    <t>1N90-X04-KX26</t>
  </si>
  <si>
    <t>GENA</t>
  </si>
  <si>
    <t>MELCHOR</t>
  </si>
  <si>
    <t>7PA4-X88-DE72</t>
  </si>
  <si>
    <t>4AU7-WV2-PN64</t>
  </si>
  <si>
    <t>(602) 763-8891</t>
  </si>
  <si>
    <t>HAL</t>
  </si>
  <si>
    <t>2UH2-W52-VJ01</t>
  </si>
  <si>
    <t>HATTIE</t>
  </si>
  <si>
    <t>6RD6-G01-NJ50</t>
  </si>
  <si>
    <t>3NC1-MN6-FR23</t>
  </si>
  <si>
    <t>8T30-F44-TW19</t>
  </si>
  <si>
    <t>PICCIONE</t>
  </si>
  <si>
    <t>4DD2-Q18-CV97</t>
  </si>
  <si>
    <t>SAUNDERS</t>
  </si>
  <si>
    <t>3AW0-RK4-TE48</t>
  </si>
  <si>
    <t>WILDER</t>
  </si>
  <si>
    <t>4C38-MG2-EV47</t>
  </si>
  <si>
    <t>Dale</t>
  </si>
  <si>
    <t>Coyle</t>
  </si>
  <si>
    <t>4PK6-KH3-VA56</t>
  </si>
  <si>
    <t>SYLVIA</t>
  </si>
  <si>
    <t>5AF7-UF9-DQ55</t>
  </si>
  <si>
    <t>EWART</t>
  </si>
  <si>
    <t>5JN9-UU3-UC39</t>
  </si>
  <si>
    <t>(561) 509-8440</t>
  </si>
  <si>
    <t>5MQ0-QE8-VC42</t>
  </si>
  <si>
    <t>2D38-MG9-QW49</t>
  </si>
  <si>
    <t>HART</t>
  </si>
  <si>
    <t>2WJ6-UQ6-VA85</t>
  </si>
  <si>
    <t>LESA</t>
  </si>
  <si>
    <t>HARDNETT</t>
  </si>
  <si>
    <t>5PF5-V61-RG50</t>
  </si>
  <si>
    <t>TRACY</t>
  </si>
  <si>
    <t>5NH1-R67-PU29</t>
  </si>
  <si>
    <t>KEN</t>
  </si>
  <si>
    <t>5XX9-MQ0-DC20</t>
  </si>
  <si>
    <t>7j44-q44-er96</t>
  </si>
  <si>
    <t>DAWES KERN</t>
  </si>
  <si>
    <t>7TW3-C60-MK93</t>
  </si>
  <si>
    <t>HARKLEROAD</t>
  </si>
  <si>
    <t>1GQ3-UN2-PC01</t>
  </si>
  <si>
    <t>6Q56-QX5-WF48</t>
  </si>
  <si>
    <t>8WW0-WJ3-RR10</t>
  </si>
  <si>
    <t>TREMBLE</t>
  </si>
  <si>
    <t>1T19K84RY48</t>
  </si>
  <si>
    <t>BELIN</t>
  </si>
  <si>
    <t>3DH7-CR6-PR77</t>
  </si>
  <si>
    <t>ARTURO</t>
  </si>
  <si>
    <t>8ud6-jq4-ke54</t>
  </si>
  <si>
    <t>LEUPOLD</t>
  </si>
  <si>
    <t>2U17-VE2-AV75</t>
  </si>
  <si>
    <t>ELTRINGHAM</t>
  </si>
  <si>
    <t>9NT6-JY2-EK41</t>
  </si>
  <si>
    <t>FARRAIT</t>
  </si>
  <si>
    <t>8P96-NE8-AP49</t>
  </si>
  <si>
    <t>3GT8-DA5-RA53</t>
  </si>
  <si>
    <t>1H27-J29-GJ67</t>
  </si>
  <si>
    <t>3MW9-AD1-MY55</t>
  </si>
  <si>
    <t>9JN4-UF0-NV94</t>
  </si>
  <si>
    <t>SEEPERSAUD</t>
  </si>
  <si>
    <t>3V46-VP0-CV79</t>
  </si>
  <si>
    <t>2DV6-CV6-CE88</t>
  </si>
  <si>
    <t>LARITA</t>
  </si>
  <si>
    <t>SNIDER BOYDSTUN</t>
  </si>
  <si>
    <t>1J64-Y75-AN94</t>
  </si>
  <si>
    <t>LYMAN</t>
  </si>
  <si>
    <t>5M92-VU7-KJ05</t>
  </si>
  <si>
    <t>KIEFER</t>
  </si>
  <si>
    <t>7FH2-WC9-UN25</t>
  </si>
  <si>
    <t>SHERRI</t>
  </si>
  <si>
    <t>8XG3-JV2-WR07</t>
  </si>
  <si>
    <t>(434) 426-1222</t>
  </si>
  <si>
    <t>4VG0-GA8-UM33</t>
  </si>
  <si>
    <t>5CX7-XH4-VT61</t>
  </si>
  <si>
    <t>6V95-HD2-TN40</t>
  </si>
  <si>
    <t>1U29-J33-QK48</t>
  </si>
  <si>
    <t>JERILYN</t>
  </si>
  <si>
    <t>6C30-GF1-XP03</t>
  </si>
  <si>
    <t>9UP7-TQ1-RY79</t>
  </si>
  <si>
    <t>9CG9-JC2-KY23</t>
  </si>
  <si>
    <t>POOLE</t>
  </si>
  <si>
    <t>2VM5-E20-FR91</t>
  </si>
  <si>
    <t>STERRETT</t>
  </si>
  <si>
    <t>5FR9-HG9-NJ19</t>
  </si>
  <si>
    <t>1R46-X06-NN73</t>
  </si>
  <si>
    <t>ABRAHAM</t>
  </si>
  <si>
    <t>8Y39-M86-NH20</t>
  </si>
  <si>
    <t>Mosley</t>
  </si>
  <si>
    <t>8GX3-U79-XQ09</t>
  </si>
  <si>
    <t>DELOIS</t>
  </si>
  <si>
    <t>5AC2-N94-FW87</t>
  </si>
  <si>
    <t>9YD1-HN5-AC22</t>
  </si>
  <si>
    <t>Sean</t>
  </si>
  <si>
    <t>Pennington</t>
  </si>
  <si>
    <t>3DM0-YG3-DP48</t>
  </si>
  <si>
    <t>6G44-XE5-QN73</t>
  </si>
  <si>
    <t>Burrows</t>
  </si>
  <si>
    <t>4A10-QR8-FJ07</t>
  </si>
  <si>
    <t>2MF8-MP6-HG30</t>
  </si>
  <si>
    <t>powers</t>
  </si>
  <si>
    <t>3M25-GN8-FN91</t>
  </si>
  <si>
    <t>El Herrera</t>
  </si>
  <si>
    <t>3XQ2-TN8-GG26</t>
  </si>
  <si>
    <t>Crump</t>
  </si>
  <si>
    <t>1AW5-JK0-YD80</t>
  </si>
  <si>
    <t>ROSINA</t>
  </si>
  <si>
    <t>TOROCKIO</t>
  </si>
  <si>
    <t>9JX6-M61-XP40</t>
  </si>
  <si>
    <t>WENTZ</t>
  </si>
  <si>
    <t>6NU5-QR0-KE77</t>
  </si>
  <si>
    <t>DYE</t>
  </si>
  <si>
    <t>6rt2-f95-vv99</t>
  </si>
  <si>
    <t>VALENZANO</t>
  </si>
  <si>
    <t>1A58-RK3-AY43</t>
  </si>
  <si>
    <t>Hoyle</t>
  </si>
  <si>
    <t>6E17-GU7-FQ52</t>
  </si>
  <si>
    <t>RICKEY</t>
  </si>
  <si>
    <t>2HN3-KM9-NT12</t>
  </si>
  <si>
    <t>5YG6-XN1-CA83</t>
  </si>
  <si>
    <t>ESTES</t>
  </si>
  <si>
    <t>9qc6-d71-tu45</t>
  </si>
  <si>
    <t>2V98-E11-PC38</t>
  </si>
  <si>
    <t>STIMUS</t>
  </si>
  <si>
    <t>8A05-TN1-KD51</t>
  </si>
  <si>
    <t>KERRY</t>
  </si>
  <si>
    <t>LOGSDON</t>
  </si>
  <si>
    <t>5Y25-J47-NP62</t>
  </si>
  <si>
    <t>4GP5-KQ2-PX80</t>
  </si>
  <si>
    <t>SALLIE</t>
  </si>
  <si>
    <t>2CA4-H66-YH94</t>
  </si>
  <si>
    <t>Dunston</t>
  </si>
  <si>
    <t>9P65-V72-YR78</t>
  </si>
  <si>
    <t>CORRICELLI</t>
  </si>
  <si>
    <t>9u21-w64-hk20</t>
  </si>
  <si>
    <t>ROGELIO</t>
  </si>
  <si>
    <t>TREVINO</t>
  </si>
  <si>
    <t>4U18-P66-JR33</t>
  </si>
  <si>
    <t>5D83-EM0-TU11</t>
  </si>
  <si>
    <t>Janice</t>
  </si>
  <si>
    <t>Elam</t>
  </si>
  <si>
    <t>4YW5-Y87-TN86</t>
  </si>
  <si>
    <t>Annette</t>
  </si>
  <si>
    <t>2NJ9-D42-CT39</t>
  </si>
  <si>
    <t>ACOSTA</t>
  </si>
  <si>
    <t>9X40-C08-HE16</t>
  </si>
  <si>
    <t>BALFOUR</t>
  </si>
  <si>
    <t>8WN2-X10-XX97</t>
  </si>
  <si>
    <t>THORNTON JR</t>
  </si>
  <si>
    <t>2F70-R17-YE48</t>
  </si>
  <si>
    <t>ANN</t>
  </si>
  <si>
    <t>KAPEGHIAN</t>
  </si>
  <si>
    <t>8GA1-CC1-PE12</t>
  </si>
  <si>
    <t>Dayard</t>
  </si>
  <si>
    <t>7EF4-Q55-TK91</t>
  </si>
  <si>
    <t>Garr</t>
  </si>
  <si>
    <t>8JK9-UK4-PX45</t>
  </si>
  <si>
    <t>NAPIER</t>
  </si>
  <si>
    <t>5JG4-RR5-EE97</t>
  </si>
  <si>
    <t>ROSIE</t>
  </si>
  <si>
    <t>HAWKINS</t>
  </si>
  <si>
    <t>2pd8-e79-nk49</t>
  </si>
  <si>
    <t>SLOAN</t>
  </si>
  <si>
    <t>4V30-AN5-AW48</t>
  </si>
  <si>
    <t>ANDREA</t>
  </si>
  <si>
    <t>9G07-XY3-HX66</t>
  </si>
  <si>
    <t>Crossley</t>
  </si>
  <si>
    <t>1D48-TN5-TX31</t>
  </si>
  <si>
    <t>Milered</t>
  </si>
  <si>
    <t>felix</t>
  </si>
  <si>
    <t>7a06-uk9-ua49</t>
  </si>
  <si>
    <t>901-659-5272</t>
  </si>
  <si>
    <t>6CM3-HA1-WE91</t>
  </si>
  <si>
    <t>BENTON</t>
  </si>
  <si>
    <t>4cc4-ew8-kk60</t>
  </si>
  <si>
    <t>Abrams</t>
  </si>
  <si>
    <t>7HN2-XU1-AM70</t>
  </si>
  <si>
    <t>HIGHTOWER</t>
  </si>
  <si>
    <t>9P52-QG0-DF80</t>
  </si>
  <si>
    <t>8WY6-E86-XM67</t>
  </si>
  <si>
    <t>DWORAK</t>
  </si>
  <si>
    <t>3WV5-K55-EW62</t>
  </si>
  <si>
    <t>5xv5-u50-qe80</t>
  </si>
  <si>
    <t>EDWINA</t>
  </si>
  <si>
    <t>6NY2-T33-YA98</t>
  </si>
  <si>
    <t>9C40-CT8-KN23</t>
  </si>
  <si>
    <t>9GV1-UG0-JR98</t>
  </si>
  <si>
    <t>731-413-3848</t>
  </si>
  <si>
    <t>UMEL</t>
  </si>
  <si>
    <t>9G92-KF6-CG12</t>
  </si>
  <si>
    <t>2R46-HA3-MG30</t>
  </si>
  <si>
    <t>ERLANDSON</t>
  </si>
  <si>
    <t>9W50-KG4-AT08</t>
  </si>
  <si>
    <t>KALENCKI JR</t>
  </si>
  <si>
    <t>8FE7-KJ1-QN52</t>
  </si>
  <si>
    <t>910-620-2027</t>
  </si>
  <si>
    <t>Brooks Bland</t>
  </si>
  <si>
    <t>9AT2-JA8-EF97</t>
  </si>
  <si>
    <t>ULES</t>
  </si>
  <si>
    <t>CARL DANIELS</t>
  </si>
  <si>
    <t>4PX7-U76-WN37</t>
  </si>
  <si>
    <t>LAMBERTY</t>
  </si>
  <si>
    <t>5J18-CY1-RV46</t>
  </si>
  <si>
    <t>ONEAL</t>
  </si>
  <si>
    <t>RICHARDSON JR</t>
  </si>
  <si>
    <t>8J25-DG9-DU75</t>
  </si>
  <si>
    <t>MCNEILL</t>
  </si>
  <si>
    <t>4V19-QE5-YH36</t>
  </si>
  <si>
    <t>WALLACE</t>
  </si>
  <si>
    <t>DOSSIE</t>
  </si>
  <si>
    <t>1VK6-RP7-WK45</t>
  </si>
  <si>
    <t>8PU0-GQ3-QT90</t>
  </si>
  <si>
    <t>6PG8-DT5-EY53</t>
  </si>
  <si>
    <t>MASCHE</t>
  </si>
  <si>
    <t>9yf9-j73-wh58</t>
  </si>
  <si>
    <t>BOWLAND</t>
  </si>
  <si>
    <t>2KJ9-C18-FR19</t>
  </si>
  <si>
    <t>NAMON</t>
  </si>
  <si>
    <t>9KP0-XK6-YG15</t>
  </si>
  <si>
    <t>GOMEZ</t>
  </si>
  <si>
    <t>1V20-F34-WE14</t>
  </si>
  <si>
    <t>NOWLING</t>
  </si>
  <si>
    <t>3X33-R43-TD94</t>
  </si>
  <si>
    <t>6MJ6-HA3-QE89</t>
  </si>
  <si>
    <t>YBARRA</t>
  </si>
  <si>
    <t>9E18-JK5-WT34</t>
  </si>
  <si>
    <t>Nola</t>
  </si>
  <si>
    <t>Musick</t>
  </si>
  <si>
    <t>7V63-RC8-XA75</t>
  </si>
  <si>
    <t>KYLER</t>
  </si>
  <si>
    <t>7YG4-VQ0-UE97</t>
  </si>
  <si>
    <t>HASSAN</t>
  </si>
  <si>
    <t>LUTFI</t>
  </si>
  <si>
    <t>2g01-fe3-xn09</t>
  </si>
  <si>
    <t>SAYED</t>
  </si>
  <si>
    <t>REHA</t>
  </si>
  <si>
    <t>7H33-R94-RE15</t>
  </si>
  <si>
    <t>DOMINUEZ</t>
  </si>
  <si>
    <t>7WV9-Q81-KR47</t>
  </si>
  <si>
    <t>EHRET-LEWIS</t>
  </si>
  <si>
    <t>5JW9-E98-QY15</t>
  </si>
  <si>
    <t>Barton</t>
  </si>
  <si>
    <t>6xf3-n32-qp83</t>
  </si>
  <si>
    <t>RENA</t>
  </si>
  <si>
    <t>HONANIE</t>
  </si>
  <si>
    <t>2MH2-CP7-WY24</t>
  </si>
  <si>
    <t>HALCOMB</t>
  </si>
  <si>
    <t>9WA3-T22-UG84</t>
  </si>
  <si>
    <t>WOMACK</t>
  </si>
  <si>
    <t>5WT9-MV0-RU30</t>
  </si>
  <si>
    <t>KARLA</t>
  </si>
  <si>
    <t>3RH7-HP3-AE20</t>
  </si>
  <si>
    <t>Paula</t>
  </si>
  <si>
    <t>Farris</t>
  </si>
  <si>
    <t>6QK7-FE3-UN76</t>
  </si>
  <si>
    <t>BENITEZ</t>
  </si>
  <si>
    <t>9F77-FY1-GX54</t>
  </si>
  <si>
    <t>Mohammed</t>
  </si>
  <si>
    <t>Lutfi</t>
  </si>
  <si>
    <t>6e64-h18-eh61</t>
  </si>
  <si>
    <t>205-401-9007</t>
  </si>
  <si>
    <t>NOREEN</t>
  </si>
  <si>
    <t>DWYER</t>
  </si>
  <si>
    <t>3GK1-UH2-QG12</t>
  </si>
  <si>
    <t>(602) 359-8296</t>
  </si>
  <si>
    <t>FUSCALDO</t>
  </si>
  <si>
    <t>1V75-CM9-RU91</t>
  </si>
  <si>
    <t>DONALSON</t>
  </si>
  <si>
    <t>3K59-AH1-AC15</t>
  </si>
  <si>
    <t>RACE</t>
  </si>
  <si>
    <t>5HQ0-HD4-HJ08</t>
  </si>
  <si>
    <t>Rivera Torres</t>
  </si>
  <si>
    <t>4F37-XW8-XV78</t>
  </si>
  <si>
    <t>SOTO-KING</t>
  </si>
  <si>
    <t>9K99-EA9-PX16</t>
  </si>
  <si>
    <t>8VG0-YT0-NT47</t>
  </si>
  <si>
    <t>5YY2-CJ7-UX96</t>
  </si>
  <si>
    <t>4GP8-HA6-UV26</t>
  </si>
  <si>
    <t>9P86-JE0-CF81</t>
  </si>
  <si>
    <t>HEISER</t>
  </si>
  <si>
    <t>8E35-RF6-FH60</t>
  </si>
  <si>
    <t>FREDA</t>
  </si>
  <si>
    <t>SPENCER</t>
  </si>
  <si>
    <t>9t80-a23-px05</t>
  </si>
  <si>
    <t>HARPER</t>
  </si>
  <si>
    <t>8YX5-H20-QW83</t>
  </si>
  <si>
    <t>Hansen</t>
  </si>
  <si>
    <t>7JY8-WX0-XN30</t>
  </si>
  <si>
    <t>Cole</t>
  </si>
  <si>
    <t>1TA6-GM0-QX56</t>
  </si>
  <si>
    <t>2D99-FW7-KV34</t>
  </si>
  <si>
    <t>Floyd</t>
  </si>
  <si>
    <t>Woodham</t>
  </si>
  <si>
    <t>3x77-wh4-au31</t>
  </si>
  <si>
    <t>ARMAH</t>
  </si>
  <si>
    <t>7r75-er3-hq58</t>
  </si>
  <si>
    <t>2RN6-J92-MD81</t>
  </si>
  <si>
    <t>CORMAN</t>
  </si>
  <si>
    <t>5AT4-UG6-AP93</t>
  </si>
  <si>
    <t>Elizabeth</t>
  </si>
  <si>
    <t>shappy</t>
  </si>
  <si>
    <t>ELIZABETH A SHAPPY</t>
  </si>
  <si>
    <t>REEVES</t>
  </si>
  <si>
    <t>6GT8-RR4-QY42</t>
  </si>
  <si>
    <t>NOVOSELETSKY</t>
  </si>
  <si>
    <t>8C09-T94-DW16</t>
  </si>
  <si>
    <t>9aq6-k06-qg46</t>
  </si>
  <si>
    <t>Beach</t>
  </si>
  <si>
    <t>4KX4-R05-NK65</t>
  </si>
  <si>
    <t>BETTINA</t>
  </si>
  <si>
    <t>POPE</t>
  </si>
  <si>
    <t>5AX4-HA4-MG82</t>
  </si>
  <si>
    <t>ECKSTEIN</t>
  </si>
  <si>
    <t>2X55-U37-UD95</t>
  </si>
  <si>
    <t>9WX0-RE0-EU02</t>
  </si>
  <si>
    <t>GEYER</t>
  </si>
  <si>
    <t>8YK1-MA0-CG02</t>
  </si>
  <si>
    <t>7pv2-d66-dt00</t>
  </si>
  <si>
    <t>GRIGG</t>
  </si>
  <si>
    <t>3FN7-AN4-HK76</t>
  </si>
  <si>
    <t>WATTS</t>
  </si>
  <si>
    <t>6H30-GN0-QD34</t>
  </si>
  <si>
    <t>1YU5-MN0-NT60</t>
  </si>
  <si>
    <t>MCELDOWNEY</t>
  </si>
  <si>
    <t>2PC7-G36-JJ37</t>
  </si>
  <si>
    <t>2dm1-xx7-xj25</t>
  </si>
  <si>
    <t>4QD8-YX8-TT45</t>
  </si>
  <si>
    <t>Devita</t>
  </si>
  <si>
    <t>3KD0-KJ2-EW08</t>
  </si>
  <si>
    <t>ROST</t>
  </si>
  <si>
    <t>1K87-HU1-AX55</t>
  </si>
  <si>
    <t>4MD9-VT2-NH37</t>
  </si>
  <si>
    <t>MCINERNEY</t>
  </si>
  <si>
    <t>9NY0-K18-TF22</t>
  </si>
  <si>
    <t>ESCOTO</t>
  </si>
  <si>
    <t>4WH6-MD1-CF79</t>
  </si>
  <si>
    <t>FISHER</t>
  </si>
  <si>
    <t>8AX6-VP1-NH73</t>
  </si>
  <si>
    <t>Rodarte</t>
  </si>
  <si>
    <t>4W97-HR4-NN48</t>
  </si>
  <si>
    <t>4D25-R37-AG96</t>
  </si>
  <si>
    <t>BEGAY</t>
  </si>
  <si>
    <t>6JK0-N61-PX35</t>
  </si>
  <si>
    <t>CRESTO</t>
  </si>
  <si>
    <t>3VQ0-R91-DM39</t>
  </si>
  <si>
    <t>3A62-GK5-MX92</t>
  </si>
  <si>
    <t>5W35-EV9-KT66</t>
  </si>
  <si>
    <t>WAYMOND</t>
  </si>
  <si>
    <t>7RY9-C07-XR11</t>
  </si>
  <si>
    <t>MAURICE</t>
  </si>
  <si>
    <t>HARDIMAN</t>
  </si>
  <si>
    <t>3R76-Q03-GP47</t>
  </si>
  <si>
    <t>Eleanor</t>
  </si>
  <si>
    <t>MATRECITO</t>
  </si>
  <si>
    <t>2Y71-R45-JQ18</t>
  </si>
  <si>
    <t>ELBERT</t>
  </si>
  <si>
    <t>3YJ5-XT2-JE79</t>
  </si>
  <si>
    <t>Melissa</t>
  </si>
  <si>
    <t>Barrett</t>
  </si>
  <si>
    <t>4E75-DV0-VM94</t>
  </si>
  <si>
    <t>7PQ7-CT0-HV76</t>
  </si>
  <si>
    <t>Ewell</t>
  </si>
  <si>
    <t>2YM1-CJ2-CA80</t>
  </si>
  <si>
    <t>4CJ1-X31-QC17</t>
  </si>
  <si>
    <t>FAUERBACH</t>
  </si>
  <si>
    <t>9ET8-JC9-WQ25</t>
  </si>
  <si>
    <t>5K28-CK4-ME44</t>
  </si>
  <si>
    <t>SCULLY</t>
  </si>
  <si>
    <t>6D61-YC7-NC06</t>
  </si>
  <si>
    <t>JOLLIFF</t>
  </si>
  <si>
    <t>4RG8-WU4-GG38</t>
  </si>
  <si>
    <t>(423) 326-6653</t>
  </si>
  <si>
    <t>BLAINE</t>
  </si>
  <si>
    <t>2UQ8-UE3-JC52</t>
  </si>
  <si>
    <t>1YN1-QE5-WC39</t>
  </si>
  <si>
    <t>SATTLER</t>
  </si>
  <si>
    <t>6W12-EE0-JU25</t>
  </si>
  <si>
    <t>602-790-3864</t>
  </si>
  <si>
    <t>1JQ7-KV1-EV37</t>
  </si>
  <si>
    <t>1CF1-Q51-UJ29</t>
  </si>
  <si>
    <t>RUDOLPH</t>
  </si>
  <si>
    <t>3GE5-R17-TF95</t>
  </si>
  <si>
    <t>DEON</t>
  </si>
  <si>
    <t>4ME6-UE9-MG86</t>
  </si>
  <si>
    <t>HANCY</t>
  </si>
  <si>
    <t>BRIDNOL</t>
  </si>
  <si>
    <t>3XM1-DC0-EH34</t>
  </si>
  <si>
    <t>DEBORA</t>
  </si>
  <si>
    <t>JEFFREYs</t>
  </si>
  <si>
    <t>9JN7-TC9-TY38</t>
  </si>
  <si>
    <t>Diaz Hernandez</t>
  </si>
  <si>
    <t>3G12-KJ2-NP81</t>
  </si>
  <si>
    <t>Robin</t>
  </si>
  <si>
    <t>Tucker</t>
  </si>
  <si>
    <t>5RU5-FQ1-RD75</t>
  </si>
  <si>
    <t>Nelda</t>
  </si>
  <si>
    <t>Cloud</t>
  </si>
  <si>
    <t>3NG1-J94-EX01</t>
  </si>
  <si>
    <t>FULCHER</t>
  </si>
  <si>
    <t>2E51-KT2-FK22</t>
  </si>
  <si>
    <t>2EA4-YG6-QN99</t>
  </si>
  <si>
    <t>Traynor</t>
  </si>
  <si>
    <t>7PT3-QP1-MV79</t>
  </si>
  <si>
    <t>MOSES JR.</t>
  </si>
  <si>
    <t>6EW4-G11-WX64</t>
  </si>
  <si>
    <t>COLVARD</t>
  </si>
  <si>
    <t>1KK4-X85-NM86</t>
  </si>
  <si>
    <t>FRAME</t>
  </si>
  <si>
    <t>1UJ7-D91-NC76</t>
  </si>
  <si>
    <t>KASAUNDRA</t>
  </si>
  <si>
    <t>6CT9-AJ3-FW49</t>
  </si>
  <si>
    <t>4GT6-PK1-GT86</t>
  </si>
  <si>
    <t>SIXTO</t>
  </si>
  <si>
    <t>SILVAS</t>
  </si>
  <si>
    <t>5XY3-WD6-PE91</t>
  </si>
  <si>
    <t>4Q22-Y22-QD93</t>
  </si>
  <si>
    <t>6XF1-M66-VR16</t>
  </si>
  <si>
    <t>Marionetta</t>
  </si>
  <si>
    <t>4QP2-E60-EG25</t>
  </si>
  <si>
    <t>Langley</t>
  </si>
  <si>
    <t>3U51-FH4-VG10</t>
  </si>
  <si>
    <t>8C77-RP2-YK64</t>
  </si>
  <si>
    <t>2R94-D79-UM87</t>
  </si>
  <si>
    <t>Robbie</t>
  </si>
  <si>
    <t>Perry</t>
  </si>
  <si>
    <t>7H33-V95-RE75</t>
  </si>
  <si>
    <t>MIXON</t>
  </si>
  <si>
    <t>2E25-Q32-AV77</t>
  </si>
  <si>
    <t>4NY4-Q30-KK76</t>
  </si>
  <si>
    <t>ALEX</t>
  </si>
  <si>
    <t>7DQ8-YK4-XF45</t>
  </si>
  <si>
    <t>TATUM</t>
  </si>
  <si>
    <t>8WM3-VK0-TG92</t>
  </si>
  <si>
    <t>2WC2-D82-CM19</t>
  </si>
  <si>
    <t>PORTER</t>
  </si>
  <si>
    <t>7RN8-AC2-NE32</t>
  </si>
  <si>
    <t>5Q58-V07-VF67</t>
  </si>
  <si>
    <t>GOBS</t>
  </si>
  <si>
    <t>2GE8-W27-QH50</t>
  </si>
  <si>
    <t>HUDSON</t>
  </si>
  <si>
    <t>1JD4-AH6-JA61</t>
  </si>
  <si>
    <t>MOUNKES</t>
  </si>
  <si>
    <t>8PF1-GR1-TC94</t>
  </si>
  <si>
    <t>ELDRIDGE</t>
  </si>
  <si>
    <t>6GG3-UE4-HE87</t>
  </si>
  <si>
    <t>2ME1-J13-JD14</t>
  </si>
  <si>
    <t>Hope</t>
  </si>
  <si>
    <t>2MM1-PU9-MX26</t>
  </si>
  <si>
    <t>BRITTINGHAM</t>
  </si>
  <si>
    <t>9T48R33MA33</t>
  </si>
  <si>
    <t>Piper</t>
  </si>
  <si>
    <t>1YA2-YN0-NF92</t>
  </si>
  <si>
    <t>BYRN</t>
  </si>
  <si>
    <t>1V67-NH9-HX53</t>
  </si>
  <si>
    <t>Sever</t>
  </si>
  <si>
    <t>Hustad</t>
  </si>
  <si>
    <t>9C51-GX0-FH39</t>
  </si>
  <si>
    <t>TURNER</t>
  </si>
  <si>
    <t>9DT0-P02-HH30</t>
  </si>
  <si>
    <t>WILLiAMS</t>
  </si>
  <si>
    <t>8eu5-xw7-rw71</t>
  </si>
  <si>
    <t>Sittason</t>
  </si>
  <si>
    <t>7HQ2-PW4-CQ93</t>
  </si>
  <si>
    <t>Ranger</t>
  </si>
  <si>
    <t>5FA3-RR6-KX07</t>
  </si>
  <si>
    <t>SYED</t>
  </si>
  <si>
    <t>SHAH</t>
  </si>
  <si>
    <t>8W62-NC6-TK83</t>
  </si>
  <si>
    <t>THOMPKINSON</t>
  </si>
  <si>
    <t>9G36-CQ6-EQ54</t>
  </si>
  <si>
    <t>Cassandra</t>
  </si>
  <si>
    <t>7mq3-ca4-ua81</t>
  </si>
  <si>
    <t>TOBY</t>
  </si>
  <si>
    <t>LOBATO</t>
  </si>
  <si>
    <t>7gf8-v65-hg47</t>
  </si>
  <si>
    <t>Robison</t>
  </si>
  <si>
    <t>5JK8-A48-XF21</t>
  </si>
  <si>
    <t>POSEY</t>
  </si>
  <si>
    <t>3PE8-F46-DM61</t>
  </si>
  <si>
    <t>3VG9-NH5-TW31</t>
  </si>
  <si>
    <t>Maricela</t>
  </si>
  <si>
    <t>Thomallo</t>
  </si>
  <si>
    <t>1C54-HY7-FT98</t>
  </si>
  <si>
    <t>SALMON</t>
  </si>
  <si>
    <t>1A23-PE7-MC72</t>
  </si>
  <si>
    <t>9v98-y44-tn20</t>
  </si>
  <si>
    <t>GREGG</t>
  </si>
  <si>
    <t>KAMERAD</t>
  </si>
  <si>
    <t>3AP1-T07-YQ92</t>
  </si>
  <si>
    <t>CLEVELAND</t>
  </si>
  <si>
    <t>WESTBROOK</t>
  </si>
  <si>
    <t>5PQ6-T76-HU46</t>
  </si>
  <si>
    <t>8HW5-YX6-VE89</t>
  </si>
  <si>
    <t>Goldsberry</t>
  </si>
  <si>
    <t>4R02-QH6-HN89</t>
  </si>
  <si>
    <t>WOODCOCK</t>
  </si>
  <si>
    <t>1PD5-XQ8-JH57</t>
  </si>
  <si>
    <t>KEEL</t>
  </si>
  <si>
    <t>2DH0-TW7-AP36</t>
  </si>
  <si>
    <t>MARTINEZ JR.</t>
  </si>
  <si>
    <t>3MD7-FM7-QJ48</t>
  </si>
  <si>
    <t>STAHLMAN</t>
  </si>
  <si>
    <t>9PW7-X83-VY45</t>
  </si>
  <si>
    <t>6KC0-D56-UP31</t>
  </si>
  <si>
    <t>(423) 895-2733</t>
  </si>
  <si>
    <t>SYLVESTER</t>
  </si>
  <si>
    <t>AMBLES</t>
  </si>
  <si>
    <t>7Q99-KK6-AN20</t>
  </si>
  <si>
    <t>GOODMAN</t>
  </si>
  <si>
    <t>1T93-D50-DX06</t>
  </si>
  <si>
    <t>4D02-HQ5-QA09</t>
  </si>
  <si>
    <t>Mitchell</t>
  </si>
  <si>
    <t>Gonzales</t>
  </si>
  <si>
    <t>6AV2-PG0-AK03</t>
  </si>
  <si>
    <t>moon</t>
  </si>
  <si>
    <t>1R85-UA4-HP58</t>
  </si>
  <si>
    <t>316-210-9779</t>
  </si>
  <si>
    <t>7RA0-Y63-DH05</t>
  </si>
  <si>
    <t>PINKARD</t>
  </si>
  <si>
    <t>7JN9-QQ0-KD21</t>
  </si>
  <si>
    <t>JANES</t>
  </si>
  <si>
    <t>6XY2-D27-VK06</t>
  </si>
  <si>
    <t>4JP5-R09-NE73</t>
  </si>
  <si>
    <t>LORIE</t>
  </si>
  <si>
    <t>ELEM</t>
  </si>
  <si>
    <t>4CM8-EQ9-RC38</t>
  </si>
  <si>
    <t>Bumpus</t>
  </si>
  <si>
    <t>9M80-FP2-XK25</t>
  </si>
  <si>
    <t>BURNSIDE</t>
  </si>
  <si>
    <t>6DT3-TK9-XP74</t>
  </si>
  <si>
    <t>CORNISH</t>
  </si>
  <si>
    <t>5JN7-KV1-ME72</t>
  </si>
  <si>
    <t>Trenton</t>
  </si>
  <si>
    <t>Jurosco</t>
  </si>
  <si>
    <t>8wv6-g29-jc75</t>
  </si>
  <si>
    <t>LOVELY</t>
  </si>
  <si>
    <t>8G02-W33-QT03</t>
  </si>
  <si>
    <t>757-339-2364</t>
  </si>
  <si>
    <t>3ad6-my0-wn51</t>
  </si>
  <si>
    <t>LEWALLEN</t>
  </si>
  <si>
    <t>2cy7-fr4-qx46</t>
  </si>
  <si>
    <t>crawford</t>
  </si>
  <si>
    <t>2G71-HP7-NH21</t>
  </si>
  <si>
    <t>Philip</t>
  </si>
  <si>
    <t>Martucci</t>
  </si>
  <si>
    <t>7AY0-V28-QJ45</t>
  </si>
  <si>
    <t>3WE3-M89-PJ79</t>
  </si>
  <si>
    <t>5FW8-GE1-UK54</t>
  </si>
  <si>
    <t>LINWOOD</t>
  </si>
  <si>
    <t>HELFAND</t>
  </si>
  <si>
    <t>8Y59-JM6-GQ16</t>
  </si>
  <si>
    <t>Morales</t>
  </si>
  <si>
    <t>9X09-HT8-PY40</t>
  </si>
  <si>
    <t>5a65-wn1-fd67</t>
  </si>
  <si>
    <t>HOBSON</t>
  </si>
  <si>
    <t>6xp6-xm9-er53</t>
  </si>
  <si>
    <t>Cindy</t>
  </si>
  <si>
    <t>Rowley</t>
  </si>
  <si>
    <t>2DN3-VR9-JT73</t>
  </si>
  <si>
    <t>Hicks</t>
  </si>
  <si>
    <t>7T56-YM1-HW61</t>
  </si>
  <si>
    <t>Benjamin</t>
  </si>
  <si>
    <t>Hall Jr</t>
  </si>
  <si>
    <t>8M93-GQ6-VH13</t>
  </si>
  <si>
    <t>SMALL</t>
  </si>
  <si>
    <t>7JV5-D50-RQ67</t>
  </si>
  <si>
    <t>2E55-M97-PT88</t>
  </si>
  <si>
    <t>BOB</t>
  </si>
  <si>
    <t>SEWARD</t>
  </si>
  <si>
    <t>2DV7-HT2-AD37</t>
  </si>
  <si>
    <t>615-335-5988</t>
  </si>
  <si>
    <t>Turner</t>
  </si>
  <si>
    <t>7AK8-UX0-MH43</t>
  </si>
  <si>
    <t>ALBERTO</t>
  </si>
  <si>
    <t>3PV1-C42-HP06</t>
  </si>
  <si>
    <t>harper</t>
  </si>
  <si>
    <t>9HQ1-K33-DR04</t>
  </si>
  <si>
    <t>Gilbert</t>
  </si>
  <si>
    <t>Rico</t>
  </si>
  <si>
    <t>8V84-A46-FV92</t>
  </si>
  <si>
    <t>6DE6-V41-GN42</t>
  </si>
  <si>
    <t>CODY</t>
  </si>
  <si>
    <t>2EK1-WG0-HW34</t>
  </si>
  <si>
    <t>SANTUCCI</t>
  </si>
  <si>
    <t>2R39-KG8-TT36</t>
  </si>
  <si>
    <t>Josephine</t>
  </si>
  <si>
    <t>5FW0-E06-RE00</t>
  </si>
  <si>
    <t>MAURER</t>
  </si>
  <si>
    <t>3UY1-KQ2-JU23</t>
  </si>
  <si>
    <t>ARLT</t>
  </si>
  <si>
    <t>8C66-E89-AN45</t>
  </si>
  <si>
    <t>HEATHER</t>
  </si>
  <si>
    <t>Berlin</t>
  </si>
  <si>
    <t>3JJ9-WW3-XG41</t>
  </si>
  <si>
    <t>RENORITA</t>
  </si>
  <si>
    <t>PHELPS</t>
  </si>
  <si>
    <t>2EP6-XX1-CY89</t>
  </si>
  <si>
    <t>Olsley Jr</t>
  </si>
  <si>
    <t>9M99-TH3-FE11</t>
  </si>
  <si>
    <t>Sharp</t>
  </si>
  <si>
    <t>9KF1-FX4-JN93</t>
  </si>
  <si>
    <t>Judith</t>
  </si>
  <si>
    <t>Scalzi</t>
  </si>
  <si>
    <t>3EX1-HJ4-VV93</t>
  </si>
  <si>
    <t>BRUSO</t>
  </si>
  <si>
    <t>3N98-UM9-RN40</t>
  </si>
  <si>
    <t>JUSTICE</t>
  </si>
  <si>
    <t>1NH1-FQ6-PU29</t>
  </si>
  <si>
    <t>Judy</t>
  </si>
  <si>
    <t>Singh</t>
  </si>
  <si>
    <t>2FF5-X44-HR85</t>
  </si>
  <si>
    <t>(305) 815-5792</t>
  </si>
  <si>
    <t>JOANIE</t>
  </si>
  <si>
    <t>2AR6-FQ7-MN82</t>
  </si>
  <si>
    <t>ERICH</t>
  </si>
  <si>
    <t>9VE0-MX7-VQ04</t>
  </si>
  <si>
    <t>(480) 432-4631</t>
  </si>
  <si>
    <t>Jeff</t>
  </si>
  <si>
    <t>Herchert</t>
  </si>
  <si>
    <t>2R72-RU8-GP27</t>
  </si>
  <si>
    <t>NOELLA</t>
  </si>
  <si>
    <t>DAWKINS</t>
  </si>
  <si>
    <t>2dc3-k27-cw87</t>
  </si>
  <si>
    <t>KEHRER</t>
  </si>
  <si>
    <t>4MK9-ME0-GF21</t>
  </si>
  <si>
    <t>9MD7-QV1-AJ77</t>
  </si>
  <si>
    <t>Lendal</t>
  </si>
  <si>
    <t>1NW4-QW5-GJ73</t>
  </si>
  <si>
    <t>5E00-H12-KV05</t>
  </si>
  <si>
    <t>Louella</t>
  </si>
  <si>
    <t>4vu1-dd0-hm03</t>
  </si>
  <si>
    <t>DOGGETT</t>
  </si>
  <si>
    <t>4GT5-D08-EA73</t>
  </si>
  <si>
    <t>FLOR</t>
  </si>
  <si>
    <t>9MR6-MX5-CV68</t>
  </si>
  <si>
    <t>FREDerick</t>
  </si>
  <si>
    <t>8M99-GH9-UA10</t>
  </si>
  <si>
    <t>6ME3-ET0-HH70</t>
  </si>
  <si>
    <t>1PK6-HR9-DF71</t>
  </si>
  <si>
    <t>CARPENTER</t>
  </si>
  <si>
    <t>2QX9-K00-JE39</t>
  </si>
  <si>
    <t>5gu3-vg6-vr17</t>
  </si>
  <si>
    <t>HALIBURTON</t>
  </si>
  <si>
    <t>7FV8-M77-XF48</t>
  </si>
  <si>
    <t>ABELINO</t>
  </si>
  <si>
    <t>SANTOS</t>
  </si>
  <si>
    <t>8YQ0-V92-TU26</t>
  </si>
  <si>
    <t>HOLTSCLAW</t>
  </si>
  <si>
    <t>2JN9-UW4-AF13</t>
  </si>
  <si>
    <t>6VV5-AT7-HK73</t>
  </si>
  <si>
    <t>BONITA</t>
  </si>
  <si>
    <t>CREECH</t>
  </si>
  <si>
    <t>3YK5-GG0-CV53</t>
  </si>
  <si>
    <t>FOUNTAIN</t>
  </si>
  <si>
    <t>4y96-mf9-kp49</t>
  </si>
  <si>
    <t>Brooks</t>
  </si>
  <si>
    <t>6NQ3-G17-UR13</t>
  </si>
  <si>
    <t>Hank</t>
  </si>
  <si>
    <t>Turknett</t>
  </si>
  <si>
    <t>5UV1-YH3-YY24</t>
  </si>
  <si>
    <t>7HV6-EU5-NE30</t>
  </si>
  <si>
    <t>BLANKENSHIP</t>
  </si>
  <si>
    <t>6VC2-M07-XU85</t>
  </si>
  <si>
    <t>7A86-M12-QY75</t>
  </si>
  <si>
    <t>WEBB</t>
  </si>
  <si>
    <t>2VE3-CV4-TP92</t>
  </si>
  <si>
    <t>McVay</t>
  </si>
  <si>
    <t>3U99-D70-XH14</t>
  </si>
  <si>
    <t>4E43-MM7-CU18</t>
  </si>
  <si>
    <t>MERCANTANTE</t>
  </si>
  <si>
    <t>3NK5-N09-MN97</t>
  </si>
  <si>
    <t>CARRILLO</t>
  </si>
  <si>
    <t>7XT8-W27-JG28</t>
  </si>
  <si>
    <t>4QJ8-P93-PJ53</t>
  </si>
  <si>
    <t>4f25-et2-xw88</t>
  </si>
  <si>
    <t>Ellamae</t>
  </si>
  <si>
    <t>7W24-WF6-JT85</t>
  </si>
  <si>
    <t>Mojica</t>
  </si>
  <si>
    <t>2RR4-KD8-DE04</t>
  </si>
  <si>
    <t>Kimble</t>
  </si>
  <si>
    <t>2Q53-RY3-TC95</t>
  </si>
  <si>
    <t>TRANTHEM</t>
  </si>
  <si>
    <t>1MN6-AN8-HE62</t>
  </si>
  <si>
    <t>CLEMONS JR</t>
  </si>
  <si>
    <t>7YR3-DM5-NA01</t>
  </si>
  <si>
    <t>LINDSEY</t>
  </si>
  <si>
    <t>4U14-AH4-VK70</t>
  </si>
  <si>
    <t>5NW8-HW0-NE49</t>
  </si>
  <si>
    <t>9TW2-W74-TE09</t>
  </si>
  <si>
    <t>2JC4-WU9-YK50</t>
  </si>
  <si>
    <t>FERGUSON-VELAZQUEZ</t>
  </si>
  <si>
    <t>9PF5-NJ5-HE66</t>
  </si>
  <si>
    <t>ELAINE</t>
  </si>
  <si>
    <t>7H20-V51-MX30</t>
  </si>
  <si>
    <t>CRAMER</t>
  </si>
  <si>
    <t>6HH2-A57-PX02</t>
  </si>
  <si>
    <t>LORRAINE</t>
  </si>
  <si>
    <t>SALT</t>
  </si>
  <si>
    <t>1T52-Q72-MY23</t>
  </si>
  <si>
    <t>5mk1-yk7-qd99</t>
  </si>
  <si>
    <t>9J67-WP1-YK33</t>
  </si>
  <si>
    <t>RINGHOFER</t>
  </si>
  <si>
    <t>9JR5-YV4-RU97</t>
  </si>
  <si>
    <t>MATTHEW</t>
  </si>
  <si>
    <t>ELDER</t>
  </si>
  <si>
    <t>7U49-MM8-NQ45</t>
  </si>
  <si>
    <t>VIDRINE</t>
  </si>
  <si>
    <t>2DF5-M20-DU78</t>
  </si>
  <si>
    <t>OGIER</t>
  </si>
  <si>
    <t>5GT5-QF6-WU68</t>
  </si>
  <si>
    <t>CLEVESTER</t>
  </si>
  <si>
    <t>5WD5-RE5-FD63</t>
  </si>
  <si>
    <t>COULTER</t>
  </si>
  <si>
    <t>2D21-WQ8-NG36</t>
  </si>
  <si>
    <t>7W59-CM0-EK12</t>
  </si>
  <si>
    <t>LIND</t>
  </si>
  <si>
    <t>1UA4-D01-DK77</t>
  </si>
  <si>
    <t>SHIGLEY</t>
  </si>
  <si>
    <t>2PW1-H65-KQ18</t>
  </si>
  <si>
    <t>tookes</t>
  </si>
  <si>
    <t>8MA3-CE5-XH05</t>
  </si>
  <si>
    <t>FRANCINE</t>
  </si>
  <si>
    <t>Fortunato</t>
  </si>
  <si>
    <t>1pw3-ur3-yr19</t>
  </si>
  <si>
    <t>NORA</t>
  </si>
  <si>
    <t>DEBRUHL</t>
  </si>
  <si>
    <t>4JN6-AQ5-XD41</t>
  </si>
  <si>
    <t>Dixon Mosley</t>
  </si>
  <si>
    <t>9HR1-U03-NH80</t>
  </si>
  <si>
    <t>MARTINEAU</t>
  </si>
  <si>
    <t>6AU9-MG0-TF18</t>
  </si>
  <si>
    <t>RIOS</t>
  </si>
  <si>
    <t>8NG5-D00-PU89</t>
  </si>
  <si>
    <t>WALKS</t>
  </si>
  <si>
    <t>5DH6-UQ0-XP85</t>
  </si>
  <si>
    <t>6N09-DA2-XX17</t>
  </si>
  <si>
    <t>Caroline</t>
  </si>
  <si>
    <t>Gardner</t>
  </si>
  <si>
    <t>2G41-T99-HR16</t>
  </si>
  <si>
    <t>2TR7-KU9-KH40</t>
  </si>
  <si>
    <t>Griffin</t>
  </si>
  <si>
    <t>7EP8-G19-XW66</t>
  </si>
  <si>
    <t>CHRISS</t>
  </si>
  <si>
    <t>8YA0-VN3-PN20</t>
  </si>
  <si>
    <t>504-603-3802</t>
  </si>
  <si>
    <t>7Y46-F57-WH49</t>
  </si>
  <si>
    <t>ISLAND</t>
  </si>
  <si>
    <t>8E51-Y87-JP95</t>
  </si>
  <si>
    <t>Eugene</t>
  </si>
  <si>
    <t>4W05-P25-WW65</t>
  </si>
  <si>
    <t>DAPHNE</t>
  </si>
  <si>
    <t>7M62-TF8-GK92</t>
  </si>
  <si>
    <t>Poulsen</t>
  </si>
  <si>
    <t>9U05-FV2-PW96</t>
  </si>
  <si>
    <t>2N28-RA3-NX59</t>
  </si>
  <si>
    <t>OKIE MARTIN</t>
  </si>
  <si>
    <t>3G80-FH4-GM06</t>
  </si>
  <si>
    <t>GARCIA JR.</t>
  </si>
  <si>
    <t>3C18-YJ3-AT24</t>
  </si>
  <si>
    <t>KELLETT</t>
  </si>
  <si>
    <t>7XA3-JN3-WX87</t>
  </si>
  <si>
    <t>8H05-F71-QH94</t>
  </si>
  <si>
    <t>5MJ8-Y01-JX54</t>
  </si>
  <si>
    <t>(251) 716-0169</t>
  </si>
  <si>
    <t>8J88-UY3-UQ38</t>
  </si>
  <si>
    <t>7VY8-P19-UF32</t>
  </si>
  <si>
    <t>BRAD</t>
  </si>
  <si>
    <t>DEISLEY</t>
  </si>
  <si>
    <t>5YJ2-HX1-KF29</t>
  </si>
  <si>
    <t>(512) 630-5553</t>
  </si>
  <si>
    <t>AIREY</t>
  </si>
  <si>
    <t>8Q30-DV2-QC43</t>
  </si>
  <si>
    <t>2RA3-R89-WN09</t>
  </si>
  <si>
    <t>8V46-K99-YF56</t>
  </si>
  <si>
    <t>BELEN</t>
  </si>
  <si>
    <t>PLESS</t>
  </si>
  <si>
    <t>7CH3-CG1-AA05</t>
  </si>
  <si>
    <t>COTTO</t>
  </si>
  <si>
    <t>1TJ7-T20-DP76</t>
  </si>
  <si>
    <t>VAN AMBURG</t>
  </si>
  <si>
    <t>4tq9-c02-yq43</t>
  </si>
  <si>
    <t>8yc6-v04-wk78</t>
  </si>
  <si>
    <t>BYRD JR</t>
  </si>
  <si>
    <t>8VF9-DR9-FM32</t>
  </si>
  <si>
    <t>McKnight</t>
  </si>
  <si>
    <t>7V64-RU1-JA84</t>
  </si>
  <si>
    <t>(813) 737-3218</t>
  </si>
  <si>
    <t>Gwendla</t>
  </si>
  <si>
    <t>Glover</t>
  </si>
  <si>
    <t>8kn6-u45-xg64</t>
  </si>
  <si>
    <t>GENEREUX</t>
  </si>
  <si>
    <t>3H58-Q27-HU59</t>
  </si>
  <si>
    <t>CLARISSA</t>
  </si>
  <si>
    <t>WHITMORE</t>
  </si>
  <si>
    <t>8TC1-D81-WQ32</t>
  </si>
  <si>
    <t>2M20-H03-DM29</t>
  </si>
  <si>
    <t>Upchurch</t>
  </si>
  <si>
    <t>4NE5-FT7-TV70</t>
  </si>
  <si>
    <t>(870) 278-6916</t>
  </si>
  <si>
    <t>HOSTON</t>
  </si>
  <si>
    <t>1U39-QA4-PT46</t>
  </si>
  <si>
    <t>Alberta</t>
  </si>
  <si>
    <t>8V61-Y00-RW21</t>
  </si>
  <si>
    <t>QUIHUIS</t>
  </si>
  <si>
    <t>8F48-A93-WE46</t>
  </si>
  <si>
    <t>Jolanta</t>
  </si>
  <si>
    <t>KORZENIEWSKA</t>
  </si>
  <si>
    <t>3NX9-R27-FC20</t>
  </si>
  <si>
    <t>9AN0-MC9-CH15</t>
  </si>
  <si>
    <t>Marvella</t>
  </si>
  <si>
    <t>Felton</t>
  </si>
  <si>
    <t>2xn8-vm2-yn59</t>
  </si>
  <si>
    <t>KISSLING</t>
  </si>
  <si>
    <t>6EH0-A22-TH31</t>
  </si>
  <si>
    <t>ALELE</t>
  </si>
  <si>
    <t>2QN3-NQ1-WM78</t>
  </si>
  <si>
    <t>Burger</t>
  </si>
  <si>
    <t>8ef9-qp6-yf27</t>
  </si>
  <si>
    <t>5CW8-K99-WQ40</t>
  </si>
  <si>
    <t>8KN5-N27-JR52</t>
  </si>
  <si>
    <t>BLACKMON</t>
  </si>
  <si>
    <t>4AQ3-RJ6-PR04</t>
  </si>
  <si>
    <t>Adolfo</t>
  </si>
  <si>
    <t>Girau</t>
  </si>
  <si>
    <t>1EQ3-HH7-MV07</t>
  </si>
  <si>
    <t>2hv7-jr3-aj32</t>
  </si>
  <si>
    <t>MARIO</t>
  </si>
  <si>
    <t>ROMERO</t>
  </si>
  <si>
    <t>7R20-ME9-HK09</t>
  </si>
  <si>
    <t>(970) 214-8606</t>
  </si>
  <si>
    <t>4WT7-WW7-KU67</t>
  </si>
  <si>
    <t>Maudie</t>
  </si>
  <si>
    <t>Book</t>
  </si>
  <si>
    <t>4DW0-PD0-WJ23</t>
  </si>
  <si>
    <t>LANKARY</t>
  </si>
  <si>
    <t>1KC7-U02-JR43</t>
  </si>
  <si>
    <t>4J34-WV6-XN82</t>
  </si>
  <si>
    <t>SOSA</t>
  </si>
  <si>
    <t>7JP0-WK3-GA29</t>
  </si>
  <si>
    <t>Sosa</t>
  </si>
  <si>
    <t>3E26-NM3-RN61</t>
  </si>
  <si>
    <t>(719) 252-3685</t>
  </si>
  <si>
    <t>8MX3-RV4-DQ09</t>
  </si>
  <si>
    <t>MYRNA</t>
  </si>
  <si>
    <t>BAUMANN</t>
  </si>
  <si>
    <t>4YN5-T90-DF53</t>
  </si>
  <si>
    <t>2XR9-VM1-KH28</t>
  </si>
  <si>
    <t>3T90-DF1-WT42</t>
  </si>
  <si>
    <t>1AY7-QY7-UC39</t>
  </si>
  <si>
    <t>PAYTON</t>
  </si>
  <si>
    <t>8WY1-DQ7-XM37</t>
  </si>
  <si>
    <t>HOLLEY JR</t>
  </si>
  <si>
    <t>7wh1qd1xd07</t>
  </si>
  <si>
    <t>Hayes</t>
  </si>
  <si>
    <t>6XW5-X47-GN95</t>
  </si>
  <si>
    <t>2y43-dj3-ur86</t>
  </si>
  <si>
    <t>Alyce</t>
  </si>
  <si>
    <t>Gay</t>
  </si>
  <si>
    <t>9VU6-G65-VN83</t>
  </si>
  <si>
    <t>BALDWIN</t>
  </si>
  <si>
    <t>7NR8-C71-AH28</t>
  </si>
  <si>
    <t>(910) 699-4611</t>
  </si>
  <si>
    <t>6DK5-JH6-UT91</t>
  </si>
  <si>
    <t>3Y83-VJ1-HN97</t>
  </si>
  <si>
    <t>REDMON</t>
  </si>
  <si>
    <t>5CV7-Y93-DR47</t>
  </si>
  <si>
    <t>Jefferies</t>
  </si>
  <si>
    <t>Ronesia</t>
  </si>
  <si>
    <t>MARIE- CARMEL</t>
  </si>
  <si>
    <t>RACINE</t>
  </si>
  <si>
    <t>2WY6-NG0-QR61</t>
  </si>
  <si>
    <t>Serl</t>
  </si>
  <si>
    <t>Alyssa</t>
  </si>
  <si>
    <t>Alyssa Serl</t>
  </si>
  <si>
    <t>CALVAN</t>
  </si>
  <si>
    <t>CORWAEY</t>
  </si>
  <si>
    <t>4DP9-E51-YH46</t>
  </si>
  <si>
    <t>Hill</t>
  </si>
  <si>
    <t>9GX3-H17-CP60</t>
  </si>
  <si>
    <t>JENTSCH</t>
  </si>
  <si>
    <t>5mn0-vd8-ju04</t>
  </si>
  <si>
    <t>McCann</t>
  </si>
  <si>
    <t>4RA2-YP2-WN19</t>
  </si>
  <si>
    <t>6K57-XK9-UW41</t>
  </si>
  <si>
    <t>ELLISON</t>
  </si>
  <si>
    <t>1NP4-HR4-FQ72</t>
  </si>
  <si>
    <t>7HT4-Y83-FF67</t>
  </si>
  <si>
    <t>Tellez</t>
  </si>
  <si>
    <t>JOESPH</t>
  </si>
  <si>
    <t>5KT6-FV2-WG30</t>
  </si>
  <si>
    <t>(520) 738-1556</t>
  </si>
  <si>
    <t>DAVE</t>
  </si>
  <si>
    <t>RHODES</t>
  </si>
  <si>
    <t>8g43-we9-vr86</t>
  </si>
  <si>
    <t>4E42-AW9-FN22</t>
  </si>
  <si>
    <t>3XT0-WT1-FD45</t>
  </si>
  <si>
    <t>Sylvester</t>
  </si>
  <si>
    <t>7NQ8-A07-JH66</t>
  </si>
  <si>
    <t>SCHROEDER</t>
  </si>
  <si>
    <t>3YA5-PV5-CM80</t>
  </si>
  <si>
    <t>SCRIVENER</t>
  </si>
  <si>
    <t>7XV8-J02-RK23</t>
  </si>
  <si>
    <t>BICKFORD</t>
  </si>
  <si>
    <t>3DU6-F41-HF60</t>
  </si>
  <si>
    <t>GALENDA</t>
  </si>
  <si>
    <t>CLOYD</t>
  </si>
  <si>
    <t>5GM5-N02-VY97</t>
  </si>
  <si>
    <t>5DJ5-QE6-AN56</t>
  </si>
  <si>
    <t>Bossler</t>
  </si>
  <si>
    <t>9RH5-P55-NE60</t>
  </si>
  <si>
    <t>Shirlene</t>
  </si>
  <si>
    <t>Pinto</t>
  </si>
  <si>
    <t>2TN3-MK1-WQ81</t>
  </si>
  <si>
    <t>7EK5-VC7-VX84</t>
  </si>
  <si>
    <t>3N36-KU8-AW89</t>
  </si>
  <si>
    <t>Quintin</t>
  </si>
  <si>
    <t>Barber</t>
  </si>
  <si>
    <t>4q71-qa7-mv11</t>
  </si>
  <si>
    <t>1K41-AR1-EG98</t>
  </si>
  <si>
    <t>CANFIELD</t>
  </si>
  <si>
    <t>5AQ0-V79-KN11</t>
  </si>
  <si>
    <t>Ernestine</t>
  </si>
  <si>
    <t>8n65-kr8-nt99</t>
  </si>
  <si>
    <t>912-464-5386</t>
  </si>
  <si>
    <t>BLACKBURN</t>
  </si>
  <si>
    <t>8VR5-Q39-FM71</t>
  </si>
  <si>
    <t>BERNASCO SR</t>
  </si>
  <si>
    <t>9NU3-QK2-RK01</t>
  </si>
  <si>
    <t>PENNER</t>
  </si>
  <si>
    <t>1MH6-AH8-VJ42</t>
  </si>
  <si>
    <t>6EP4-AP3-PY79</t>
  </si>
  <si>
    <t>MARLA</t>
  </si>
  <si>
    <t>GRANADO</t>
  </si>
  <si>
    <t>3NT7-MN8-VP54</t>
  </si>
  <si>
    <t>RICCELLI</t>
  </si>
  <si>
    <t>4ka2-yw5-ry08</t>
  </si>
  <si>
    <t>GALINAT</t>
  </si>
  <si>
    <t>5CF2-YK1-QF97</t>
  </si>
  <si>
    <t>AMERICA</t>
  </si>
  <si>
    <t>ARGOTE</t>
  </si>
  <si>
    <t>3VP0-GD4-CK28</t>
  </si>
  <si>
    <t>Ophelia</t>
  </si>
  <si>
    <t>Decoster</t>
  </si>
  <si>
    <t>4YH1-JN3-AJ21</t>
  </si>
  <si>
    <t>SCHLEICHER</t>
  </si>
  <si>
    <t>8T54-QF0-TF08</t>
  </si>
  <si>
    <t>PATTEN</t>
  </si>
  <si>
    <t>8AR1-R97-DF26</t>
  </si>
  <si>
    <t>2H27-R79-YW20</t>
  </si>
  <si>
    <t>7DD0-W40-UP22</t>
  </si>
  <si>
    <t>Wilfred</t>
  </si>
  <si>
    <t>Jarvis</t>
  </si>
  <si>
    <t>1c31-ap7-mq94</t>
  </si>
  <si>
    <t>2GK7-RQ3-JC38</t>
  </si>
  <si>
    <t>Rickie</t>
  </si>
  <si>
    <t>1VT7-U24-NG48</t>
  </si>
  <si>
    <t>Phillipson</t>
  </si>
  <si>
    <t>9CG7-XN8-MA34</t>
  </si>
  <si>
    <t>5UQ9-VJ7-QX48</t>
  </si>
  <si>
    <t>Samuel</t>
  </si>
  <si>
    <t>2FQ0-CP3-RK00</t>
  </si>
  <si>
    <t>3NN2-NV3-VH85</t>
  </si>
  <si>
    <t>Douglas</t>
  </si>
  <si>
    <t>1GD2-H28-YK89</t>
  </si>
  <si>
    <t>Daviduke</t>
  </si>
  <si>
    <t>2TU5-QR5-QE87</t>
  </si>
  <si>
    <t>LAUGHLIN</t>
  </si>
  <si>
    <t>2PV6-YM4-FX73</t>
  </si>
  <si>
    <t>(850) 247-8700</t>
  </si>
  <si>
    <t>cromer</t>
  </si>
  <si>
    <t>7XU8-XE8-FN54</t>
  </si>
  <si>
    <t>305-244-8845</t>
  </si>
  <si>
    <t>2QH4-AE9-QN94</t>
  </si>
  <si>
    <t>Jerry</t>
  </si>
  <si>
    <t>7PP5-NU0-TF83</t>
  </si>
  <si>
    <t>SPINO</t>
  </si>
  <si>
    <t>3GH0-W58-QJ12</t>
  </si>
  <si>
    <t>Barre</t>
  </si>
  <si>
    <t>1EN4-RF9-WV75</t>
  </si>
  <si>
    <t>Michele</t>
  </si>
  <si>
    <t>Blaugher</t>
  </si>
  <si>
    <t>9VG0-PJ1-TW31</t>
  </si>
  <si>
    <t>3XQ1-R85-TF25</t>
  </si>
  <si>
    <t>Towana</t>
  </si>
  <si>
    <t>Browne</t>
  </si>
  <si>
    <t>7DY4-DN4-VA60</t>
  </si>
  <si>
    <t>CHAVEZ</t>
  </si>
  <si>
    <t>8W67-DY0-NR38</t>
  </si>
  <si>
    <t>GATLIN</t>
  </si>
  <si>
    <t>7CN0-QJ0-KE12</t>
  </si>
  <si>
    <t>Darcantel</t>
  </si>
  <si>
    <t>3YG6-M92-PF50</t>
  </si>
  <si>
    <t>FAVOR</t>
  </si>
  <si>
    <t>2H94-CD6-EW65</t>
  </si>
  <si>
    <t>BATES</t>
  </si>
  <si>
    <t>8HH5-PK4-MV91</t>
  </si>
  <si>
    <t>LINDA SUE</t>
  </si>
  <si>
    <t>SHAFER</t>
  </si>
  <si>
    <t>2dm1-t62-ht22</t>
  </si>
  <si>
    <t>LUANN</t>
  </si>
  <si>
    <t>9E00-DJ2-RQ31</t>
  </si>
  <si>
    <t>VELDA</t>
  </si>
  <si>
    <t>PETTIT</t>
  </si>
  <si>
    <t>8UU1-KP8-YA24</t>
  </si>
  <si>
    <t>Knotts</t>
  </si>
  <si>
    <t>4V79-FX1-YC56</t>
  </si>
  <si>
    <t>SULLINS</t>
  </si>
  <si>
    <t>2DF4-J84-CT67</t>
  </si>
  <si>
    <t>912-281-3742</t>
  </si>
  <si>
    <t>LOCKLYN</t>
  </si>
  <si>
    <t>8D30-N34-JC43</t>
  </si>
  <si>
    <t>jackson</t>
  </si>
  <si>
    <t>3UG5-FF3-CE87</t>
  </si>
  <si>
    <t>8WJ4-N44-XC07</t>
  </si>
  <si>
    <t>1PD1-UV7-DC02</t>
  </si>
  <si>
    <t>RACCA</t>
  </si>
  <si>
    <t>6F90-NG3-RU13</t>
  </si>
  <si>
    <t>3CK3-GH0-AX05</t>
  </si>
  <si>
    <t>WALLIS</t>
  </si>
  <si>
    <t>1WQ7-VA6-AX79</t>
  </si>
  <si>
    <t>CASILLAS</t>
  </si>
  <si>
    <t>1JQ3-DX7-PT15</t>
  </si>
  <si>
    <t>MARYLOU</t>
  </si>
  <si>
    <t>5TX4-NV2-DA07</t>
  </si>
  <si>
    <t>Sherri</t>
  </si>
  <si>
    <t>cody</t>
  </si>
  <si>
    <t>7G40-U33-AK01</t>
  </si>
  <si>
    <t>Marshall</t>
  </si>
  <si>
    <t>HARTSFIELD</t>
  </si>
  <si>
    <t>4QG9-RA6-KV39</t>
  </si>
  <si>
    <t>MCDAY</t>
  </si>
  <si>
    <t>3v99-ah7-wv44</t>
  </si>
  <si>
    <t>DEBROAH</t>
  </si>
  <si>
    <t>HORNBERGER</t>
  </si>
  <si>
    <t>5UT3-J04-JA92</t>
  </si>
  <si>
    <t>RASHAUN</t>
  </si>
  <si>
    <t>BACCUS</t>
  </si>
  <si>
    <t>2K02-DM6-PJ96</t>
  </si>
  <si>
    <t>DALE</t>
  </si>
  <si>
    <t>LANDERS</t>
  </si>
  <si>
    <t>4hj9-h15-yu51</t>
  </si>
  <si>
    <t>8X34-XR4-VF66</t>
  </si>
  <si>
    <t>BREINDA</t>
  </si>
  <si>
    <t>7V17-TM4-JF64</t>
  </si>
  <si>
    <t>FULLER</t>
  </si>
  <si>
    <t>5GV6-PH1-VQ47</t>
  </si>
  <si>
    <t>GLEASON</t>
  </si>
  <si>
    <t>8hu2-xj4-nm02</t>
  </si>
  <si>
    <t>SEIGLER</t>
  </si>
  <si>
    <t>1YK0-QK4-VC18</t>
  </si>
  <si>
    <t>Couch</t>
  </si>
  <si>
    <t>8WC5-DT6-NK58</t>
  </si>
  <si>
    <t>SIMONS</t>
  </si>
  <si>
    <t>4CX9-QJ4-HT11</t>
  </si>
  <si>
    <t>1F24-D30-YX89</t>
  </si>
  <si>
    <t>2T07-YR9-WY30</t>
  </si>
  <si>
    <t>MORELAND</t>
  </si>
  <si>
    <t>6e61-jx3-gk93</t>
  </si>
  <si>
    <t>RUIZ</t>
  </si>
  <si>
    <t>8K40-MV2-RW49</t>
  </si>
  <si>
    <t>Tiffany</t>
  </si>
  <si>
    <t>8JN4-XR8-EX77</t>
  </si>
  <si>
    <t>DELMAR</t>
  </si>
  <si>
    <t>1M31-RF0-CH08</t>
  </si>
  <si>
    <t>GOODE</t>
  </si>
  <si>
    <t>1CW3-J73-MX83</t>
  </si>
  <si>
    <t>GIANGREGORIO</t>
  </si>
  <si>
    <t>7GG4-W52-HE97</t>
  </si>
  <si>
    <t>WHITSON</t>
  </si>
  <si>
    <t>6HH3-G66-DN05</t>
  </si>
  <si>
    <t>FERNANDO</t>
  </si>
  <si>
    <t>1A15-ED0-FJ57</t>
  </si>
  <si>
    <t>ALBERTHA</t>
  </si>
  <si>
    <t>4YG1-NH8-TD96</t>
  </si>
  <si>
    <t>7Q02-JA2-RG04</t>
  </si>
  <si>
    <t>SORBELLO</t>
  </si>
  <si>
    <t>8R49-H28-UU47</t>
  </si>
  <si>
    <t>3W94-JX2-MM67</t>
  </si>
  <si>
    <t>4JY9-X89-EX46</t>
  </si>
  <si>
    <t>ROSALIE</t>
  </si>
  <si>
    <t>BAAR HOLCOMBE</t>
  </si>
  <si>
    <t>6q13-e38-uh16</t>
  </si>
  <si>
    <t>1AC1-NF0-RV26</t>
  </si>
  <si>
    <t>Dave</t>
  </si>
  <si>
    <t>Mallady</t>
  </si>
  <si>
    <t>2V48-T32-PV39</t>
  </si>
  <si>
    <t>3QR1-JM1-WH18</t>
  </si>
  <si>
    <t>GURRIERI</t>
  </si>
  <si>
    <t>1M83-MG7-RQ99</t>
  </si>
  <si>
    <t>7G56-X18-WR77</t>
  </si>
  <si>
    <t>CORNELIUS</t>
  </si>
  <si>
    <t>6WT9-C37-AW49</t>
  </si>
  <si>
    <t>DONNILLA</t>
  </si>
  <si>
    <t>1KE2-HT7-TW89</t>
  </si>
  <si>
    <t>PALICKA</t>
  </si>
  <si>
    <t>4H29-NQ9-YW20</t>
  </si>
  <si>
    <t>HEYEN-KOCH</t>
  </si>
  <si>
    <t>7MT2-QX0-YR06</t>
  </si>
  <si>
    <t>MILBY</t>
  </si>
  <si>
    <t>1WY8-JD4-JW45</t>
  </si>
  <si>
    <t>ALEXANDER JR</t>
  </si>
  <si>
    <t>2EV6-AD6-PT79</t>
  </si>
  <si>
    <t>NUNEZ</t>
  </si>
  <si>
    <t>2U93-NM8-WH03</t>
  </si>
  <si>
    <t>LIGHTFOOT</t>
  </si>
  <si>
    <t>5wj1-hf2-ux34</t>
  </si>
  <si>
    <t>COCHRAN</t>
  </si>
  <si>
    <t>9ur3-yf5-jc92</t>
  </si>
  <si>
    <t>BARRIER</t>
  </si>
  <si>
    <t>2F62-A48-EX02</t>
  </si>
  <si>
    <t>4HV8-XH0-CK63</t>
  </si>
  <si>
    <t>CONNER</t>
  </si>
  <si>
    <t>7QQ1-M53-RF25</t>
  </si>
  <si>
    <t>7RF5-RQ9-NA73</t>
  </si>
  <si>
    <t>Parks</t>
  </si>
  <si>
    <t>3QW8-QT3-FM25</t>
  </si>
  <si>
    <t>Harshberger</t>
  </si>
  <si>
    <t>6wy8-vr6-tu43</t>
  </si>
  <si>
    <t>EDUARDO</t>
  </si>
  <si>
    <t>5KX5-UF5-CA97</t>
  </si>
  <si>
    <t>MCGILL JR</t>
  </si>
  <si>
    <t>9nc9-x07-vt44</t>
  </si>
  <si>
    <t>DELMARIE</t>
  </si>
  <si>
    <t>8EY2-GD6-PP89</t>
  </si>
  <si>
    <t>KRANZ</t>
  </si>
  <si>
    <t>7H76-HK9-JE89</t>
  </si>
  <si>
    <t>1CF5-V88-RG78</t>
  </si>
  <si>
    <t>Antoinette</t>
  </si>
  <si>
    <t>4M94-RA3-KJ75</t>
  </si>
  <si>
    <t>Alexis</t>
  </si>
  <si>
    <t>Kranz</t>
  </si>
  <si>
    <t>2DW0-U12-GG11</t>
  </si>
  <si>
    <t>Wedlund</t>
  </si>
  <si>
    <t>7DF5-EF9-UX91</t>
  </si>
  <si>
    <t>STAMPLEY</t>
  </si>
  <si>
    <t>6NG0-YW1-EW31</t>
  </si>
  <si>
    <t>WARNER</t>
  </si>
  <si>
    <t>1E17-A25-YV46</t>
  </si>
  <si>
    <t>ALVARADO</t>
  </si>
  <si>
    <t>7CJ2-J11-KD90</t>
  </si>
  <si>
    <t>Birnest</t>
  </si>
  <si>
    <t>BOYD</t>
  </si>
  <si>
    <t>1Y72-D28-RM05</t>
  </si>
  <si>
    <t>8CD6-VW3-ME44</t>
  </si>
  <si>
    <t>EZELLA</t>
  </si>
  <si>
    <t>MAHOME</t>
  </si>
  <si>
    <t>5QW9-G13-PD00</t>
  </si>
  <si>
    <t>Norman</t>
  </si>
  <si>
    <t>Beckhum</t>
  </si>
  <si>
    <t>3NX1-NF1-VJ04</t>
  </si>
  <si>
    <t>2DF5-TG7-UM72</t>
  </si>
  <si>
    <t>804-307-8253</t>
  </si>
  <si>
    <t>Jewell</t>
  </si>
  <si>
    <t>5vr4-v10-wr74</t>
  </si>
  <si>
    <t>GROVES</t>
  </si>
  <si>
    <t>1NG5-JU3-EW71</t>
  </si>
  <si>
    <t>8U50-QE3-QR07</t>
  </si>
  <si>
    <t>773-441-6789</t>
  </si>
  <si>
    <t>MAGDALENA</t>
  </si>
  <si>
    <t>WASILEWSKI</t>
  </si>
  <si>
    <t>1f57-pa9-ga44</t>
  </si>
  <si>
    <t>Finke</t>
  </si>
  <si>
    <t>2HX0-WE5-HE39</t>
  </si>
  <si>
    <t>CATHLEEN</t>
  </si>
  <si>
    <t>RIDGLEY</t>
  </si>
  <si>
    <t>7U41-PV7-CR26</t>
  </si>
  <si>
    <t>Piotr</t>
  </si>
  <si>
    <t>Niewiadomski</t>
  </si>
  <si>
    <t>3Q27-AP1-EE54</t>
  </si>
  <si>
    <t>Epple</t>
  </si>
  <si>
    <t>9JM3-NJ5-QX76</t>
  </si>
  <si>
    <t>LAVERGNE</t>
  </si>
  <si>
    <t>6MK9-F32-XX55</t>
  </si>
  <si>
    <t>Lynch</t>
  </si>
  <si>
    <t>3eh3-t01-md97</t>
  </si>
  <si>
    <t>Gilly</t>
  </si>
  <si>
    <t>9UJ9-C94-PC17</t>
  </si>
  <si>
    <t>YOUNGBLOOD</t>
  </si>
  <si>
    <t>1WG9-GP4-KE37</t>
  </si>
  <si>
    <t>KELLER</t>
  </si>
  <si>
    <t>8UA2-AT1-EM88</t>
  </si>
  <si>
    <t>MARVA</t>
  </si>
  <si>
    <t>3FC7-TV2-PP51</t>
  </si>
  <si>
    <t>4H27-Q62-UJ67</t>
  </si>
  <si>
    <t>RIBEIRO</t>
  </si>
  <si>
    <t>5P05-VD4-JW56</t>
  </si>
  <si>
    <t>DAHLER</t>
  </si>
  <si>
    <t>9MT7-P91-PU48</t>
  </si>
  <si>
    <t>7GN6-GK9-DE42</t>
  </si>
  <si>
    <t>LOUGIN</t>
  </si>
  <si>
    <t>2VF2-C07-GU70</t>
  </si>
  <si>
    <t>2RF6-G88-DD55</t>
  </si>
  <si>
    <t>FOLEY</t>
  </si>
  <si>
    <t>6WQ3-YX7-XV17</t>
  </si>
  <si>
    <t>5YG1-DV6-EC15</t>
  </si>
  <si>
    <t>SPURGEON</t>
  </si>
  <si>
    <t>LEIBA</t>
  </si>
  <si>
    <t>2EK0-T73-GV13</t>
  </si>
  <si>
    <t>5MU6-X72-XA54</t>
  </si>
  <si>
    <t>RUTHERFORD</t>
  </si>
  <si>
    <t>8Q60-K41-MV41</t>
  </si>
  <si>
    <t>7X90-ME4-AR21</t>
  </si>
  <si>
    <t>NINA</t>
  </si>
  <si>
    <t>SKINNER</t>
  </si>
  <si>
    <t>7du8-h04-jm33</t>
  </si>
  <si>
    <t>MC BEE</t>
  </si>
  <si>
    <t>6W87-VD4-HK35</t>
  </si>
  <si>
    <t>3UR1-N89-VV80</t>
  </si>
  <si>
    <t>4jw1-y41-rp27</t>
  </si>
  <si>
    <t>6W70-R66-QG11</t>
  </si>
  <si>
    <t>MENDES</t>
  </si>
  <si>
    <t>7DV5-GD0-GH71</t>
  </si>
  <si>
    <t>Baldwin</t>
  </si>
  <si>
    <t>4HN7-TG5-VM58</t>
  </si>
  <si>
    <t>Stevens</t>
  </si>
  <si>
    <t>1JW2-PF6-DN16</t>
  </si>
  <si>
    <t>FERNELL</t>
  </si>
  <si>
    <t>4QR1-AP6-CN22</t>
  </si>
  <si>
    <t>SPAGNOLI</t>
  </si>
  <si>
    <t>8DJ3-KF0-WK04</t>
  </si>
  <si>
    <t>7HX5-K53-PH63</t>
  </si>
  <si>
    <t>EDMUNDO</t>
  </si>
  <si>
    <t>3R82-P46-PJ04</t>
  </si>
  <si>
    <t>9P23-A31-FR74</t>
  </si>
  <si>
    <t>BRUCKNER</t>
  </si>
  <si>
    <t>6AJ9-Q01-CM15</t>
  </si>
  <si>
    <t>8XU9-KU8-FN54</t>
  </si>
  <si>
    <t>SUSANNA</t>
  </si>
  <si>
    <t>3R17-GC5-DT54</t>
  </si>
  <si>
    <t>SOKOLOFF</t>
  </si>
  <si>
    <t>5NC8-A31-NY38</t>
  </si>
  <si>
    <t>Irene</t>
  </si>
  <si>
    <t>Lawhorn</t>
  </si>
  <si>
    <t>7RH1-ET6-UE18</t>
  </si>
  <si>
    <t>Joyce</t>
  </si>
  <si>
    <t>Suran</t>
  </si>
  <si>
    <t>6VQ7-N91-DK79</t>
  </si>
  <si>
    <t>Spagnoli</t>
  </si>
  <si>
    <t>2R96-WJ8-YF52</t>
  </si>
  <si>
    <t>(561) 313-7169</t>
  </si>
  <si>
    <t>9MT7-C37-FX31</t>
  </si>
  <si>
    <t>PEPPER</t>
  </si>
  <si>
    <t>1D29-G97-UA11</t>
  </si>
  <si>
    <t>ETHELYNE</t>
  </si>
  <si>
    <t>QUESADA</t>
  </si>
  <si>
    <t>7V84-PJ4-TV02</t>
  </si>
  <si>
    <t>CLOYCE</t>
  </si>
  <si>
    <t>9DW2-X87-XK24</t>
  </si>
  <si>
    <t>Leiba</t>
  </si>
  <si>
    <t>8X24-H39-XX09</t>
  </si>
  <si>
    <t>HAVVARD</t>
  </si>
  <si>
    <t>2UQ5-YC0-MU65</t>
  </si>
  <si>
    <t>2R80-KF0-AH23</t>
  </si>
  <si>
    <t>PAUL WOOSLEY</t>
  </si>
  <si>
    <t>WOOSLEY</t>
  </si>
  <si>
    <t>5MA9-K81-DN38</t>
  </si>
  <si>
    <t>4CA3-WR6-KN00</t>
  </si>
  <si>
    <t>Everett</t>
  </si>
  <si>
    <t>5RH5-GW8-MH51</t>
  </si>
  <si>
    <t>Westley</t>
  </si>
  <si>
    <t>7UJ9-QC7-WH52</t>
  </si>
  <si>
    <t>VISCUSO</t>
  </si>
  <si>
    <t>4EG4-T85-NF98</t>
  </si>
  <si>
    <t>MCKAY III</t>
  </si>
  <si>
    <t>4AF6-FD2-KM42</t>
  </si>
  <si>
    <t>Tropez</t>
  </si>
  <si>
    <t>4fp8-hv1-vj56</t>
  </si>
  <si>
    <t>BURDETT</t>
  </si>
  <si>
    <t>DIBBLE</t>
  </si>
  <si>
    <t>2EW3-A38-HX13</t>
  </si>
  <si>
    <t>SEALEY</t>
  </si>
  <si>
    <t>1V20-JD4-NH17</t>
  </si>
  <si>
    <t>EINAR</t>
  </si>
  <si>
    <t>NIELSEN</t>
  </si>
  <si>
    <t>1UE9-HK2-WH10</t>
  </si>
  <si>
    <t>CASHWELL</t>
  </si>
  <si>
    <t>7JX7-P07-RA76</t>
  </si>
  <si>
    <t>STREENZ</t>
  </si>
  <si>
    <t>1XA5-QU6-CR52</t>
  </si>
  <si>
    <t>Roxanne</t>
  </si>
  <si>
    <t>Painter</t>
  </si>
  <si>
    <t>1WD8-ND4-UE34</t>
  </si>
  <si>
    <t>7FY1-C82-KA28</t>
  </si>
  <si>
    <t>HARPS</t>
  </si>
  <si>
    <t>9WH6-WV7-RH41</t>
  </si>
  <si>
    <t>8AQ7-WD6-QH76</t>
  </si>
  <si>
    <t>Tina</t>
  </si>
  <si>
    <t>3Y56-G79-CM53</t>
  </si>
  <si>
    <t>GAMBLIN</t>
  </si>
  <si>
    <t>4w82-yy1-fh23</t>
  </si>
  <si>
    <t>KEARSE</t>
  </si>
  <si>
    <t>2XP3-UU1-QM00</t>
  </si>
  <si>
    <t>BOUILLON</t>
  </si>
  <si>
    <t>1AR0-H41-CQ24</t>
  </si>
  <si>
    <t>OREN</t>
  </si>
  <si>
    <t>2UH5-YP1-VH81</t>
  </si>
  <si>
    <t>5E36-PA5-HR74</t>
  </si>
  <si>
    <t>ALVIVAN</t>
  </si>
  <si>
    <t>9tu2-pa4-jj81</t>
  </si>
  <si>
    <t>7Y57-XJ4-TQ75</t>
  </si>
  <si>
    <t>Boldon</t>
  </si>
  <si>
    <t>6HC8-EK9-QT24</t>
  </si>
  <si>
    <t>520-954-0512</t>
  </si>
  <si>
    <t>HERMINIA</t>
  </si>
  <si>
    <t>6EW1-A60-NQ08</t>
  </si>
  <si>
    <t>(520) 609-6975</t>
  </si>
  <si>
    <t>MENDEN</t>
  </si>
  <si>
    <t>8CR6-NT0-HY61</t>
  </si>
  <si>
    <t>(941) 716-2825</t>
  </si>
  <si>
    <t>Ethel</t>
  </si>
  <si>
    <t>Austin</t>
  </si>
  <si>
    <t>6f98-tu5-ru23</t>
  </si>
  <si>
    <t>MULLINS</t>
  </si>
  <si>
    <t>2CU3-YT2-KX82</t>
  </si>
  <si>
    <t>Pauline</t>
  </si>
  <si>
    <t>Lindsey</t>
  </si>
  <si>
    <t>1TW2-UE9-NK84</t>
  </si>
  <si>
    <t>STEPHENS</t>
  </si>
  <si>
    <t>9X48-NG5-PU10</t>
  </si>
  <si>
    <t>ERRICO</t>
  </si>
  <si>
    <t>2YN5-KG8-CE72</t>
  </si>
  <si>
    <t>3UF6-XW1-JG70</t>
  </si>
  <si>
    <t>FREELAND LITTLE</t>
  </si>
  <si>
    <t>2UQ0P68NU06</t>
  </si>
  <si>
    <t>OCTAVIA</t>
  </si>
  <si>
    <t>BUNTS</t>
  </si>
  <si>
    <t>4HQ0-HF9-MN31</t>
  </si>
  <si>
    <t>FRY</t>
  </si>
  <si>
    <t>9P95-EG0-NP79</t>
  </si>
  <si>
    <t>ARRUDA</t>
  </si>
  <si>
    <t>4UR4-J70-YE04</t>
  </si>
  <si>
    <t>CHIPMAN</t>
  </si>
  <si>
    <t>5T75-HT8-HU51</t>
  </si>
  <si>
    <t>BACIGALUPI</t>
  </si>
  <si>
    <t>7YY6-RK1-AT72</t>
  </si>
  <si>
    <t>1D43-T48-CF07</t>
  </si>
  <si>
    <t>2aw0-ry9-me20</t>
  </si>
  <si>
    <t>Donie</t>
  </si>
  <si>
    <t>2HY2-WJ9-AA90</t>
  </si>
  <si>
    <t>JEFFRIES</t>
  </si>
  <si>
    <t>8XA3-AW7-DT73</t>
  </si>
  <si>
    <t>1CG9-AP5-KF20</t>
  </si>
  <si>
    <t>Coker</t>
  </si>
  <si>
    <t>6M98-F02-UF52</t>
  </si>
  <si>
    <t>HALIL</t>
  </si>
  <si>
    <t>BOSNIC</t>
  </si>
  <si>
    <t>8DC8-UF8-KT24</t>
  </si>
  <si>
    <t>Sullens</t>
  </si>
  <si>
    <t>4WQ0-RJ8-KV37</t>
  </si>
  <si>
    <t>Raul</t>
  </si>
  <si>
    <t>5UT9-F48-UX41</t>
  </si>
  <si>
    <t>1Q77-XV6-MU51</t>
  </si>
  <si>
    <t>4PJ5-U05-YE89</t>
  </si>
  <si>
    <t>ABSHIRE</t>
  </si>
  <si>
    <t>5CH3-E86-KK02</t>
  </si>
  <si>
    <t>9G53-J59-XT98</t>
  </si>
  <si>
    <t>JORGE</t>
  </si>
  <si>
    <t>FRAIJO NAVARRO</t>
  </si>
  <si>
    <t>1GJ4-AM0-WD78</t>
  </si>
  <si>
    <t>QUINONES</t>
  </si>
  <si>
    <t>2T64-UD7-FT09</t>
  </si>
  <si>
    <t>Monserrate</t>
  </si>
  <si>
    <t>Malave</t>
  </si>
  <si>
    <t>3N04-D70-HH74</t>
  </si>
  <si>
    <t>CREWS</t>
  </si>
  <si>
    <t>9CW2-C78-AX04</t>
  </si>
  <si>
    <t>5CF6-QK5-AE75</t>
  </si>
  <si>
    <t>NEELY</t>
  </si>
  <si>
    <t>6CN8-GA0-MF43</t>
  </si>
  <si>
    <t>4K32-NF8-VW00</t>
  </si>
  <si>
    <t>Plevik</t>
  </si>
  <si>
    <t>3W83-X31-EH02</t>
  </si>
  <si>
    <t>VERNELL</t>
  </si>
  <si>
    <t>4EQ7-MH8-WE44</t>
  </si>
  <si>
    <t>Flemings</t>
  </si>
  <si>
    <t>8R70-E76-DM05</t>
  </si>
  <si>
    <t>Hosey</t>
  </si>
  <si>
    <t>3H96-AP5-YT72</t>
  </si>
  <si>
    <t>GILMORE</t>
  </si>
  <si>
    <t>8CE3-R12-JM71</t>
  </si>
  <si>
    <t>1dx0-ww3-kj24</t>
  </si>
  <si>
    <t>AXLINE</t>
  </si>
  <si>
    <t>6QN9-XK8-TK56</t>
  </si>
  <si>
    <t>1XQ7-NJ0-QJ30</t>
  </si>
  <si>
    <t>Gavin</t>
  </si>
  <si>
    <t>1J16-PM5-KK40</t>
  </si>
  <si>
    <t>SELLERS</t>
  </si>
  <si>
    <t>1vc6-qa9-nw67</t>
  </si>
  <si>
    <t>Donnell</t>
  </si>
  <si>
    <t>7J41-XJ0-GH09</t>
  </si>
  <si>
    <t>PINKHAM</t>
  </si>
  <si>
    <t>6DM1-AE2-RP09</t>
  </si>
  <si>
    <t>HENSLICK</t>
  </si>
  <si>
    <t>3MQ9-XD8-WD23</t>
  </si>
  <si>
    <t>Meredith</t>
  </si>
  <si>
    <t>2UR2-AG2-AT06</t>
  </si>
  <si>
    <t>ZSAZSA</t>
  </si>
  <si>
    <t>9y35-r74-jj79</t>
  </si>
  <si>
    <t>1TM6-N25-WR61</t>
  </si>
  <si>
    <t>NORITA</t>
  </si>
  <si>
    <t>POHLEY</t>
  </si>
  <si>
    <t>9VW5-DM2-XN75</t>
  </si>
  <si>
    <t>2YX7-J26-NU52</t>
  </si>
  <si>
    <t>BULLOCK</t>
  </si>
  <si>
    <t>3td3-ex8-xr83</t>
  </si>
  <si>
    <t>5TP6-TA7-YF54</t>
  </si>
  <si>
    <t>6MA1-RG1-VF93</t>
  </si>
  <si>
    <t>Commander</t>
  </si>
  <si>
    <t>3Y82-FR7-MG21</t>
  </si>
  <si>
    <t>CLIFF</t>
  </si>
  <si>
    <t>BARTHOLOMEW</t>
  </si>
  <si>
    <t>2C49-R16-PQ55</t>
  </si>
  <si>
    <t>MCKINNEY</t>
  </si>
  <si>
    <t>9JW1-E88-JU91</t>
  </si>
  <si>
    <t>Todd</t>
  </si>
  <si>
    <t>Buckley</t>
  </si>
  <si>
    <t>4YW9-R55-AV52</t>
  </si>
  <si>
    <t>5X65-MF1-JD77</t>
  </si>
  <si>
    <t>TILMON JR</t>
  </si>
  <si>
    <t>9GW3-CC8-FX14</t>
  </si>
  <si>
    <t>Macedo</t>
  </si>
  <si>
    <t>3tf6-h46-cr75</t>
  </si>
  <si>
    <t>NAOMI</t>
  </si>
  <si>
    <t>PULASKY</t>
  </si>
  <si>
    <t>6h46-vw2-ay62</t>
  </si>
  <si>
    <t>HURLEY</t>
  </si>
  <si>
    <t>3MC9-KV8-GD32</t>
  </si>
  <si>
    <t>5XK3-YE1-QH73</t>
  </si>
  <si>
    <t>MARYANN</t>
  </si>
  <si>
    <t>MUNSAYAC</t>
  </si>
  <si>
    <t>6E16-FE5-JU84</t>
  </si>
  <si>
    <t>9AN6-CD7-AT53</t>
  </si>
  <si>
    <t>HODGE</t>
  </si>
  <si>
    <t>3TY3-J97-CJ85</t>
  </si>
  <si>
    <t>Riggle</t>
  </si>
  <si>
    <t>7A73-QH2-FC77</t>
  </si>
  <si>
    <t>BLALOCK</t>
  </si>
  <si>
    <t>8Y83-PC0-NC60</t>
  </si>
  <si>
    <t>NEWBURN</t>
  </si>
  <si>
    <t>5RV1-EU7-KW11</t>
  </si>
  <si>
    <t>MARCHI</t>
  </si>
  <si>
    <t>8AF0-FC9-MV20</t>
  </si>
  <si>
    <t>MELLO</t>
  </si>
  <si>
    <t>7MD9-V56-QJ18</t>
  </si>
  <si>
    <t>LEONIA</t>
  </si>
  <si>
    <t>TALALOTU</t>
  </si>
  <si>
    <t>5E09-W60-JU44</t>
  </si>
  <si>
    <t>WIERSCH</t>
  </si>
  <si>
    <t>5NE9-UM4-RY11</t>
  </si>
  <si>
    <t>RAFAEL</t>
  </si>
  <si>
    <t>2NX7-QE9-TC20</t>
  </si>
  <si>
    <t>7RR6-VT7-DT75</t>
  </si>
  <si>
    <t>BERNIECE</t>
  </si>
  <si>
    <t>NADEAU</t>
  </si>
  <si>
    <t>7FC7-M05-EX40</t>
  </si>
  <si>
    <t>HOWE</t>
  </si>
  <si>
    <t>4MW4-JE1-NP67</t>
  </si>
  <si>
    <t>BAYENS</t>
  </si>
  <si>
    <t>7N74-WK6-MC67</t>
  </si>
  <si>
    <t>PINKNEY</t>
  </si>
  <si>
    <t>6FT4-AF1-RG50</t>
  </si>
  <si>
    <t>CAMACHO</t>
  </si>
  <si>
    <t>5F29-EG7-WG36</t>
  </si>
  <si>
    <t>Johnny</t>
  </si>
  <si>
    <t>Gramling</t>
  </si>
  <si>
    <t>1MM6-Q12-MY66</t>
  </si>
  <si>
    <t>LEANNE</t>
  </si>
  <si>
    <t>MCAUSLAN</t>
  </si>
  <si>
    <t>5CU2-MX8-WT80</t>
  </si>
  <si>
    <t>Bayens</t>
  </si>
  <si>
    <t>8PX6-JP1-GX84</t>
  </si>
  <si>
    <t>HEMUND</t>
  </si>
  <si>
    <t>1H49-F56-VG28</t>
  </si>
  <si>
    <t>WILKSON</t>
  </si>
  <si>
    <t>8VQ3-YD8-JF15</t>
  </si>
  <si>
    <t>TARDIEU</t>
  </si>
  <si>
    <t>1HQ2-XG7-WM29</t>
  </si>
  <si>
    <t>PROFIT</t>
  </si>
  <si>
    <t>9DX5-ND2-XK84</t>
  </si>
  <si>
    <t>MADRID</t>
  </si>
  <si>
    <t>2N52-XC8-YE87</t>
  </si>
  <si>
    <t>ROBERTA</t>
  </si>
  <si>
    <t>HANNA</t>
  </si>
  <si>
    <t>4DW6-UA9-PD58</t>
  </si>
  <si>
    <t>6cu3-dw1-my73</t>
  </si>
  <si>
    <t>O'BYRNE</t>
  </si>
  <si>
    <t>1PT2-GF5-QU90</t>
  </si>
  <si>
    <t>JONNI</t>
  </si>
  <si>
    <t>DELGADILLO</t>
  </si>
  <si>
    <t>8WD0-QY3-PM49</t>
  </si>
  <si>
    <t>6TN7-A40-YH74</t>
  </si>
  <si>
    <t>Sherrard</t>
  </si>
  <si>
    <t>2dp3-wn6-xg95</t>
  </si>
  <si>
    <t>Rouse</t>
  </si>
  <si>
    <t>8XW1-CJ6-GM35</t>
  </si>
  <si>
    <t>3PK5-GT8-QF91</t>
  </si>
  <si>
    <t>TYRONE</t>
  </si>
  <si>
    <t>2UE2-MK7-JC83</t>
  </si>
  <si>
    <t>9PF9-DH6-HE36</t>
  </si>
  <si>
    <t>5GV0-KT2-WR18</t>
  </si>
  <si>
    <t>3VP5-U45-HR73</t>
  </si>
  <si>
    <t>dehnel</t>
  </si>
  <si>
    <t>8K27-U77-CG46</t>
  </si>
  <si>
    <t>5HJ4-J28-NV72</t>
  </si>
  <si>
    <t>MADELAINE</t>
  </si>
  <si>
    <t>GALINDO</t>
  </si>
  <si>
    <t>3G70-YJ8-QJ03</t>
  </si>
  <si>
    <t>BUMGARDNER</t>
  </si>
  <si>
    <t>7PP4-MT7-RE92</t>
  </si>
  <si>
    <t>Peevy</t>
  </si>
  <si>
    <t>8PG3-DG0-GC85</t>
  </si>
  <si>
    <t>8EJ4-GW8-GD80</t>
  </si>
  <si>
    <t>6G31-TF2-JH08</t>
  </si>
  <si>
    <t>BIA</t>
  </si>
  <si>
    <t>5XY0-FH4-QF32</t>
  </si>
  <si>
    <t>SEYMORE</t>
  </si>
  <si>
    <t>1FF1-J83-DM02</t>
  </si>
  <si>
    <t>Hazel</t>
  </si>
  <si>
    <t>2ET8-FC7-JQ45</t>
  </si>
  <si>
    <t>Sonja</t>
  </si>
  <si>
    <t>5F45-WN0-EY82</t>
  </si>
  <si>
    <t>9VM3-R62-XK16</t>
  </si>
  <si>
    <t>HUTTON</t>
  </si>
  <si>
    <t>4TY5-N07-KF72</t>
  </si>
  <si>
    <t>8G01-Q01-HK27</t>
  </si>
  <si>
    <t>3FJ9-FJ1-FK54</t>
  </si>
  <si>
    <t>TAMMY DARLEY</t>
  </si>
  <si>
    <t>DARLEY</t>
  </si>
  <si>
    <t>2P52-DT3-JQ26</t>
  </si>
  <si>
    <t>HARTIS</t>
  </si>
  <si>
    <t>6D51-FQ1-CE97</t>
  </si>
  <si>
    <t>6TU0-AV6-UG09</t>
  </si>
  <si>
    <t>Hopie</t>
  </si>
  <si>
    <t>8au8-h47-xj41</t>
  </si>
  <si>
    <t>BUGBEE</t>
  </si>
  <si>
    <t>4UE4-XF6-WC73</t>
  </si>
  <si>
    <t>Becude</t>
  </si>
  <si>
    <t>3CU4-MD6-ET08</t>
  </si>
  <si>
    <t>5XX7-CW8-TK74</t>
  </si>
  <si>
    <t>Barb</t>
  </si>
  <si>
    <t>Chernowski</t>
  </si>
  <si>
    <t>1KQ6-WV3-RJ88</t>
  </si>
  <si>
    <t>3ta9-y64-vq31</t>
  </si>
  <si>
    <t>Placide</t>
  </si>
  <si>
    <t>4WC9-PC6-XJ17</t>
  </si>
  <si>
    <t>Treena</t>
  </si>
  <si>
    <t>6u11-cg3-jr13</t>
  </si>
  <si>
    <t>260-243-1958</t>
  </si>
  <si>
    <t>QUEIPO</t>
  </si>
  <si>
    <t>5Y88-MG4-PH23</t>
  </si>
  <si>
    <t>1RU7-QH4-YT40</t>
  </si>
  <si>
    <t>ANDREWS</t>
  </si>
  <si>
    <t>6CY3-PR1-XU73</t>
  </si>
  <si>
    <t>8NX7-UT7-TC40</t>
  </si>
  <si>
    <t>AILEEN</t>
  </si>
  <si>
    <t>7PA6-M18-KK57</t>
  </si>
  <si>
    <t>ELENA</t>
  </si>
  <si>
    <t>MARGHIDAN</t>
  </si>
  <si>
    <t>8VV6-Q42-HK73</t>
  </si>
  <si>
    <t>1R19-JY0-AR43</t>
  </si>
  <si>
    <t>4C07-UA1-FN49</t>
  </si>
  <si>
    <t>LEOMA</t>
  </si>
  <si>
    <t>CASTLEMAN</t>
  </si>
  <si>
    <t>6DG4-XX5-NQ96</t>
  </si>
  <si>
    <t>HACKER</t>
  </si>
  <si>
    <t>8er3-j39-tv80</t>
  </si>
  <si>
    <t>1XE2-E50-EQ14</t>
  </si>
  <si>
    <t>JOSELYN</t>
  </si>
  <si>
    <t>2KK8-JX7-MK35</t>
  </si>
  <si>
    <t>MERRIMON</t>
  </si>
  <si>
    <t>1YP8-W80-AC41</t>
  </si>
  <si>
    <t>Ernesto</t>
  </si>
  <si>
    <t>Penela</t>
  </si>
  <si>
    <t>6WX9-NJ7-UV13</t>
  </si>
  <si>
    <t>DELCIDO</t>
  </si>
  <si>
    <t>1E71-TQ5-HK14</t>
  </si>
  <si>
    <t>5KV3-UG8-MM84</t>
  </si>
  <si>
    <t>ILIE</t>
  </si>
  <si>
    <t>9AC6-A26-HY49</t>
  </si>
  <si>
    <t>(561) 729-3138</t>
  </si>
  <si>
    <t>DELPHINE</t>
  </si>
  <si>
    <t>7U60-DC1-JK43</t>
  </si>
  <si>
    <t>4KY5-VQ5-JA40</t>
  </si>
  <si>
    <t>VALENTINO</t>
  </si>
  <si>
    <t>4HU3-JJ6-UF18</t>
  </si>
  <si>
    <t>MAHAFFEY</t>
  </si>
  <si>
    <t>3ED9-Q81-QM39</t>
  </si>
  <si>
    <t>9WY2-E88-KM07</t>
  </si>
  <si>
    <t>LUCIANO</t>
  </si>
  <si>
    <t>5RR6-H80-QR45</t>
  </si>
  <si>
    <t>4WM1-M40-NC09</t>
  </si>
  <si>
    <t>Ishmale</t>
  </si>
  <si>
    <t>6NK6-J63-FP30</t>
  </si>
  <si>
    <t>GALLEGOS</t>
  </si>
  <si>
    <t>1QJ9-VE9-CV42</t>
  </si>
  <si>
    <t>Manuel</t>
  </si>
  <si>
    <t>1TH8-GN4-TT38</t>
  </si>
  <si>
    <t>850-209-2267</t>
  </si>
  <si>
    <t>SHACKLEFORD</t>
  </si>
  <si>
    <t>4F37-CG2-JF36</t>
  </si>
  <si>
    <t>JERELINE</t>
  </si>
  <si>
    <t>MILES</t>
  </si>
  <si>
    <t>6QM8-VY5-PN10</t>
  </si>
  <si>
    <t>CARMALITA</t>
  </si>
  <si>
    <t>3D41-GR0-GU90</t>
  </si>
  <si>
    <t>Megan</t>
  </si>
  <si>
    <t>Domino</t>
  </si>
  <si>
    <t>3ND5-KE1-AW68</t>
  </si>
  <si>
    <t>6y34-c45-mn01</t>
  </si>
  <si>
    <t>941-916-9948</t>
  </si>
  <si>
    <t>4kq3-jc9-rj98</t>
  </si>
  <si>
    <t>2RM7-JF1-TA67</t>
  </si>
  <si>
    <t>Rohde</t>
  </si>
  <si>
    <t>5W50-H02-DJ41</t>
  </si>
  <si>
    <t>GRUCHALA</t>
  </si>
  <si>
    <t>9VH6-UT3-WN45</t>
  </si>
  <si>
    <t>ERBY</t>
  </si>
  <si>
    <t>5TP5-XN8-AH65</t>
  </si>
  <si>
    <t>8XU0-UM3-DG00</t>
  </si>
  <si>
    <t>TRAKENDRA</t>
  </si>
  <si>
    <t>4RF0-PE9-YY12</t>
  </si>
  <si>
    <t>910-699-4611</t>
  </si>
  <si>
    <t>JEAN</t>
  </si>
  <si>
    <t>PIGG</t>
  </si>
  <si>
    <t>5D50-V54-FW11</t>
  </si>
  <si>
    <t>6W44-YM3-MT07</t>
  </si>
  <si>
    <t>1Q49-DR2-PY12</t>
  </si>
  <si>
    <t>Johnnie</t>
  </si>
  <si>
    <t>8N60-UH8-WA25</t>
  </si>
  <si>
    <t>BURKS</t>
  </si>
  <si>
    <t>2yf4-jv2-cg80</t>
  </si>
  <si>
    <t>7QY3-R32-GK86</t>
  </si>
  <si>
    <t>REUBEN</t>
  </si>
  <si>
    <t>TATUM JR</t>
  </si>
  <si>
    <t>4RY2-D91-GN98</t>
  </si>
  <si>
    <t>kratochvil</t>
  </si>
  <si>
    <t>6PU7-QA5-UA34</t>
  </si>
  <si>
    <t>Irma</t>
  </si>
  <si>
    <t>Clough</t>
  </si>
  <si>
    <t>9H61-PA0-GD37</t>
  </si>
  <si>
    <t>720-383-1537</t>
  </si>
  <si>
    <t>4PN3-UK3-HW76</t>
  </si>
  <si>
    <t>BECKER</t>
  </si>
  <si>
    <t>5PR1-AG0-EA12</t>
  </si>
  <si>
    <t>FANNIE</t>
  </si>
  <si>
    <t>9H76-ED8-GC47</t>
  </si>
  <si>
    <t>Margaret</t>
  </si>
  <si>
    <t>4qm0-ck9-fk36</t>
  </si>
  <si>
    <t>GRUBB</t>
  </si>
  <si>
    <t>2XG7-HN3-CW61</t>
  </si>
  <si>
    <t>LORNA</t>
  </si>
  <si>
    <t>COGSWELL</t>
  </si>
  <si>
    <t>9D68-KG0-WX33</t>
  </si>
  <si>
    <t>MANZIONE</t>
  </si>
  <si>
    <t>8R25-G21-UV67</t>
  </si>
  <si>
    <t>COCHEMS</t>
  </si>
  <si>
    <t>9A65-CD0-JV61</t>
  </si>
  <si>
    <t>KARRIE</t>
  </si>
  <si>
    <t>7ur2-c05-nT16</t>
  </si>
  <si>
    <t>LASENBERRY</t>
  </si>
  <si>
    <t>6MF6-JG5-KD55</t>
  </si>
  <si>
    <t>PICKEN</t>
  </si>
  <si>
    <t>3FW6-ET1-QG41</t>
  </si>
  <si>
    <t>SANABRIA</t>
  </si>
  <si>
    <t>7H97-P80-YT42</t>
  </si>
  <si>
    <t>MARSHELIA</t>
  </si>
  <si>
    <t>2U66-TQ9-UH71</t>
  </si>
  <si>
    <t>Erlinda</t>
  </si>
  <si>
    <t>General</t>
  </si>
  <si>
    <t>3AU2-UM7-HG19</t>
  </si>
  <si>
    <t>Fannie</t>
  </si>
  <si>
    <t>Holman</t>
  </si>
  <si>
    <t>9HV3-WD7-RC16</t>
  </si>
  <si>
    <t>903-452-9592</t>
  </si>
  <si>
    <t>KETA</t>
  </si>
  <si>
    <t>GENTLES</t>
  </si>
  <si>
    <t>7KN8-N96-JM20</t>
  </si>
  <si>
    <t>2CE2-H11-WN21</t>
  </si>
  <si>
    <t>1UN9-GW2-HD21</t>
  </si>
  <si>
    <t>ROSALINDA</t>
  </si>
  <si>
    <t>2R38-GK8-TU56</t>
  </si>
  <si>
    <t>Carter Sr</t>
  </si>
  <si>
    <t>3n83-y52-hw14</t>
  </si>
  <si>
    <t>3RK0-CP8-CW04</t>
  </si>
  <si>
    <t>KLARA</t>
  </si>
  <si>
    <t>NKOMO JACKSON</t>
  </si>
  <si>
    <t>4TV9-MJ2-AM24</t>
  </si>
  <si>
    <t>Temen</t>
  </si>
  <si>
    <t>9G45-VT3-KH79</t>
  </si>
  <si>
    <t>Hassell</t>
  </si>
  <si>
    <t>1GC5-CU2-QK70</t>
  </si>
  <si>
    <t>9DH8-YT6-WM54</t>
  </si>
  <si>
    <t>6H41-V73-VV19</t>
  </si>
  <si>
    <t>217-494-3232</t>
  </si>
  <si>
    <t>NEWELL</t>
  </si>
  <si>
    <t>5MU5-UE0-YQ86</t>
  </si>
  <si>
    <t>9QN9-AT5-NQ41</t>
  </si>
  <si>
    <t>LINDSAY</t>
  </si>
  <si>
    <t>6JF5-UR6-TG68</t>
  </si>
  <si>
    <t>Berry</t>
  </si>
  <si>
    <t>5Q75-R51-FA65</t>
  </si>
  <si>
    <t>Brekke</t>
  </si>
  <si>
    <t>Lyon</t>
  </si>
  <si>
    <t>6g36-qw3-am41</t>
  </si>
  <si>
    <t>trollinger</t>
  </si>
  <si>
    <t>3UR1-XF8-VA21</t>
  </si>
  <si>
    <t>HECTOR</t>
  </si>
  <si>
    <t>7V83-M85-FV92</t>
  </si>
  <si>
    <t>Pena</t>
  </si>
  <si>
    <t>4VK9-D46-WK35</t>
  </si>
  <si>
    <t>Bryan</t>
  </si>
  <si>
    <t>Thorson</t>
  </si>
  <si>
    <t>9RM9-DA4-ME41</t>
  </si>
  <si>
    <t>HARALAMBOS</t>
  </si>
  <si>
    <t>TSIOUPLIS</t>
  </si>
  <si>
    <t>4YX0-DR3-UY26</t>
  </si>
  <si>
    <t>COUTRE</t>
  </si>
  <si>
    <t>4A50-JN4-GG38</t>
  </si>
  <si>
    <t>6HM4-TW5-GM77</t>
  </si>
  <si>
    <t>SHIPLEY</t>
  </si>
  <si>
    <t>4TK5-MR3-EN57</t>
  </si>
  <si>
    <t>ROBINS</t>
  </si>
  <si>
    <t>4DF4-ME5-RV79</t>
  </si>
  <si>
    <t>2K46-V14-KA43</t>
  </si>
  <si>
    <t>JOHNNIE</t>
  </si>
  <si>
    <t>2Y72-MN3-VP97</t>
  </si>
  <si>
    <t>7MF3-NE8-HC93</t>
  </si>
  <si>
    <t>BERNADETTE</t>
  </si>
  <si>
    <t>5Y61-RJ3-YJ01</t>
  </si>
  <si>
    <t>LYNNE</t>
  </si>
  <si>
    <t>HEIM</t>
  </si>
  <si>
    <t>7QU8-YX2-FP35</t>
  </si>
  <si>
    <t>BRONWYN</t>
  </si>
  <si>
    <t>6MD6-V09-NH47</t>
  </si>
  <si>
    <t>SUTTON IV.</t>
  </si>
  <si>
    <t>6AX8-YY9-YG62</t>
  </si>
  <si>
    <t>4h87-jw4-ta66</t>
  </si>
  <si>
    <t>Muse</t>
  </si>
  <si>
    <t>7H31-NX5-HX29</t>
  </si>
  <si>
    <t>Gill</t>
  </si>
  <si>
    <t>3XN3-RY9-RG04</t>
  </si>
  <si>
    <t>Motichek</t>
  </si>
  <si>
    <t>8QU0-EC5-KG09</t>
  </si>
  <si>
    <t>SHERYL</t>
  </si>
  <si>
    <t>8UE2-M70-XD14</t>
  </si>
  <si>
    <t>5JQ6-XH1-ND53</t>
  </si>
  <si>
    <t>Burbridge</t>
  </si>
  <si>
    <t>2D92-Y75-UP00</t>
  </si>
  <si>
    <t>YOLANDA</t>
  </si>
  <si>
    <t>ORNELAS</t>
  </si>
  <si>
    <t>6G27-YD3-AN61</t>
  </si>
  <si>
    <t>MCCLENDON</t>
  </si>
  <si>
    <t>9E78-WD4-PR68</t>
  </si>
  <si>
    <t>3T62-UF5-JR80</t>
  </si>
  <si>
    <t>2K81-HX0-NX25</t>
  </si>
  <si>
    <t>WHEELER JR</t>
  </si>
  <si>
    <t>1HF4-M28-CP64</t>
  </si>
  <si>
    <t>DIANN@</t>
  </si>
  <si>
    <t>NEPEAN</t>
  </si>
  <si>
    <t>5WH8-C77-HA45</t>
  </si>
  <si>
    <t>Darlington</t>
  </si>
  <si>
    <t>3FP8-UG9-GG45</t>
  </si>
  <si>
    <t>Hardy</t>
  </si>
  <si>
    <t>7RE5-RJ1-PE84</t>
  </si>
  <si>
    <t>Candy</t>
  </si>
  <si>
    <t>mccall</t>
  </si>
  <si>
    <t>7EP5-TU4-AX78</t>
  </si>
  <si>
    <t>719-371-0256</t>
  </si>
  <si>
    <t>WEISHAN</t>
  </si>
  <si>
    <t>4EX1-NH8-MY06</t>
  </si>
  <si>
    <t>Jennifer</t>
  </si>
  <si>
    <t>Whitlock</t>
  </si>
  <si>
    <t>3Y74-GX0-QM74</t>
  </si>
  <si>
    <t>EVERDANE</t>
  </si>
  <si>
    <t>DAVIS SKINNER</t>
  </si>
  <si>
    <t>4K06-UK7-CX77</t>
  </si>
  <si>
    <t>6J73-Q99-HR89</t>
  </si>
  <si>
    <t>WOLF</t>
  </si>
  <si>
    <t>5EK6-P99-KA86</t>
  </si>
  <si>
    <t>Deener-Macklin</t>
  </si>
  <si>
    <t>6AH5-UJ4-VT99</t>
  </si>
  <si>
    <t>Stacey</t>
  </si>
  <si>
    <t>Murphy</t>
  </si>
  <si>
    <t>7mr7-je0-yu66</t>
  </si>
  <si>
    <t>Guinevere</t>
  </si>
  <si>
    <t>8VY8-F01-MK26</t>
  </si>
  <si>
    <t>Mickens</t>
  </si>
  <si>
    <t>8WA7-W52-UG64</t>
  </si>
  <si>
    <t>SUTHERLAND</t>
  </si>
  <si>
    <t>7U53-J15-JN03</t>
  </si>
  <si>
    <t>7FC3-F79-CP81</t>
  </si>
  <si>
    <t>4MD6-EU8-NH77</t>
  </si>
  <si>
    <t>(520) 720-7015</t>
  </si>
  <si>
    <t>Gauger</t>
  </si>
  <si>
    <t>9fx6-ma5-rc70</t>
  </si>
  <si>
    <t>SESSION</t>
  </si>
  <si>
    <t>6C03-P64-WT02</t>
  </si>
  <si>
    <t>ROBYNE</t>
  </si>
  <si>
    <t>WESTMORELAND</t>
  </si>
  <si>
    <t>2P79-RJ4-KP37</t>
  </si>
  <si>
    <t>2UE5-D82-XD54</t>
  </si>
  <si>
    <t>Roseann</t>
  </si>
  <si>
    <t>Luxich</t>
  </si>
  <si>
    <t>6qa2-pw5-mr11</t>
  </si>
  <si>
    <t>JOSEPHINE</t>
  </si>
  <si>
    <t>BECHT</t>
  </si>
  <si>
    <t>9G84-FA4-FK65</t>
  </si>
  <si>
    <t>EMKES</t>
  </si>
  <si>
    <t>1WP2-QX0-HU85</t>
  </si>
  <si>
    <t>9WJ7-TR4-WC76</t>
  </si>
  <si>
    <t>ZLACKI</t>
  </si>
  <si>
    <t>4DF3-HG5-YQ75</t>
  </si>
  <si>
    <t>8WX2-WW1-EU82</t>
  </si>
  <si>
    <t>CARRIER</t>
  </si>
  <si>
    <t>7RD1-CY8-JK99</t>
  </si>
  <si>
    <t>9ar6-w78-yh60</t>
  </si>
  <si>
    <t>8J46-AG0-WK51</t>
  </si>
  <si>
    <t>1XQ1-E40-DJ90</t>
  </si>
  <si>
    <t>WINDOM</t>
  </si>
  <si>
    <t>6CR8-TG3-WV20</t>
  </si>
  <si>
    <t>Joan</t>
  </si>
  <si>
    <t>Guzman</t>
  </si>
  <si>
    <t>4TF1-N07-JM32</t>
  </si>
  <si>
    <t>520-834-0860</t>
  </si>
  <si>
    <t>OROSZ</t>
  </si>
  <si>
    <t>1GV3-RP3-KT09</t>
  </si>
  <si>
    <t>8AH3-N85-FQ07</t>
  </si>
  <si>
    <t>ANES</t>
  </si>
  <si>
    <t>TANNOUS</t>
  </si>
  <si>
    <t>5MR6-C92-PV68</t>
  </si>
  <si>
    <t>Barcel</t>
  </si>
  <si>
    <t>Saunders</t>
  </si>
  <si>
    <t>8GT0-F67-FC04</t>
  </si>
  <si>
    <t>8AX4-AH2-KF81</t>
  </si>
  <si>
    <t>7MH5-QT4-VX53</t>
  </si>
  <si>
    <t>Lias</t>
  </si>
  <si>
    <t>1VV9-E47-WM14</t>
  </si>
  <si>
    <t>YAAQWOVE</t>
  </si>
  <si>
    <t>7VM5-KC6-AM67</t>
  </si>
  <si>
    <t>KRATZ</t>
  </si>
  <si>
    <t>7YH2-DR4-TC26</t>
  </si>
  <si>
    <t>6N21-GF8-JF35</t>
  </si>
  <si>
    <t>BAUERLE</t>
  </si>
  <si>
    <t>3F71-KE2-CV11</t>
  </si>
  <si>
    <t>GWENDALIN E.</t>
  </si>
  <si>
    <t>BERNAL</t>
  </si>
  <si>
    <t>3K62-H48-QD87</t>
  </si>
  <si>
    <t>Gore</t>
  </si>
  <si>
    <t>2Q34-WJ5-VG07</t>
  </si>
  <si>
    <t>Ben</t>
  </si>
  <si>
    <t>Kugler</t>
  </si>
  <si>
    <t>6DN5-H21-JH84</t>
  </si>
  <si>
    <t>CONRADI</t>
  </si>
  <si>
    <t>8P02-CA0-KM18</t>
  </si>
  <si>
    <t>Boshnack</t>
  </si>
  <si>
    <t>1WW2-W71-RV82</t>
  </si>
  <si>
    <t>BRANDLEY</t>
  </si>
  <si>
    <t>3M43-PF4-WP74</t>
  </si>
  <si>
    <t>WAECHTER</t>
  </si>
  <si>
    <t>9EK1-A39-PD99</t>
  </si>
  <si>
    <t>Rosalinda</t>
  </si>
  <si>
    <t>Torres</t>
  </si>
  <si>
    <t>3Y40-KK5-YK11</t>
  </si>
  <si>
    <t>Macy</t>
  </si>
  <si>
    <t>6VE9-MA2-NU37</t>
  </si>
  <si>
    <t>773-567-2474</t>
  </si>
  <si>
    <t>Brewington</t>
  </si>
  <si>
    <t>7D61-H01-YA35</t>
  </si>
  <si>
    <t>TALLEY</t>
  </si>
  <si>
    <t>7JF2-VG9-RF27</t>
  </si>
  <si>
    <t>WOLFORD</t>
  </si>
  <si>
    <t>4DH3-PY0-JX12</t>
  </si>
  <si>
    <t>MARLENE</t>
  </si>
  <si>
    <t>BAEZ-DELGADO</t>
  </si>
  <si>
    <t>2P52-HT1-RM03</t>
  </si>
  <si>
    <t>Robson</t>
  </si>
  <si>
    <t>2Q37-H62-TE55</t>
  </si>
  <si>
    <t>McGraw</t>
  </si>
  <si>
    <t>1kc9-fy9-cv16</t>
  </si>
  <si>
    <t>Phillinzo</t>
  </si>
  <si>
    <t>9HY9-U22-ME41</t>
  </si>
  <si>
    <t>9DF9-E09-RV19</t>
  </si>
  <si>
    <t>1R17-F86-KP71</t>
  </si>
  <si>
    <t>CLARY</t>
  </si>
  <si>
    <t>4JQ0-X24-GX09</t>
  </si>
  <si>
    <t>Mattox</t>
  </si>
  <si>
    <t>9CK0-G39-YW34</t>
  </si>
  <si>
    <t>HEDY</t>
  </si>
  <si>
    <t>GORELICK</t>
  </si>
  <si>
    <t>8YC9-DT6-JM38</t>
  </si>
  <si>
    <t>GARNER</t>
  </si>
  <si>
    <t>9C73-P33-HH11</t>
  </si>
  <si>
    <t>Eddie</t>
  </si>
  <si>
    <t>8JP0-KT0-QV16</t>
  </si>
  <si>
    <t>MARCELIA</t>
  </si>
  <si>
    <t>HOLLINS</t>
  </si>
  <si>
    <t>4T24-T17-EW68</t>
  </si>
  <si>
    <t>Georgia</t>
  </si>
  <si>
    <t>8E98-QY7-TA50</t>
  </si>
  <si>
    <t>7E55-TT1-RJ71</t>
  </si>
  <si>
    <t>MADDEN</t>
  </si>
  <si>
    <t>5FC1-N15-HU15</t>
  </si>
  <si>
    <t>3U28-GE7-DJ28</t>
  </si>
  <si>
    <t>GUERRERO</t>
  </si>
  <si>
    <t>7MD5-VM9-WF94</t>
  </si>
  <si>
    <t>Cuccia</t>
  </si>
  <si>
    <t>9J70-XW4-PM15</t>
  </si>
  <si>
    <t>Reuben</t>
  </si>
  <si>
    <t>Whisenant</t>
  </si>
  <si>
    <t>8ax2-d40-yh92</t>
  </si>
  <si>
    <t>STAUFFER</t>
  </si>
  <si>
    <t>7U43-MM3-HM82</t>
  </si>
  <si>
    <t>MULLEN</t>
  </si>
  <si>
    <t>5YU4-NV4-HT08</t>
  </si>
  <si>
    <t>Xiomara</t>
  </si>
  <si>
    <t>5YW7-HG5-EY74</t>
  </si>
  <si>
    <t>Feely</t>
  </si>
  <si>
    <t>3hq0-hw3-rg46</t>
  </si>
  <si>
    <t>(620) 501-3691</t>
  </si>
  <si>
    <t>4N76-H82-UX83</t>
  </si>
  <si>
    <t>(620) 886-5949</t>
  </si>
  <si>
    <t>BLANCA</t>
  </si>
  <si>
    <t>RINCON</t>
  </si>
  <si>
    <t>9C21-T44-FK19</t>
  </si>
  <si>
    <t>WILLIAMSON ZAWROTNY</t>
  </si>
  <si>
    <t>4PE8-A83-UF65</t>
  </si>
  <si>
    <t>ELISABETH</t>
  </si>
  <si>
    <t>CAREY</t>
  </si>
  <si>
    <t>4J81-FW2-TN97</t>
  </si>
  <si>
    <t>1YM3-UX2-GY07</t>
  </si>
  <si>
    <t>BLIZZARD</t>
  </si>
  <si>
    <t>7GK6-K12-QV63</t>
  </si>
  <si>
    <t>5A19-KF5-TX18</t>
  </si>
  <si>
    <t>DENT</t>
  </si>
  <si>
    <t>3PT7-TV6-GC44</t>
  </si>
  <si>
    <t>4QP7-JK1-PQ42</t>
  </si>
  <si>
    <t>1R03-AP1-MT12</t>
  </si>
  <si>
    <t>SILVERIO</t>
  </si>
  <si>
    <t>4GP9-T73-TU45</t>
  </si>
  <si>
    <t>Antone</t>
  </si>
  <si>
    <t>Drain</t>
  </si>
  <si>
    <t>6N64-Y84-VY64</t>
  </si>
  <si>
    <t>1PJ1-HW0-HA96</t>
  </si>
  <si>
    <t>7N87-C03-JY65</t>
  </si>
  <si>
    <t>5KE4-YP4-TW79</t>
  </si>
  <si>
    <t>901-513-4002</t>
  </si>
  <si>
    <t>Beverlyne</t>
  </si>
  <si>
    <t>8FM5-TH2-DR51</t>
  </si>
  <si>
    <t>1KC0-RT8-UP11</t>
  </si>
  <si>
    <t>Norton</t>
  </si>
  <si>
    <t>1C85-PV7-HF91</t>
  </si>
  <si>
    <t>8D40-RJ3-GV30</t>
  </si>
  <si>
    <t>Cortez</t>
  </si>
  <si>
    <t>4TK2-Q36-NK95</t>
  </si>
  <si>
    <t>7EU0-DJ3-GX22</t>
  </si>
  <si>
    <t>Wasinger</t>
  </si>
  <si>
    <t>1MV7-E07-AQ37</t>
  </si>
  <si>
    <t>IRINA</t>
  </si>
  <si>
    <t>NEYMAN</t>
  </si>
  <si>
    <t>1RG8-E88-TF57</t>
  </si>
  <si>
    <t>Sheffield</t>
  </si>
  <si>
    <t>4D04-VF1-QA09</t>
  </si>
  <si>
    <t>Calhoun</t>
  </si>
  <si>
    <t>2NG7-A01-PU49</t>
  </si>
  <si>
    <t>6ND9-VW1-RP22</t>
  </si>
  <si>
    <t>Diana</t>
  </si>
  <si>
    <t>3QM8-G80-RK65</t>
  </si>
  <si>
    <t>ROSEANN</t>
  </si>
  <si>
    <t>1CX6-DW9-QA66</t>
  </si>
  <si>
    <t>4yk4-v59-pc60</t>
  </si>
  <si>
    <t>ESTRADA</t>
  </si>
  <si>
    <t>6J63-VF7-KE70</t>
  </si>
  <si>
    <t>4XK5-ER0-EJ54</t>
  </si>
  <si>
    <t>1H53-P59-CA03</t>
  </si>
  <si>
    <t>DARRYL</t>
  </si>
  <si>
    <t>GOODWIN</t>
  </si>
  <si>
    <t>3MK2-CN8-AA97</t>
  </si>
  <si>
    <t>2QG9-X99-CM23</t>
  </si>
  <si>
    <t>CZEIZINGER</t>
  </si>
  <si>
    <t>7T37-VE3-RH77</t>
  </si>
  <si>
    <t>ELLISTON</t>
  </si>
  <si>
    <t>8QG4-DW8-NX01</t>
  </si>
  <si>
    <t>9QY1-RY5-UY17</t>
  </si>
  <si>
    <t>1v25-fw8-ah87</t>
  </si>
  <si>
    <t>CITRIN</t>
  </si>
  <si>
    <t>4GF1-GW2-DG90</t>
  </si>
  <si>
    <t>2PF7-AE9-WG67</t>
  </si>
  <si>
    <t>CARMICHAEL</t>
  </si>
  <si>
    <t>4RC2-U57-AE93</t>
  </si>
  <si>
    <t>CAMELLIA</t>
  </si>
  <si>
    <t>SAMMONS</t>
  </si>
  <si>
    <t>1HP0-D71-DG45</t>
  </si>
  <si>
    <t>Wall</t>
  </si>
  <si>
    <t>4GW0-C21-PV22</t>
  </si>
  <si>
    <t>ACEVEDO-CORREA</t>
  </si>
  <si>
    <t>5NG6-UQ9-TT60</t>
  </si>
  <si>
    <t>Dunn</t>
  </si>
  <si>
    <t>1YQ7-VY4-HW38</t>
  </si>
  <si>
    <t>Joaquin</t>
  </si>
  <si>
    <t>5YN2-F95-JA99</t>
  </si>
  <si>
    <t>Jesus</t>
  </si>
  <si>
    <t>Aguilar</t>
  </si>
  <si>
    <t>8X31-J18-QA12</t>
  </si>
  <si>
    <t>JUNK</t>
  </si>
  <si>
    <t>4KY7-KT8-XG43</t>
  </si>
  <si>
    <t>Summers</t>
  </si>
  <si>
    <t>9MX8-G60-GP30</t>
  </si>
  <si>
    <t>Blanchard</t>
  </si>
  <si>
    <t>7P93-QJ1-AP99</t>
  </si>
  <si>
    <t>Ingram</t>
  </si>
  <si>
    <t>8fh2-g81-fm94</t>
  </si>
  <si>
    <t>EDDIE R.</t>
  </si>
  <si>
    <t>1A91-WK8-HD29</t>
  </si>
  <si>
    <t>2JY3-GR6-QW85</t>
  </si>
  <si>
    <t>Don</t>
  </si>
  <si>
    <t>McCloe Sr</t>
  </si>
  <si>
    <t>2TH8-U07-RQ37</t>
  </si>
  <si>
    <t>9W86-NR6-RC40</t>
  </si>
  <si>
    <t>shrum</t>
  </si>
  <si>
    <t>6KU9-WN3-QF28</t>
  </si>
  <si>
    <t>TRAYNOR</t>
  </si>
  <si>
    <t>1PN9-PD9-QD51</t>
  </si>
  <si>
    <t>2A76-K05-WU41</t>
  </si>
  <si>
    <t>Quist</t>
  </si>
  <si>
    <t>7yg6-an3-dc74</t>
  </si>
  <si>
    <t>1TE7-DV4-KP33</t>
  </si>
  <si>
    <t>Duez</t>
  </si>
  <si>
    <t>3Q91-HP3-HY07</t>
  </si>
  <si>
    <t>Hintz</t>
  </si>
  <si>
    <t>6HE1-WR9-AW10</t>
  </si>
  <si>
    <t>Shattuck</t>
  </si>
  <si>
    <t>2W12-UY6-JU15</t>
  </si>
  <si>
    <t>Augusto</t>
  </si>
  <si>
    <t>Sanding</t>
  </si>
  <si>
    <t>1CP0-NN3-WC11</t>
  </si>
  <si>
    <t>5T61-X87-PA15</t>
  </si>
  <si>
    <t>SONJA</t>
  </si>
  <si>
    <t>CAUDILL</t>
  </si>
  <si>
    <t>8UV5-WV9-CQ57</t>
  </si>
  <si>
    <t>Marcia</t>
  </si>
  <si>
    <t>Whitehead</t>
  </si>
  <si>
    <t>2M80-NG1-FF01</t>
  </si>
  <si>
    <t>SHATTUCK</t>
  </si>
  <si>
    <t>1W59-KU9-QJ11</t>
  </si>
  <si>
    <t>ARNDTS</t>
  </si>
  <si>
    <t>9QC1-M71-XA29</t>
  </si>
  <si>
    <t>COLLIER</t>
  </si>
  <si>
    <t>9F13-RQ2-TF93</t>
  </si>
  <si>
    <t>4PT1-CK8-VR26</t>
  </si>
  <si>
    <t>Davy</t>
  </si>
  <si>
    <t>6TQ8-JX7-JN41</t>
  </si>
  <si>
    <t>CATHERINE</t>
  </si>
  <si>
    <t>CUMBEE</t>
  </si>
  <si>
    <t>6EP4-YW8-AX08</t>
  </si>
  <si>
    <t>Taggart</t>
  </si>
  <si>
    <t>5HQ5-YQ1-AP52</t>
  </si>
  <si>
    <t>KRISTI</t>
  </si>
  <si>
    <t>BREIT</t>
  </si>
  <si>
    <t>4NY1-WJ1-FF92</t>
  </si>
  <si>
    <t>BILLINGS</t>
  </si>
  <si>
    <t>8UY5-Q42-QN68</t>
  </si>
  <si>
    <t>3NA6-P89-TT43</t>
  </si>
  <si>
    <t>Jesse</t>
  </si>
  <si>
    <t>Reed</t>
  </si>
  <si>
    <t>1P58-TX0-YG59</t>
  </si>
  <si>
    <t>9HG5-A53-NN93</t>
  </si>
  <si>
    <t>Pampa</t>
  </si>
  <si>
    <t>6we6-cr2-ah58</t>
  </si>
  <si>
    <t>Syartha</t>
  </si>
  <si>
    <t>Jean Louis</t>
  </si>
  <si>
    <t>4NJ2-XG1-GK24</t>
  </si>
  <si>
    <t>Dickerson</t>
  </si>
  <si>
    <t>9WM0-MV4-TF42</t>
  </si>
  <si>
    <t>Granski</t>
  </si>
  <si>
    <t>2QG1-JX8-CM93</t>
  </si>
  <si>
    <t>1F09-G64-WK56</t>
  </si>
  <si>
    <t>6RV6-K03-QA84</t>
  </si>
  <si>
    <t>Glynna</t>
  </si>
  <si>
    <t>6DT0-G91-UK11</t>
  </si>
  <si>
    <t>918-704-7178</t>
  </si>
  <si>
    <t>Harry</t>
  </si>
  <si>
    <t>Evans</t>
  </si>
  <si>
    <t>4A80-HG3-GD38</t>
  </si>
  <si>
    <t>9M01KD3CM18</t>
  </si>
  <si>
    <t>Janette (Jan)</t>
  </si>
  <si>
    <t>Trussell</t>
  </si>
  <si>
    <t>1C75-J96-WD70</t>
  </si>
  <si>
    <t>5AP1-PK8-MM20</t>
  </si>
  <si>
    <t>5UT0-FD4-JY02</t>
  </si>
  <si>
    <t>CARVAJAL</t>
  </si>
  <si>
    <t>3GK3-E63-UY96</t>
  </si>
  <si>
    <t>8EK4-KA2-XY96</t>
  </si>
  <si>
    <t>KALICHMAN</t>
  </si>
  <si>
    <t>2T40-C74-WV10</t>
  </si>
  <si>
    <t>Jerez</t>
  </si>
  <si>
    <t>4XY2-KV4-UJ05</t>
  </si>
  <si>
    <t>FLYNN</t>
  </si>
  <si>
    <t>9EJ8-TK5-GD10</t>
  </si>
  <si>
    <t>Hutchinson</t>
  </si>
  <si>
    <t>9WC6-AK2-RD52</t>
  </si>
  <si>
    <t>(386) 437-8151</t>
  </si>
  <si>
    <t>GLENFORD</t>
  </si>
  <si>
    <t>HUTCHINSON</t>
  </si>
  <si>
    <t>5TH1-CT1-KW32</t>
  </si>
  <si>
    <t>386-793-4263</t>
  </si>
  <si>
    <t>OLEGARIO</t>
  </si>
  <si>
    <t>HELENA</t>
  </si>
  <si>
    <t>8E52-NU0-CG19</t>
  </si>
  <si>
    <t>7WE2-C70-HE25</t>
  </si>
  <si>
    <t>Rose Mary</t>
  </si>
  <si>
    <t>Bamrick</t>
  </si>
  <si>
    <t>1FV4-RJ1-KE88</t>
  </si>
  <si>
    <t>Faust</t>
  </si>
  <si>
    <t>3PR8-QD9-XV28</t>
  </si>
  <si>
    <t>Woods</t>
  </si>
  <si>
    <t>5W14-EW7-FR73</t>
  </si>
  <si>
    <t>Sharnalle</t>
  </si>
  <si>
    <t>Dixon</t>
  </si>
  <si>
    <t>4ET6-QM5-JC64</t>
  </si>
  <si>
    <t>HYDU</t>
  </si>
  <si>
    <t>8VH8-VG9-HM34</t>
  </si>
  <si>
    <t>9MR6-DU3-FY71</t>
  </si>
  <si>
    <t>7W30-H46-YH28</t>
  </si>
  <si>
    <t>Seaton</t>
  </si>
  <si>
    <t>9KR1-PM9-EH08</t>
  </si>
  <si>
    <t>6TY4-VC1-CJ85</t>
  </si>
  <si>
    <t>Bashaw</t>
  </si>
  <si>
    <t>1EX1-VU6-YY16</t>
  </si>
  <si>
    <t>6YR4-F30-GU67</t>
  </si>
  <si>
    <t>6EX1-YT5-WW14</t>
  </si>
  <si>
    <t>4UK2-AN4-QC28</t>
  </si>
  <si>
    <t>Rains</t>
  </si>
  <si>
    <t>1U09-GP8-GQ41</t>
  </si>
  <si>
    <t>MCLEOD</t>
  </si>
  <si>
    <t>5MN7-UR8-MX56</t>
  </si>
  <si>
    <t>7TC9-WY5-RW17</t>
  </si>
  <si>
    <t>Salvador</t>
  </si>
  <si>
    <t>Meza</t>
  </si>
  <si>
    <t>4VV3-YR9-WM94</t>
  </si>
  <si>
    <t>Louis</t>
  </si>
  <si>
    <t>Deluna Jr</t>
  </si>
  <si>
    <t>7XH6-QP6-DK53</t>
  </si>
  <si>
    <t>Azin</t>
  </si>
  <si>
    <t>Brock</t>
  </si>
  <si>
    <t>4G86-U12-PG62</t>
  </si>
  <si>
    <t>Peggy</t>
  </si>
  <si>
    <t>DuPont</t>
  </si>
  <si>
    <t>8A93-N43-XU02</t>
  </si>
  <si>
    <t>Counts Jr</t>
  </si>
  <si>
    <t>2XN3-XV4-ET73</t>
  </si>
  <si>
    <t>7X84-C08-TX94</t>
  </si>
  <si>
    <t>1D13-MM3-UD11</t>
  </si>
  <si>
    <t>Bronzell</t>
  </si>
  <si>
    <t>1Q83-Q77-XD09</t>
  </si>
  <si>
    <t>8P77-MR5-QH32</t>
  </si>
  <si>
    <t>ROZENDA</t>
  </si>
  <si>
    <t>3C94-YE9-CK06</t>
  </si>
  <si>
    <t>DON</t>
  </si>
  <si>
    <t>PRYOR</t>
  </si>
  <si>
    <t>5UH0-E66-KY44</t>
  </si>
  <si>
    <t>STIGER</t>
  </si>
  <si>
    <t>3UG9-MV8-FH59</t>
  </si>
  <si>
    <t>8V26-J54-XF55</t>
  </si>
  <si>
    <t>Darnell</t>
  </si>
  <si>
    <t>FORTNEY SR</t>
  </si>
  <si>
    <t>1PU1-PH5-EX02</t>
  </si>
  <si>
    <t>ANTONETTE</t>
  </si>
  <si>
    <t>1QC9-KA6-NQ12</t>
  </si>
  <si>
    <t>Geyer</t>
  </si>
  <si>
    <t>2U15-HK3-AV95</t>
  </si>
  <si>
    <t>HIX</t>
  </si>
  <si>
    <t>6FP7-QR0-GH65</t>
  </si>
  <si>
    <t>4YR4-PG7-DC63</t>
  </si>
  <si>
    <t>TELWANNA</t>
  </si>
  <si>
    <t>STAMPS</t>
  </si>
  <si>
    <t>6RW2-AC4-EN06</t>
  </si>
  <si>
    <t>312-918-3042</t>
  </si>
  <si>
    <t>MI</t>
  </si>
  <si>
    <t>9pd6-nq5-uf45</t>
  </si>
  <si>
    <t>INDELISA</t>
  </si>
  <si>
    <t>8MC4-U39-EM89</t>
  </si>
  <si>
    <t>MCBRIDE</t>
  </si>
  <si>
    <t>5ED0-JK2-FC32</t>
  </si>
  <si>
    <t>2E89-HX0-GH43</t>
  </si>
  <si>
    <t>Caren</t>
  </si>
  <si>
    <t>Spanos</t>
  </si>
  <si>
    <t>4X25-XN3-KX59</t>
  </si>
  <si>
    <t>MILDRED</t>
  </si>
  <si>
    <t>8X28-HF1-JH27</t>
  </si>
  <si>
    <t>2EJ7-AU9-FG61</t>
  </si>
  <si>
    <t>6DD8-R76-MT55</t>
  </si>
  <si>
    <t>EMMITT</t>
  </si>
  <si>
    <t>8RM0-NN2-CV34</t>
  </si>
  <si>
    <t>7J61-DM8-CN25</t>
  </si>
  <si>
    <t>6QV0-MN0-NH01</t>
  </si>
  <si>
    <t>Young</t>
  </si>
  <si>
    <t>4WQ6-M55-KV77</t>
  </si>
  <si>
    <t>8KR0-WN6-RH28</t>
  </si>
  <si>
    <t>1NE0-RU6-TW30</t>
  </si>
  <si>
    <t>EGLASTON</t>
  </si>
  <si>
    <t>5AP0-YV7-AF24</t>
  </si>
  <si>
    <t>LORMELIA</t>
  </si>
  <si>
    <t>PASQUIER</t>
  </si>
  <si>
    <t>6N30-CD4-RV90</t>
  </si>
  <si>
    <t>HOLDER</t>
  </si>
  <si>
    <t>7WJ6-QD2-TW43</t>
  </si>
  <si>
    <t>BRAZZIEL</t>
  </si>
  <si>
    <t>8DQ3-EY7-VJ70</t>
  </si>
  <si>
    <t>Hinds</t>
  </si>
  <si>
    <t>5HV4-G71-TD87</t>
  </si>
  <si>
    <t>7HR7-CH9-YM31</t>
  </si>
  <si>
    <t>JAIME</t>
  </si>
  <si>
    <t>VIDALES</t>
  </si>
  <si>
    <t>3T00-MK2-PH15</t>
  </si>
  <si>
    <t>VILLASANA JR</t>
  </si>
  <si>
    <t>7M80-N74-QQ48</t>
  </si>
  <si>
    <t>NATHAN</t>
  </si>
  <si>
    <t>6PV5-JT4-TY83</t>
  </si>
  <si>
    <t>CRESS</t>
  </si>
  <si>
    <t>4WR8-RH6-EV30</t>
  </si>
  <si>
    <t>WAX</t>
  </si>
  <si>
    <t>6QK3-RH4-CH73</t>
  </si>
  <si>
    <t>ESCATEL JR</t>
  </si>
  <si>
    <t>7KH5-KT5-RR78</t>
  </si>
  <si>
    <t>6HN4-PH2-NM70</t>
  </si>
  <si>
    <t>GERBER</t>
  </si>
  <si>
    <t>7qd3-cg7-vv77</t>
  </si>
  <si>
    <t>PAGEL</t>
  </si>
  <si>
    <t>3AM5-AE0-NJ74</t>
  </si>
  <si>
    <t>Demetrius</t>
  </si>
  <si>
    <t>8JW0-TP5-TR38</t>
  </si>
  <si>
    <t>773-964-5880</t>
  </si>
  <si>
    <t>Redmond</t>
  </si>
  <si>
    <t>5V79-RG1-EF59</t>
  </si>
  <si>
    <t>5U99-Q83-TP19</t>
  </si>
  <si>
    <t>MALAGON GOME</t>
  </si>
  <si>
    <t>3HF8-X14-PP64</t>
  </si>
  <si>
    <t>ADRAN</t>
  </si>
  <si>
    <t>5YJ0-X22-EY05</t>
  </si>
  <si>
    <t>OLIVIA</t>
  </si>
  <si>
    <t>2DV9-NU5-WK23</t>
  </si>
  <si>
    <t>1J49-J07-GV48</t>
  </si>
  <si>
    <t>Constance</t>
  </si>
  <si>
    <t>4WP5-AG6-RC81</t>
  </si>
  <si>
    <t>AKINS</t>
  </si>
  <si>
    <t>7J20-MU0-XK30</t>
  </si>
  <si>
    <t>DEONTE</t>
  </si>
  <si>
    <t>1RU9-NF6-CY33</t>
  </si>
  <si>
    <t>ZEPHANIAH</t>
  </si>
  <si>
    <t>WILLIS</t>
  </si>
  <si>
    <t>2AN3-DX6-FK87</t>
  </si>
  <si>
    <t>MEOBI</t>
  </si>
  <si>
    <t>3D94-U46-KW74</t>
  </si>
  <si>
    <t>JENEEN</t>
  </si>
  <si>
    <t>5UU8-V94-JX22</t>
  </si>
  <si>
    <t>1C81-RG4-TQ38</t>
  </si>
  <si>
    <t>ROMINESKA</t>
  </si>
  <si>
    <t>GIVENS</t>
  </si>
  <si>
    <t>7MN7-W82-KW75</t>
  </si>
  <si>
    <t>ADDISON</t>
  </si>
  <si>
    <t>9HY6-D34-ME51</t>
  </si>
  <si>
    <t>4GE6-RC3-DH40</t>
  </si>
  <si>
    <t>Earl</t>
  </si>
  <si>
    <t>9FP7-NA3-FR53</t>
  </si>
  <si>
    <t>LEANNA</t>
  </si>
  <si>
    <t>6P02-XM1-YN09</t>
  </si>
  <si>
    <t>6HF2-MV8-HU08</t>
  </si>
  <si>
    <t>6U35-AG4-HH50</t>
  </si>
  <si>
    <t>SALLY</t>
  </si>
  <si>
    <t>9EN8-AY5-HF23</t>
  </si>
  <si>
    <t>VOLLIE</t>
  </si>
  <si>
    <t>REDIC</t>
  </si>
  <si>
    <t>2y19-mn2-ak30</t>
  </si>
  <si>
    <t>7YU3-WC8-AT60</t>
  </si>
  <si>
    <t>MCQUETTA</t>
  </si>
  <si>
    <t>3VE4-M17-FY61</t>
  </si>
  <si>
    <t>JACQUELYN</t>
  </si>
  <si>
    <t>2DA9-DY1-VY20</t>
  </si>
  <si>
    <t>LEIBHART</t>
  </si>
  <si>
    <t>7FV3-H00-RE80</t>
  </si>
  <si>
    <t>HENDREX</t>
  </si>
  <si>
    <t>4MF2-M54-HG80</t>
  </si>
  <si>
    <t>Sparks</t>
  </si>
  <si>
    <t>9RJ7-DW1-CX34</t>
  </si>
  <si>
    <t>2GH1-C64-UC96</t>
  </si>
  <si>
    <t>9A92-PD3-VC99</t>
  </si>
  <si>
    <t>6MA1-MY6-JG94</t>
  </si>
  <si>
    <t>2NN0-TC5-UT33</t>
  </si>
  <si>
    <t>Collins</t>
  </si>
  <si>
    <t>1T27-F56-EW48</t>
  </si>
  <si>
    <t>COLLINS</t>
  </si>
  <si>
    <t>5JC1-NW7-GK28</t>
  </si>
  <si>
    <t>Hediberto</t>
  </si>
  <si>
    <t>BARRETO</t>
  </si>
  <si>
    <t>2NF3-HC1-CV89</t>
  </si>
  <si>
    <t>4GA8-F48-RG54</t>
  </si>
  <si>
    <t>6P97-QM1-PE31</t>
  </si>
  <si>
    <t>1FN6-YQ9-TT73</t>
  </si>
  <si>
    <t>Arnold</t>
  </si>
  <si>
    <t>9KQ0-TK5-MF35</t>
  </si>
  <si>
    <t>8V56-GY6-EW61</t>
  </si>
  <si>
    <t>JEN</t>
  </si>
  <si>
    <t>MAJOR</t>
  </si>
  <si>
    <t>5yk1-k85-cg32</t>
  </si>
  <si>
    <t>FORBES</t>
  </si>
  <si>
    <t>6T74-KT0-CY85</t>
  </si>
  <si>
    <t>LYON JR</t>
  </si>
  <si>
    <t>6YT6-GT8-UT57</t>
  </si>
  <si>
    <t>MARES</t>
  </si>
  <si>
    <t>6UU9-RR4-WX32</t>
  </si>
  <si>
    <t>SICA</t>
  </si>
  <si>
    <t>3VH7-JU6-CR68</t>
  </si>
  <si>
    <t>3W63-Y20-TM83</t>
  </si>
  <si>
    <t>Champine</t>
  </si>
  <si>
    <t>2X53-U59-TA74</t>
  </si>
  <si>
    <t>Pope</t>
  </si>
  <si>
    <t>8DD6-N58-VR83</t>
  </si>
  <si>
    <t>LASTRAPES</t>
  </si>
  <si>
    <t>8TP4-TQ3-YG74</t>
  </si>
  <si>
    <t>7VC7-EE2-XV75</t>
  </si>
  <si>
    <t>YARBROUGH</t>
  </si>
  <si>
    <t>3UR7-KE6-JA62</t>
  </si>
  <si>
    <t>3w04-na0-vu64</t>
  </si>
  <si>
    <t>Jonathan</t>
  </si>
  <si>
    <t>7QK2-X18-CP80</t>
  </si>
  <si>
    <t>9DR8-VY4-KE45</t>
  </si>
  <si>
    <t>PEREZ III</t>
  </si>
  <si>
    <t>9W61-RC9-RE80</t>
  </si>
  <si>
    <t>Gerard</t>
  </si>
  <si>
    <t>9KE0-F55-HY11</t>
  </si>
  <si>
    <t>KENNNEDY</t>
  </si>
  <si>
    <t>7R89-WH4-HQ58</t>
  </si>
  <si>
    <t>3CE1-QH8-XJ00</t>
  </si>
  <si>
    <t>3VJ2-JN3-HK94</t>
  </si>
  <si>
    <t>SONIER</t>
  </si>
  <si>
    <t>8KN0-TU8-WR32</t>
  </si>
  <si>
    <t>MODESTE</t>
  </si>
  <si>
    <t>4X63-EP5-AW01</t>
  </si>
  <si>
    <t>HIBBERT</t>
  </si>
  <si>
    <t>6MG5-XC6-PF88</t>
  </si>
  <si>
    <t>Oscar</t>
  </si>
  <si>
    <t>6D74-G91-TU71</t>
  </si>
  <si>
    <t>Willie</t>
  </si>
  <si>
    <t>2X62-QF2-XE08</t>
  </si>
  <si>
    <t>1vm0-u73-nm27</t>
  </si>
  <si>
    <t>Little</t>
  </si>
  <si>
    <t>6N97-NQ4-QR61</t>
  </si>
  <si>
    <t>1V68-J82-FW32</t>
  </si>
  <si>
    <t>LESTINGI</t>
  </si>
  <si>
    <t>2J24-Y48-TV07</t>
  </si>
  <si>
    <t>4X36-JN6-GE45</t>
  </si>
  <si>
    <t>6NQ2-UH7-TQ12</t>
  </si>
  <si>
    <t>Delores</t>
  </si>
  <si>
    <t>fiscella</t>
  </si>
  <si>
    <t>1PP1-V96-JW27</t>
  </si>
  <si>
    <t>MARJORIE</t>
  </si>
  <si>
    <t>YELLOWHAIR</t>
  </si>
  <si>
    <t>6nm5-ep5-wk56</t>
  </si>
  <si>
    <t>Karnda</t>
  </si>
  <si>
    <t>Moffit</t>
  </si>
  <si>
    <t>6DP6-UH7-JR53</t>
  </si>
  <si>
    <t>PENA</t>
  </si>
  <si>
    <t>9Y22-XX3-QR24</t>
  </si>
  <si>
    <t>Theresa</t>
  </si>
  <si>
    <t>Childs</t>
  </si>
  <si>
    <t>4U63-G29-PP16</t>
  </si>
  <si>
    <t>Amos</t>
  </si>
  <si>
    <t>4JD8-C51-KC62</t>
  </si>
  <si>
    <t>ALVIN</t>
  </si>
  <si>
    <t>1MY3-U67-FR91</t>
  </si>
  <si>
    <t>3WV8-WA8-HY44</t>
  </si>
  <si>
    <t>Castillo</t>
  </si>
  <si>
    <t>1kh0-fu6-wr90</t>
  </si>
  <si>
    <t>Charley</t>
  </si>
  <si>
    <t>Laman</t>
  </si>
  <si>
    <t>9V68-YK9-YD56</t>
  </si>
  <si>
    <t>Hindman</t>
  </si>
  <si>
    <t>2x19-gp6-ee23</t>
  </si>
  <si>
    <t>Angelita</t>
  </si>
  <si>
    <t>Flores</t>
  </si>
  <si>
    <t>6CT2-FF4-YA23</t>
  </si>
  <si>
    <t>Emily</t>
  </si>
  <si>
    <t>Yazzie</t>
  </si>
  <si>
    <t>5E04-AC4-UU83</t>
  </si>
  <si>
    <t>Clara</t>
  </si>
  <si>
    <t>Villarreal</t>
  </si>
  <si>
    <t>2D93-TG8-EC09</t>
  </si>
  <si>
    <t>QUINTON</t>
  </si>
  <si>
    <t>2Y84-GA4-VN77</t>
  </si>
  <si>
    <t>7qm8-dy5-kp59</t>
  </si>
  <si>
    <t>OSCAR</t>
  </si>
  <si>
    <t>4PA5-GF9-RG83</t>
  </si>
  <si>
    <t>719-480-1500</t>
  </si>
  <si>
    <t>2A19-N27-FX18</t>
  </si>
  <si>
    <t>3EN6-ED0-HU44</t>
  </si>
  <si>
    <t>9Q43-G30-RC84</t>
  </si>
  <si>
    <t>OHDE</t>
  </si>
  <si>
    <t>4GY5-Y56-WN78</t>
  </si>
  <si>
    <t>TABER</t>
  </si>
  <si>
    <t>6vq6-fn5-mh47</t>
  </si>
  <si>
    <t>8QX2-NX6-PH12</t>
  </si>
  <si>
    <t>Fryer</t>
  </si>
  <si>
    <t>5H90-UY9-KR31</t>
  </si>
  <si>
    <t>SUD</t>
  </si>
  <si>
    <t>5JN8-GC8-ME62</t>
  </si>
  <si>
    <t>Lilly</t>
  </si>
  <si>
    <t>5MX8-NJ1-XW64</t>
  </si>
  <si>
    <t>9Q58-VF8-RA34</t>
  </si>
  <si>
    <t>Higgs</t>
  </si>
  <si>
    <t>8UY3-RK7-AW05</t>
  </si>
  <si>
    <t>FAIRMAN</t>
  </si>
  <si>
    <t>2KC1-RM4-AU35</t>
  </si>
  <si>
    <t>Denise</t>
  </si>
  <si>
    <t>5NG9-W04-YR17</t>
  </si>
  <si>
    <t>SAMMY</t>
  </si>
  <si>
    <t>STAFFORD</t>
  </si>
  <si>
    <t>6qw1-rp9-fa16</t>
  </si>
  <si>
    <t>Elrod</t>
  </si>
  <si>
    <t>6JE7-JK4-VJ49</t>
  </si>
  <si>
    <t>Arthur</t>
  </si>
  <si>
    <t>8xx9-qy6-tj44</t>
  </si>
  <si>
    <t>Ted</t>
  </si>
  <si>
    <t>Havins</t>
  </si>
  <si>
    <t>5HG3-F89-VT88</t>
  </si>
  <si>
    <t>6CY9-A34-KU43</t>
  </si>
  <si>
    <t>Wilson Jr.</t>
  </si>
  <si>
    <t>1nj7-jd3-fv52</t>
  </si>
  <si>
    <t>4UM6-K27-WF62</t>
  </si>
  <si>
    <t>HARDIN</t>
  </si>
  <si>
    <t>4ve1-mt2-qw19</t>
  </si>
  <si>
    <t>2QJ1-R66-CQ80</t>
  </si>
  <si>
    <t>HOLLINGER</t>
  </si>
  <si>
    <t>4a35-u77-tg67</t>
  </si>
  <si>
    <t>NORSE</t>
  </si>
  <si>
    <t>3ty6-f99-je81</t>
  </si>
  <si>
    <t>Gaylord</t>
  </si>
  <si>
    <t>1G46-KT2-CM72</t>
  </si>
  <si>
    <t>PINEGAR</t>
  </si>
  <si>
    <t>9JA4-N41-NH84</t>
  </si>
  <si>
    <t>LAUREEN</t>
  </si>
  <si>
    <t>9WR1-NR0-HD94</t>
  </si>
  <si>
    <t>Ruzicka</t>
  </si>
  <si>
    <t>6HC6-N54-MQ72</t>
  </si>
  <si>
    <t>MARGUERITE</t>
  </si>
  <si>
    <t>BURZA</t>
  </si>
  <si>
    <t>6EX4-FQ0-TU72</t>
  </si>
  <si>
    <t>CATON</t>
  </si>
  <si>
    <t>2AW3-PJ0-UE99</t>
  </si>
  <si>
    <t>Orr</t>
  </si>
  <si>
    <t>4JX7-A07-EN37</t>
  </si>
  <si>
    <t>6V47-F01-GY32</t>
  </si>
  <si>
    <t>3V36-KR7-JD64</t>
  </si>
  <si>
    <t>Brodsky</t>
  </si>
  <si>
    <t>9H02-VH5-EH95</t>
  </si>
  <si>
    <t>8QJ6-X02-XR49</t>
  </si>
  <si>
    <t>QUENTIN</t>
  </si>
  <si>
    <t>3MC0-W32-NJ07</t>
  </si>
  <si>
    <t>CARIDAD</t>
  </si>
  <si>
    <t>1TM8-DJ5-YH44</t>
  </si>
  <si>
    <t>AALIM</t>
  </si>
  <si>
    <t>2WJ6-QW5-XC67</t>
  </si>
  <si>
    <t>JILL</t>
  </si>
  <si>
    <t>KILLGORE</t>
  </si>
  <si>
    <t>6dw1-ce4-ce38</t>
  </si>
  <si>
    <t>Nelson</t>
  </si>
  <si>
    <t>5MW8-QX1-JW43</t>
  </si>
  <si>
    <t>MERRITTA</t>
  </si>
  <si>
    <t>STOVALL</t>
  </si>
  <si>
    <t>1V99-WF8-NY17</t>
  </si>
  <si>
    <t>Montano</t>
  </si>
  <si>
    <t>1KC8-TA5-AV65</t>
  </si>
  <si>
    <t>ESTHER</t>
  </si>
  <si>
    <t>5MG4-DA4-UX82</t>
  </si>
  <si>
    <t>DUANE</t>
  </si>
  <si>
    <t>COWGILL</t>
  </si>
  <si>
    <t>2AC2-H57-VA29</t>
  </si>
  <si>
    <t>7XT1-WG6-PM11</t>
  </si>
  <si>
    <t>5WQ8-CC0-MW28</t>
  </si>
  <si>
    <t>BASHFORD</t>
  </si>
  <si>
    <t>1M85-CW8-VH53</t>
  </si>
  <si>
    <t>8XK1-VH9-GM96</t>
  </si>
  <si>
    <t>Dena</t>
  </si>
  <si>
    <t>Wallin</t>
  </si>
  <si>
    <t>3JT5-PP0-CC54</t>
  </si>
  <si>
    <t>8M57-CT9-GF20</t>
  </si>
  <si>
    <t>HOLLINGSHEAD</t>
  </si>
  <si>
    <t>8D07-TC3-NY77</t>
  </si>
  <si>
    <t>Elba</t>
  </si>
  <si>
    <t>5VF3-ER2-VP74</t>
  </si>
  <si>
    <t>7GR6-VP5-TD64</t>
  </si>
  <si>
    <t>3N65-NK7-RR50</t>
  </si>
  <si>
    <t>CLAPP</t>
  </si>
  <si>
    <t>4YW3-E83-JR99</t>
  </si>
  <si>
    <t>5RH2-VH4-MJ21</t>
  </si>
  <si>
    <t>Coleman</t>
  </si>
  <si>
    <t>8XK0-HW0-XQ38</t>
  </si>
  <si>
    <t>COLESON</t>
  </si>
  <si>
    <t>7GE9-JP1-XH18</t>
  </si>
  <si>
    <t>MEEK</t>
  </si>
  <si>
    <t>5FV7-TA1-HP75</t>
  </si>
  <si>
    <t>MARKS</t>
  </si>
  <si>
    <t>4hr0-rt1-qe25</t>
  </si>
  <si>
    <t>Amy</t>
  </si>
  <si>
    <t>Porter</t>
  </si>
  <si>
    <t>3VH7-RH4-UR40</t>
  </si>
  <si>
    <t>WILEY</t>
  </si>
  <si>
    <t>8vg8-rg8-ut30</t>
  </si>
  <si>
    <t>1UE8N3XD64</t>
  </si>
  <si>
    <t>Rush</t>
  </si>
  <si>
    <t>7NJ4-WK7-HM95</t>
  </si>
  <si>
    <t>Wimbish</t>
  </si>
  <si>
    <t>1kt1-pd8-md95</t>
  </si>
  <si>
    <t>TIM</t>
  </si>
  <si>
    <t>1W29-G26-DN21</t>
  </si>
  <si>
    <t>Stephen</t>
  </si>
  <si>
    <t>Veth</t>
  </si>
  <si>
    <t>2KE6-AF5-EV58</t>
  </si>
  <si>
    <t>MCCLAIN-WILLIAMS</t>
  </si>
  <si>
    <t>5U94-KQ2-YJ05</t>
  </si>
  <si>
    <t>POMPEY</t>
  </si>
  <si>
    <t>8QN2-UC2-PM70</t>
  </si>
  <si>
    <t>Dudley</t>
  </si>
  <si>
    <t>7KR2-WW0-CG87</t>
  </si>
  <si>
    <t>SHERONE</t>
  </si>
  <si>
    <t>FAISON</t>
  </si>
  <si>
    <t>7Q49-WA5-AU10</t>
  </si>
  <si>
    <t>WANNA</t>
  </si>
  <si>
    <t>1ED1-K31-RC31</t>
  </si>
  <si>
    <t>Harvey</t>
  </si>
  <si>
    <t>Tubbs</t>
  </si>
  <si>
    <t>5HF1-CD6-PP04</t>
  </si>
  <si>
    <t>HATCHER</t>
  </si>
  <si>
    <t>1UH5-EK5-KY64</t>
  </si>
  <si>
    <t>CERNANSKY</t>
  </si>
  <si>
    <t>5K19-Y96-AG35</t>
  </si>
  <si>
    <t>ZINNERMAN</t>
  </si>
  <si>
    <t>5XX2-W42-EH13</t>
  </si>
  <si>
    <t>Muller</t>
  </si>
  <si>
    <t>9FX8-Y18-WA37</t>
  </si>
  <si>
    <t>JEAN-PAUL</t>
  </si>
  <si>
    <t>MBANDEN</t>
  </si>
  <si>
    <t>4G36-C96-QP53</t>
  </si>
  <si>
    <t>6C57-T32-ET77</t>
  </si>
  <si>
    <t>Justina</t>
  </si>
  <si>
    <t>3FK7-GK9-RP60</t>
  </si>
  <si>
    <t>ANCIL</t>
  </si>
  <si>
    <t>MYRICK JR</t>
  </si>
  <si>
    <t>9GM4-VT1-WA88</t>
  </si>
  <si>
    <t>3UJ3-ET4-PC17</t>
  </si>
  <si>
    <t>Tara</t>
  </si>
  <si>
    <t>Ard</t>
  </si>
  <si>
    <t>7WM3-H73-YA98</t>
  </si>
  <si>
    <t>CAM</t>
  </si>
  <si>
    <t>KEYES</t>
  </si>
  <si>
    <t>8Q91-NJ8-KC09</t>
  </si>
  <si>
    <t>Loy</t>
  </si>
  <si>
    <t>7QY8-H71-GY37</t>
  </si>
  <si>
    <t>SLATER</t>
  </si>
  <si>
    <t>3FX6-Q98-EC40</t>
  </si>
  <si>
    <t>MILTON</t>
  </si>
  <si>
    <t>HATCHETT</t>
  </si>
  <si>
    <t>4p22-c91-qk00</t>
  </si>
  <si>
    <t>8PW9-Y03-JQ47</t>
  </si>
  <si>
    <t>8DC0-FQ9-AV16</t>
  </si>
  <si>
    <t>Joesph</t>
  </si>
  <si>
    <t>Tapia</t>
  </si>
  <si>
    <t>8XU2-NX9-DF90</t>
  </si>
  <si>
    <t>Majors</t>
  </si>
  <si>
    <t>5UX1-NW8-YW24</t>
  </si>
  <si>
    <t>Harden</t>
  </si>
  <si>
    <t>3GC4-NJ4-QK60</t>
  </si>
  <si>
    <t>1EM2-JW2-CC09</t>
  </si>
  <si>
    <t>6FX9-NX2-GJ34</t>
  </si>
  <si>
    <t>4YG3-N19-FD06</t>
  </si>
  <si>
    <t>Bryon</t>
  </si>
  <si>
    <t>Hickmon</t>
  </si>
  <si>
    <t>1NV0-PX4-WN15</t>
  </si>
  <si>
    <t>HERALD</t>
  </si>
  <si>
    <t>7wf0-mu2-fa23</t>
  </si>
  <si>
    <t>7TC8-XV3-XX30</t>
  </si>
  <si>
    <t>Glenn</t>
  </si>
  <si>
    <t>8V73-GP2-VX13</t>
  </si>
  <si>
    <t>GANT</t>
  </si>
  <si>
    <t>5NJ3-NG0-FQ70</t>
  </si>
  <si>
    <t>SIGELNSKI</t>
  </si>
  <si>
    <t>1C42-XJ5-PQ85</t>
  </si>
  <si>
    <t>7YA6-F26-QG64</t>
  </si>
  <si>
    <t>MCALEES</t>
  </si>
  <si>
    <t>2DQ8-XJ3-EK49</t>
  </si>
  <si>
    <t>BRIDEGET</t>
  </si>
  <si>
    <t>1W14-XX1-XV86</t>
  </si>
  <si>
    <t>VERLIN</t>
  </si>
  <si>
    <t>HALCOMB JR</t>
  </si>
  <si>
    <t>1ak8-c72-fn37</t>
  </si>
  <si>
    <t>Corrine</t>
  </si>
  <si>
    <t>Coulombe</t>
  </si>
  <si>
    <t>7CQ1-FE3-RW08</t>
  </si>
  <si>
    <t>POTHIER</t>
  </si>
  <si>
    <t>9vu7-yu6-af78</t>
  </si>
  <si>
    <t>Judge</t>
  </si>
  <si>
    <t>2AJ5-U00-PN95</t>
  </si>
  <si>
    <t>Hewitt</t>
  </si>
  <si>
    <t>9G58-JK2-WT57</t>
  </si>
  <si>
    <t>BOYLES</t>
  </si>
  <si>
    <t>2PQ7-F12-DW20</t>
  </si>
  <si>
    <t>McNeal</t>
  </si>
  <si>
    <t>6P00-MG4-QN30</t>
  </si>
  <si>
    <t>WARGO</t>
  </si>
  <si>
    <t>7TD4-ED5-EV67</t>
  </si>
  <si>
    <t>JERAD</t>
  </si>
  <si>
    <t>ANDERSON JR</t>
  </si>
  <si>
    <t>6KK3-WN6-JJ03</t>
  </si>
  <si>
    <t>Mary Ann</t>
  </si>
  <si>
    <t>Burks</t>
  </si>
  <si>
    <t>3G98-XK2-XP48</t>
  </si>
  <si>
    <t>Rayfield</t>
  </si>
  <si>
    <t>7qr6-f84-rr84</t>
  </si>
  <si>
    <t>SUSANN</t>
  </si>
  <si>
    <t>CONKLIN</t>
  </si>
  <si>
    <t>9X32-E18-JV08</t>
  </si>
  <si>
    <t>LESLIE COLLINS</t>
  </si>
  <si>
    <t>8XA4-N08-AQ71</t>
  </si>
  <si>
    <t>DELEON</t>
  </si>
  <si>
    <t>1Q68-QU6-RY24</t>
  </si>
  <si>
    <t>JERRIE</t>
  </si>
  <si>
    <t>6R30-PD8-MN42</t>
  </si>
  <si>
    <t>WEST</t>
  </si>
  <si>
    <t>7DH7-YC3-HR50</t>
  </si>
  <si>
    <t>772-410-7656</t>
  </si>
  <si>
    <t>JAY L</t>
  </si>
  <si>
    <t>HALLEY</t>
  </si>
  <si>
    <t>4YC6-TP1-PE73</t>
  </si>
  <si>
    <t>Bowman</t>
  </si>
  <si>
    <t>7F07-UD5-DY60</t>
  </si>
  <si>
    <t>Delaire</t>
  </si>
  <si>
    <t>Payne</t>
  </si>
  <si>
    <t>2W12-YH0-YW87</t>
  </si>
  <si>
    <t>Sarah</t>
  </si>
  <si>
    <t>Fain</t>
  </si>
  <si>
    <t>3VM1-KW1-GT32</t>
  </si>
  <si>
    <t>Benton</t>
  </si>
  <si>
    <t>6Y62-DE6-PK93</t>
  </si>
  <si>
    <t>SOTO</t>
  </si>
  <si>
    <t>3CA3-XY6-GN09</t>
  </si>
  <si>
    <t>Cantor</t>
  </si>
  <si>
    <t>6HW4-A59-MG61</t>
  </si>
  <si>
    <t>EGGLESTON JR</t>
  </si>
  <si>
    <t>6T51-CH5-DD96</t>
  </si>
  <si>
    <t>CONNELL</t>
  </si>
  <si>
    <t>7PE4-U93-HF06</t>
  </si>
  <si>
    <t>POLASKI</t>
  </si>
  <si>
    <t>7K46-WA7-RG88</t>
  </si>
  <si>
    <t>6Q33-WR5-JW89</t>
  </si>
  <si>
    <t>Bannister</t>
  </si>
  <si>
    <t>9YG8-YE5-TE66</t>
  </si>
  <si>
    <t>804-735-8190</t>
  </si>
  <si>
    <t>CHISM</t>
  </si>
  <si>
    <t>9MV9-V03-XY14</t>
  </si>
  <si>
    <t>8CG0-K50-UG19</t>
  </si>
  <si>
    <t>Eberhard</t>
  </si>
  <si>
    <t>Kohlmann</t>
  </si>
  <si>
    <t>8UJ0-RT5-DD08</t>
  </si>
  <si>
    <t>8Q10-UX0-AC11</t>
  </si>
  <si>
    <t>4YH2-T29-EA15</t>
  </si>
  <si>
    <t>GYPS</t>
  </si>
  <si>
    <t>ISAE</t>
  </si>
  <si>
    <t>2PV8-C40-VP26</t>
  </si>
  <si>
    <t>3C85-CT8-WG52</t>
  </si>
  <si>
    <t>(540) 993-0604</t>
  </si>
  <si>
    <t>Lowe</t>
  </si>
  <si>
    <t>8qy3-v89-uk86</t>
  </si>
  <si>
    <t>386-852-8548</t>
  </si>
  <si>
    <t>MAYS</t>
  </si>
  <si>
    <t>7HF0CP0HV48</t>
  </si>
  <si>
    <t>HATTAWAY</t>
  </si>
  <si>
    <t>2NC3-G55-DP91</t>
  </si>
  <si>
    <t>Knowles</t>
  </si>
  <si>
    <t>2MP1-WG1-UY10</t>
  </si>
  <si>
    <t>CECILY</t>
  </si>
  <si>
    <t>GRASKA</t>
  </si>
  <si>
    <t>7QG7-YP5-CM53</t>
  </si>
  <si>
    <t>6HN1-M44-GK07</t>
  </si>
  <si>
    <t>HOPKINS</t>
  </si>
  <si>
    <t>9EA8-YD6-AK27</t>
  </si>
  <si>
    <t>Borrelli</t>
  </si>
  <si>
    <t>2R24-NU8-UJ98</t>
  </si>
  <si>
    <t>HOBBS-MARTIN</t>
  </si>
  <si>
    <t>6AQ0-MG0-UJ28</t>
  </si>
  <si>
    <t>RIDEN</t>
  </si>
  <si>
    <t>2PQ3-A02-QA91</t>
  </si>
  <si>
    <t>270-860-9669</t>
  </si>
  <si>
    <t>6TQ1-YP7-WP21</t>
  </si>
  <si>
    <t>Masias</t>
  </si>
  <si>
    <t>3XW9-HG7-HC37</t>
  </si>
  <si>
    <t>Ada</t>
  </si>
  <si>
    <t>Howell</t>
  </si>
  <si>
    <t>9v60-vn7-ka15</t>
  </si>
  <si>
    <t>TORRES SEGOVIA</t>
  </si>
  <si>
    <t>1V04-YY3-YX97</t>
  </si>
  <si>
    <t>CORCORAN</t>
  </si>
  <si>
    <t>3KN1-FH4-AJ26</t>
  </si>
  <si>
    <t>Warren</t>
  </si>
  <si>
    <t>9YJ6-WF2-PX83</t>
  </si>
  <si>
    <t>Alma</t>
  </si>
  <si>
    <t>7N58-JH6-VA44</t>
  </si>
  <si>
    <t>1JK2-TD4-QY96</t>
  </si>
  <si>
    <t>Ornoski</t>
  </si>
  <si>
    <t>6GU5-UW2-CT50</t>
  </si>
  <si>
    <t>9U89-NF7-UF41</t>
  </si>
  <si>
    <t>6e88-f94-rf21</t>
  </si>
  <si>
    <t>ANGEL</t>
  </si>
  <si>
    <t>1MU0-RJ1-MQ26</t>
  </si>
  <si>
    <t>Tunze</t>
  </si>
  <si>
    <t>5yv5-x41-tp66</t>
  </si>
  <si>
    <t>Zurek</t>
  </si>
  <si>
    <t>7YM0-H42-RW35</t>
  </si>
  <si>
    <t>3RA3-PH4-RJ16</t>
  </si>
  <si>
    <t>Lusilla</t>
  </si>
  <si>
    <t>Aleman</t>
  </si>
  <si>
    <t>5YN8-XM3-QU24</t>
  </si>
  <si>
    <t>Jeannie</t>
  </si>
  <si>
    <t>Wodke</t>
  </si>
  <si>
    <t>4NK5-R64-JM56</t>
  </si>
  <si>
    <t>7HU6-T27-NK52</t>
  </si>
  <si>
    <t>Lond</t>
  </si>
  <si>
    <t>8T74-YJ8-GE99</t>
  </si>
  <si>
    <t>(850) 336-9837</t>
  </si>
  <si>
    <t>Caryn</t>
  </si>
  <si>
    <t>Caldwell</t>
  </si>
  <si>
    <t>3QJ1-V71-GN26</t>
  </si>
  <si>
    <t>BRIZUELA</t>
  </si>
  <si>
    <t>1MU0-G05-MC15</t>
  </si>
  <si>
    <t>DOVER</t>
  </si>
  <si>
    <t>3DX8-TJ3-DD49</t>
  </si>
  <si>
    <t>HIRSHBERG</t>
  </si>
  <si>
    <t>2WD3-ET9-DA91</t>
  </si>
  <si>
    <t>Murley</t>
  </si>
  <si>
    <t>1VG1-K62-HN34</t>
  </si>
  <si>
    <t>3W31-FG8-EN32</t>
  </si>
  <si>
    <t>HAYNES</t>
  </si>
  <si>
    <t>9CK1-W76-MW34</t>
  </si>
  <si>
    <t>LERMAN</t>
  </si>
  <si>
    <t>7A21-HX3-YC02</t>
  </si>
  <si>
    <t>4QG1-JQ9-QN24</t>
  </si>
  <si>
    <t>Luders</t>
  </si>
  <si>
    <t>7P26-N87-VT45</t>
  </si>
  <si>
    <t>Tourelotte</t>
  </si>
  <si>
    <t>3n90-fr1-jw05</t>
  </si>
  <si>
    <t>Maurice</t>
  </si>
  <si>
    <t>Allison</t>
  </si>
  <si>
    <t>8WY2-EV9-RN90</t>
  </si>
  <si>
    <t>Coley</t>
  </si>
  <si>
    <t>7P53-N77-WQ96</t>
  </si>
  <si>
    <t>Sylvia</t>
  </si>
  <si>
    <t>Vaughn</t>
  </si>
  <si>
    <t>9NC5-Y21-EQ82</t>
  </si>
  <si>
    <t>KNAPP</t>
  </si>
  <si>
    <t>2R04-JY6-DU64</t>
  </si>
  <si>
    <t>KOINVA</t>
  </si>
  <si>
    <t>5ND8-NR6-NW28</t>
  </si>
  <si>
    <t>9283134351 wife #</t>
  </si>
  <si>
    <t>Weimer</t>
  </si>
  <si>
    <t>2DR6-F66-VH70</t>
  </si>
  <si>
    <t>Cordelia</t>
  </si>
  <si>
    <t>4V12-AE5-NX88</t>
  </si>
  <si>
    <t>Perez</t>
  </si>
  <si>
    <t>9E95-TR4-KK66</t>
  </si>
  <si>
    <t>PJURA</t>
  </si>
  <si>
    <t>7FK0-ET7-MP28</t>
  </si>
  <si>
    <t>Johnson JR</t>
  </si>
  <si>
    <t>3JY0-QT6-GP09</t>
  </si>
  <si>
    <t>2A11-DD2-CF14</t>
  </si>
  <si>
    <t>904-479-5344</t>
  </si>
  <si>
    <t>GRIMES</t>
  </si>
  <si>
    <t>8G35-R99-CN52</t>
  </si>
  <si>
    <t>Nadia</t>
  </si>
  <si>
    <t>Dorsey</t>
  </si>
  <si>
    <t>1D45-T61-VY72</t>
  </si>
  <si>
    <t>Grady</t>
  </si>
  <si>
    <t>1JH7-DY5-KH71</t>
  </si>
  <si>
    <t>Carmelita</t>
  </si>
  <si>
    <t>Donaldson</t>
  </si>
  <si>
    <t>1PT3-AE2-GQ75</t>
  </si>
  <si>
    <t>ASHBROOK</t>
  </si>
  <si>
    <t>5WX8-UK8-EU42</t>
  </si>
  <si>
    <t>porter</t>
  </si>
  <si>
    <t>2G90-G72-AE01</t>
  </si>
  <si>
    <t>DEMOSS</t>
  </si>
  <si>
    <t>4Q16-WN8-CD62</t>
  </si>
  <si>
    <t>Barron</t>
  </si>
  <si>
    <t>3XH6-HN1-DM83</t>
  </si>
  <si>
    <t>RICKS</t>
  </si>
  <si>
    <t>3RC7-F10-CF54</t>
  </si>
  <si>
    <t>Wheaton</t>
  </si>
  <si>
    <t>9W38-T79-YH28</t>
  </si>
  <si>
    <t>Stormy</t>
  </si>
  <si>
    <t>Lacey</t>
  </si>
  <si>
    <t>5VX2-JG6-UH22</t>
  </si>
  <si>
    <t>FAGAN</t>
  </si>
  <si>
    <t>3rk3-gw7-pw74</t>
  </si>
  <si>
    <t>Jannie</t>
  </si>
  <si>
    <t>8FC3-WE2-CP81</t>
  </si>
  <si>
    <t>Claudia</t>
  </si>
  <si>
    <t>4TP1-D19-AG35</t>
  </si>
  <si>
    <t>Joe</t>
  </si>
  <si>
    <t>McGowan</t>
  </si>
  <si>
    <t>1jh3-w58-fe98</t>
  </si>
  <si>
    <t>3TV9-DE0-EF58</t>
  </si>
  <si>
    <t>HICE</t>
  </si>
  <si>
    <t>8N22-QV0-MH07</t>
  </si>
  <si>
    <t>BENSON</t>
  </si>
  <si>
    <t>6UV9-TH1-XX23</t>
  </si>
  <si>
    <t>YIU</t>
  </si>
  <si>
    <t>4CQ1-TY9-QV07</t>
  </si>
  <si>
    <t>8W77-UU3-AQ38</t>
  </si>
  <si>
    <t>HUBERTY</t>
  </si>
  <si>
    <t>3VA1-U25-XV15</t>
  </si>
  <si>
    <t>Hale</t>
  </si>
  <si>
    <t>3fk7-rj9-uk55</t>
  </si>
  <si>
    <t>2ND6-T44-XV86</t>
  </si>
  <si>
    <t>1NH6-P59-EV61</t>
  </si>
  <si>
    <t>CAMELIA</t>
  </si>
  <si>
    <t>6J12-QW3-WQ01</t>
  </si>
  <si>
    <t>IRIS</t>
  </si>
  <si>
    <t>RUBINSTEIN</t>
  </si>
  <si>
    <t>9KQ3-FA4-YF85</t>
  </si>
  <si>
    <t>MARC</t>
  </si>
  <si>
    <t>3DY8-M44-CC48</t>
  </si>
  <si>
    <t>2MM3-N12-CA18</t>
  </si>
  <si>
    <t>DOMINGUEZ</t>
  </si>
  <si>
    <t>3ut4-dk6-ka63</t>
  </si>
  <si>
    <t>DELACRUZ</t>
  </si>
  <si>
    <t>9DN8-Y60-GQ31</t>
  </si>
  <si>
    <t>7VY5-HV1-XK75</t>
  </si>
  <si>
    <t>8UX4-C55-AX85</t>
  </si>
  <si>
    <t>3y17-w75-hk58</t>
  </si>
  <si>
    <t>JENINE</t>
  </si>
  <si>
    <t>1CY1-JW5-QM97</t>
  </si>
  <si>
    <t>KEENE</t>
  </si>
  <si>
    <t>5V98-M96-TT62</t>
  </si>
  <si>
    <t>8HU3-Y41-PM73</t>
  </si>
  <si>
    <t>ALTHEA</t>
  </si>
  <si>
    <t>BELLINGER</t>
  </si>
  <si>
    <t>2DU2-A37-PF98</t>
  </si>
  <si>
    <t>Shanz</t>
  </si>
  <si>
    <t>2J75-QH3-VR99</t>
  </si>
  <si>
    <t>KRIMMEL</t>
  </si>
  <si>
    <t>2AX1-QF5-EM36</t>
  </si>
  <si>
    <t>Jenkins</t>
  </si>
  <si>
    <t>5YC6-UC5-PE53</t>
  </si>
  <si>
    <t>Mary Lou</t>
  </si>
  <si>
    <t>Tagle-Esparza</t>
  </si>
  <si>
    <t>1E23-EW1-NV77</t>
  </si>
  <si>
    <t>LYLES</t>
  </si>
  <si>
    <t>9HH1-ET1-WU29</t>
  </si>
  <si>
    <t>8X39-FA0-WG37</t>
  </si>
  <si>
    <t>8M07-Q02-PM78</t>
  </si>
  <si>
    <t>Tonya</t>
  </si>
  <si>
    <t>6R37-GF8-ER55</t>
  </si>
  <si>
    <t>8qy8-d32-ne61</t>
  </si>
  <si>
    <t>2jw7-m24-kq20</t>
  </si>
  <si>
    <t>Estella</t>
  </si>
  <si>
    <t>4W59-D51-AU38</t>
  </si>
  <si>
    <t>HANSJOERG</t>
  </si>
  <si>
    <t>HILS</t>
  </si>
  <si>
    <t>1DM8-EC7-GR61</t>
  </si>
  <si>
    <t>KEATING</t>
  </si>
  <si>
    <t>2HF7-K46-CP44</t>
  </si>
  <si>
    <t>4MK2-V36-XX05</t>
  </si>
  <si>
    <t>GONSKI</t>
  </si>
  <si>
    <t>3UD0-PA5-RK38</t>
  </si>
  <si>
    <t>GUYNES</t>
  </si>
  <si>
    <t>9AF8-AX9-FT37</t>
  </si>
  <si>
    <t>8Y65-EJ2-AJ52</t>
  </si>
  <si>
    <t>8VF9-Y21-NU47</t>
  </si>
  <si>
    <t>ILIJA</t>
  </si>
  <si>
    <t>JOVETIC</t>
  </si>
  <si>
    <t>4RK9-HM9-NV33</t>
  </si>
  <si>
    <t>Schoonover</t>
  </si>
  <si>
    <t>6AJ2-VG9-MW12</t>
  </si>
  <si>
    <t>8P28-XY7-EQ23</t>
  </si>
  <si>
    <t>9TH5-DE0-QP66</t>
  </si>
  <si>
    <t>7N04-DT2-TE62</t>
  </si>
  <si>
    <t>OTT</t>
  </si>
  <si>
    <t>4P77-W14-PG61</t>
  </si>
  <si>
    <t>Helen (Irene)</t>
  </si>
  <si>
    <t>3KF7-CR8-TV39</t>
  </si>
  <si>
    <t>4HT2-MF9-FF97</t>
  </si>
  <si>
    <t>GREENE</t>
  </si>
  <si>
    <t>2YM7-GT1-CA60</t>
  </si>
  <si>
    <t>VELMA</t>
  </si>
  <si>
    <t>6x52-ax9-ct90</t>
  </si>
  <si>
    <t>Johnston</t>
  </si>
  <si>
    <t>5M12-PJ1-DN29</t>
  </si>
  <si>
    <t>sanders</t>
  </si>
  <si>
    <t>2HT4-F40-QD85</t>
  </si>
  <si>
    <t>502-975-5116</t>
  </si>
  <si>
    <t>JO</t>
  </si>
  <si>
    <t>BARDIN</t>
  </si>
  <si>
    <t>9UH1-AJ8-VH91</t>
  </si>
  <si>
    <t>ERICKSON</t>
  </si>
  <si>
    <t>1RG7-VW4-TF67</t>
  </si>
  <si>
    <t>2WV0-HU1-RT20</t>
  </si>
  <si>
    <t>4W05-EQ2-KK67</t>
  </si>
  <si>
    <t>Tomasi Casteel</t>
  </si>
  <si>
    <t>6FK3-M64-UK85</t>
  </si>
  <si>
    <t>LENICE</t>
  </si>
  <si>
    <t>7N36-QV0-QY81</t>
  </si>
  <si>
    <t>(754) 465-6467</t>
  </si>
  <si>
    <t>7GE8-MT2-XJ38</t>
  </si>
  <si>
    <t>SOERFASS</t>
  </si>
  <si>
    <t>1Q35-H82-ED54</t>
  </si>
  <si>
    <t>Jacquelyn</t>
  </si>
  <si>
    <t>9mf5-y43-ye86</t>
  </si>
  <si>
    <t>DEMITH</t>
  </si>
  <si>
    <t>1KN2-MK0-VR11</t>
  </si>
  <si>
    <t>SCHOENROCK</t>
  </si>
  <si>
    <t>9DE1-RF0-DV28</t>
  </si>
  <si>
    <t>Vanderpool</t>
  </si>
  <si>
    <t>9C93-UF1-WA80</t>
  </si>
  <si>
    <t>DERYL</t>
  </si>
  <si>
    <t>1CP2-V15-WX90</t>
  </si>
  <si>
    <t>WILLS</t>
  </si>
  <si>
    <t>8KM9-AR6-WT32</t>
  </si>
  <si>
    <t>QUINTANA</t>
  </si>
  <si>
    <t>8cy2-vm0-nv04</t>
  </si>
  <si>
    <t>7R96-DH7-CJ84</t>
  </si>
  <si>
    <t>EUGENIA</t>
  </si>
  <si>
    <t>Ramsey</t>
  </si>
  <si>
    <t>6CX2-X54-HU11</t>
  </si>
  <si>
    <t>APONTE</t>
  </si>
  <si>
    <t>8XU3-EP9-FN14</t>
  </si>
  <si>
    <t>4HA6-C22-GX57</t>
  </si>
  <si>
    <t>Dorcius</t>
  </si>
  <si>
    <t>1MP7-QD6-CX58</t>
  </si>
  <si>
    <t>Nethers</t>
  </si>
  <si>
    <t>5F13-AV5-YY19</t>
  </si>
  <si>
    <t>Livengood</t>
  </si>
  <si>
    <t>1jg7-ar4-aa44</t>
  </si>
  <si>
    <t>4TV4-F30-CN95</t>
  </si>
  <si>
    <t>Baughman</t>
  </si>
  <si>
    <t>2NV7-PQ3-HM34</t>
  </si>
  <si>
    <t>MARLOWE</t>
  </si>
  <si>
    <t>6EM8-D64-NA28</t>
  </si>
  <si>
    <t>Desmond</t>
  </si>
  <si>
    <t>silpatt</t>
  </si>
  <si>
    <t>7MN5-YK5-PY68</t>
  </si>
  <si>
    <t>3V41-TM5-PG28</t>
  </si>
  <si>
    <t>Julia</t>
  </si>
  <si>
    <t>Hula</t>
  </si>
  <si>
    <t>3UQ2-VE2-WD02</t>
  </si>
  <si>
    <t>KASPROWSKI</t>
  </si>
  <si>
    <t>2VW3-JQ1-KM95</t>
  </si>
  <si>
    <t>TALMADGE</t>
  </si>
  <si>
    <t>4JX4-PJ5-AV63</t>
  </si>
  <si>
    <t>Margarita</t>
  </si>
  <si>
    <t>Arroyo</t>
  </si>
  <si>
    <t>8WJ1-HY4-MD28</t>
  </si>
  <si>
    <t>8M07-FR4-NM77</t>
  </si>
  <si>
    <t>Damon</t>
  </si>
  <si>
    <t>Simon</t>
  </si>
  <si>
    <t>5HV7-UF3-PK63</t>
  </si>
  <si>
    <t>LISA J</t>
  </si>
  <si>
    <t>AMKRAUT-CARLSON</t>
  </si>
  <si>
    <t>8QK7-YP8-DJ34</t>
  </si>
  <si>
    <t>Maryann</t>
  </si>
  <si>
    <t>9VF4-NV1-TM62</t>
  </si>
  <si>
    <t>Hinojosa</t>
  </si>
  <si>
    <t>6qd3-kr5-kx09</t>
  </si>
  <si>
    <t>Ramlow</t>
  </si>
  <si>
    <t>6Q91-QQ8-TW95</t>
  </si>
  <si>
    <t>Clovis</t>
  </si>
  <si>
    <t>Qualls</t>
  </si>
  <si>
    <t>9HC1-NX1-UW17</t>
  </si>
  <si>
    <t>Daley</t>
  </si>
  <si>
    <t>5QX9-G62-NF11</t>
  </si>
  <si>
    <t>LAURENSIA</t>
  </si>
  <si>
    <t>RIIMANU</t>
  </si>
  <si>
    <t>3D26-JX7-HC82</t>
  </si>
  <si>
    <t>1PG3-FJ2-NG99</t>
  </si>
  <si>
    <t>1J63-N03-KK02</t>
  </si>
  <si>
    <t>Bevins</t>
  </si>
  <si>
    <t>9YP4-P48-HX08</t>
  </si>
  <si>
    <t>1DV9-QP1-UH11</t>
  </si>
  <si>
    <t>9XW4-R82-WD78</t>
  </si>
  <si>
    <t>Derender</t>
  </si>
  <si>
    <t>Dallas</t>
  </si>
  <si>
    <t>5K77-DX7-UU51</t>
  </si>
  <si>
    <t>BARR</t>
  </si>
  <si>
    <t>7mm9-g44-vf32</t>
  </si>
  <si>
    <t>Betsy</t>
  </si>
  <si>
    <t>Kowal</t>
  </si>
  <si>
    <t>7A98-DN2-TA57</t>
  </si>
  <si>
    <t>6CR7-KV9-ND54</t>
  </si>
  <si>
    <t>SHEPHERD</t>
  </si>
  <si>
    <t>7QA4-A61-JY78</t>
  </si>
  <si>
    <t>Otto</t>
  </si>
  <si>
    <t>8D33-FW5-PG17</t>
  </si>
  <si>
    <t>Freddie</t>
  </si>
  <si>
    <t>1U56-VK5-GJ41</t>
  </si>
  <si>
    <t>othon</t>
  </si>
  <si>
    <t>7JW0-CK8-QY45</t>
  </si>
  <si>
    <t>520-332-5904</t>
  </si>
  <si>
    <t>DOMBROWSKI</t>
  </si>
  <si>
    <t>6xu7-ny6-qk32</t>
  </si>
  <si>
    <t>NORTH</t>
  </si>
  <si>
    <t>2F56-XN8-MF68</t>
  </si>
  <si>
    <t>PHIPPS</t>
  </si>
  <si>
    <t>6VT1-G33-TM21</t>
  </si>
  <si>
    <t>ETHEL</t>
  </si>
  <si>
    <t>5JM6-H41-RY67</t>
  </si>
  <si>
    <t>7wn0-un5-fa00</t>
  </si>
  <si>
    <t>Hart</t>
  </si>
  <si>
    <t>5XF1-CA6-CM12</t>
  </si>
  <si>
    <t>LOW</t>
  </si>
  <si>
    <t>3F06-WV9-QD71</t>
  </si>
  <si>
    <t>NIPPER</t>
  </si>
  <si>
    <t>6HU0-ER2-MJ31</t>
  </si>
  <si>
    <t>FORREST</t>
  </si>
  <si>
    <t>9ER0-G47-HC43</t>
  </si>
  <si>
    <t>SHIVELY</t>
  </si>
  <si>
    <t>9dq5-ap1-nh67</t>
  </si>
  <si>
    <t>KENNY</t>
  </si>
  <si>
    <t>TAFT</t>
  </si>
  <si>
    <t>1YV9-M62-NR00</t>
  </si>
  <si>
    <t>TOM</t>
  </si>
  <si>
    <t>4DP0-N48-RN39</t>
  </si>
  <si>
    <t>GREENWOOD</t>
  </si>
  <si>
    <t>1XP4-MY9-FG85</t>
  </si>
  <si>
    <t>STROUD</t>
  </si>
  <si>
    <t>4ED3-K27-QK99</t>
  </si>
  <si>
    <t>1TC5-A88-CV95</t>
  </si>
  <si>
    <t>3rm6-pd7-hc79</t>
  </si>
  <si>
    <t>Head</t>
  </si>
  <si>
    <t>1R48-HP9-RQ45</t>
  </si>
  <si>
    <t>Wing</t>
  </si>
  <si>
    <t>8WP0-CV4-GE23</t>
  </si>
  <si>
    <t>1P18-GE7-PP31</t>
  </si>
  <si>
    <t>Julius</t>
  </si>
  <si>
    <t>6MV5-RD1-PR88</t>
  </si>
  <si>
    <t>Collier</t>
  </si>
  <si>
    <t>5tx1-hm3-qm06</t>
  </si>
  <si>
    <t>YEHIA</t>
  </si>
  <si>
    <t>8U46-FK6-CT86</t>
  </si>
  <si>
    <t>7XT2-Y51-WG28</t>
  </si>
  <si>
    <t>ESPOSITO</t>
  </si>
  <si>
    <t>1RH1-F68-RC96</t>
  </si>
  <si>
    <t>Pitt</t>
  </si>
  <si>
    <t>8U81-WU2-UG21</t>
  </si>
  <si>
    <t>OCANO</t>
  </si>
  <si>
    <t>8TN6-P67-KM70</t>
  </si>
  <si>
    <t>4AV4-H98-XH91</t>
  </si>
  <si>
    <t>Elvis</t>
  </si>
  <si>
    <t>Fox</t>
  </si>
  <si>
    <t>9T96-CW4-AV44</t>
  </si>
  <si>
    <t>9wf5-e30-rk61</t>
  </si>
  <si>
    <t>4PK8-KV9-RG52</t>
  </si>
  <si>
    <t>Weatherstone</t>
  </si>
  <si>
    <t>3V87-QQ1-YA66</t>
  </si>
  <si>
    <t>2q32-rn9-hv98</t>
  </si>
  <si>
    <t>6V50-X54-HY13</t>
  </si>
  <si>
    <t>Jewel</t>
  </si>
  <si>
    <t>Hillie</t>
  </si>
  <si>
    <t>6RP8-PQ9-MX20</t>
  </si>
  <si>
    <t>LILLYKUTTY</t>
  </si>
  <si>
    <t>KORATTIYIL</t>
  </si>
  <si>
    <t>7WC8-W79-VG35</t>
  </si>
  <si>
    <t>Word</t>
  </si>
  <si>
    <t>1U24-T42-AT85</t>
  </si>
  <si>
    <t>Rodney</t>
  </si>
  <si>
    <t>Hornsby</t>
  </si>
  <si>
    <t>6GM8-TK9-RV44</t>
  </si>
  <si>
    <t>9YX8-VH2-WQ49</t>
  </si>
  <si>
    <t>MATA</t>
  </si>
  <si>
    <t>4K50-CY4-YA04</t>
  </si>
  <si>
    <t>Westfield</t>
  </si>
  <si>
    <t>2Y99-EG8-YE21</t>
  </si>
  <si>
    <t>SUNDRA</t>
  </si>
  <si>
    <t>1TM7-RP3-XT72</t>
  </si>
  <si>
    <t>LECITA</t>
  </si>
  <si>
    <t>VALISTO</t>
  </si>
  <si>
    <t>8G71-K37-QJ93</t>
  </si>
  <si>
    <t>MAYDELLA</t>
  </si>
  <si>
    <t>2G00-UG4-XP29</t>
  </si>
  <si>
    <t>Mata</t>
  </si>
  <si>
    <t>2RJ3-NT5-MH01</t>
  </si>
  <si>
    <t>602-663-7219</t>
  </si>
  <si>
    <t>Roforth</t>
  </si>
  <si>
    <t>1R62-FX1-GQ17</t>
  </si>
  <si>
    <t>KRAKOWSKI</t>
  </si>
  <si>
    <t>2NA6-X84-ER52</t>
  </si>
  <si>
    <t>Robertson</t>
  </si>
  <si>
    <t>6XQ9-DV5-HJ57</t>
  </si>
  <si>
    <t>MACKRELL</t>
  </si>
  <si>
    <t>6UN4-XX0-CX67</t>
  </si>
  <si>
    <t>Clethen</t>
  </si>
  <si>
    <t>9KH6-FM0-WK53</t>
  </si>
  <si>
    <t>ARRISE</t>
  </si>
  <si>
    <t>5ma7-yy8-vm50</t>
  </si>
  <si>
    <t>Hendon</t>
  </si>
  <si>
    <t>5x14-pv4-vh86</t>
  </si>
  <si>
    <t>LAINA</t>
  </si>
  <si>
    <t>WESTROPE</t>
  </si>
  <si>
    <t>4FY0-YX7-FG33</t>
  </si>
  <si>
    <t>PLATKIN</t>
  </si>
  <si>
    <t>1WE1-UG2-WF96</t>
  </si>
  <si>
    <t>DORRIS</t>
  </si>
  <si>
    <t>LAKES</t>
  </si>
  <si>
    <t>4M57-EA6-CT67</t>
  </si>
  <si>
    <t>Connard</t>
  </si>
  <si>
    <t>6TR7-W66-XN42</t>
  </si>
  <si>
    <t>480-651-2724</t>
  </si>
  <si>
    <t>Penny</t>
  </si>
  <si>
    <t>PRESZLER</t>
  </si>
  <si>
    <t>8WQ8-KY2-VE44</t>
  </si>
  <si>
    <t>Affena</t>
  </si>
  <si>
    <t>Achaibar</t>
  </si>
  <si>
    <t>4c06-e81-rm58</t>
  </si>
  <si>
    <t>Grissom</t>
  </si>
  <si>
    <t>3XY5-RK6-EG73</t>
  </si>
  <si>
    <t>4F23-PN0-DW80</t>
  </si>
  <si>
    <t>CONLIN</t>
  </si>
  <si>
    <t>3MK6-HF5-VC30</t>
  </si>
  <si>
    <t>CAMILLUS</t>
  </si>
  <si>
    <t>NISH</t>
  </si>
  <si>
    <t>3HA7-G51-NY60</t>
  </si>
  <si>
    <t>ARAIZA</t>
  </si>
  <si>
    <t>1CP3-KV9-AU05</t>
  </si>
  <si>
    <t>(602) 268-6207</t>
  </si>
  <si>
    <t>4EV3-JF4-TT00</t>
  </si>
  <si>
    <t>VERNDALE</t>
  </si>
  <si>
    <t>4nk4-y59-et61</t>
  </si>
  <si>
    <t>Caldwell Junior</t>
  </si>
  <si>
    <t>8MP5-FG3-WU94</t>
  </si>
  <si>
    <t>3C10-FD3-PU35</t>
  </si>
  <si>
    <t>KRISTY</t>
  </si>
  <si>
    <t>MASTACHE</t>
  </si>
  <si>
    <t>1N43-AT9-TY72</t>
  </si>
  <si>
    <t>8E78-GG6-TD30</t>
  </si>
  <si>
    <t>ASHLOCK</t>
  </si>
  <si>
    <t>3KT0-FJ7-KN43</t>
  </si>
  <si>
    <t>1YG5-RH8-HF68</t>
  </si>
  <si>
    <t>PALMA</t>
  </si>
  <si>
    <t>ZUCCARELLI</t>
  </si>
  <si>
    <t>7PP3-Y32-JW97</t>
  </si>
  <si>
    <t>HOOPER</t>
  </si>
  <si>
    <t>8RC7-AU6-JM59</t>
  </si>
  <si>
    <t>Cadwell</t>
  </si>
  <si>
    <t>6cw1-gn7-pn26</t>
  </si>
  <si>
    <t>Homero</t>
  </si>
  <si>
    <t>Mota</t>
  </si>
  <si>
    <t>8XP9-X19-DK00</t>
  </si>
  <si>
    <t>LADOLCE</t>
  </si>
  <si>
    <t>4Y64-RY9-JF89</t>
  </si>
  <si>
    <t>5T96-RE3-VR71</t>
  </si>
  <si>
    <t>BIRCH</t>
  </si>
  <si>
    <t>9GP3-DV2-EF83</t>
  </si>
  <si>
    <t>6EG6-HW3-UY73</t>
  </si>
  <si>
    <t>BUCKPITT</t>
  </si>
  <si>
    <t>3P57-P50-KT67</t>
  </si>
  <si>
    <t>TORRIE</t>
  </si>
  <si>
    <t>STRAUSE</t>
  </si>
  <si>
    <t>4GA7-XG0-EG44</t>
  </si>
  <si>
    <t>6C72-GT0-MK14</t>
  </si>
  <si>
    <t>SAMIR</t>
  </si>
  <si>
    <t>MARCOSS</t>
  </si>
  <si>
    <t>1ge2-y13-te15</t>
  </si>
  <si>
    <t>8HX5-KK8-FA87</t>
  </si>
  <si>
    <t>Mattie</t>
  </si>
  <si>
    <t>6GQ4-G07-PC01</t>
  </si>
  <si>
    <t>ORTIZ</t>
  </si>
  <si>
    <t>6KY0-JA4-AJ05</t>
  </si>
  <si>
    <t>EWING</t>
  </si>
  <si>
    <t>1PD1-ET3-AM29</t>
  </si>
  <si>
    <t>Coutinho</t>
  </si>
  <si>
    <t>9RY9-TH7-VQ39</t>
  </si>
  <si>
    <t>SWEETSER</t>
  </si>
  <si>
    <t>6Y58-NG6-MJ41</t>
  </si>
  <si>
    <t>7GA7-PR1-QM30</t>
  </si>
  <si>
    <t>Hayden</t>
  </si>
  <si>
    <t>1kk2-hu8-wv22</t>
  </si>
  <si>
    <t>Gable</t>
  </si>
  <si>
    <t>1RX1-GX0-MQ20</t>
  </si>
  <si>
    <t>6DY5-T64-UE51</t>
  </si>
  <si>
    <t>JOEANN</t>
  </si>
  <si>
    <t>8NR2-CV0-KG97</t>
  </si>
  <si>
    <t>DUHAYNE</t>
  </si>
  <si>
    <t>WAITE</t>
  </si>
  <si>
    <t>6JK9-FA2-MC00</t>
  </si>
  <si>
    <t>2H52-Q20-PY03</t>
  </si>
  <si>
    <t>VERN</t>
  </si>
  <si>
    <t>4NT7-W95-GN33</t>
  </si>
  <si>
    <t>Avery</t>
  </si>
  <si>
    <t>1GN7-KM8-FV55</t>
  </si>
  <si>
    <t>4dp2-x51-rm99</t>
  </si>
  <si>
    <t>6ek4-wy1-xy66</t>
  </si>
  <si>
    <t>7GC0-H33-AC01</t>
  </si>
  <si>
    <t>Burnham</t>
  </si>
  <si>
    <t>2K80-MX1-VU22</t>
  </si>
  <si>
    <t>2F38-V40-FC43</t>
  </si>
  <si>
    <t>1QV8-Q13-PE40</t>
  </si>
  <si>
    <t>7WT2-WH2-TA12</t>
  </si>
  <si>
    <t>Guy</t>
  </si>
  <si>
    <t>2K00-U25-DY08</t>
  </si>
  <si>
    <t>2AJ5-TR7-AM84</t>
  </si>
  <si>
    <t>WEEMPE</t>
  </si>
  <si>
    <t>1XU7-PP0-EM53</t>
  </si>
  <si>
    <t>1VE5-QX7-AU57</t>
  </si>
  <si>
    <t>2F96-HH3-PR51</t>
  </si>
  <si>
    <t>BLANCETT</t>
  </si>
  <si>
    <t>4N89-YK7-DT11</t>
  </si>
  <si>
    <t>8tu2-he6-km92</t>
  </si>
  <si>
    <t>4EF5-WV5-TY52</t>
  </si>
  <si>
    <t>3VN2-C09-PM08</t>
  </si>
  <si>
    <t>8E28-EY4-PK49</t>
  </si>
  <si>
    <t>2FT0-C32-WF17</t>
  </si>
  <si>
    <t>McClain</t>
  </si>
  <si>
    <t>1X67-TV3-PW32</t>
  </si>
  <si>
    <t>Viorica</t>
  </si>
  <si>
    <t>Talpan</t>
  </si>
  <si>
    <t>8AC3-M32-RV76</t>
  </si>
  <si>
    <t>CAMERON</t>
  </si>
  <si>
    <t>5PM3-JH4-QE81</t>
  </si>
  <si>
    <t>3C79-PD8-GT49</t>
  </si>
  <si>
    <t>WILLOW FRAZEE</t>
  </si>
  <si>
    <t>3Q54-AD8-MW81</t>
  </si>
  <si>
    <t>FREDRICO</t>
  </si>
  <si>
    <t>8d80-kk0-ft11</t>
  </si>
  <si>
    <t>2M30-KM4-HP33</t>
  </si>
  <si>
    <t>3ah7-rt6-yr40</t>
  </si>
  <si>
    <t>6WE8-RV3-WF36</t>
  </si>
  <si>
    <t>7RD0-K93-VK38</t>
  </si>
  <si>
    <t>SHARLENE</t>
  </si>
  <si>
    <t>LANDIS</t>
  </si>
  <si>
    <t>5EA1-DJ7-VG24</t>
  </si>
  <si>
    <t>SERENA</t>
  </si>
  <si>
    <t>STEIN</t>
  </si>
  <si>
    <t>3JQ6-NG7-UX49</t>
  </si>
  <si>
    <t>Yannes</t>
  </si>
  <si>
    <t>7MT4-GJ0-JC03</t>
  </si>
  <si>
    <t>HOMAN</t>
  </si>
  <si>
    <t>JEAN JACQUES</t>
  </si>
  <si>
    <t>8GN0-ED4-JY18</t>
  </si>
  <si>
    <t>AVERETT</t>
  </si>
  <si>
    <t>9V88-NN7-TU62</t>
  </si>
  <si>
    <t>7DU1-MD9-VG20</t>
  </si>
  <si>
    <t>Mogan</t>
  </si>
  <si>
    <t>2Q82-Y10-EW24</t>
  </si>
  <si>
    <t>LYONS</t>
  </si>
  <si>
    <t>2x43-k86-rc03</t>
  </si>
  <si>
    <t>5Y25-F54-WK89</t>
  </si>
  <si>
    <t>CALLAHAN</t>
  </si>
  <si>
    <t>9GR0-AW5-HU27</t>
  </si>
  <si>
    <t>9Y49-XC9-FQ55</t>
  </si>
  <si>
    <t>7WH6-QC6-UA74</t>
  </si>
  <si>
    <t>Story</t>
  </si>
  <si>
    <t>2NF0-WP8-RM22</t>
  </si>
  <si>
    <t>4PR5-NG8-YW79</t>
  </si>
  <si>
    <t>OLESEK</t>
  </si>
  <si>
    <t>7CG9-UP8-WX12</t>
  </si>
  <si>
    <t>Gale</t>
  </si>
  <si>
    <t>6NR0-U87-GP13</t>
  </si>
  <si>
    <t>LARDGE</t>
  </si>
  <si>
    <t>6FM4-UY8-RT62</t>
  </si>
  <si>
    <t>Abraham</t>
  </si>
  <si>
    <t>2y01-fn0-hm98</t>
  </si>
  <si>
    <t>DUNSON</t>
  </si>
  <si>
    <t>6RF7-EM9-NG20</t>
  </si>
  <si>
    <t>4T07-PE7-JD31</t>
  </si>
  <si>
    <t>1JQ8-YW9-KW30</t>
  </si>
  <si>
    <t>Werner</t>
  </si>
  <si>
    <t>3PV0-DN7-VA15</t>
  </si>
  <si>
    <t>5CE8-P03-NE55</t>
  </si>
  <si>
    <t>Francis</t>
  </si>
  <si>
    <t>5TG1-W61-YN24</t>
  </si>
  <si>
    <t>8AY2-GH2-FA98</t>
  </si>
  <si>
    <t>Nicholas</t>
  </si>
  <si>
    <t>Pitts</t>
  </si>
  <si>
    <t>2AU0-PT6-QD46</t>
  </si>
  <si>
    <t>SNOWDEN</t>
  </si>
  <si>
    <t>4WR6-K02-WU56</t>
  </si>
  <si>
    <t>4r66-cg8-vf49</t>
  </si>
  <si>
    <t>(520) 585-3568</t>
  </si>
  <si>
    <t>LARSONJR</t>
  </si>
  <si>
    <t>8KN9-HJ2-HQ31</t>
  </si>
  <si>
    <t>SITTS</t>
  </si>
  <si>
    <t>5XA3-UY1-DU93</t>
  </si>
  <si>
    <t>216-727-7575</t>
  </si>
  <si>
    <t>HODGES</t>
  </si>
  <si>
    <t>5XV2-EM3-HD97</t>
  </si>
  <si>
    <t>Staten</t>
  </si>
  <si>
    <t>6VT7-G01-GG40</t>
  </si>
  <si>
    <t>NOWAKOWSKI</t>
  </si>
  <si>
    <t>2CW3-GE6-RQ08</t>
  </si>
  <si>
    <t>GINGER</t>
  </si>
  <si>
    <t>STEINBERG</t>
  </si>
  <si>
    <t>6t89-ae1-dy16</t>
  </si>
  <si>
    <t>4EV4-VF5-KA85</t>
  </si>
  <si>
    <t>Myers Jr</t>
  </si>
  <si>
    <t>3K08-DE6-HD21</t>
  </si>
  <si>
    <t>DEPEW</t>
  </si>
  <si>
    <t>5uq2-ep5-nu86</t>
  </si>
  <si>
    <t>Watkins</t>
  </si>
  <si>
    <t>9J83-WP6-KD00</t>
  </si>
  <si>
    <t>ALFONZA</t>
  </si>
  <si>
    <t>WHITAKER</t>
  </si>
  <si>
    <t>9KY1-C42-EC99</t>
  </si>
  <si>
    <t>Amiel</t>
  </si>
  <si>
    <t>7R13-X21-YR92</t>
  </si>
  <si>
    <t>4DT7-MA7-HM52</t>
  </si>
  <si>
    <t>Tommy</t>
  </si>
  <si>
    <t>8PJ0-KN0-UY05</t>
  </si>
  <si>
    <t>Wise</t>
  </si>
  <si>
    <t>9YH6-KQ7-PX43</t>
  </si>
  <si>
    <t>(220) 243-1773</t>
  </si>
  <si>
    <t>4JK9-CW7-EA37</t>
  </si>
  <si>
    <t>Bedonie Sr</t>
  </si>
  <si>
    <t>4GK3-GQ8-KD99</t>
  </si>
  <si>
    <t>Huston</t>
  </si>
  <si>
    <t>1ye4-tv1-cc63</t>
  </si>
  <si>
    <t>JANETTE</t>
  </si>
  <si>
    <t>PELTO</t>
  </si>
  <si>
    <t>1A04-AR1-TY78</t>
  </si>
  <si>
    <t>Bedonie</t>
  </si>
  <si>
    <t>6DY6-QF1-AM66</t>
  </si>
  <si>
    <t>6tf7-ur6-jx61</t>
  </si>
  <si>
    <t>BREWER</t>
  </si>
  <si>
    <t>6NA8-HC0-MY47</t>
  </si>
  <si>
    <t>2HW0-TT7-GD08</t>
  </si>
  <si>
    <t>Bailey</t>
  </si>
  <si>
    <t>7R25-GR9-TU76</t>
  </si>
  <si>
    <t>Blevins</t>
  </si>
  <si>
    <t>4DE0-FH4-EW09</t>
  </si>
  <si>
    <t>Accashian</t>
  </si>
  <si>
    <t>1P85-EM7-PF61</t>
  </si>
  <si>
    <t>Richards</t>
  </si>
  <si>
    <t>4Q25-XE5-HH57</t>
  </si>
  <si>
    <t>4QJ9-Q95-UN46</t>
  </si>
  <si>
    <t>ALTEMUS</t>
  </si>
  <si>
    <t>1XF3-WJ6-QU90</t>
  </si>
  <si>
    <t>McWhorter</t>
  </si>
  <si>
    <t>8h43-kc3-qc94</t>
  </si>
  <si>
    <t>Tami</t>
  </si>
  <si>
    <t>Rubenstein</t>
  </si>
  <si>
    <t>9C60-MW6-QP36</t>
  </si>
  <si>
    <t>7RU6-WM6-HU89</t>
  </si>
  <si>
    <t>ELSNER</t>
  </si>
  <si>
    <t>4KC5-WD5-UP81</t>
  </si>
  <si>
    <t>VILLA</t>
  </si>
  <si>
    <t>1K37-CN0-KC53</t>
  </si>
  <si>
    <t>HORNBACK</t>
  </si>
  <si>
    <t>4GP3-NJ6-TU95</t>
  </si>
  <si>
    <t>Echols</t>
  </si>
  <si>
    <t>4x63-f62-vc76</t>
  </si>
  <si>
    <t>Allwood</t>
  </si>
  <si>
    <t>3KN9-QX4-AJ46</t>
  </si>
  <si>
    <t>NYANG</t>
  </si>
  <si>
    <t>MAIWEN</t>
  </si>
  <si>
    <t>5EJ7-V67-UH42</t>
  </si>
  <si>
    <t>Verdella</t>
  </si>
  <si>
    <t>Talas</t>
  </si>
  <si>
    <t>8H76-MW5-QY74</t>
  </si>
  <si>
    <t>Hatch</t>
  </si>
  <si>
    <t>5TP5-U96-NH65</t>
  </si>
  <si>
    <t>Eastman</t>
  </si>
  <si>
    <t>9a20-xd0-fj47</t>
  </si>
  <si>
    <t>Chenault</t>
  </si>
  <si>
    <t>8cJ3-HK8-AY85</t>
  </si>
  <si>
    <t>POWERS</t>
  </si>
  <si>
    <t>4F65-MM8-CV91</t>
  </si>
  <si>
    <t>7C51-PV9-FG19</t>
  </si>
  <si>
    <t>CLEMENT</t>
  </si>
  <si>
    <t>8xk3-c48-pu01</t>
  </si>
  <si>
    <t>6c55-pw1-km53</t>
  </si>
  <si>
    <t>Olga</t>
  </si>
  <si>
    <t>TALIFERRO</t>
  </si>
  <si>
    <t>7KJ7-DF4-XM74</t>
  </si>
  <si>
    <t>NAGEL</t>
  </si>
  <si>
    <t>4tj3-tt4-kq90</t>
  </si>
  <si>
    <t>SHARI</t>
  </si>
  <si>
    <t>6EV8-MT9-TR10</t>
  </si>
  <si>
    <t>7W03-AR6-RM90</t>
  </si>
  <si>
    <t>8uf6-tm3-hy82</t>
  </si>
  <si>
    <t>JAISHREE</t>
  </si>
  <si>
    <t>MATOS</t>
  </si>
  <si>
    <t>8NM5-Y75-VK85</t>
  </si>
  <si>
    <t>MARY -HELEN</t>
  </si>
  <si>
    <t>8G78-W31-XR38</t>
  </si>
  <si>
    <t>7C75-DV9-AN75</t>
  </si>
  <si>
    <t>Asaro</t>
  </si>
  <si>
    <t>3AJ8-MN0-GQ28</t>
  </si>
  <si>
    <t>Bertha</t>
  </si>
  <si>
    <t>ESKRIDGE</t>
  </si>
  <si>
    <t>5XH9-YA7-WQ27</t>
  </si>
  <si>
    <t>4F49-NJ6-DU30</t>
  </si>
  <si>
    <t>OCHOA</t>
  </si>
  <si>
    <t>4JU1-W43-XU10</t>
  </si>
  <si>
    <t>Deziel</t>
  </si>
  <si>
    <t>7FH7-E20-XR67</t>
  </si>
  <si>
    <t>QUARLES</t>
  </si>
  <si>
    <t>2KJ1-Y24-XK24</t>
  </si>
  <si>
    <t>ISRAEL</t>
  </si>
  <si>
    <t>NAVA MENDEZ</t>
  </si>
  <si>
    <t>9K20-QY1-VA21</t>
  </si>
  <si>
    <t>Esteban</t>
  </si>
  <si>
    <t>Reyes</t>
  </si>
  <si>
    <t>6TY8-WE3-KF42</t>
  </si>
  <si>
    <t>JORIE</t>
  </si>
  <si>
    <t>HAZEN</t>
  </si>
  <si>
    <t>8R92-XD7-JP89</t>
  </si>
  <si>
    <t>1NQ8-PE8-CK39</t>
  </si>
  <si>
    <t>(504) 236-2166</t>
  </si>
  <si>
    <t>DENNA</t>
  </si>
  <si>
    <t>HAY</t>
  </si>
  <si>
    <t>7KV3-AF7-PD17</t>
  </si>
  <si>
    <t>(937) 203-5428</t>
  </si>
  <si>
    <t>hay</t>
  </si>
  <si>
    <t>Lard</t>
  </si>
  <si>
    <t>5rc2-cv5-tj17</t>
  </si>
  <si>
    <t>5J95-MG3-KA80</t>
  </si>
  <si>
    <t>KUYKENDALL</t>
  </si>
  <si>
    <t>8FM4-RV9-QR91</t>
  </si>
  <si>
    <t>Bruner</t>
  </si>
  <si>
    <t>9E44-DQ2-UP83</t>
  </si>
  <si>
    <t>Luna</t>
  </si>
  <si>
    <t>1U63-W92-VE60</t>
  </si>
  <si>
    <t>KRONES</t>
  </si>
  <si>
    <t>2EF4-MX4-MF97</t>
  </si>
  <si>
    <t>Allen-Swain</t>
  </si>
  <si>
    <t>2CP3-R48-KD82</t>
  </si>
  <si>
    <t>540-309-4786</t>
  </si>
  <si>
    <t>3JH8-XT3-QC36</t>
  </si>
  <si>
    <t>SEWEINGYAWMA</t>
  </si>
  <si>
    <t>4M19-WU2-CX47</t>
  </si>
  <si>
    <t>PRINTZ</t>
  </si>
  <si>
    <t>1K19-W91-XE13</t>
  </si>
  <si>
    <t>MAHONEY</t>
  </si>
  <si>
    <t>9DJ2-R72-GV21</t>
  </si>
  <si>
    <t>Alfred</t>
  </si>
  <si>
    <t>Garrison</t>
  </si>
  <si>
    <t>1P50-GD1-RM33</t>
  </si>
  <si>
    <t>7H95-MA9-WC59</t>
  </si>
  <si>
    <t>CHILDRESS</t>
  </si>
  <si>
    <t>5WF7-K82-CH49</t>
  </si>
  <si>
    <t>8WV7-P80-RW62</t>
  </si>
  <si>
    <t>CRAFT</t>
  </si>
  <si>
    <t>2R39-XX3-MH00</t>
  </si>
  <si>
    <t>4YX8-XK3-TX25</t>
  </si>
  <si>
    <t>Zeaken</t>
  </si>
  <si>
    <t>9RM0-D71-QW25</t>
  </si>
  <si>
    <t>GAGEN</t>
  </si>
  <si>
    <t>5wp3-nc4-vu05</t>
  </si>
  <si>
    <t>Easthagen</t>
  </si>
  <si>
    <t>3C08-DJ6-QM67</t>
  </si>
  <si>
    <t>AGUILAR</t>
  </si>
  <si>
    <t>4XV1-D29-VD27</t>
  </si>
  <si>
    <t>8DG0-QR8-AQ16</t>
  </si>
  <si>
    <t>Bradley</t>
  </si>
  <si>
    <t>Toland</t>
  </si>
  <si>
    <t>1CA8-TM0-AH35</t>
  </si>
  <si>
    <t>Edwardo</t>
  </si>
  <si>
    <t>Valdez</t>
  </si>
  <si>
    <t>2E25-H34-XU65</t>
  </si>
  <si>
    <t>Falcon</t>
  </si>
  <si>
    <t>1EM4-Q14-GA90</t>
  </si>
  <si>
    <t>Hainsworth</t>
  </si>
  <si>
    <t>1N03-VX3-UG03</t>
  </si>
  <si>
    <t>SENITHEA</t>
  </si>
  <si>
    <t>5D25-KP1-JD73</t>
  </si>
  <si>
    <t>Dancy</t>
  </si>
  <si>
    <t>8XV2-VW6-PJ01</t>
  </si>
  <si>
    <t>Brawley</t>
  </si>
  <si>
    <t>5VP9-AT4-GQ22</t>
  </si>
  <si>
    <t>5XW3-XR5-HC87</t>
  </si>
  <si>
    <t>VestellaV</t>
  </si>
  <si>
    <t>7UA0-YJ8-QK37</t>
  </si>
  <si>
    <t>KICK</t>
  </si>
  <si>
    <t>9vj8-ya5-uv52</t>
  </si>
  <si>
    <t>7RY5-XA2-TM87</t>
  </si>
  <si>
    <t>KELEEM</t>
  </si>
  <si>
    <t>SHAIKH</t>
  </si>
  <si>
    <t>7E04-E83-MW66</t>
  </si>
  <si>
    <t>Randell</t>
  </si>
  <si>
    <t>4H49-EF8-KX11</t>
  </si>
  <si>
    <t>Pullen</t>
  </si>
  <si>
    <t>3jy5-m12-kn40</t>
  </si>
  <si>
    <t>Hinson</t>
  </si>
  <si>
    <t>Bracewell</t>
  </si>
  <si>
    <t>8N15-YR5-RX80</t>
  </si>
  <si>
    <t>KIMBERLEY</t>
  </si>
  <si>
    <t>SHOULDER</t>
  </si>
  <si>
    <t>6M18-PF8-UK50</t>
  </si>
  <si>
    <t>3JW1-N32-PX04</t>
  </si>
  <si>
    <t>Guice</t>
  </si>
  <si>
    <t>7WJ1-WE1-TE20</t>
  </si>
  <si>
    <t>Sprague</t>
  </si>
  <si>
    <t>6VW8-Y40-PE59</t>
  </si>
  <si>
    <t>DAVIS JR.</t>
  </si>
  <si>
    <t>8N96-MV9-HV64</t>
  </si>
  <si>
    <t>DICIE</t>
  </si>
  <si>
    <t>LOUCKS</t>
  </si>
  <si>
    <t>9ER7-G79-JD34</t>
  </si>
  <si>
    <t>Santa</t>
  </si>
  <si>
    <t>9C89-F25-CM16</t>
  </si>
  <si>
    <t>4u34-gp4-ej79</t>
  </si>
  <si>
    <t>CRUDUP</t>
  </si>
  <si>
    <t>6CA9-GJ5-NH15</t>
  </si>
  <si>
    <t>Audry</t>
  </si>
  <si>
    <t>2qc0-p85-py00</t>
  </si>
  <si>
    <t>Edmund</t>
  </si>
  <si>
    <t>Luckey</t>
  </si>
  <si>
    <t>3P74-CQ7-RJ73</t>
  </si>
  <si>
    <t>Domke</t>
  </si>
  <si>
    <t>9JP4-XD4-QV06</t>
  </si>
  <si>
    <t>ALMEIDA</t>
  </si>
  <si>
    <t>4EN4-Y63-XW96</t>
  </si>
  <si>
    <t>5JR3-EE8-YA72</t>
  </si>
  <si>
    <t>ADKISSON</t>
  </si>
  <si>
    <t>6CT6-N91-ND84</t>
  </si>
  <si>
    <t>Geanell</t>
  </si>
  <si>
    <t>Snyder</t>
  </si>
  <si>
    <t>5aj9-rt3-pm35</t>
  </si>
  <si>
    <t>7DE0-RM8-VW30</t>
  </si>
  <si>
    <t>JARVIS</t>
  </si>
  <si>
    <t>3XT2-AJ2-VF97</t>
  </si>
  <si>
    <t>Rocio</t>
  </si>
  <si>
    <t>Carbajal</t>
  </si>
  <si>
    <t>4JP3-U24-AT04</t>
  </si>
  <si>
    <t>STACEY</t>
  </si>
  <si>
    <t>DETWILER</t>
  </si>
  <si>
    <t>6J24-UA0-QT65</t>
  </si>
  <si>
    <t>5PM0-FA0-RC00</t>
  </si>
  <si>
    <t>Germany</t>
  </si>
  <si>
    <t>5DA7-TH1-DY38</t>
  </si>
  <si>
    <t>Jenny</t>
  </si>
  <si>
    <t>6t03-f01-ke82</t>
  </si>
  <si>
    <t>8GR5-DU7-DC92</t>
  </si>
  <si>
    <t>Edith</t>
  </si>
  <si>
    <t>5GE7-MD3-PA62</t>
  </si>
  <si>
    <t>Darcey</t>
  </si>
  <si>
    <t>Glasgow</t>
  </si>
  <si>
    <t>9yg9-qn0-hf28</t>
  </si>
  <si>
    <t>4W84-TV7-WM96</t>
  </si>
  <si>
    <t>PLATT</t>
  </si>
  <si>
    <t>6QW0-RT7-RK34</t>
  </si>
  <si>
    <t>Coy</t>
  </si>
  <si>
    <t>7UN8-WU3-NX56</t>
  </si>
  <si>
    <t>3NY8-EY5-EE51</t>
  </si>
  <si>
    <t>Owida</t>
  </si>
  <si>
    <t>Dunmore Martin</t>
  </si>
  <si>
    <t>3pe4-ve9-wg67</t>
  </si>
  <si>
    <t>954-683-8963</t>
  </si>
  <si>
    <t>Trevino</t>
  </si>
  <si>
    <t>7U04-R60-VR72</t>
  </si>
  <si>
    <t>Lewter</t>
  </si>
  <si>
    <t>2A27-XK6-UX59</t>
  </si>
  <si>
    <t>6me4-aa3-vc73</t>
  </si>
  <si>
    <t>BIVINS</t>
  </si>
  <si>
    <t>3QY4-VE9-JC99</t>
  </si>
  <si>
    <t>Kitchens</t>
  </si>
  <si>
    <t>1K80-YM8-AX35</t>
  </si>
  <si>
    <t>Myrietta</t>
  </si>
  <si>
    <t>2hn8-q32-uk37</t>
  </si>
  <si>
    <t>Lamont</t>
  </si>
  <si>
    <t>4xu8-yr9-tn34</t>
  </si>
  <si>
    <t>2K94-PX3-GR71</t>
  </si>
  <si>
    <t>Dyer</t>
  </si>
  <si>
    <t>6pe5-qm1-qm81</t>
  </si>
  <si>
    <t>Pattie</t>
  </si>
  <si>
    <t>Branch</t>
  </si>
  <si>
    <t>4UU0-M40-HU20</t>
  </si>
  <si>
    <t>Butler</t>
  </si>
  <si>
    <t>4A37-MW9-MA52</t>
  </si>
  <si>
    <t>HISER</t>
  </si>
  <si>
    <t>6FT0-ER7-NH19</t>
  </si>
  <si>
    <t>Chadd</t>
  </si>
  <si>
    <t>3MQ9-D86-PX48</t>
  </si>
  <si>
    <t>TRIMMER SR</t>
  </si>
  <si>
    <t>7cu4-w84-pq96</t>
  </si>
  <si>
    <t>6N70-EY1-YC07</t>
  </si>
  <si>
    <t>cole</t>
  </si>
  <si>
    <t>1PP6-T97-DC41</t>
  </si>
  <si>
    <t>520-780-0671</t>
  </si>
  <si>
    <t>Bashem</t>
  </si>
  <si>
    <t>7HU0-WK3-JH49</t>
  </si>
  <si>
    <t>WHITLATCH</t>
  </si>
  <si>
    <t>9HW5-UE6-DM74</t>
  </si>
  <si>
    <t>(740) 860-2606</t>
  </si>
  <si>
    <t>Dinkel</t>
  </si>
  <si>
    <t>6Y37-GC7-MM71</t>
  </si>
  <si>
    <t>Tracey</t>
  </si>
  <si>
    <t>Lansford</t>
  </si>
  <si>
    <t>7P30-U65-EP33</t>
  </si>
  <si>
    <t>GRAEF</t>
  </si>
  <si>
    <t>3K08-XY2-NH55</t>
  </si>
  <si>
    <t>GANDOLFO</t>
  </si>
  <si>
    <t>5WA6-PM7-UG54</t>
  </si>
  <si>
    <t>3DH1-KG3-VR90</t>
  </si>
  <si>
    <t>COAD</t>
  </si>
  <si>
    <t>4EF6-R21-FK61</t>
  </si>
  <si>
    <t>Wendell</t>
  </si>
  <si>
    <t>Holmes</t>
  </si>
  <si>
    <t>3g36-a60-xj49</t>
  </si>
  <si>
    <t>Debora</t>
  </si>
  <si>
    <t>5AT7-MG8-XK41</t>
  </si>
  <si>
    <t>McCasland</t>
  </si>
  <si>
    <t>9M74-FH6-FG81</t>
  </si>
  <si>
    <t>WOEHLKE</t>
  </si>
  <si>
    <t>2DX2-RP4-VG82</t>
  </si>
  <si>
    <t>LENT</t>
  </si>
  <si>
    <t>8D86-J13-YX45</t>
  </si>
  <si>
    <t>Carlin</t>
  </si>
  <si>
    <t>8V07-AU4-VF63</t>
  </si>
  <si>
    <t>LORITTA</t>
  </si>
  <si>
    <t>3YK3-AK2-JD79</t>
  </si>
  <si>
    <t>4HE4-A08-GU87</t>
  </si>
  <si>
    <t>Goldman</t>
  </si>
  <si>
    <t>2PT3-AW2-UQ15</t>
  </si>
  <si>
    <t>Balogun</t>
  </si>
  <si>
    <t>5ek7-k81-nc78</t>
  </si>
  <si>
    <t>BARRICKLOW</t>
  </si>
  <si>
    <t>3RC9-MT8-CF44</t>
  </si>
  <si>
    <t>Surratt</t>
  </si>
  <si>
    <t>2CD5-GF7-PG86</t>
  </si>
  <si>
    <t>9FE0-RV6-DN12</t>
  </si>
  <si>
    <t>VINCENT II</t>
  </si>
  <si>
    <t>1Q92-FQ3-EV94</t>
  </si>
  <si>
    <t>6G99-JJ4-PA00</t>
  </si>
  <si>
    <t>COREY</t>
  </si>
  <si>
    <t>PHILSON</t>
  </si>
  <si>
    <t>7A79-XP4-DY35</t>
  </si>
  <si>
    <t>1rk8-n03-pw34</t>
  </si>
  <si>
    <t>2HG2-YH2-MM12</t>
  </si>
  <si>
    <t>Hutcherson</t>
  </si>
  <si>
    <t>6PG8-E28-DX22</t>
  </si>
  <si>
    <t>2QM8-VP4-AR31</t>
  </si>
  <si>
    <t>BOSSE</t>
  </si>
  <si>
    <t>7FR1-U34-UE25</t>
  </si>
  <si>
    <t>CHARMAINE</t>
  </si>
  <si>
    <t>GILFILLAN</t>
  </si>
  <si>
    <t>2M05-UK9-CM68</t>
  </si>
  <si>
    <t>Farold</t>
  </si>
  <si>
    <t>1U58-PD9-MP35</t>
  </si>
  <si>
    <t>STEGAWSKI</t>
  </si>
  <si>
    <t>1j91-k09-hq29</t>
  </si>
  <si>
    <t>Dewayne (Eddie)</t>
  </si>
  <si>
    <t>3P26-CV2-FR44</t>
  </si>
  <si>
    <t>3FK8-VD9-RP50</t>
  </si>
  <si>
    <t>Wade</t>
  </si>
  <si>
    <t>7KK0-A99-JQ00</t>
  </si>
  <si>
    <t>Andre</t>
  </si>
  <si>
    <t>2WK1-WJ9-HX35</t>
  </si>
  <si>
    <t>(803) 464-3169</t>
  </si>
  <si>
    <t>SERVINSKY</t>
  </si>
  <si>
    <t>6G10-XH8-GU45</t>
  </si>
  <si>
    <t>2md3-fv3-ta81</t>
  </si>
  <si>
    <t>Pimentel</t>
  </si>
  <si>
    <t>3A02-WR3-CG84</t>
  </si>
  <si>
    <t>Billy</t>
  </si>
  <si>
    <t>SERGENT JR</t>
  </si>
  <si>
    <t>7R80-XA4-HQ48</t>
  </si>
  <si>
    <t>GODFREY</t>
  </si>
  <si>
    <t>5WK4-V44-JY66</t>
  </si>
  <si>
    <t>1Q37-Q09-GF46</t>
  </si>
  <si>
    <t>2rq9-k71-fw47</t>
  </si>
  <si>
    <t>KOONTZ</t>
  </si>
  <si>
    <t>1KT9-PT6-JM12</t>
  </si>
  <si>
    <t>TANKERSLE</t>
  </si>
  <si>
    <t>8JQ0-VC3-CT05</t>
  </si>
  <si>
    <t>5GH8-NE9-JF48</t>
  </si>
  <si>
    <t>5V32-A96-UC02</t>
  </si>
  <si>
    <t>Keepers</t>
  </si>
  <si>
    <t>2HU7-N80-PM33</t>
  </si>
  <si>
    <t>Jane</t>
  </si>
  <si>
    <t>LaGrand</t>
  </si>
  <si>
    <t>6G22-WA6-JJ08</t>
  </si>
  <si>
    <t>MANER</t>
  </si>
  <si>
    <t>4N68-W60-YE67</t>
  </si>
  <si>
    <t>4UU7-U64-PR37</t>
  </si>
  <si>
    <t>WICKLAND</t>
  </si>
  <si>
    <t>9A90-E81-QW25</t>
  </si>
  <si>
    <t>Francisco</t>
  </si>
  <si>
    <t>3g39-va8-am11</t>
  </si>
  <si>
    <t>LAMPKIN</t>
  </si>
  <si>
    <t>2VJ9-DQ7-MN46</t>
  </si>
  <si>
    <t>Ford</t>
  </si>
  <si>
    <t>5Y72-KT4-QK84</t>
  </si>
  <si>
    <t>1CW2-KD9-JW02</t>
  </si>
  <si>
    <t>Acuna</t>
  </si>
  <si>
    <t>7CW3-GG1-WW12</t>
  </si>
  <si>
    <t>2KG9-EH4-YP45</t>
  </si>
  <si>
    <t>Thomson</t>
  </si>
  <si>
    <t>5c38-fm5-qt26</t>
  </si>
  <si>
    <t>BEAUFORD</t>
  </si>
  <si>
    <t>5TA2-UX8-TY28</t>
  </si>
  <si>
    <t>6TA4-PK0-RX97</t>
  </si>
  <si>
    <t>4PP3-D34-RE12</t>
  </si>
  <si>
    <t>Mansour (Michael)</t>
  </si>
  <si>
    <t>Sarvi</t>
  </si>
  <si>
    <t>7V07-AT1-CA79</t>
  </si>
  <si>
    <t>Luann</t>
  </si>
  <si>
    <t>Gentry</t>
  </si>
  <si>
    <t>6ED5-XV3-MH87</t>
  </si>
  <si>
    <t>ESPINOZA</t>
  </si>
  <si>
    <t>5V40-NA1-EX11</t>
  </si>
  <si>
    <t>Springs</t>
  </si>
  <si>
    <t>1J39-QT3-KN42</t>
  </si>
  <si>
    <t>HARGETT</t>
  </si>
  <si>
    <t>4XQ8-QV5-HJ57</t>
  </si>
  <si>
    <t>APPLEGATE</t>
  </si>
  <si>
    <t>9PQ8-TQ0-TD23</t>
  </si>
  <si>
    <t>5WA8-HT9-NN48</t>
  </si>
  <si>
    <t>Elmer</t>
  </si>
  <si>
    <t>8N21-XM8-MH17</t>
  </si>
  <si>
    <t>3DY8-HU6-KH54</t>
  </si>
  <si>
    <t>2VW7-JK0-XM45</t>
  </si>
  <si>
    <t>9RD3-C48-EG76</t>
  </si>
  <si>
    <t>2wc9-vq1-tk10</t>
  </si>
  <si>
    <t>8JW9-CN7-NW13</t>
  </si>
  <si>
    <t>4FA7-CX5-RT33</t>
  </si>
  <si>
    <t>4KV2-RR1-JK12</t>
  </si>
  <si>
    <t>Gilstad</t>
  </si>
  <si>
    <t>2PG6-N39-XF88</t>
  </si>
  <si>
    <t>CEASAR</t>
  </si>
  <si>
    <t>1FA4-VP0-QT92</t>
  </si>
  <si>
    <t>LEVETTA</t>
  </si>
  <si>
    <t>2GD2-DR9-NA81</t>
  </si>
  <si>
    <t>2KC8-QU1-QX67</t>
  </si>
  <si>
    <t>KARSK</t>
  </si>
  <si>
    <t>7HF1-XM5-CP34</t>
  </si>
  <si>
    <t>4NJ6-J92-FJ53</t>
  </si>
  <si>
    <t>5QW2-PC2-AH11</t>
  </si>
  <si>
    <t>LAVATA</t>
  </si>
  <si>
    <t>HANCOCK</t>
  </si>
  <si>
    <t>9DE6-WE1-NT46</t>
  </si>
  <si>
    <t>(901) 493-1630</t>
  </si>
  <si>
    <t>Holcombe</t>
  </si>
  <si>
    <t>4PX0-N73-CT01</t>
  </si>
  <si>
    <t>727-424-1774</t>
  </si>
  <si>
    <t>JOHNNYE</t>
  </si>
  <si>
    <t>SEAY</t>
  </si>
  <si>
    <t>3XD6-PR4-VV76</t>
  </si>
  <si>
    <t>Valenzuela</t>
  </si>
  <si>
    <t>9E70-W56-FH22</t>
  </si>
  <si>
    <t>Wiggins</t>
  </si>
  <si>
    <t>8MG6-E21-GX62</t>
  </si>
  <si>
    <t>7N53-H41-TX72</t>
  </si>
  <si>
    <t>Desrameaux</t>
  </si>
  <si>
    <t>8VX4-G71-UC50</t>
  </si>
  <si>
    <t>954-770-2146</t>
  </si>
  <si>
    <t>Tamra</t>
  </si>
  <si>
    <t>Trejo</t>
  </si>
  <si>
    <t>3k18-rm8-vc51</t>
  </si>
  <si>
    <t>DOHERTY</t>
  </si>
  <si>
    <t>4HJ2-NF1-HQ28</t>
  </si>
  <si>
    <t>SILVEY</t>
  </si>
  <si>
    <t>5HT0-H65-AH10</t>
  </si>
  <si>
    <t>7CU8-W99-VW51</t>
  </si>
  <si>
    <t>Hilda</t>
  </si>
  <si>
    <t>4JV0-E93-RQ17</t>
  </si>
  <si>
    <t>NEITZ</t>
  </si>
  <si>
    <t>2T00-AT7-NG04</t>
  </si>
  <si>
    <t>Jody</t>
  </si>
  <si>
    <t>8KA6-FX8-QX57</t>
  </si>
  <si>
    <t>CALLOW</t>
  </si>
  <si>
    <t>3YX6-CV5-AU72</t>
  </si>
  <si>
    <t>9ce4-u47-ae95</t>
  </si>
  <si>
    <t>carlucci</t>
  </si>
  <si>
    <t>2GF4-TP2-CA92</t>
  </si>
  <si>
    <t>STRAIGHT</t>
  </si>
  <si>
    <t>5QC2-KJ6-UV86</t>
  </si>
  <si>
    <t>LEDALE</t>
  </si>
  <si>
    <t>2FD5-WU7-AX89</t>
  </si>
  <si>
    <t>MARKHAM</t>
  </si>
  <si>
    <t>4P82-A05-PF91</t>
  </si>
  <si>
    <t>9g70-v20-fm15</t>
  </si>
  <si>
    <t>MEYER</t>
  </si>
  <si>
    <t>8de2-d54-vv90</t>
  </si>
  <si>
    <t>Tran</t>
  </si>
  <si>
    <t>2JG0-HT1-YY23</t>
  </si>
  <si>
    <t>CUTRELL</t>
  </si>
  <si>
    <t>6ft1-gp8-fn93</t>
  </si>
  <si>
    <t>ARMENDARIZ</t>
  </si>
  <si>
    <t>5J43-VY4-TT07</t>
  </si>
  <si>
    <t>JOEY</t>
  </si>
  <si>
    <t>6jd7-ma6-qh56</t>
  </si>
  <si>
    <t>Wire</t>
  </si>
  <si>
    <t>7G09-JA0-NQ11</t>
  </si>
  <si>
    <t>DELISIO</t>
  </si>
  <si>
    <t>9PK7-D79-EG72</t>
  </si>
  <si>
    <t>Iverson</t>
  </si>
  <si>
    <t>2M36-V50-YT75</t>
  </si>
  <si>
    <t>Priest Jr</t>
  </si>
  <si>
    <t>5p17-rw3-dq62</t>
  </si>
  <si>
    <t>Brunnmeier</t>
  </si>
  <si>
    <t>4R15-DF9-DU84</t>
  </si>
  <si>
    <t>2N61-U89-RW92</t>
  </si>
  <si>
    <t>LILES</t>
  </si>
  <si>
    <t>4AY4-GX5-EY67</t>
  </si>
  <si>
    <t>6NC7-F58-TX50</t>
  </si>
  <si>
    <t>SUELIA</t>
  </si>
  <si>
    <t>3FQ6-DX0-FR83</t>
  </si>
  <si>
    <t>3MX9-VM7-MX25</t>
  </si>
  <si>
    <t>Super Jr</t>
  </si>
  <si>
    <t>5GX8-FT6-KQ49</t>
  </si>
  <si>
    <t>Greenfield</t>
  </si>
  <si>
    <t>6AK0-R59-TN17</t>
  </si>
  <si>
    <t>SCHMEDT</t>
  </si>
  <si>
    <t>5WJ0-PP1-CF29</t>
  </si>
  <si>
    <t>Bradlau</t>
  </si>
  <si>
    <t>8HN4-W09-NM50</t>
  </si>
  <si>
    <t>1PE6-U64-QA42</t>
  </si>
  <si>
    <t>Jackie</t>
  </si>
  <si>
    <t>Barker</t>
  </si>
  <si>
    <t>7E34-EQ4-FN62</t>
  </si>
  <si>
    <t>Willis</t>
  </si>
  <si>
    <t>4jx4-p31-uq89</t>
  </si>
  <si>
    <t>YAGER</t>
  </si>
  <si>
    <t>9F99-W93-CR41</t>
  </si>
  <si>
    <t>Isaacs</t>
  </si>
  <si>
    <t>4xd6-ju1-qw30</t>
  </si>
  <si>
    <t>Toole</t>
  </si>
  <si>
    <t>1R86-EE0-XF41</t>
  </si>
  <si>
    <t>RUCKER</t>
  </si>
  <si>
    <t>6XP1-JM2-PQ31</t>
  </si>
  <si>
    <t>Benauer</t>
  </si>
  <si>
    <t>6J76-CM8-WG61</t>
  </si>
  <si>
    <t>Brault</t>
  </si>
  <si>
    <t>3PX0-EJ5-GW34</t>
  </si>
  <si>
    <t>Bouldin</t>
  </si>
  <si>
    <t>1U56-AA7-RG79</t>
  </si>
  <si>
    <t>7PE5-XV7-DA62</t>
  </si>
  <si>
    <t>5PM6-V54-EF62</t>
  </si>
  <si>
    <t>Tourville</t>
  </si>
  <si>
    <t>5x25-ad4-gg75</t>
  </si>
  <si>
    <t>Everlee</t>
  </si>
  <si>
    <t>2EY7-QN9-RR51</t>
  </si>
  <si>
    <t>557-234-7878</t>
  </si>
  <si>
    <t>Hasme</t>
  </si>
  <si>
    <t>3CV1-KC3-JR80</t>
  </si>
  <si>
    <t>Ozmon</t>
  </si>
  <si>
    <t>3X93-E09-FV14</t>
  </si>
  <si>
    <t>SKOMP</t>
  </si>
  <si>
    <t>4T57-U30-CD65</t>
  </si>
  <si>
    <t>8FX1-WR1-RG02</t>
  </si>
  <si>
    <t>Laurel</t>
  </si>
  <si>
    <t>1xj9-ge7-cu41</t>
  </si>
  <si>
    <t>SNELL</t>
  </si>
  <si>
    <t>5e41-t95-fh00</t>
  </si>
  <si>
    <t>Whitaker JR</t>
  </si>
  <si>
    <t>3QM7-A52-PT52</t>
  </si>
  <si>
    <t>8RF5-AF3-QE85</t>
  </si>
  <si>
    <t>Cheatham</t>
  </si>
  <si>
    <t>7KQ3-GW6-JK00</t>
  </si>
  <si>
    <t>Rosemarie</t>
  </si>
  <si>
    <t>Finley</t>
  </si>
  <si>
    <t>3DE9-GJ2-UN12</t>
  </si>
  <si>
    <t>WARNACK</t>
  </si>
  <si>
    <t>2AJ0-J09-GR38</t>
  </si>
  <si>
    <t>THROWER</t>
  </si>
  <si>
    <t>3NE6-MA3-GQ44</t>
  </si>
  <si>
    <t>Best</t>
  </si>
  <si>
    <t>4XK3-V03-YQ09</t>
  </si>
  <si>
    <t>THOMAS JR</t>
  </si>
  <si>
    <t>2G74-G23-CD50</t>
  </si>
  <si>
    <t>Weed</t>
  </si>
  <si>
    <t>4KG0-JA7-KN24</t>
  </si>
  <si>
    <t>Tripp</t>
  </si>
  <si>
    <t>7UC5-MV9-EK68</t>
  </si>
  <si>
    <t>9EY2-HP7-KW95</t>
  </si>
  <si>
    <t>TENNESON</t>
  </si>
  <si>
    <t>5RV8-CJ4-YW62</t>
  </si>
  <si>
    <t>LATRISHA</t>
  </si>
  <si>
    <t>HENDEE</t>
  </si>
  <si>
    <t>9XW1-UF0-FK14</t>
  </si>
  <si>
    <t>3gr8-p75-fd54</t>
  </si>
  <si>
    <t>Nancy</t>
  </si>
  <si>
    <t>Stone</t>
  </si>
  <si>
    <t>6EX9-MX3-XX25</t>
  </si>
  <si>
    <t>Elvira</t>
  </si>
  <si>
    <t>2VC4-DX9-GR63</t>
  </si>
  <si>
    <t>Pirozzi</t>
  </si>
  <si>
    <t>5NY1-KE9-XY97</t>
  </si>
  <si>
    <t>OGEE</t>
  </si>
  <si>
    <t>NWANKWO</t>
  </si>
  <si>
    <t>6W17-PV6-RQ72</t>
  </si>
  <si>
    <t>7WK6-E96-MC58</t>
  </si>
  <si>
    <t>4N68-CA2-YD27</t>
  </si>
  <si>
    <t>Swopes</t>
  </si>
  <si>
    <t>4uh8-qn9-we50</t>
  </si>
  <si>
    <t>8MT0-RK1-YR36</t>
  </si>
  <si>
    <t>Doyle</t>
  </si>
  <si>
    <t>Kirkpatrick</t>
  </si>
  <si>
    <t>8DQ7-UC8-YH66</t>
  </si>
  <si>
    <t>Mullins</t>
  </si>
  <si>
    <t>8JK4-RV9-KF91</t>
  </si>
  <si>
    <t>JEANINE</t>
  </si>
  <si>
    <t>HAVNEN</t>
  </si>
  <si>
    <t>3U67-HQ6-HE40</t>
  </si>
  <si>
    <t>BLACKMAN</t>
  </si>
  <si>
    <t>4KR0-UG3-VM21</t>
  </si>
  <si>
    <t>McNulty</t>
  </si>
  <si>
    <t>3VK5-XR7-PP58</t>
  </si>
  <si>
    <t>Overton</t>
  </si>
  <si>
    <t>8AJ2-UD5-AK04</t>
  </si>
  <si>
    <t>9D57-JT2-HX52</t>
  </si>
  <si>
    <t>5N76-D85-DU71</t>
  </si>
  <si>
    <t>419-560-4098</t>
  </si>
  <si>
    <t>1XX3-Y18-QH12</t>
  </si>
  <si>
    <t>JERRELL</t>
  </si>
  <si>
    <t>4a37-e94-fh67</t>
  </si>
  <si>
    <t>ELSA</t>
  </si>
  <si>
    <t>SANTELLAN</t>
  </si>
  <si>
    <t>4DV7-Q37-PE68</t>
  </si>
  <si>
    <t>Stark</t>
  </si>
  <si>
    <t>5J39-R64-QR15</t>
  </si>
  <si>
    <t>8DD9-Q84-DW18</t>
  </si>
  <si>
    <t>CODLING</t>
  </si>
  <si>
    <t>1R53-MX7-HT88</t>
  </si>
  <si>
    <t>NAVARRO</t>
  </si>
  <si>
    <t>4x53-pd8-ta84</t>
  </si>
  <si>
    <t>THIBODEAUX</t>
  </si>
  <si>
    <t>9PM7-MK7-GW55</t>
  </si>
  <si>
    <t>MIA</t>
  </si>
  <si>
    <t>SEABROOKS</t>
  </si>
  <si>
    <t>9WM3-G52-YA08</t>
  </si>
  <si>
    <t>7ew9-n66-pt59</t>
  </si>
  <si>
    <t>Fort</t>
  </si>
  <si>
    <t>9PY7-UT9-DN60</t>
  </si>
  <si>
    <t>BISHOP</t>
  </si>
  <si>
    <t>5YM1-N92-PC00</t>
  </si>
  <si>
    <t>Matthews</t>
  </si>
  <si>
    <t>9HQ6-AT1-QG65</t>
  </si>
  <si>
    <t>VICARS</t>
  </si>
  <si>
    <t>1U25-FC7-NU75</t>
  </si>
  <si>
    <t>PEGGYANN</t>
  </si>
  <si>
    <t>DEPALMA</t>
  </si>
  <si>
    <t>6RV5-D51-YW52</t>
  </si>
  <si>
    <t>TEBELL</t>
  </si>
  <si>
    <t>7CT6-GH8-WU60</t>
  </si>
  <si>
    <t>MCCALOP RICH</t>
  </si>
  <si>
    <t>3MD8-RW1-YH66</t>
  </si>
  <si>
    <t>Richardson J</t>
  </si>
  <si>
    <t>3KM3-QQ7-RN18</t>
  </si>
  <si>
    <t>(910) 260-1765</t>
  </si>
  <si>
    <t>SHERMAN</t>
  </si>
  <si>
    <t>HUMPHREYS</t>
  </si>
  <si>
    <t>1UK6-J55-JG52</t>
  </si>
  <si>
    <t>Espinoza Jr</t>
  </si>
  <si>
    <t>3JN8-PX7-DW26</t>
  </si>
  <si>
    <t>Tomlinson</t>
  </si>
  <si>
    <t>7E52-MX8-PG99</t>
  </si>
  <si>
    <t>Romero</t>
  </si>
  <si>
    <t>7UD3-JY6-WJ60</t>
  </si>
  <si>
    <t>Windisch</t>
  </si>
  <si>
    <t>9JU0-E98-TT28</t>
  </si>
  <si>
    <t>Wiseman</t>
  </si>
  <si>
    <t>2C72-MX8-HH01</t>
  </si>
  <si>
    <t>1AH4-U71-RP06</t>
  </si>
  <si>
    <t>TURNMIRE</t>
  </si>
  <si>
    <t>8QP6-XT1-PQ52</t>
  </si>
  <si>
    <t>TAMMIE</t>
  </si>
  <si>
    <t>3G54-E09-RP74</t>
  </si>
  <si>
    <t>5cn5-g40-xe82</t>
  </si>
  <si>
    <t>Weingartz</t>
  </si>
  <si>
    <t>4W66-M53-XP46</t>
  </si>
  <si>
    <t>QUINONEZ</t>
  </si>
  <si>
    <t>6WU7-PU6-ET50</t>
  </si>
  <si>
    <t>Humphries</t>
  </si>
  <si>
    <t>5XG7-UW2-EN54</t>
  </si>
  <si>
    <t>Mona</t>
  </si>
  <si>
    <t>4CC4-UF3-PH06</t>
  </si>
  <si>
    <t>6AQ3-W06-YJ60</t>
  </si>
  <si>
    <t>5A35-DA1-GW79</t>
  </si>
  <si>
    <t>BRYERTON</t>
  </si>
  <si>
    <t>5DC3-DP3-MU85</t>
  </si>
  <si>
    <t>GARRETT</t>
  </si>
  <si>
    <t>2DE7-TY6-HV60</t>
  </si>
  <si>
    <t>Gossett JR</t>
  </si>
  <si>
    <t>5jw2-fq9-kv82</t>
  </si>
  <si>
    <t>MITCHAM</t>
  </si>
  <si>
    <t>8M30-QW2-HP03</t>
  </si>
  <si>
    <t>Warner</t>
  </si>
  <si>
    <t>5T54-J85-AC84</t>
  </si>
  <si>
    <t>Demetria</t>
  </si>
  <si>
    <t>Foston</t>
  </si>
  <si>
    <t>6P56-CQ1-YT88</t>
  </si>
  <si>
    <t>SHIRLYN</t>
  </si>
  <si>
    <t>RENDER</t>
  </si>
  <si>
    <t>9T25-JN2-QG56</t>
  </si>
  <si>
    <t>7MP6-NH1-CX78</t>
  </si>
  <si>
    <t>8GQ7-V69-DC52</t>
  </si>
  <si>
    <t>Malone</t>
  </si>
  <si>
    <t>5U50-NH8-RT18</t>
  </si>
  <si>
    <t>OLEATER</t>
  </si>
  <si>
    <t>3NW8-XQ6-UJ33</t>
  </si>
  <si>
    <t>CIERS</t>
  </si>
  <si>
    <t>1K52-QH5-HT80</t>
  </si>
  <si>
    <t>MAHNKE</t>
  </si>
  <si>
    <t>7RW5-U71-FP77</t>
  </si>
  <si>
    <t>Neva</t>
  </si>
  <si>
    <t>Brunton Groves</t>
  </si>
  <si>
    <t>4EJ3-JC1-PE89</t>
  </si>
  <si>
    <t>360-593-5558</t>
  </si>
  <si>
    <t>9XY5-UV3-VY77</t>
  </si>
  <si>
    <t>9JY1-AH1-MU33</t>
  </si>
  <si>
    <t>SCHMIDT</t>
  </si>
  <si>
    <t>4D37-VY4-KE74</t>
  </si>
  <si>
    <t>Sally</t>
  </si>
  <si>
    <t>9HX5-Y01-VD79</t>
  </si>
  <si>
    <t>5PM4-NV1-WY67</t>
  </si>
  <si>
    <t>KEATON</t>
  </si>
  <si>
    <t>1WM9-EC3-UG13</t>
  </si>
  <si>
    <t>Nadine</t>
  </si>
  <si>
    <t>6F04-M49-GH74</t>
  </si>
  <si>
    <t>Xipolitas</t>
  </si>
  <si>
    <t>9F63-HC1-RX12</t>
  </si>
  <si>
    <t>Cosby</t>
  </si>
  <si>
    <t>3F51-AF6-YF18</t>
  </si>
  <si>
    <t>5V42-UV9-GY82</t>
  </si>
  <si>
    <t>Carlton</t>
  </si>
  <si>
    <t>Londeree</t>
  </si>
  <si>
    <t>7TR3-YW5-DG97</t>
  </si>
  <si>
    <t>Boss</t>
  </si>
  <si>
    <t>8GE2-R70-PM81</t>
  </si>
  <si>
    <t>CARRIGAN</t>
  </si>
  <si>
    <t>7GT1-D68-GR26</t>
  </si>
  <si>
    <t>4q50-px0-ud36</t>
  </si>
  <si>
    <t>DANA</t>
  </si>
  <si>
    <t>7jm4-n05-pw65</t>
  </si>
  <si>
    <t>Hurley</t>
  </si>
  <si>
    <t>4KJ2-JT1-WJ93</t>
  </si>
  <si>
    <t>513-420-7581</t>
  </si>
  <si>
    <t>Jerri</t>
  </si>
  <si>
    <t>Engle</t>
  </si>
  <si>
    <t>9G24-T84-KK99</t>
  </si>
  <si>
    <t>Miles Brooks</t>
  </si>
  <si>
    <t>2NR0-D87-GP13</t>
  </si>
  <si>
    <t>Hyman</t>
  </si>
  <si>
    <t>1DG6-FM7-PR47</t>
  </si>
  <si>
    <t>Lou</t>
  </si>
  <si>
    <t>8Y96-AK1-AF52</t>
  </si>
  <si>
    <t>(918) 235-1271</t>
  </si>
  <si>
    <t>STRMAC</t>
  </si>
  <si>
    <t>2VQ0-D16-WF45</t>
  </si>
  <si>
    <t>MELANIE</t>
  </si>
  <si>
    <t>ARMSTRONG</t>
  </si>
  <si>
    <t>7VM7-MF9-GT32</t>
  </si>
  <si>
    <t>Wytroval</t>
  </si>
  <si>
    <t>1RJ5-ED6-UD68</t>
  </si>
  <si>
    <t>TERYL</t>
  </si>
  <si>
    <t>BENTLEY</t>
  </si>
  <si>
    <t>3M13-FE0-PK88</t>
  </si>
  <si>
    <t>TWISS</t>
  </si>
  <si>
    <t>9C66-R59-WJ82</t>
  </si>
  <si>
    <t>Valeria</t>
  </si>
  <si>
    <t>9WU7-M74-RT60</t>
  </si>
  <si>
    <t>Atkins</t>
  </si>
  <si>
    <t>5ND4-GX5-WT95</t>
  </si>
  <si>
    <t>2MX4-WC1-AN77</t>
  </si>
  <si>
    <t>VALYS</t>
  </si>
  <si>
    <t>LAW</t>
  </si>
  <si>
    <t>7K23-NX7-XE13</t>
  </si>
  <si>
    <t>Vidal</t>
  </si>
  <si>
    <t>8FW2-DG9-EJ12</t>
  </si>
  <si>
    <t>8CD2-G86-KJ70</t>
  </si>
  <si>
    <t>3J83-CU4-UP88</t>
  </si>
  <si>
    <t>Wicklund</t>
  </si>
  <si>
    <t>6FA6-UW7-PQ41</t>
  </si>
  <si>
    <t>MARCELLOUS</t>
  </si>
  <si>
    <t>4F05-PN5-QD61</t>
  </si>
  <si>
    <t>Rosenbalm</t>
  </si>
  <si>
    <t>7EY9-F49-ER21</t>
  </si>
  <si>
    <t>WORTMAN</t>
  </si>
  <si>
    <t>2cu0-w26-na24</t>
  </si>
  <si>
    <t>MCDADE</t>
  </si>
  <si>
    <t>8NR6-A93-JG66</t>
  </si>
  <si>
    <t>Jeannette</t>
  </si>
  <si>
    <t>7XC6-EE8-NP41</t>
  </si>
  <si>
    <t>4MR5-X03-HA82</t>
  </si>
  <si>
    <t>PERALTA</t>
  </si>
  <si>
    <t>5TF3-U87-DR76</t>
  </si>
  <si>
    <t>BELIA</t>
  </si>
  <si>
    <t>9RD6-W84-YC42</t>
  </si>
  <si>
    <t>(623) 227-9995</t>
  </si>
  <si>
    <t>2MQ2-W37-QY29</t>
  </si>
  <si>
    <t>Pretz</t>
  </si>
  <si>
    <t>6MK8-C07-WW64</t>
  </si>
  <si>
    <t>Tina Marie</t>
  </si>
  <si>
    <t>Hamby</t>
  </si>
  <si>
    <t>8XX5-HU9-EJ93</t>
  </si>
  <si>
    <t>2U83-KF7-MK85</t>
  </si>
  <si>
    <t>BRANFORD</t>
  </si>
  <si>
    <t>2M79-C74-QQ18</t>
  </si>
  <si>
    <t>WEBER</t>
  </si>
  <si>
    <t>6pk6-eq3-rg72</t>
  </si>
  <si>
    <t>8DT3-F18-RH89</t>
  </si>
  <si>
    <t>Chadwick</t>
  </si>
  <si>
    <t>6N68-HF2-DV21</t>
  </si>
  <si>
    <t>VANOVER</t>
  </si>
  <si>
    <t>4UP1-FE0-NV16</t>
  </si>
  <si>
    <t>Dantzler</t>
  </si>
  <si>
    <t>Haywood</t>
  </si>
  <si>
    <t>6AC7-GH4-HY59</t>
  </si>
  <si>
    <t>2ru2-kh9-qa84</t>
  </si>
  <si>
    <t>7N96-F89-XY76</t>
  </si>
  <si>
    <t>ADAIR</t>
  </si>
  <si>
    <t>4QU8-Y94-EN44</t>
  </si>
  <si>
    <t>9H93-MF8-HA08</t>
  </si>
  <si>
    <t>(623) 418-8387</t>
  </si>
  <si>
    <t>PHENIE</t>
  </si>
  <si>
    <t>GOUGH</t>
  </si>
  <si>
    <t>9kx5-mh4-cm56</t>
  </si>
  <si>
    <t>Napitupulu</t>
  </si>
  <si>
    <t>8y93-y99-nf82</t>
  </si>
  <si>
    <t>Dejolie</t>
  </si>
  <si>
    <t>7J35-UY7-GJ89</t>
  </si>
  <si>
    <t>MONROE</t>
  </si>
  <si>
    <t>3RC1-H61-MD22</t>
  </si>
  <si>
    <t>9N85-QK7-PD99</t>
  </si>
  <si>
    <t>Ballard III</t>
  </si>
  <si>
    <t>5D97-YG2-GT52</t>
  </si>
  <si>
    <t>Carlis</t>
  </si>
  <si>
    <t>Vanover</t>
  </si>
  <si>
    <t>6JJ3-JP4-YD60</t>
  </si>
  <si>
    <t>Berla</t>
  </si>
  <si>
    <t>Bingham</t>
  </si>
  <si>
    <t>7rq5-yd2-vx99</t>
  </si>
  <si>
    <t>FRANSISCA</t>
  </si>
  <si>
    <t>HASKELL</t>
  </si>
  <si>
    <t>5K55-NW7-EF98</t>
  </si>
  <si>
    <t>Phillis</t>
  </si>
  <si>
    <t>Jim</t>
  </si>
  <si>
    <t>7wd6-je1-wh76</t>
  </si>
  <si>
    <t>Debborah</t>
  </si>
  <si>
    <t>Byrd</t>
  </si>
  <si>
    <t>4PD5-WM5-TE64</t>
  </si>
  <si>
    <t>Loze</t>
  </si>
  <si>
    <t>7HE5-QF4-JW79</t>
  </si>
  <si>
    <t>Tiera</t>
  </si>
  <si>
    <t>CHATAIGNIER</t>
  </si>
  <si>
    <t>7R41-E11-RQ25</t>
  </si>
  <si>
    <t>IDA</t>
  </si>
  <si>
    <t>5VJ1-PX1-UR20</t>
  </si>
  <si>
    <t>Renita</t>
  </si>
  <si>
    <t>Freeman</t>
  </si>
  <si>
    <t>5F03-A11-UG04</t>
  </si>
  <si>
    <t>(971) 409-8075</t>
  </si>
  <si>
    <t>ASHER</t>
  </si>
  <si>
    <t>4GK2-HW9-FX95</t>
  </si>
  <si>
    <t>Jocelyn</t>
  </si>
  <si>
    <t>Hannah</t>
  </si>
  <si>
    <t>1QW8-MW8-WE29</t>
  </si>
  <si>
    <t>Boldman</t>
  </si>
  <si>
    <t>3WA8-XJ1-FF23</t>
  </si>
  <si>
    <t>MOFFATT</t>
  </si>
  <si>
    <t>2EN8-JC5-HF63</t>
  </si>
  <si>
    <t>FRICKER</t>
  </si>
  <si>
    <t>5PE1-Y45-DA32</t>
  </si>
  <si>
    <t>Carnes</t>
  </si>
  <si>
    <t>5X41-UD6-NY01</t>
  </si>
  <si>
    <t>NADEAN</t>
  </si>
  <si>
    <t>IGIELSKI</t>
  </si>
  <si>
    <t>6W24-PX3-KU86</t>
  </si>
  <si>
    <t>Garry</t>
  </si>
  <si>
    <t>Love</t>
  </si>
  <si>
    <t>7UA3-JT4-QK97</t>
  </si>
  <si>
    <t>2XD1-MT2-QW80</t>
  </si>
  <si>
    <t>7F87-C68-YC78</t>
  </si>
  <si>
    <t>7MM7-YR2-GE31</t>
  </si>
  <si>
    <t>Drew</t>
  </si>
  <si>
    <t>Hopper</t>
  </si>
  <si>
    <t>9MT7-W91-UU40</t>
  </si>
  <si>
    <t>4QD7-KU9-KX59</t>
  </si>
  <si>
    <t>8YA7-AX4-KN49</t>
  </si>
  <si>
    <t>McNerney</t>
  </si>
  <si>
    <t>2J89-ER9-UP28</t>
  </si>
  <si>
    <t>5RW1-UC3-KU91</t>
  </si>
  <si>
    <t>9M07-PJ6-KU64</t>
  </si>
  <si>
    <t>5U34-DV2-PT06</t>
  </si>
  <si>
    <t>Butler II</t>
  </si>
  <si>
    <t>6UC3-TR9-EK08</t>
  </si>
  <si>
    <t>6PW4-NW0-UX64</t>
  </si>
  <si>
    <t>Dunlevy</t>
  </si>
  <si>
    <t>8R24-MA0-MP72</t>
  </si>
  <si>
    <t>1AE0-JQ9-QR15</t>
  </si>
  <si>
    <t>BONNER</t>
  </si>
  <si>
    <t>1ER7-VN4-PW49</t>
  </si>
  <si>
    <t>7R75-EA6-MD60</t>
  </si>
  <si>
    <t>Vanburen</t>
  </si>
  <si>
    <t>1QK1-RN8-AU11</t>
  </si>
  <si>
    <t>3FC4-JY2-VU65</t>
  </si>
  <si>
    <t>2D55-K65-YD85</t>
  </si>
  <si>
    <t>Camille</t>
  </si>
  <si>
    <t>3DP1-GM0-JR33</t>
  </si>
  <si>
    <t>Hilton</t>
  </si>
  <si>
    <t>David Hilton</t>
  </si>
  <si>
    <t>Price</t>
  </si>
  <si>
    <t>9ET4-KF5-UY82</t>
  </si>
  <si>
    <t>MARKER</t>
  </si>
  <si>
    <t>6QU1-AT2-FD16</t>
  </si>
  <si>
    <t>Marker</t>
  </si>
  <si>
    <t>1xv7-kw3-ek33</t>
  </si>
  <si>
    <t>(937) 336-4336</t>
  </si>
  <si>
    <t>Pusey</t>
  </si>
  <si>
    <t>7w22-we5-mj18</t>
  </si>
  <si>
    <t>Westerfield</t>
  </si>
  <si>
    <t>2WC7-A64-FK50</t>
  </si>
  <si>
    <t>5FM4-E71-AP79</t>
  </si>
  <si>
    <t>8TC3-YT3-CU75</t>
  </si>
  <si>
    <t>BRICE</t>
  </si>
  <si>
    <t>2h99-nw1-gy17</t>
  </si>
  <si>
    <t>TUPPER</t>
  </si>
  <si>
    <t>9FT1-GH9-TN93</t>
  </si>
  <si>
    <t>4EF8-C73-TK41</t>
  </si>
  <si>
    <t>Jerlean</t>
  </si>
  <si>
    <t>Mckiver</t>
  </si>
  <si>
    <t>2TJ8-P14-QN26</t>
  </si>
  <si>
    <t>2D46-CF5-AF76</t>
  </si>
  <si>
    <t>Vickie</t>
  </si>
  <si>
    <t>Beckham</t>
  </si>
  <si>
    <t>5AM5-X26-HP89</t>
  </si>
  <si>
    <t>3GQ8-U72-KX29</t>
  </si>
  <si>
    <t>Kachar</t>
  </si>
  <si>
    <t>9KC7-UP8-MT54</t>
  </si>
  <si>
    <t>4q60-n37-nt30</t>
  </si>
  <si>
    <t>Karon</t>
  </si>
  <si>
    <t>5Y81-EK4-FM26</t>
  </si>
  <si>
    <t>5f64-dk5-ex02</t>
  </si>
  <si>
    <t>DAVID V</t>
  </si>
  <si>
    <t>THORNTON</t>
  </si>
  <si>
    <t>9XU7-E96-UD46</t>
  </si>
  <si>
    <t>1N59-QY9-HA44</t>
  </si>
  <si>
    <t>MALMGREM</t>
  </si>
  <si>
    <t>8A06-NJ9-RX87</t>
  </si>
  <si>
    <t>Bianco</t>
  </si>
  <si>
    <t>8R85-VJ9-XF61</t>
  </si>
  <si>
    <t>7w82-cg2-rc70</t>
  </si>
  <si>
    <t>VOEGELE</t>
  </si>
  <si>
    <t>4HX9-K54-HD19</t>
  </si>
  <si>
    <t>9HQ7-RA7-QF45</t>
  </si>
  <si>
    <t>Cimirro</t>
  </si>
  <si>
    <t>6J85-EV9-DM96</t>
  </si>
  <si>
    <t>3EE0-E58-UC23</t>
  </si>
  <si>
    <t>REVALEE</t>
  </si>
  <si>
    <t>CROWSING</t>
  </si>
  <si>
    <t>9JM7-XU3-YA50</t>
  </si>
  <si>
    <t>VENITA</t>
  </si>
  <si>
    <t>5X12-YD7-EE83</t>
  </si>
  <si>
    <t>2F80-U49-CT21</t>
  </si>
  <si>
    <t>3UQ5-NY0-QW78</t>
  </si>
  <si>
    <t>GILLS</t>
  </si>
  <si>
    <t>7pp0-yj9-rd42</t>
  </si>
  <si>
    <t>Vargas</t>
  </si>
  <si>
    <t>8X13-D92-KY89</t>
  </si>
  <si>
    <t>NAUGHTON</t>
  </si>
  <si>
    <t>4y15-ja9-gv86</t>
  </si>
  <si>
    <t>ZINSER</t>
  </si>
  <si>
    <t>1E88-VJ9-TG42</t>
  </si>
  <si>
    <t>Baca</t>
  </si>
  <si>
    <t>5A57-EY8-UF68</t>
  </si>
  <si>
    <t>Danielson</t>
  </si>
  <si>
    <t>5J52-Y44-UT08</t>
  </si>
  <si>
    <t>3D91-M02-CY07</t>
  </si>
  <si>
    <t>BLANCHARD</t>
  </si>
  <si>
    <t>4nv8-aj8-jd66</t>
  </si>
  <si>
    <t>Ogle</t>
  </si>
  <si>
    <t>4mj8-k89-gg21</t>
  </si>
  <si>
    <t>1fm7-rt3-rn20</t>
  </si>
  <si>
    <t>Rosanna</t>
  </si>
  <si>
    <t>Lanetta</t>
  </si>
  <si>
    <t>4RG7-TD3-PA64</t>
  </si>
  <si>
    <t>ROSANGELA</t>
  </si>
  <si>
    <t>8UD4-D64-XF84</t>
  </si>
  <si>
    <t>Ahart</t>
  </si>
  <si>
    <t>2R11-DH5-RU15</t>
  </si>
  <si>
    <t>7V84-H81-TU72</t>
  </si>
  <si>
    <t>LOURDES</t>
  </si>
  <si>
    <t>RIVAS</t>
  </si>
  <si>
    <t>1JC5-T85-VM99</t>
  </si>
  <si>
    <t>Hettinger</t>
  </si>
  <si>
    <t>9WF3-Q17-EK91</t>
  </si>
  <si>
    <t>4KN4-EJ2-AJ66</t>
  </si>
  <si>
    <t>Powell</t>
  </si>
  <si>
    <t>Matthew Powell</t>
  </si>
  <si>
    <t>4X81-YJ1-XC28</t>
  </si>
  <si>
    <t>Ferry</t>
  </si>
  <si>
    <t>3JU1-F94-XT80</t>
  </si>
  <si>
    <t>Sanderson</t>
  </si>
  <si>
    <t>4G94-RT8-JM77</t>
  </si>
  <si>
    <t>PHARBOO</t>
  </si>
  <si>
    <t>MANGAROO</t>
  </si>
  <si>
    <t>5EJ4-HV3-VY04</t>
  </si>
  <si>
    <t>1AX6-PU0-NH43</t>
  </si>
  <si>
    <t>9KN4-QU8-QK67</t>
  </si>
  <si>
    <t>4U35-WR5-XQ54</t>
  </si>
  <si>
    <t>Parker</t>
  </si>
  <si>
    <t>9P77-NN7-DH72</t>
  </si>
  <si>
    <t>Juan</t>
  </si>
  <si>
    <t>8YH4-CN8-FC06</t>
  </si>
  <si>
    <t>6km2-jk1-kh94</t>
  </si>
  <si>
    <t>7CQ3-PP5-FX89</t>
  </si>
  <si>
    <t>9JP6-X50-NU74</t>
  </si>
  <si>
    <t>Riggs</t>
  </si>
  <si>
    <t>7T81-X55-GE29</t>
  </si>
  <si>
    <t>7J63V80NM14</t>
  </si>
  <si>
    <t>Leas</t>
  </si>
  <si>
    <t>7FK2-TQ9-RU82</t>
  </si>
  <si>
    <t>LaMont</t>
  </si>
  <si>
    <t>CODDINGTON</t>
  </si>
  <si>
    <t>5HF5-KG3-UT67</t>
  </si>
  <si>
    <t>Kyer</t>
  </si>
  <si>
    <t>6hg2-wh3-ht98</t>
  </si>
  <si>
    <t>WANSTRATH</t>
  </si>
  <si>
    <t>7JU0-XY4-MX22</t>
  </si>
  <si>
    <t>Jason</t>
  </si>
  <si>
    <t>Franz</t>
  </si>
  <si>
    <t>6GY9-PU7-CN00</t>
  </si>
  <si>
    <t>BLOUGH</t>
  </si>
  <si>
    <t>2V55-AW4-CU99</t>
  </si>
  <si>
    <t>Autman</t>
  </si>
  <si>
    <t>1KY9-D84-JA30</t>
  </si>
  <si>
    <t>JANKA</t>
  </si>
  <si>
    <t>6MX6-C07-AN57</t>
  </si>
  <si>
    <t>Gracie</t>
  </si>
  <si>
    <t>Wells</t>
  </si>
  <si>
    <t>8v60-kj1-tw02</t>
  </si>
  <si>
    <t>LUISA</t>
  </si>
  <si>
    <t>TORRENT</t>
  </si>
  <si>
    <t>2E11-CM6-TQ32</t>
  </si>
  <si>
    <t>4XW6-Q36-EJ63</t>
  </si>
  <si>
    <t>Lefall</t>
  </si>
  <si>
    <t>6V62-RG5-JY84</t>
  </si>
  <si>
    <t>Randolph</t>
  </si>
  <si>
    <t>3Q48-DJ8-CY22</t>
  </si>
  <si>
    <t>2C68-D33-NN45</t>
  </si>
  <si>
    <t>Butcher</t>
  </si>
  <si>
    <t>3KD9-KD3-QV17</t>
  </si>
  <si>
    <t>Nedra</t>
  </si>
  <si>
    <t>4FH5-A18-NT79</t>
  </si>
  <si>
    <t>HOLAWAY</t>
  </si>
  <si>
    <t>9CY6-JF9-QM77</t>
  </si>
  <si>
    <t>Camacho</t>
  </si>
  <si>
    <t>4pg6-g17-qj61</t>
  </si>
  <si>
    <t>KUELBS</t>
  </si>
  <si>
    <t>1GH1-MA9-EY14</t>
  </si>
  <si>
    <t>STRAWN</t>
  </si>
  <si>
    <t>2UC3-RT1-HD82</t>
  </si>
  <si>
    <t>Neff</t>
  </si>
  <si>
    <t>5pp1-mk0-my99</t>
  </si>
  <si>
    <t>NORDSTROM</t>
  </si>
  <si>
    <t>9CG3-YH8-JY02</t>
  </si>
  <si>
    <t>1MU3-ET0-XA84</t>
  </si>
  <si>
    <t>Inherst</t>
  </si>
  <si>
    <t>3G26-FD1-XK79</t>
  </si>
  <si>
    <t>HAMMES</t>
  </si>
  <si>
    <t>6cu4-cu7-ma83</t>
  </si>
  <si>
    <t>Maude</t>
  </si>
  <si>
    <t>4CV7-QR7-WR60</t>
  </si>
  <si>
    <t>KLUENDER</t>
  </si>
  <si>
    <t>9QJ7-YV4-HP37</t>
  </si>
  <si>
    <t>Garner</t>
  </si>
  <si>
    <t>1AT2-T83-XM01</t>
  </si>
  <si>
    <t>Cecilia</t>
  </si>
  <si>
    <t>Forsythe</t>
  </si>
  <si>
    <t>7CE7-R50-DH67</t>
  </si>
  <si>
    <t>4TU6-R10-EF58</t>
  </si>
  <si>
    <t>Jimenez</t>
  </si>
  <si>
    <t>4R28-F55-MP52</t>
  </si>
  <si>
    <t>Brick</t>
  </si>
  <si>
    <t>Kyle</t>
  </si>
  <si>
    <t>9F26-U81-MX89</t>
  </si>
  <si>
    <t>1AW5-Q75-KG91</t>
  </si>
  <si>
    <t>Bjorn</t>
  </si>
  <si>
    <t>6KG1-W13-MP25</t>
  </si>
  <si>
    <t>Luiz</t>
  </si>
  <si>
    <t>1EC1-E60-XH96</t>
  </si>
  <si>
    <t>4G39-CP6-PH10</t>
  </si>
  <si>
    <t>Gersch</t>
  </si>
  <si>
    <t>2QA7-AU6-PY50</t>
  </si>
  <si>
    <t>1WT4-H48-WR76</t>
  </si>
  <si>
    <t>Vega</t>
  </si>
  <si>
    <t>7WP7-FC6-RX40</t>
  </si>
  <si>
    <t>Vaage III</t>
  </si>
  <si>
    <t>4UM1-DH3-NX96</t>
  </si>
  <si>
    <t>Nolan</t>
  </si>
  <si>
    <t>3n18-xx9-jg35</t>
  </si>
  <si>
    <t>6VH8-UP8-AQ37</t>
  </si>
  <si>
    <t>Crum</t>
  </si>
  <si>
    <t>4MP5-UM1-XV85</t>
  </si>
  <si>
    <t>Schreiber</t>
  </si>
  <si>
    <t>3DN2-GG4-QM98</t>
  </si>
  <si>
    <t>Francine</t>
  </si>
  <si>
    <t>1FN8-X62-HJ46</t>
  </si>
  <si>
    <t>bell</t>
  </si>
  <si>
    <t>6EV7-V77-FR20</t>
  </si>
  <si>
    <t>870-635-3311</t>
  </si>
  <si>
    <t>IDALINA</t>
  </si>
  <si>
    <t>KOONCE</t>
  </si>
  <si>
    <t>3ch2-dg2-dd07</t>
  </si>
  <si>
    <t>PITT</t>
  </si>
  <si>
    <t>9YX2-RU1-HP28</t>
  </si>
  <si>
    <t>Zwick</t>
  </si>
  <si>
    <t>4F88-MY2-MD58</t>
  </si>
  <si>
    <t>Enders</t>
  </si>
  <si>
    <t>7mr0-dq5-xr05</t>
  </si>
  <si>
    <t>MINNIE</t>
  </si>
  <si>
    <t>1D87-FC3-PC77</t>
  </si>
  <si>
    <t>FLINT</t>
  </si>
  <si>
    <t>HARRIMAN</t>
  </si>
  <si>
    <t>1P17-Q49-JW76</t>
  </si>
  <si>
    <t>Sandifer</t>
  </si>
  <si>
    <t>5y78-jp4-pj23</t>
  </si>
  <si>
    <t>DORN</t>
  </si>
  <si>
    <t>4qp8-xg1-pk30</t>
  </si>
  <si>
    <t>1D86-QJ9-GP50</t>
  </si>
  <si>
    <t>9KX0-A04-MJ24</t>
  </si>
  <si>
    <t>Furlow</t>
  </si>
  <si>
    <t>Angelica</t>
  </si>
  <si>
    <t>Holloway</t>
  </si>
  <si>
    <t>7PG3-KM5-UC05</t>
  </si>
  <si>
    <t>7PN5-CA6-MA89</t>
  </si>
  <si>
    <t>Hughes</t>
  </si>
  <si>
    <t>3GH1-DT9-FA15</t>
  </si>
  <si>
    <t>Salvatore</t>
  </si>
  <si>
    <t>Paczkowski</t>
  </si>
  <si>
    <t>3EM0-EG2-JW45</t>
  </si>
  <si>
    <t>7T40-UY2-VX11</t>
  </si>
  <si>
    <t>Sledge</t>
  </si>
  <si>
    <t>6JU3-KE6-QQ06</t>
  </si>
  <si>
    <t>Urbina</t>
  </si>
  <si>
    <t>1MF7-N40-KE65</t>
  </si>
  <si>
    <t>Vanzant</t>
  </si>
  <si>
    <t>7M02-P23-UR82</t>
  </si>
  <si>
    <t>Carnell</t>
  </si>
  <si>
    <t>Bozeman</t>
  </si>
  <si>
    <t>8x01-fg2-fg14</t>
  </si>
  <si>
    <t>Mikesh</t>
  </si>
  <si>
    <t>7D13-C58-AH16</t>
  </si>
  <si>
    <t>Fakondo</t>
  </si>
  <si>
    <t>2MT6-YY1-DV59</t>
  </si>
  <si>
    <t>5NP1-AP6-VG35</t>
  </si>
  <si>
    <t>SCHWIER</t>
  </si>
  <si>
    <t>1ND7-Q99-QN31</t>
  </si>
  <si>
    <t>TED</t>
  </si>
  <si>
    <t>RUDD</t>
  </si>
  <si>
    <t>8K49-FK5-CF56</t>
  </si>
  <si>
    <t>GULLEDGE</t>
  </si>
  <si>
    <t>1DY2-Q14-NY87</t>
  </si>
  <si>
    <t>9F21-VF8-YX09</t>
  </si>
  <si>
    <t>Stratis</t>
  </si>
  <si>
    <t>1F91-V64-WX36</t>
  </si>
  <si>
    <t>NICHOLSON</t>
  </si>
  <si>
    <t>3ED2-JV4-UK10</t>
  </si>
  <si>
    <t>WILVESTER</t>
  </si>
  <si>
    <t>7JH6-G95-PC65</t>
  </si>
  <si>
    <t>Dukes</t>
  </si>
  <si>
    <t>5HE5-N36-JW99</t>
  </si>
  <si>
    <t>Left</t>
  </si>
  <si>
    <t>2gc3-md9-ce92</t>
  </si>
  <si>
    <t>MALLOY</t>
  </si>
  <si>
    <t>5R85-V20-EM86</t>
  </si>
  <si>
    <t>8QG4-QN9-UQ06</t>
  </si>
  <si>
    <t>Liggett</t>
  </si>
  <si>
    <t>9XR1-WG6-EP03</t>
  </si>
  <si>
    <t>Draper</t>
  </si>
  <si>
    <t>7TP3-M59-DJ07</t>
  </si>
  <si>
    <t>Kolesarek</t>
  </si>
  <si>
    <t>3JA2-Q67-VP29</t>
  </si>
  <si>
    <t>7k65-q44-cc56</t>
  </si>
  <si>
    <t>Witte</t>
  </si>
  <si>
    <t>1PK9-XQ8-JC57</t>
  </si>
  <si>
    <t>Palmer</t>
  </si>
  <si>
    <t>6CK8-UE7-AX45</t>
  </si>
  <si>
    <t>6GV8-DQ2-AV41</t>
  </si>
  <si>
    <t>OVA</t>
  </si>
  <si>
    <t>LANHAM</t>
  </si>
  <si>
    <t>9MA5-M62-UE82</t>
  </si>
  <si>
    <t>Melody</t>
  </si>
  <si>
    <t>McLaren</t>
  </si>
  <si>
    <t>3PH3-JJ5-DH91</t>
  </si>
  <si>
    <t>FANCHAN</t>
  </si>
  <si>
    <t>7ww2-xv5-kp17</t>
  </si>
  <si>
    <t>Segan</t>
  </si>
  <si>
    <t>2RN3-QW1-NE82</t>
  </si>
  <si>
    <t>Olson</t>
  </si>
  <si>
    <t>9WF6-W75-FA73</t>
  </si>
  <si>
    <t>ATEN</t>
  </si>
  <si>
    <t>2WJ0-T62-WA06</t>
  </si>
  <si>
    <t>4DC4-EA8-GQ82</t>
  </si>
  <si>
    <t>Becton</t>
  </si>
  <si>
    <t>Shicora</t>
  </si>
  <si>
    <t>7PW0-J10-YR19</t>
  </si>
  <si>
    <t>314-441-8309</t>
  </si>
  <si>
    <t>Schoonrok</t>
  </si>
  <si>
    <t>6YM3-R71-TX96</t>
  </si>
  <si>
    <t>(602) 515-2374</t>
  </si>
  <si>
    <t>STUBBLEFIELD</t>
  </si>
  <si>
    <t>8A73-VD2-CX74</t>
  </si>
  <si>
    <t>GOATCHER</t>
  </si>
  <si>
    <t>1KY1-H34-PK16</t>
  </si>
  <si>
    <t>Lantz</t>
  </si>
  <si>
    <t>6QM4-JM0-RV93</t>
  </si>
  <si>
    <t>JODY</t>
  </si>
  <si>
    <t>HONEYSETTE</t>
  </si>
  <si>
    <t>4UH1-J85-YA15</t>
  </si>
  <si>
    <t>Freemyer</t>
  </si>
  <si>
    <t>5YR9-P27-MY51</t>
  </si>
  <si>
    <t>VALDEZ BELTRAN</t>
  </si>
  <si>
    <t>5MP4-XP0-AW67</t>
  </si>
  <si>
    <t>HITCHCOCK</t>
  </si>
  <si>
    <t>6Y06-HQ7-NR82</t>
  </si>
  <si>
    <t>Wines</t>
  </si>
  <si>
    <t>7we8-k34-ea22</t>
  </si>
  <si>
    <t>Claudette</t>
  </si>
  <si>
    <t>Beckford</t>
  </si>
  <si>
    <t>2Y18-ET9-YP51</t>
  </si>
  <si>
    <t>Gayle</t>
  </si>
  <si>
    <t>Coffie</t>
  </si>
  <si>
    <t>5AR5-JT1-CF95</t>
  </si>
  <si>
    <t>URSULA</t>
  </si>
  <si>
    <t>3Y72-RV4-MH21</t>
  </si>
  <si>
    <t>ROCHANN</t>
  </si>
  <si>
    <t>6aj5-v06-yj53</t>
  </si>
  <si>
    <t>Creek</t>
  </si>
  <si>
    <t>2X22-MV1-JH17</t>
  </si>
  <si>
    <t>9VW9-PR6-VJ43</t>
  </si>
  <si>
    <t>KERRIE</t>
  </si>
  <si>
    <t>SAYER</t>
  </si>
  <si>
    <t>2A89-FK8-HE39</t>
  </si>
  <si>
    <t>4H55-VQ0-CY63</t>
  </si>
  <si>
    <t>BALLESTEROS</t>
  </si>
  <si>
    <t>9A74-G25-UD98</t>
  </si>
  <si>
    <t>7C81-AF4-XH93</t>
  </si>
  <si>
    <t>6M03-GH4-YV05</t>
  </si>
  <si>
    <t>Beckie</t>
  </si>
  <si>
    <t>5NM5-YQ1-TT52</t>
  </si>
  <si>
    <t>Elias</t>
  </si>
  <si>
    <t>4fx2-et7-yd19</t>
  </si>
  <si>
    <t>7WW5-HC8-AR59</t>
  </si>
  <si>
    <t>8XA1-D69-QT33</t>
  </si>
  <si>
    <t>2FY4-VV6-VJ85</t>
  </si>
  <si>
    <t>Soto</t>
  </si>
  <si>
    <t>1jt7-t60-qt56</t>
  </si>
  <si>
    <t>BARNES</t>
  </si>
  <si>
    <t>7kg6-q26-nq75</t>
  </si>
  <si>
    <t>ELAINA</t>
  </si>
  <si>
    <t>LIVA</t>
  </si>
  <si>
    <t>7jm8k40ke61</t>
  </si>
  <si>
    <t>Scribner</t>
  </si>
  <si>
    <t>6J26-R15-GK79</t>
  </si>
  <si>
    <t>6GV3-J46-XT09</t>
  </si>
  <si>
    <t>9M10-YK6-GQ12</t>
  </si>
  <si>
    <t>1P74-FA2-XP87</t>
  </si>
  <si>
    <t>8XM4-JR9-FJ95</t>
  </si>
  <si>
    <t>2JC0-F71-ME33</t>
  </si>
  <si>
    <t>ORLANDO</t>
  </si>
  <si>
    <t>1D97-NC7-UN20</t>
  </si>
  <si>
    <t>Segovia</t>
  </si>
  <si>
    <t>2M48-VF3-QV68</t>
  </si>
  <si>
    <t>2xc7-yj9-hw66</t>
  </si>
  <si>
    <t>HOLMAN</t>
  </si>
  <si>
    <t>6AE5-NM8-RT76</t>
  </si>
  <si>
    <t>Fredie</t>
  </si>
  <si>
    <t>6D32-M89-UA01</t>
  </si>
  <si>
    <t>Cantwell</t>
  </si>
  <si>
    <t>4Y87-K75-CH43</t>
  </si>
  <si>
    <t>CONTESSA</t>
  </si>
  <si>
    <t>1UH3-YF6-DE78</t>
  </si>
  <si>
    <t>Wortham</t>
  </si>
  <si>
    <t>4JP6-PR0-RW57</t>
  </si>
  <si>
    <t>Melendez</t>
  </si>
  <si>
    <t>1WT1-U85-EV00</t>
  </si>
  <si>
    <t>SHARGEL</t>
  </si>
  <si>
    <t>1YG6-F77-NX62</t>
  </si>
  <si>
    <t>Marsha</t>
  </si>
  <si>
    <t>3P54-Y93-TP04</t>
  </si>
  <si>
    <t>(234) 263-0609</t>
  </si>
  <si>
    <t>Florene</t>
  </si>
  <si>
    <t>Havier</t>
  </si>
  <si>
    <t>2gw7-du8-cv42</t>
  </si>
  <si>
    <t>9CQ2-CV1-TX89</t>
  </si>
  <si>
    <t>GREENFIELD</t>
  </si>
  <si>
    <t>8H32-RK1-UV28</t>
  </si>
  <si>
    <t>TOTH</t>
  </si>
  <si>
    <t>9XJ9-HJ2-HN16</t>
  </si>
  <si>
    <t>REID</t>
  </si>
  <si>
    <t>9FP4-T58-FF64</t>
  </si>
  <si>
    <t>1ry7-t61-mn20</t>
  </si>
  <si>
    <t>7V30-MW4-CW19</t>
  </si>
  <si>
    <t>Styles</t>
  </si>
  <si>
    <t>5xd7-qh7-pp32</t>
  </si>
  <si>
    <t>CONN</t>
  </si>
  <si>
    <t>5E15-J11-AW87</t>
  </si>
  <si>
    <t>HOOKER</t>
  </si>
  <si>
    <t>3XC6-TT7-DR73</t>
  </si>
  <si>
    <t>ZAMUDIO</t>
  </si>
  <si>
    <t>9T38-J88-ND64</t>
  </si>
  <si>
    <t>DUPUY</t>
  </si>
  <si>
    <t>MONCION</t>
  </si>
  <si>
    <t>6EM1-RJ5-XX96</t>
  </si>
  <si>
    <t>ZONNIE</t>
  </si>
  <si>
    <t>FORK</t>
  </si>
  <si>
    <t>4XT1-VK0-XH38</t>
  </si>
  <si>
    <t>Gladys</t>
  </si>
  <si>
    <t>1PN2-DT5-YA09</t>
  </si>
  <si>
    <t>Siegel</t>
  </si>
  <si>
    <t>6VE7-M78-TY41</t>
  </si>
  <si>
    <t>Gutierrez</t>
  </si>
  <si>
    <t>7RH9-XK6-AJ22</t>
  </si>
  <si>
    <t>Corcoran</t>
  </si>
  <si>
    <t>3CG1-UD4-CD36</t>
  </si>
  <si>
    <t>5WR6-HW2-UC53</t>
  </si>
  <si>
    <t>Cruz de Mendia</t>
  </si>
  <si>
    <t>8VQ7-WV4-XH66</t>
  </si>
  <si>
    <t>(520) 380-7347</t>
  </si>
  <si>
    <t>Dominic</t>
  </si>
  <si>
    <t>Ross</t>
  </si>
  <si>
    <t>6N55-EM9-KD86</t>
  </si>
  <si>
    <t>Alfonso</t>
  </si>
  <si>
    <t>Mendia</t>
  </si>
  <si>
    <t>1GV9-VR2-GP16</t>
  </si>
  <si>
    <t>KEARNEY</t>
  </si>
  <si>
    <t>6XW7-WA1-CG41</t>
  </si>
  <si>
    <t>rhamy</t>
  </si>
  <si>
    <t>4VW1-HF7-XA06</t>
  </si>
  <si>
    <t>SCHRANZ</t>
  </si>
  <si>
    <t>9JQ1-FY8-QU16</t>
  </si>
  <si>
    <t>PRESIDENT</t>
  </si>
  <si>
    <t>7G52-Q02-FP15</t>
  </si>
  <si>
    <t>Redondo</t>
  </si>
  <si>
    <t>2R54-Q38-VG89</t>
  </si>
  <si>
    <t>9CW5-TD1-CA95</t>
  </si>
  <si>
    <t>Shoney</t>
  </si>
  <si>
    <t>3NP9-NW2-MK57</t>
  </si>
  <si>
    <t>Tabitha</t>
  </si>
  <si>
    <t>5N35-XE9-RV40</t>
  </si>
  <si>
    <t>5MD4-U02-TA71</t>
  </si>
  <si>
    <t>TUBBS</t>
  </si>
  <si>
    <t>2h50-w57-ec45</t>
  </si>
  <si>
    <t>5GG6-HC9-DY53</t>
  </si>
  <si>
    <t>Gray</t>
  </si>
  <si>
    <t>8G53-WP5-TP95</t>
  </si>
  <si>
    <t>Leigh</t>
  </si>
  <si>
    <t>8EU5-EG4-RW61</t>
  </si>
  <si>
    <t>Carman</t>
  </si>
  <si>
    <t>3Q21-QV2-EE24</t>
  </si>
  <si>
    <t>Spears</t>
  </si>
  <si>
    <t>7YK8-UD4-QW34</t>
  </si>
  <si>
    <t>1PX8-K66-DP40</t>
  </si>
  <si>
    <t>6PU8-AQ6-UA64</t>
  </si>
  <si>
    <t>(337) 241-2660</t>
  </si>
  <si>
    <t>8QF8-QT3-QP44</t>
  </si>
  <si>
    <t>Lira</t>
  </si>
  <si>
    <t>9WE7-Q08-PJ49</t>
  </si>
  <si>
    <t>(719) 551-7723</t>
  </si>
  <si>
    <t>MICHALE</t>
  </si>
  <si>
    <t>BOEBERT</t>
  </si>
  <si>
    <t>9N08-T19-XX27</t>
  </si>
  <si>
    <t>501-242-9376</t>
  </si>
  <si>
    <t>Regina</t>
  </si>
  <si>
    <t>7KU8-PA6-CF57</t>
  </si>
  <si>
    <t>HAWKE</t>
  </si>
  <si>
    <t>2NA3-YJ8-KW76</t>
  </si>
  <si>
    <t>Joshua</t>
  </si>
  <si>
    <t>7EQ6-QV9-MV47</t>
  </si>
  <si>
    <t>Frame</t>
  </si>
  <si>
    <t>6NJ0-NC8-FV22</t>
  </si>
  <si>
    <t>Lindstrom</t>
  </si>
  <si>
    <t>5EJ6-A07-TG61</t>
  </si>
  <si>
    <t>Gist</t>
  </si>
  <si>
    <t>9ry9-hr9-dv24</t>
  </si>
  <si>
    <t>Shearin JR</t>
  </si>
  <si>
    <t>1F02-FA8-JJ96</t>
  </si>
  <si>
    <t>CARPENA</t>
  </si>
  <si>
    <t>7JU1-W41-YX22</t>
  </si>
  <si>
    <t>POLITE</t>
  </si>
  <si>
    <t>7C73-E57-EP07</t>
  </si>
  <si>
    <t>Felipe</t>
  </si>
  <si>
    <t>Lavajos</t>
  </si>
  <si>
    <t>6G71-RM0-DJ13</t>
  </si>
  <si>
    <t>ROCCO</t>
  </si>
  <si>
    <t>PASSANTE</t>
  </si>
  <si>
    <t>2Q11-G46-JY19</t>
  </si>
  <si>
    <t>8DY2-R08-HA90</t>
  </si>
  <si>
    <t>3e85-y73-gj83</t>
  </si>
  <si>
    <t>8PJ5-JH0-RH52</t>
  </si>
  <si>
    <t>FAYE</t>
  </si>
  <si>
    <t>UNRUH</t>
  </si>
  <si>
    <t>4JA0-QM7-PH35</t>
  </si>
  <si>
    <t>DARCILENE</t>
  </si>
  <si>
    <t>APRILE</t>
  </si>
  <si>
    <t>9YP7-G88-DE63</t>
  </si>
  <si>
    <t>LESLEE</t>
  </si>
  <si>
    <t>CIEUTAT</t>
  </si>
  <si>
    <t>6TP4-HC3-CH96</t>
  </si>
  <si>
    <t>Guerrero</t>
  </si>
  <si>
    <t>5H27-X82-YW30</t>
  </si>
  <si>
    <t>Sauble</t>
  </si>
  <si>
    <t>6DM8-HC7-RP49</t>
  </si>
  <si>
    <t>Renee</t>
  </si>
  <si>
    <t>2UK0-VE3-VF41</t>
  </si>
  <si>
    <t>Ricardo</t>
  </si>
  <si>
    <t>Bara</t>
  </si>
  <si>
    <t>3k16-fp9-hx70</t>
  </si>
  <si>
    <t>2EU5-HA6-NT58</t>
  </si>
  <si>
    <t>BARRINGTON</t>
  </si>
  <si>
    <t>4td1-eq2-rv97</t>
  </si>
  <si>
    <t>Ellen</t>
  </si>
  <si>
    <t>9YD7-R33-CD63</t>
  </si>
  <si>
    <t>725-307-0372</t>
  </si>
  <si>
    <t>KARON</t>
  </si>
  <si>
    <t>KELLUM</t>
  </si>
  <si>
    <t>7V42-K17-ME96</t>
  </si>
  <si>
    <t>CHARTRAND</t>
  </si>
  <si>
    <t>1XF5-VH7-GQ55</t>
  </si>
  <si>
    <t>WHITSITT</t>
  </si>
  <si>
    <t>7QE1-Q54-WV28</t>
  </si>
  <si>
    <t>YUNK</t>
  </si>
  <si>
    <t>6R98-RA2-UM37</t>
  </si>
  <si>
    <t>Wilder</t>
  </si>
  <si>
    <t>2AF4-NJ8-UU98</t>
  </si>
  <si>
    <t>5W25-WN2-YJ58</t>
  </si>
  <si>
    <t>1KU3-DM2-CE07</t>
  </si>
  <si>
    <t>Wilton</t>
  </si>
  <si>
    <t>Bonds</t>
  </si>
  <si>
    <t>2YU4-XN2-RA64</t>
  </si>
  <si>
    <t>Marian</t>
  </si>
  <si>
    <t>Pablo</t>
  </si>
  <si>
    <t>1JN1-JK6-XE21</t>
  </si>
  <si>
    <t>Jimmy</t>
  </si>
  <si>
    <t>Masterson</t>
  </si>
  <si>
    <t>7J24-AK1-QT05</t>
  </si>
  <si>
    <t>Semler</t>
  </si>
  <si>
    <t>7K40-YE9-VV00</t>
  </si>
  <si>
    <t>Huff</t>
  </si>
  <si>
    <t>5JJ9-GU7-YH42</t>
  </si>
  <si>
    <t>Mendoza</t>
  </si>
  <si>
    <t>4A45-P75-XU40</t>
  </si>
  <si>
    <t>6TC2-WU2-NT94</t>
  </si>
  <si>
    <t>SPEED</t>
  </si>
  <si>
    <t>8KG5-V02-VK52</t>
  </si>
  <si>
    <t>Reardon</t>
  </si>
  <si>
    <t>5K39-NA8-KC53</t>
  </si>
  <si>
    <t>MARINO</t>
  </si>
  <si>
    <t>6TG1-EJ8-WW91</t>
  </si>
  <si>
    <t>LEHMAN</t>
  </si>
  <si>
    <t>9N15-VJ0-WH95</t>
  </si>
  <si>
    <t>Tate</t>
  </si>
  <si>
    <t>6YW7-H60-MU61</t>
  </si>
  <si>
    <t>DANON</t>
  </si>
  <si>
    <t>5k45jv4ev79</t>
  </si>
  <si>
    <t>Vincent</t>
  </si>
  <si>
    <t>2AM2-HA0-YU92</t>
  </si>
  <si>
    <t>4X30-EM4-KW19</t>
  </si>
  <si>
    <t>4ue5-qn6-tj89</t>
  </si>
  <si>
    <t>Sam</t>
  </si>
  <si>
    <t>Jacob</t>
  </si>
  <si>
    <t>8VK7-V85-CP68</t>
  </si>
  <si>
    <t>(561) 299-8794</t>
  </si>
  <si>
    <t>Alda</t>
  </si>
  <si>
    <t>Cirne</t>
  </si>
  <si>
    <t>6VE6-EW3-PV48</t>
  </si>
  <si>
    <t>STUMP</t>
  </si>
  <si>
    <t>2WR7-XE4-RV60</t>
  </si>
  <si>
    <t>GANN</t>
  </si>
  <si>
    <t>5CR0-KT8-AR35</t>
  </si>
  <si>
    <t>1xr0-ft5-rp23</t>
  </si>
  <si>
    <t>VONNIE</t>
  </si>
  <si>
    <t>2PH1-FY5-RJ12</t>
  </si>
  <si>
    <t>KYIA</t>
  </si>
  <si>
    <t>Ochoa</t>
  </si>
  <si>
    <t>5U29-CV5-XR34</t>
  </si>
  <si>
    <t>6VN9-T12-HT43</t>
  </si>
  <si>
    <t>MARCELLUS</t>
  </si>
  <si>
    <t>FULGHAM</t>
  </si>
  <si>
    <t>9D21-QU8-CH07</t>
  </si>
  <si>
    <t>Geronimo</t>
  </si>
  <si>
    <t>Gamez</t>
  </si>
  <si>
    <t>4RV7-P17-RQ76</t>
  </si>
  <si>
    <t>6YN9-YE9-RV35</t>
  </si>
  <si>
    <t>Redding</t>
  </si>
  <si>
    <t>4J23-TK1-QT05</t>
  </si>
  <si>
    <t>4QH2-MH5-CR90</t>
  </si>
  <si>
    <t>Ihms</t>
  </si>
  <si>
    <t>2P60-XF0-YR08</t>
  </si>
  <si>
    <t>Singleton</t>
  </si>
  <si>
    <t>7CP9-F32-KD42</t>
  </si>
  <si>
    <t>Alvin</t>
  </si>
  <si>
    <t>3QD9-AH5-PQ43</t>
  </si>
  <si>
    <t>BILLETDEAUX</t>
  </si>
  <si>
    <t>1KF6-QG7-HX81</t>
  </si>
  <si>
    <t>6DH5-A49-JN74</t>
  </si>
  <si>
    <t>8J60-D52-FQ17</t>
  </si>
  <si>
    <t>BEATRICE</t>
  </si>
  <si>
    <t>LASTER</t>
  </si>
  <si>
    <t>5MU7-H86-TW51</t>
  </si>
  <si>
    <t>9ME8-AP2-QJ68</t>
  </si>
  <si>
    <t>BENNY</t>
  </si>
  <si>
    <t>2PV4-HW9-JQ77</t>
  </si>
  <si>
    <t>Lunsford</t>
  </si>
  <si>
    <t>3kj4-xg0-tr89</t>
  </si>
  <si>
    <t>Shearin</t>
  </si>
  <si>
    <t>3WU9-RF4-WR56</t>
  </si>
  <si>
    <t>904-624-9462</t>
  </si>
  <si>
    <t>Patrice</t>
  </si>
  <si>
    <t>1MD6-C43-JF84</t>
  </si>
  <si>
    <t>Jorge</t>
  </si>
  <si>
    <t>Sison</t>
  </si>
  <si>
    <t>9P12-U29-GT24</t>
  </si>
  <si>
    <t>Derrick</t>
  </si>
  <si>
    <t>3VP6-YR2-JH85</t>
  </si>
  <si>
    <t>Clete</t>
  </si>
  <si>
    <t>4WG2-Y43-EY22</t>
  </si>
  <si>
    <t>3W93-ET5-PP89</t>
  </si>
  <si>
    <t>DYKES</t>
  </si>
  <si>
    <t>9PR1-N09-XV28</t>
  </si>
  <si>
    <t>Alberto</t>
  </si>
  <si>
    <t>Molina</t>
  </si>
  <si>
    <t>5yr0-qe6-ft46</t>
  </si>
  <si>
    <t>9VT5-K35-JE65</t>
  </si>
  <si>
    <t>Golden</t>
  </si>
  <si>
    <t>4E17-QK9-MW66</t>
  </si>
  <si>
    <t>Deal</t>
  </si>
  <si>
    <t>6DH5-N54-VR50</t>
  </si>
  <si>
    <t>4QJ6-Q58-PQ30</t>
  </si>
  <si>
    <t>NIELSON</t>
  </si>
  <si>
    <t>3F13-HP3-XJ07</t>
  </si>
  <si>
    <t>MCCAHON</t>
  </si>
  <si>
    <t>2M24-XF8-UJ70</t>
  </si>
  <si>
    <t>(602) 676-7103</t>
  </si>
  <si>
    <t>Dunagan</t>
  </si>
  <si>
    <t>5N10-HW5-RC41</t>
  </si>
  <si>
    <t>Destry</t>
  </si>
  <si>
    <t>1RX1-FF8-MP90</t>
  </si>
  <si>
    <t>8KE1-QY9-JA21</t>
  </si>
  <si>
    <t>BROCATO</t>
  </si>
  <si>
    <t>1UY9-QM8-CY56</t>
  </si>
  <si>
    <t>7XH2-X37-EX12</t>
  </si>
  <si>
    <t>FREIDLINE</t>
  </si>
  <si>
    <t>3PC8-KE6-NM59</t>
  </si>
  <si>
    <t>JEANIE</t>
  </si>
  <si>
    <t>BROPHY</t>
  </si>
  <si>
    <t>6HM5-DV2-EK76</t>
  </si>
  <si>
    <t>RAZO</t>
  </si>
  <si>
    <t>9FH4-AT8-TX02</t>
  </si>
  <si>
    <t>Champlin</t>
  </si>
  <si>
    <t>1RV4-QT5-YR60</t>
  </si>
  <si>
    <t>TRACEE</t>
  </si>
  <si>
    <t>PRYSOCK</t>
  </si>
  <si>
    <t>1FQ1-AN6-AK19</t>
  </si>
  <si>
    <t>4UD6-HU2-VC52</t>
  </si>
  <si>
    <t>7KU1-GR3-WK22</t>
  </si>
  <si>
    <t>5GN0-UY0-FV25</t>
  </si>
  <si>
    <t>LAJB</t>
  </si>
  <si>
    <t>6GG3-YA5-MG19</t>
  </si>
  <si>
    <t>Leggett</t>
  </si>
  <si>
    <t>8CR6-Q37-XA52</t>
  </si>
  <si>
    <t>8JM5-VY8-YA50</t>
  </si>
  <si>
    <t>Chism</t>
  </si>
  <si>
    <t>4D06-WF0-XH74</t>
  </si>
  <si>
    <t>(480) 392-2066</t>
  </si>
  <si>
    <t>JACKSON JR</t>
  </si>
  <si>
    <t>9V91-RU6-NY27</t>
  </si>
  <si>
    <t>Hammons</t>
  </si>
  <si>
    <t>6ra9-wt3-vm18</t>
  </si>
  <si>
    <t>1yf6-xj8-ca73</t>
  </si>
  <si>
    <t>9P32-KT7-TQ24</t>
  </si>
  <si>
    <t>Benfield</t>
  </si>
  <si>
    <t>1J39-FG9-GJ19</t>
  </si>
  <si>
    <t>Lucero</t>
  </si>
  <si>
    <t>2HQ3MN8MN81</t>
  </si>
  <si>
    <t>Peters</t>
  </si>
  <si>
    <t>1F33-JK8-VE05</t>
  </si>
  <si>
    <t>ALICJA</t>
  </si>
  <si>
    <t>MAZUR</t>
  </si>
  <si>
    <t>6NE1-XQ0-FA11</t>
  </si>
  <si>
    <t>Tapaha</t>
  </si>
  <si>
    <t>1FN0-XF1-TT13</t>
  </si>
  <si>
    <t>Salmon</t>
  </si>
  <si>
    <t>3FQ3-NT5-UF85</t>
  </si>
  <si>
    <t>9q43-pk6-ge06</t>
  </si>
  <si>
    <t>Maynard</t>
  </si>
  <si>
    <t>2y94-aa9-me91</t>
  </si>
  <si>
    <t>LAVONNA</t>
  </si>
  <si>
    <t>LICK</t>
  </si>
  <si>
    <t>5Q84-G10-EX84</t>
  </si>
  <si>
    <t>Addison</t>
  </si>
  <si>
    <t>7V47-Y29-AF37</t>
  </si>
  <si>
    <t>Dwight</t>
  </si>
  <si>
    <t>9RF7-CQ7-RF66</t>
  </si>
  <si>
    <t>Fose</t>
  </si>
  <si>
    <t>7FK9-M59-EP30</t>
  </si>
  <si>
    <t>5PT6-UW3-UC64</t>
  </si>
  <si>
    <t>(870) 752-0023</t>
  </si>
  <si>
    <t>7cx4-wy6-ju82</t>
  </si>
  <si>
    <t>9TE9-KF7-XP13</t>
  </si>
  <si>
    <t>Dunton</t>
  </si>
  <si>
    <t>9W70-W62-TJ43</t>
  </si>
  <si>
    <t>(207) 659-8151</t>
  </si>
  <si>
    <t>Terrance</t>
  </si>
  <si>
    <t>Bagmey</t>
  </si>
  <si>
    <t>9T44-RT6-PD65</t>
  </si>
  <si>
    <t>SHARP</t>
  </si>
  <si>
    <t>3U08-KQ9-AW65</t>
  </si>
  <si>
    <t>Owens JR</t>
  </si>
  <si>
    <t>5W61-M52-AF19</t>
  </si>
  <si>
    <t>Tanya</t>
  </si>
  <si>
    <t>Steele</t>
  </si>
  <si>
    <t>6RJ4-KH8-FC87</t>
  </si>
  <si>
    <t>Sheppe</t>
  </si>
  <si>
    <t>7w82-gw9-wm26</t>
  </si>
  <si>
    <t>Stanich</t>
  </si>
  <si>
    <t>4FT6-W06-GD45</t>
  </si>
  <si>
    <t>Tess</t>
  </si>
  <si>
    <t>Bowers</t>
  </si>
  <si>
    <t>2TE7-C10-FV48</t>
  </si>
  <si>
    <t>LOVELACE</t>
  </si>
  <si>
    <t>9gt6-fp1-xv79</t>
  </si>
  <si>
    <t>SUELLA</t>
  </si>
  <si>
    <t>STINNETT</t>
  </si>
  <si>
    <t>3K51-AN8-YA14</t>
  </si>
  <si>
    <t>EMANUEL</t>
  </si>
  <si>
    <t>STANCHIEFF</t>
  </si>
  <si>
    <t>8MG5-U18-XD75</t>
  </si>
  <si>
    <t>Roberts</t>
  </si>
  <si>
    <t>6TW7-VF9-ED68</t>
  </si>
  <si>
    <t>NADINE</t>
  </si>
  <si>
    <t>1XM7-K35-EH34</t>
  </si>
  <si>
    <t>Krug</t>
  </si>
  <si>
    <t>2PK7-TY0-UX45</t>
  </si>
  <si>
    <t>BERNARD</t>
  </si>
  <si>
    <t>4PU7-NK1-CW31</t>
  </si>
  <si>
    <t>ANDRE</t>
  </si>
  <si>
    <t>6Y14-YM1-NK90</t>
  </si>
  <si>
    <t>Wagner</t>
  </si>
  <si>
    <t>7YK3-N14-PC90</t>
  </si>
  <si>
    <t>Fred</t>
  </si>
  <si>
    <t>1KQ9-WF8-HN31</t>
  </si>
  <si>
    <t>Wanye</t>
  </si>
  <si>
    <t>1XF7-F02-QN33</t>
  </si>
  <si>
    <t>JAMEL</t>
  </si>
  <si>
    <t>DEANS</t>
  </si>
  <si>
    <t>8ED2-JU0-RC11</t>
  </si>
  <si>
    <t>Rutlidge</t>
  </si>
  <si>
    <t>2Q25-FC5-AA81</t>
  </si>
  <si>
    <t>4EX8-C23-AQ38</t>
  </si>
  <si>
    <t>8DY8-EM7-NA67</t>
  </si>
  <si>
    <t>6XF8-QY3-VR36</t>
  </si>
  <si>
    <t>8YM4-WV6-JC09</t>
  </si>
  <si>
    <t>CAPEL</t>
  </si>
  <si>
    <t>6PQ7-KA0-RC62</t>
  </si>
  <si>
    <t>LANDON</t>
  </si>
  <si>
    <t>6V22-J07-XF95</t>
  </si>
  <si>
    <t>1x73-fh4-rx13</t>
  </si>
  <si>
    <t>9J53-U90-KK72</t>
  </si>
  <si>
    <t>Sigfrido</t>
  </si>
  <si>
    <t>Guban</t>
  </si>
  <si>
    <t>3UN6-CQ5-WE82</t>
  </si>
  <si>
    <t>(954) 696-6875</t>
  </si>
  <si>
    <t>MONTEMAYOR</t>
  </si>
  <si>
    <t>2N40-T93-VC04</t>
  </si>
  <si>
    <t>(303) 999-8282</t>
  </si>
  <si>
    <t>VELVET</t>
  </si>
  <si>
    <t>MUDDIMAN</t>
  </si>
  <si>
    <t>2FE1-W74-HR15</t>
  </si>
  <si>
    <t>5jw9-v61-xq10</t>
  </si>
  <si>
    <t>Helm</t>
  </si>
  <si>
    <t>8DP2-E94-YH96</t>
  </si>
  <si>
    <t>Yolanda</t>
  </si>
  <si>
    <t>Torrez</t>
  </si>
  <si>
    <t>4KD0-M11-VP22</t>
  </si>
  <si>
    <t>Molinaro</t>
  </si>
  <si>
    <t>1WR6-P16-EV70</t>
  </si>
  <si>
    <t>2JW6-PE3-QA65</t>
  </si>
  <si>
    <t>(720) 550-2480</t>
  </si>
  <si>
    <t>2n75-jm5-eq70</t>
  </si>
  <si>
    <t>Aurthur</t>
  </si>
  <si>
    <t>Reading</t>
  </si>
  <si>
    <t>8MK1-ND1-JW94</t>
  </si>
  <si>
    <t>LOCKETT</t>
  </si>
  <si>
    <t>7MP3-TM5-XU05</t>
  </si>
  <si>
    <t>8W80-XW5-PQ19</t>
  </si>
  <si>
    <t>2XW5-VF0-QD70</t>
  </si>
  <si>
    <t>MARTI</t>
  </si>
  <si>
    <t>SANFORD</t>
  </si>
  <si>
    <t>3PR0-MF7-JU37</t>
  </si>
  <si>
    <t>Hines</t>
  </si>
  <si>
    <t>6fx4-dt2-xc78</t>
  </si>
  <si>
    <t>Ofeagan</t>
  </si>
  <si>
    <t>5GM2-R89-PE91</t>
  </si>
  <si>
    <t>9XA2-J32-QT93</t>
  </si>
  <si>
    <t>Vinke</t>
  </si>
  <si>
    <t>9T77-XK1-FD38</t>
  </si>
  <si>
    <t>MASCROFT</t>
  </si>
  <si>
    <t>6Q37-AN2-ED64</t>
  </si>
  <si>
    <t>STEFANESGU</t>
  </si>
  <si>
    <t>8PN2-KJ4-EA00</t>
  </si>
  <si>
    <t>Artie</t>
  </si>
  <si>
    <t>6gk4-wc5-pf61</t>
  </si>
  <si>
    <t>Baldat</t>
  </si>
  <si>
    <t>Maraj</t>
  </si>
  <si>
    <t>2QN7-F12-CM50</t>
  </si>
  <si>
    <t>3VE6-H49-NU57</t>
  </si>
  <si>
    <t>2n34-mm2-yg97</t>
  </si>
  <si>
    <t>6HH5-Y27-UQ97</t>
  </si>
  <si>
    <t>Annala</t>
  </si>
  <si>
    <t>7UQ0-UT0-YT45</t>
  </si>
  <si>
    <t>7KJ0-R68-CN06</t>
  </si>
  <si>
    <t>262-424-0243</t>
  </si>
  <si>
    <t>BUTERBAUGH</t>
  </si>
  <si>
    <t>9cq1-vp0-ja91</t>
  </si>
  <si>
    <t>Grinnell</t>
  </si>
  <si>
    <t>5W16-W31-KW76</t>
  </si>
  <si>
    <t>Adrianne</t>
  </si>
  <si>
    <t>1T32-AP6-MC13</t>
  </si>
  <si>
    <t>1DX5-KY6-DD99</t>
  </si>
  <si>
    <t>Maxon</t>
  </si>
  <si>
    <t>9C53-TJ1-WF80</t>
  </si>
  <si>
    <t>Truman</t>
  </si>
  <si>
    <t>Benally</t>
  </si>
  <si>
    <t>8UQ2-U41-VX00</t>
  </si>
  <si>
    <t>Antony</t>
  </si>
  <si>
    <t>Hatcher</t>
  </si>
  <si>
    <t>6C89-EF2-WG12</t>
  </si>
  <si>
    <t>LYTLE SR</t>
  </si>
  <si>
    <t>9EK8-PF8-HW34</t>
  </si>
  <si>
    <t>2WD2-KW5-TD03</t>
  </si>
  <si>
    <t>7W34-P92-RH50</t>
  </si>
  <si>
    <t>Olivas</t>
  </si>
  <si>
    <t>3G95-PW7-EJ84</t>
  </si>
  <si>
    <t>Vigil</t>
  </si>
  <si>
    <t>8fe1-uf3-dn12</t>
  </si>
  <si>
    <t>3MY2-Q03-GP10</t>
  </si>
  <si>
    <t>Monday</t>
  </si>
  <si>
    <t>Zitzman</t>
  </si>
  <si>
    <t>3NK8-K57-FH63</t>
  </si>
  <si>
    <t>1H98-GF5-YN20</t>
  </si>
  <si>
    <t>4C93-CF8-CK16</t>
  </si>
  <si>
    <t>CAMILLE</t>
  </si>
  <si>
    <t>RANSTEAD</t>
  </si>
  <si>
    <t>1RQ4-AJ3-YW50</t>
  </si>
  <si>
    <t>Norris</t>
  </si>
  <si>
    <t>8J84-RN5-QM76</t>
  </si>
  <si>
    <t>5R04-K15-YR62</t>
  </si>
  <si>
    <t>5D52-RP3-MC85</t>
  </si>
  <si>
    <t>LAWAL</t>
  </si>
  <si>
    <t>3Q84-P19-NP60</t>
  </si>
  <si>
    <t>Hiester</t>
  </si>
  <si>
    <t>9JT9-RF7-CQ25</t>
  </si>
  <si>
    <t>Booker</t>
  </si>
  <si>
    <t>4PQ8-WN8-WW67</t>
  </si>
  <si>
    <t>5W26-XT4-AK59</t>
  </si>
  <si>
    <t>Attwood</t>
  </si>
  <si>
    <t>4XT4-M34-FD85</t>
  </si>
  <si>
    <t>5CU5-ED5-CD75</t>
  </si>
  <si>
    <t>4QC3-R55-PX60</t>
  </si>
  <si>
    <t>4CE3-F03-NE05</t>
  </si>
  <si>
    <t>Theophilus</t>
  </si>
  <si>
    <t>Gates</t>
  </si>
  <si>
    <t>6YN6-UK2-AD41</t>
  </si>
  <si>
    <t>ROSEMARIE</t>
  </si>
  <si>
    <t>MACDONALD</t>
  </si>
  <si>
    <t>6TY6-C83-PK65</t>
  </si>
  <si>
    <t>4VM8-EH2-PN28</t>
  </si>
  <si>
    <t>5PD8-PX2-EJ20</t>
  </si>
  <si>
    <t>Geneva</t>
  </si>
  <si>
    <t>Manson</t>
  </si>
  <si>
    <t>1PU7-FV2-VR76</t>
  </si>
  <si>
    <t>870-255-5013</t>
  </si>
  <si>
    <t>MANSON</t>
  </si>
  <si>
    <t>7H50-AT1-VV49</t>
  </si>
  <si>
    <t>Ridnour</t>
  </si>
  <si>
    <t>8HJ4-Q63-TN96</t>
  </si>
  <si>
    <t>Eduardo</t>
  </si>
  <si>
    <t>7RE7-VC4-EG56</t>
  </si>
  <si>
    <t>MEDRAINO</t>
  </si>
  <si>
    <t>3E05-X92-MW76</t>
  </si>
  <si>
    <t>3c67-fc9-an35</t>
  </si>
  <si>
    <t>ABRAM</t>
  </si>
  <si>
    <t>BALDOVINOS</t>
  </si>
  <si>
    <t>1YC0-VP1-EG15</t>
  </si>
  <si>
    <t>MICHAELA</t>
  </si>
  <si>
    <t>2KQ1-MA8-JK10</t>
  </si>
  <si>
    <t>Colson</t>
  </si>
  <si>
    <t>1C50-JG9-FT18</t>
  </si>
  <si>
    <t>6FR9-GP1-JH47</t>
  </si>
  <si>
    <t>Rosekrans</t>
  </si>
  <si>
    <t>3EM5-AG3-XX86</t>
  </si>
  <si>
    <t>Sanders Sr.</t>
  </si>
  <si>
    <t>6QV4-WM4-XF89</t>
  </si>
  <si>
    <t>6UP7-F68-JD52</t>
  </si>
  <si>
    <t>1FR2-HT8-AJ99</t>
  </si>
  <si>
    <t>(870) 739-6206</t>
  </si>
  <si>
    <t>KLIMA</t>
  </si>
  <si>
    <t>3NR4-R21-HE65</t>
  </si>
  <si>
    <t>Raymon</t>
  </si>
  <si>
    <t>9A91-DX4-KT12</t>
  </si>
  <si>
    <t>A S</t>
  </si>
  <si>
    <t>2D11-Q38-VD92</t>
  </si>
  <si>
    <t>Cornman-Jones</t>
  </si>
  <si>
    <t>9m17-kc5-ku74</t>
  </si>
  <si>
    <t>9N21-HR5-RX10</t>
  </si>
  <si>
    <t>5KW6X04MK54</t>
  </si>
  <si>
    <t>602-582-6426</t>
  </si>
  <si>
    <t>5tu3-aq9-cp85</t>
  </si>
  <si>
    <t>HAWA</t>
  </si>
  <si>
    <t>DEEN</t>
  </si>
  <si>
    <t>5M96-Q46-UA70</t>
  </si>
  <si>
    <t>4CM1-T19-YG03</t>
  </si>
  <si>
    <t>Unruh</t>
  </si>
  <si>
    <t>6D96-FV5-HU53</t>
  </si>
  <si>
    <t>Raphael</t>
  </si>
  <si>
    <t>Gallegos</t>
  </si>
  <si>
    <t>9K85-PU4-AX55</t>
  </si>
  <si>
    <t>VERNESSA</t>
  </si>
  <si>
    <t>BOWEN</t>
  </si>
  <si>
    <t>8N32-WV8-YG27</t>
  </si>
  <si>
    <t>Cary</t>
  </si>
  <si>
    <t>5dd8-ug4-tn61</t>
  </si>
  <si>
    <t>Grace</t>
  </si>
  <si>
    <t>Berrones</t>
  </si>
  <si>
    <t>3PG4-Q97-TA64</t>
  </si>
  <si>
    <t>2HP8-ER6-EJ56</t>
  </si>
  <si>
    <t>Reeser</t>
  </si>
  <si>
    <t>8UI9CT8VK20</t>
  </si>
  <si>
    <t>8AQ4-VQ6-DG76</t>
  </si>
  <si>
    <t>Hollingsworth</t>
  </si>
  <si>
    <t>8df8-fr8-vn43</t>
  </si>
  <si>
    <t>Bruton</t>
  </si>
  <si>
    <t>6TN9-WR8-KM20</t>
  </si>
  <si>
    <t>ELAYNE</t>
  </si>
  <si>
    <t>LALLY</t>
  </si>
  <si>
    <t>7XQ8-N19-TF55</t>
  </si>
  <si>
    <t>(561) 635-5199</t>
  </si>
  <si>
    <t>Speck</t>
  </si>
  <si>
    <t>4j66-d34-gr68</t>
  </si>
  <si>
    <t>IVY</t>
  </si>
  <si>
    <t>MULTINE</t>
  </si>
  <si>
    <t>8P76-W06-AR49</t>
  </si>
  <si>
    <t>7RF3-DJ4-YA92</t>
  </si>
  <si>
    <t>PATTERSON HUDSON</t>
  </si>
  <si>
    <t>6A84-WF7-GC68</t>
  </si>
  <si>
    <t>1P86-QT3-DG72</t>
  </si>
  <si>
    <t>LIGGINS</t>
  </si>
  <si>
    <t>4TT6J56UH59</t>
  </si>
  <si>
    <t>Denhart</t>
  </si>
  <si>
    <t>2dv7-y04-jk43</t>
  </si>
  <si>
    <t>(786) 290-5430</t>
  </si>
  <si>
    <t>FEATHERINGHAM</t>
  </si>
  <si>
    <t>8E94-RQ7-FA60</t>
  </si>
  <si>
    <t>1XN2-TU8-RT93</t>
  </si>
  <si>
    <t>9EE0-MH5-KF26</t>
  </si>
  <si>
    <t>Thiry</t>
  </si>
  <si>
    <t>9U46-UV2-PT86</t>
  </si>
  <si>
    <t>SNODDY</t>
  </si>
  <si>
    <t>6N25-M16-RW70</t>
  </si>
  <si>
    <t>864-680-4876</t>
  </si>
  <si>
    <t>Goolsby</t>
  </si>
  <si>
    <t>6C41-GV1-WH00</t>
  </si>
  <si>
    <t>Cody</t>
  </si>
  <si>
    <t>7e09-n91-rq31</t>
  </si>
  <si>
    <t>De Luca</t>
  </si>
  <si>
    <t>8T74-RX5-TD98</t>
  </si>
  <si>
    <t>EDGAR</t>
  </si>
  <si>
    <t>ABANATHY III</t>
  </si>
  <si>
    <t>8WK7-VG6-MC68</t>
  </si>
  <si>
    <t>5H43-D38-FE16</t>
  </si>
  <si>
    <t>MIRAMONTES</t>
  </si>
  <si>
    <t>9T60-U04-RE47</t>
  </si>
  <si>
    <t>(303) 995-3925</t>
  </si>
  <si>
    <t>Alonzo</t>
  </si>
  <si>
    <t>ABDULDZEVAT</t>
  </si>
  <si>
    <t>ISMALI</t>
  </si>
  <si>
    <t>2AG5-R75-RQ96</t>
  </si>
  <si>
    <t>3EH0-HN3-KC06</t>
  </si>
  <si>
    <t>2qk0-ej0-fm36</t>
  </si>
  <si>
    <t>Randal</t>
  </si>
  <si>
    <t>Hagen</t>
  </si>
  <si>
    <t>5RR1-C31-YA01</t>
  </si>
  <si>
    <t>Knopes</t>
  </si>
  <si>
    <t>7W68-Q26-HN25</t>
  </si>
  <si>
    <t>Ramos</t>
  </si>
  <si>
    <t>6WE5-E41-WF56</t>
  </si>
  <si>
    <t>Steve</t>
  </si>
  <si>
    <t>4YD1-X61-EF95</t>
  </si>
  <si>
    <t>(251) 721-8153</t>
  </si>
  <si>
    <t>1EN2-Y38-AY88</t>
  </si>
  <si>
    <t>Merl</t>
  </si>
  <si>
    <t>Samuels</t>
  </si>
  <si>
    <t>4DA5-NT9-GR82</t>
  </si>
  <si>
    <t>Healy</t>
  </si>
  <si>
    <t>3G77-JM9-EK44</t>
  </si>
  <si>
    <t>Kaslander</t>
  </si>
  <si>
    <t>1RU5-XH7-RQ86</t>
  </si>
  <si>
    <t>Dan</t>
  </si>
  <si>
    <t>Flanner</t>
  </si>
  <si>
    <t>2RW7-EV8-TQ47</t>
  </si>
  <si>
    <t>6ev7-km5-pt59</t>
  </si>
  <si>
    <t>Geraldeen</t>
  </si>
  <si>
    <t>Harlow</t>
  </si>
  <si>
    <t>5GH9-AE2-CH41</t>
  </si>
  <si>
    <t>VFREEDOM</t>
  </si>
  <si>
    <t>BLAIR VP</t>
  </si>
  <si>
    <t>5TQ8-U00-NR34</t>
  </si>
  <si>
    <t>8XD3-RK7-JV07</t>
  </si>
  <si>
    <t>Lindsay</t>
  </si>
  <si>
    <t>9M19-MM7-UQ12</t>
  </si>
  <si>
    <t>Terrence</t>
  </si>
  <si>
    <t>9JF9-FG2-TG28</t>
  </si>
  <si>
    <t>Durazo</t>
  </si>
  <si>
    <t>1H20-K66-MX10</t>
  </si>
  <si>
    <t>3CK9-G64-XG22</t>
  </si>
  <si>
    <t>R</t>
  </si>
  <si>
    <t>jamerson</t>
  </si>
  <si>
    <t>8W93-EC3-DE91</t>
  </si>
  <si>
    <t>Peek</t>
  </si>
  <si>
    <t>7N54-XA9-NU79</t>
  </si>
  <si>
    <t>Juraska</t>
  </si>
  <si>
    <t>1QM2-F56-DU23</t>
  </si>
  <si>
    <t>Fortier</t>
  </si>
  <si>
    <t>3D73-UQ7-GQ60</t>
  </si>
  <si>
    <t>(630) 641-5399</t>
  </si>
  <si>
    <t>9vv1-vm3-md37</t>
  </si>
  <si>
    <t>RYLAND</t>
  </si>
  <si>
    <t>B. TAYLOR</t>
  </si>
  <si>
    <t>9hu1-e23-ak02</t>
  </si>
  <si>
    <t>Dasril</t>
  </si>
  <si>
    <t>Panko</t>
  </si>
  <si>
    <t>9n26-jx5-wf55</t>
  </si>
  <si>
    <t>9GE4-N22-DD93</t>
  </si>
  <si>
    <t>9N44-J29-DX91</t>
  </si>
  <si>
    <t>2YG5-K42-RD75</t>
  </si>
  <si>
    <t>OLDHAM</t>
  </si>
  <si>
    <t>1XE5-NG4-CN62</t>
  </si>
  <si>
    <t>3MG2-UU3-AE27</t>
  </si>
  <si>
    <t>WALTERMIRE</t>
  </si>
  <si>
    <t>3C87-EM1-FP58</t>
  </si>
  <si>
    <t>Neil</t>
  </si>
  <si>
    <t>4HU3-FJ2-MK11</t>
  </si>
  <si>
    <t>Mobley</t>
  </si>
  <si>
    <t>5C62-GC9-FF09</t>
  </si>
  <si>
    <t>Wiser</t>
  </si>
  <si>
    <t>4WV2-YM3-JA05</t>
  </si>
  <si>
    <t>Mancos</t>
  </si>
  <si>
    <t>9QR7-CP7-UH77</t>
  </si>
  <si>
    <t>LEONIS</t>
  </si>
  <si>
    <t>8MJ7-C81-DE49</t>
  </si>
  <si>
    <t>Agee</t>
  </si>
  <si>
    <t>6FF3-YV3-DN02</t>
  </si>
  <si>
    <t>Coffman</t>
  </si>
  <si>
    <t>3a60-yy9-da25</t>
  </si>
  <si>
    <t>Clinard</t>
  </si>
  <si>
    <t>8EP6-XG1-HF83</t>
  </si>
  <si>
    <t>7JE7-TF1-MH50</t>
  </si>
  <si>
    <t>Cathy</t>
  </si>
  <si>
    <t>Welch</t>
  </si>
  <si>
    <t>5W39-PH7-KT46</t>
  </si>
  <si>
    <t>Brandt</t>
  </si>
  <si>
    <t>1vv2-fy0-xc96</t>
  </si>
  <si>
    <t>Morton</t>
  </si>
  <si>
    <t>9DM7-GN9-JU53</t>
  </si>
  <si>
    <t>PALSROK</t>
  </si>
  <si>
    <t>4JH8-FY8-VF49</t>
  </si>
  <si>
    <t>Michalak</t>
  </si>
  <si>
    <t>2AP6-K27-EJ77</t>
  </si>
  <si>
    <t>7C09-XX5-XT53</t>
  </si>
  <si>
    <t>1U10-PY4-QM48</t>
  </si>
  <si>
    <t>RODMAN</t>
  </si>
  <si>
    <t>6CR9-Y54-DU17</t>
  </si>
  <si>
    <t>Ira</t>
  </si>
  <si>
    <t>8K14-F00-VC71</t>
  </si>
  <si>
    <t>Christy</t>
  </si>
  <si>
    <t>5A30-X75-FV08</t>
  </si>
  <si>
    <t>(520) 606-4360</t>
  </si>
  <si>
    <t>MARWIN</t>
  </si>
  <si>
    <t>7mh8-r01-pf38</t>
  </si>
  <si>
    <t>Goodman</t>
  </si>
  <si>
    <t>3R48-MK2-RQ55</t>
  </si>
  <si>
    <t>6PC2-TT2-UG05</t>
  </si>
  <si>
    <t>HUMPHREY</t>
  </si>
  <si>
    <t>5RW8-UK3-PW43</t>
  </si>
  <si>
    <t>BILL</t>
  </si>
  <si>
    <t>3cg7-y03-nc55</t>
  </si>
  <si>
    <t>Candelaria</t>
  </si>
  <si>
    <t>9CW0-QM1-JR20</t>
  </si>
  <si>
    <t>Joshue</t>
  </si>
  <si>
    <t>Pinon</t>
  </si>
  <si>
    <t>8YF2-GJ1-CA83</t>
  </si>
  <si>
    <t>Mendenhall</t>
  </si>
  <si>
    <t>1X39-T71-JW58</t>
  </si>
  <si>
    <t>EVAN</t>
  </si>
  <si>
    <t>9NK5-CF5-TJ93</t>
  </si>
  <si>
    <t>ISMAIL</t>
  </si>
  <si>
    <t>ABDUS-SALAM</t>
  </si>
  <si>
    <t>5G04-W20-TU64</t>
  </si>
  <si>
    <t>5d26-jn5-ua51</t>
  </si>
  <si>
    <t>EISWERT</t>
  </si>
  <si>
    <t>8MV2-X22-KY84</t>
  </si>
  <si>
    <t>WARRIOR</t>
  </si>
  <si>
    <t>6TE0-JQ4-UX29</t>
  </si>
  <si>
    <t>Berrara</t>
  </si>
  <si>
    <t>1H12-AW3-HY19</t>
  </si>
  <si>
    <t>8MU5-UH3-QU59</t>
  </si>
  <si>
    <t>Sands Jr</t>
  </si>
  <si>
    <t>1Y09-QE1-HN48</t>
  </si>
  <si>
    <t>Cleveland</t>
  </si>
  <si>
    <t>DansbyJR</t>
  </si>
  <si>
    <t>1mu1-w93-nr37</t>
  </si>
  <si>
    <t>4A36-QA5-FV68</t>
  </si>
  <si>
    <t>5C20-U02-VN21</t>
  </si>
  <si>
    <t>5KW1-D56-MK34</t>
  </si>
  <si>
    <t>McLeod</t>
  </si>
  <si>
    <t>5JD0-F22-JA21</t>
  </si>
  <si>
    <t>Magana</t>
  </si>
  <si>
    <t>5RD9-RG4-CE44</t>
  </si>
  <si>
    <t>FIERRO</t>
  </si>
  <si>
    <t>6X47-YN3-KV79</t>
  </si>
  <si>
    <t>Adeline</t>
  </si>
  <si>
    <t>4fj7-wc4-rq20</t>
  </si>
  <si>
    <t>Jefferey</t>
  </si>
  <si>
    <t>1NE1-TP0-EN92</t>
  </si>
  <si>
    <t>Gwendylon</t>
  </si>
  <si>
    <t>1n10-x80-nk47</t>
  </si>
  <si>
    <t>Zona</t>
  </si>
  <si>
    <t>9HE8-Y48-YN22</t>
  </si>
  <si>
    <t>520-801-8896</t>
  </si>
  <si>
    <t>3VR4-HK3-UP92</t>
  </si>
  <si>
    <t>Michel</t>
  </si>
  <si>
    <t>2YU4-F84-DA93</t>
  </si>
  <si>
    <t>Higgins</t>
  </si>
  <si>
    <t>2HK0-V47-QK15</t>
  </si>
  <si>
    <t>Bundy</t>
  </si>
  <si>
    <t>1UX6-H85-HU42</t>
  </si>
  <si>
    <t>Carr</t>
  </si>
  <si>
    <t>4NM6-PT0-FN30</t>
  </si>
  <si>
    <t>KOBLEGARD</t>
  </si>
  <si>
    <t>6hf3-f10-mx81</t>
  </si>
  <si>
    <t>7DF6-FW2-NT66</t>
  </si>
  <si>
    <t>Stanford</t>
  </si>
  <si>
    <t>3VW7-QG6-KM45</t>
  </si>
  <si>
    <t>Bowling</t>
  </si>
  <si>
    <t>8en6-xg5-ca79</t>
  </si>
  <si>
    <t>Kewenvoyouma</t>
  </si>
  <si>
    <t>4AR2-HX8-CQ94</t>
  </si>
  <si>
    <t>Jerilyn</t>
  </si>
  <si>
    <t>8VT9-GH8-VN43</t>
  </si>
  <si>
    <t>ZAMORA</t>
  </si>
  <si>
    <t>7Q20-U33-CC12</t>
  </si>
  <si>
    <t>AKERS</t>
  </si>
  <si>
    <t>2g80-a51-pg22</t>
  </si>
  <si>
    <t>5G90-JH9-YP09</t>
  </si>
  <si>
    <t>DENICE</t>
  </si>
  <si>
    <t>3rn7-vu0-rx76</t>
  </si>
  <si>
    <t>Monroe</t>
  </si>
  <si>
    <t>5MF2-AE9-VG80</t>
  </si>
  <si>
    <t>TERRIE</t>
  </si>
  <si>
    <t>WAUGHTEL</t>
  </si>
  <si>
    <t>9DQ8-XA1-MH56</t>
  </si>
  <si>
    <t>Lee JR</t>
  </si>
  <si>
    <t>2NW2-E28-TD70</t>
  </si>
  <si>
    <t>JOSEPH WHITEMAN</t>
  </si>
  <si>
    <t>8y96-pn1-wn58</t>
  </si>
  <si>
    <t>GENIECE</t>
  </si>
  <si>
    <t>6qu5-rh6-rp84</t>
  </si>
  <si>
    <t>(678) 656-9037</t>
  </si>
  <si>
    <t>9GW9-V27-VP17</t>
  </si>
  <si>
    <t>BOSENBURY</t>
  </si>
  <si>
    <t>5XH7-JF3-WR57</t>
  </si>
  <si>
    <t>Stuart Jr</t>
  </si>
  <si>
    <t>4JK8-CR7-RC47</t>
  </si>
  <si>
    <t>Markillie</t>
  </si>
  <si>
    <t>5Y11-M33-CR03</t>
  </si>
  <si>
    <t>3q72-yh0-nr00</t>
  </si>
  <si>
    <t>8HW3-XG3-RA96</t>
  </si>
  <si>
    <t>Roosevelt</t>
  </si>
  <si>
    <t>Gilliard</t>
  </si>
  <si>
    <t>3UT1-WW1-EV99</t>
  </si>
  <si>
    <t>ADALIAH</t>
  </si>
  <si>
    <t>BULLINGTON</t>
  </si>
  <si>
    <t>7H75-Q14-VD88</t>
  </si>
  <si>
    <t>WHITESIDE</t>
  </si>
  <si>
    <t>1K95-MN6-UR81</t>
  </si>
  <si>
    <t>Church</t>
  </si>
  <si>
    <t>3QX5-DQ9-RK84</t>
  </si>
  <si>
    <t>AUDETTE</t>
  </si>
  <si>
    <t>9PA2-R36-DF92</t>
  </si>
  <si>
    <t>Ayuyu</t>
  </si>
  <si>
    <t>4A04-TF6-PH74</t>
  </si>
  <si>
    <t>Shepherd</t>
  </si>
  <si>
    <t>3RG2-TQ6-JG99</t>
  </si>
  <si>
    <t>LOLANDA</t>
  </si>
  <si>
    <t>DECLAY</t>
  </si>
  <si>
    <t>9UA6-U78-WF53</t>
  </si>
  <si>
    <t>Almaroad</t>
  </si>
  <si>
    <t>3H60-NP3-TC06</t>
  </si>
  <si>
    <t>CHERISE</t>
  </si>
  <si>
    <t>DECUIR DURANT</t>
  </si>
  <si>
    <t>9F90-A62-HW05</t>
  </si>
  <si>
    <t>FENTON</t>
  </si>
  <si>
    <t>7UY9-FQ8-CX26</t>
  </si>
  <si>
    <t>RENADETTE</t>
  </si>
  <si>
    <t>1UF5-KJ4-VY52</t>
  </si>
  <si>
    <t>Silva</t>
  </si>
  <si>
    <t>8G22-J67-QQ23</t>
  </si>
  <si>
    <t>7HT6-X70-EE46</t>
  </si>
  <si>
    <t>4MY0XC9FR21</t>
  </si>
  <si>
    <t>4TC0-W04-RW07</t>
  </si>
  <si>
    <t>3CY1-A89-WT12</t>
  </si>
  <si>
    <t>Clementine</t>
  </si>
  <si>
    <t>Buckner</t>
  </si>
  <si>
    <t>9NQ2-UE6-UQ83</t>
  </si>
  <si>
    <t>5q08-cy5-eg34</t>
  </si>
  <si>
    <t>(334) 538-4940</t>
  </si>
  <si>
    <t>7JE2-VD2-RG87</t>
  </si>
  <si>
    <t>VanWinkle</t>
  </si>
  <si>
    <t>1VR1-V26-VP93</t>
  </si>
  <si>
    <t>Holland</t>
  </si>
  <si>
    <t>4AD7-V48-KP52</t>
  </si>
  <si>
    <t>moreno-perez</t>
  </si>
  <si>
    <t>8FV2-QY7-WD97</t>
  </si>
  <si>
    <t>1FH4-CF1-RW62</t>
  </si>
  <si>
    <t>Hardin</t>
  </si>
  <si>
    <t>6DX5-VK8-YM75</t>
  </si>
  <si>
    <t>520-635-0244</t>
  </si>
  <si>
    <t>SCHUERMAN</t>
  </si>
  <si>
    <t>1FH0-D68-AU39</t>
  </si>
  <si>
    <t>BRAGG</t>
  </si>
  <si>
    <t>1H12-YX1-QF04</t>
  </si>
  <si>
    <t>COSTTLLO</t>
  </si>
  <si>
    <t>9h92-hf2-gy07</t>
  </si>
  <si>
    <t>2VW9-G32-QF59</t>
  </si>
  <si>
    <t>Smith-Garcia</t>
  </si>
  <si>
    <t>6dd9-u21-qx48</t>
  </si>
  <si>
    <t>7VW5-JT6-JM84</t>
  </si>
  <si>
    <t>JOBES</t>
  </si>
  <si>
    <t>4WN7-PA4-GU34</t>
  </si>
  <si>
    <t>GRACE</t>
  </si>
  <si>
    <t>7n51-jp6-et90</t>
  </si>
  <si>
    <t>Kaplan</t>
  </si>
  <si>
    <t>7QX9-R73-PC30</t>
  </si>
  <si>
    <t>(786) 205-4853</t>
  </si>
  <si>
    <t>6TD0-M13-YR34</t>
  </si>
  <si>
    <t>7NJ9-D50-MP37</t>
  </si>
  <si>
    <t>Brett</t>
  </si>
  <si>
    <t>7EQ3-U11-CX09</t>
  </si>
  <si>
    <t>7YT6-HP0-GT67</t>
  </si>
  <si>
    <t>Henrietta</t>
  </si>
  <si>
    <t>8RC5-N07-DH85</t>
  </si>
  <si>
    <t>4H47-DT0-MU30</t>
  </si>
  <si>
    <t>Griffin jr</t>
  </si>
  <si>
    <t>1w84-nh9-mn87</t>
  </si>
  <si>
    <t>4FF5-W90-QM72</t>
  </si>
  <si>
    <t>Pleas</t>
  </si>
  <si>
    <t>4XP3-QV1-YM79</t>
  </si>
  <si>
    <t>314-239-8993</t>
  </si>
  <si>
    <t>KILDE</t>
  </si>
  <si>
    <t>4UR4-A06-ME04</t>
  </si>
  <si>
    <t>McDonald Sr</t>
  </si>
  <si>
    <t>5E19-TW7-KU55</t>
  </si>
  <si>
    <t>1JH9-N79-AY54</t>
  </si>
  <si>
    <t>LOUELLA</t>
  </si>
  <si>
    <t>1AD6-N46-XP62</t>
  </si>
  <si>
    <t>4VA3-PF5-WU94</t>
  </si>
  <si>
    <t>3Y03-XU2-CU93</t>
  </si>
  <si>
    <t>Aria</t>
  </si>
  <si>
    <t>Hokki</t>
  </si>
  <si>
    <t>Mattingly</t>
  </si>
  <si>
    <t>6UH5-FA4-WX63</t>
  </si>
  <si>
    <t>Elliott</t>
  </si>
  <si>
    <t>6P91-EC8-HK16</t>
  </si>
  <si>
    <t>Tammie</t>
  </si>
  <si>
    <t>Buffington</t>
  </si>
  <si>
    <t>2FC6-NY4-XW87</t>
  </si>
  <si>
    <t>LATHON</t>
  </si>
  <si>
    <t>1j70-pr6-pm05</t>
  </si>
  <si>
    <t>PIEDRA</t>
  </si>
  <si>
    <t>9DU8-NA2-VF40</t>
  </si>
  <si>
    <t>MOZELLE</t>
  </si>
  <si>
    <t>2P05-WK1-QR52</t>
  </si>
  <si>
    <t>Rustin</t>
  </si>
  <si>
    <t>Cheney Jr</t>
  </si>
  <si>
    <t>5YN0-EY9-QU14</t>
  </si>
  <si>
    <t>Gaona</t>
  </si>
  <si>
    <t>2jh3-er6-dc06</t>
  </si>
  <si>
    <t>Germain</t>
  </si>
  <si>
    <t>1PW9-J11-YT59</t>
  </si>
  <si>
    <t>8N28-U62-TC22</t>
  </si>
  <si>
    <t>JEFFERY A</t>
  </si>
  <si>
    <t>DELUGE</t>
  </si>
  <si>
    <t>8RE7-Q02-HH38</t>
  </si>
  <si>
    <t>Janell</t>
  </si>
  <si>
    <t>3R87-HW7-MG42</t>
  </si>
  <si>
    <t>Sicurello</t>
  </si>
  <si>
    <t>5D89-RV9-UU32</t>
  </si>
  <si>
    <t>Randall Jr.</t>
  </si>
  <si>
    <t>1H12-U67-MC91</t>
  </si>
  <si>
    <t>Aleta</t>
  </si>
  <si>
    <t>4Y96-XR2-QJ74</t>
  </si>
  <si>
    <t>Camillo</t>
  </si>
  <si>
    <t>9ak0-dh6-up08</t>
  </si>
  <si>
    <t>(314) 456-7527</t>
  </si>
  <si>
    <t>8NU8-H79-PG49</t>
  </si>
  <si>
    <t>6HU3-U00-DN74</t>
  </si>
  <si>
    <t>2NV2-D55-PF19</t>
  </si>
  <si>
    <t>9PD4-H11-YJ68</t>
  </si>
  <si>
    <t>3P24-HT5-KJ68</t>
  </si>
  <si>
    <t>TORGESON</t>
  </si>
  <si>
    <t>2UU4-QD2-AQ76</t>
  </si>
  <si>
    <t>9AN5-AC9-MM60</t>
  </si>
  <si>
    <t>2G78-HC0-RK54</t>
  </si>
  <si>
    <t>8C37-MR0-VM31</t>
  </si>
  <si>
    <t>1KJ8-N38-RR58</t>
  </si>
  <si>
    <t>Matlock</t>
  </si>
  <si>
    <t>2JV6-TR6-NX43</t>
  </si>
  <si>
    <t>Roddy</t>
  </si>
  <si>
    <t>2NH7-YY4-FR50</t>
  </si>
  <si>
    <t>Fornshell</t>
  </si>
  <si>
    <t>1EH1-YC5-TJ21</t>
  </si>
  <si>
    <t>GRISHAM</t>
  </si>
  <si>
    <t>2U28-MQ6-HP42</t>
  </si>
  <si>
    <t>Shelley</t>
  </si>
  <si>
    <t>3UQ5-A81-YU85</t>
  </si>
  <si>
    <t>3Y97-W82-AA20</t>
  </si>
  <si>
    <t>Therese</t>
  </si>
  <si>
    <t>Dumont</t>
  </si>
  <si>
    <t>7QF6-N82-PU30</t>
  </si>
  <si>
    <t>(256) 525-1822</t>
  </si>
  <si>
    <t>PICONE</t>
  </si>
  <si>
    <t>3UE1-K41-AF26</t>
  </si>
  <si>
    <t>ACEDO</t>
  </si>
  <si>
    <t>8AA6-JD9-KR62</t>
  </si>
  <si>
    <t>Boyd</t>
  </si>
  <si>
    <t>1FW0-NF7-UK04</t>
  </si>
  <si>
    <t>India</t>
  </si>
  <si>
    <t>Traylor</t>
  </si>
  <si>
    <t>6R36-A28-ET75</t>
  </si>
  <si>
    <t>MICKIE</t>
  </si>
  <si>
    <t>WESSLING</t>
  </si>
  <si>
    <t>5nh7-ww7-yr67</t>
  </si>
  <si>
    <t>6MC2-AT3-NJ97</t>
  </si>
  <si>
    <t>2NK4-VT3-HK85</t>
  </si>
  <si>
    <t>ROSETTA</t>
  </si>
  <si>
    <t>BAISDEN</t>
  </si>
  <si>
    <t>4PX9-J02-YR29</t>
  </si>
  <si>
    <t>HARRIS-LONG</t>
  </si>
  <si>
    <t>8G15-TC6-CK80</t>
  </si>
  <si>
    <t>Leander</t>
  </si>
  <si>
    <t>4dj8-a99-rr59</t>
  </si>
  <si>
    <t>Romine</t>
  </si>
  <si>
    <t>8WU8-HN4-TX62</t>
  </si>
  <si>
    <t>Aden</t>
  </si>
  <si>
    <t>2PT0-DU0-QV00</t>
  </si>
  <si>
    <t>Oates Satre</t>
  </si>
  <si>
    <t>9JW7-X26-TQ48</t>
  </si>
  <si>
    <t>7XW4-CG2-QD60</t>
  </si>
  <si>
    <t>Troutman</t>
  </si>
  <si>
    <t>8M73-U99-XM05</t>
  </si>
  <si>
    <t>8D71-A73-QE38</t>
  </si>
  <si>
    <t>5CX1-YG6-EP98</t>
  </si>
  <si>
    <t>Heller</t>
  </si>
  <si>
    <t>7XK6-AY4-VN66</t>
  </si>
  <si>
    <t>2g81-ep3-ag11</t>
  </si>
  <si>
    <t>754-368-3171</t>
  </si>
  <si>
    <t>URQUHART</t>
  </si>
  <si>
    <t>9EX4-UT4-YY86</t>
  </si>
  <si>
    <t>1RC5-P70-RH76</t>
  </si>
  <si>
    <t>BRANCH</t>
  </si>
  <si>
    <t>4CY0-FV1-WP00</t>
  </si>
  <si>
    <t>Woodruff</t>
  </si>
  <si>
    <t>5MM7-WG6-HA60</t>
  </si>
  <si>
    <t>2W29-P28-AM49</t>
  </si>
  <si>
    <t>8PD3-ND4-NK89</t>
  </si>
  <si>
    <t>LUCKNER</t>
  </si>
  <si>
    <t>GUSAVE</t>
  </si>
  <si>
    <t>6K22-TC8-PG06</t>
  </si>
  <si>
    <t>Anne</t>
  </si>
  <si>
    <t>Graf</t>
  </si>
  <si>
    <t>6HP2-G48-YQ11</t>
  </si>
  <si>
    <t>Phillip</t>
  </si>
  <si>
    <t>Bunt</t>
  </si>
  <si>
    <t>2W44-PA5-NU98</t>
  </si>
  <si>
    <t>FARRIS</t>
  </si>
  <si>
    <t>8DJ9-CW6-VQ10</t>
  </si>
  <si>
    <t>6jm9-gg6-nv14</t>
  </si>
  <si>
    <t>7MX8-R57-DQ39</t>
  </si>
  <si>
    <t>+1 520-635-0244</t>
  </si>
  <si>
    <t>HAMDIJA</t>
  </si>
  <si>
    <t>DELIC</t>
  </si>
  <si>
    <t>6AE8-QF3-TU27</t>
  </si>
  <si>
    <t>DARBY JR.</t>
  </si>
  <si>
    <t>6HF4-TK6-YX91</t>
  </si>
  <si>
    <t>8MH3-QA5-HK92</t>
  </si>
  <si>
    <t>OQuin</t>
  </si>
  <si>
    <t>Robin OQuin</t>
  </si>
  <si>
    <t>8AV2-Y94-NK03</t>
  </si>
  <si>
    <t>(713) 259-3873</t>
  </si>
  <si>
    <t>PRAWAICK</t>
  </si>
  <si>
    <t>9Y06-UT4-GX56</t>
  </si>
  <si>
    <t>1UD9-YH7-XE44</t>
  </si>
  <si>
    <t>MAMIE</t>
  </si>
  <si>
    <t>6HM0-G56-AP20</t>
  </si>
  <si>
    <t>8Q55-UH6-NT70</t>
  </si>
  <si>
    <t>8YE2-WY6-UG87</t>
  </si>
  <si>
    <t>Lamb</t>
  </si>
  <si>
    <t>9U73-J31-DP87</t>
  </si>
  <si>
    <t>Gumiela</t>
  </si>
  <si>
    <t>7X33-VW2-FD04</t>
  </si>
  <si>
    <t>Woodrow</t>
  </si>
  <si>
    <t>6HU8-VM6-CM43</t>
  </si>
  <si>
    <t>Monje</t>
  </si>
  <si>
    <t>9D30-PD3-QW19</t>
  </si>
  <si>
    <t>Kari</t>
  </si>
  <si>
    <t>Craft</t>
  </si>
  <si>
    <t>9R18-NX1-GX47</t>
  </si>
  <si>
    <t>RICHELLE</t>
  </si>
  <si>
    <t>BESTER</t>
  </si>
  <si>
    <t>8DH2-TF1-JM14</t>
  </si>
  <si>
    <t>WHITEHAT</t>
  </si>
  <si>
    <t>7GP1-C24-ET14</t>
  </si>
  <si>
    <t>Sharief</t>
  </si>
  <si>
    <t>ali</t>
  </si>
  <si>
    <t>3TE5-YQ9-RU97</t>
  </si>
  <si>
    <t>Youngblood</t>
  </si>
  <si>
    <t>N.</t>
  </si>
  <si>
    <t>Rene</t>
  </si>
  <si>
    <t>Rene N. King</t>
  </si>
  <si>
    <t>Sundstrom</t>
  </si>
  <si>
    <t>9HJ9-R09-NQ10</t>
  </si>
  <si>
    <t>ZACHMAN</t>
  </si>
  <si>
    <t>8CT8-JT8-NC54</t>
  </si>
  <si>
    <t>5WR0-QH7-NX49</t>
  </si>
  <si>
    <t>9PM6-F63-EA60</t>
  </si>
  <si>
    <t>(740) 312-4399</t>
  </si>
  <si>
    <t>5CF3-QP8-WA12</t>
  </si>
  <si>
    <t>Dorain</t>
  </si>
  <si>
    <t>Furr</t>
  </si>
  <si>
    <t>8V64-P68-AD97</t>
  </si>
  <si>
    <t>Carwile</t>
  </si>
  <si>
    <t>9FW5-E61-XD68</t>
  </si>
  <si>
    <t>Footman</t>
  </si>
  <si>
    <t>7MK2-DA3-QD99</t>
  </si>
  <si>
    <t>8CJ8-A79-MX34</t>
  </si>
  <si>
    <t>(901) 219-1294</t>
  </si>
  <si>
    <t>ZEFFERY</t>
  </si>
  <si>
    <t>4G40-FM9-KV38</t>
  </si>
  <si>
    <t>HATCH</t>
  </si>
  <si>
    <t>6UY2-FJ3-CX06</t>
  </si>
  <si>
    <t>MADISON</t>
  </si>
  <si>
    <t>5DE4-UT9-DV78</t>
  </si>
  <si>
    <t>Barrera</t>
  </si>
  <si>
    <t>1h12-aw3-hy19</t>
  </si>
  <si>
    <t>Ciullo</t>
  </si>
  <si>
    <t>6NT1-DY6-MG98</t>
  </si>
  <si>
    <t>MAI</t>
  </si>
  <si>
    <t>7WF8-P87-RK31</t>
  </si>
  <si>
    <t>6du8-jy3-eg49</t>
  </si>
  <si>
    <t>Marietta</t>
  </si>
  <si>
    <t>Sneed</t>
  </si>
  <si>
    <t>4QF2-EG6-CU80</t>
  </si>
  <si>
    <t>IDELL</t>
  </si>
  <si>
    <t>1FQ8-CT9-GF55</t>
  </si>
  <si>
    <t>Lemming</t>
  </si>
  <si>
    <t>5K17-NN1-JD32</t>
  </si>
  <si>
    <t>Schlosser</t>
  </si>
  <si>
    <t>4PX4-XR2-GX84</t>
  </si>
  <si>
    <t>Bread</t>
  </si>
  <si>
    <t>7D33-YR8-WD03</t>
  </si>
  <si>
    <t>2HJ4-MR5-MV01</t>
  </si>
  <si>
    <t>2UW5C12UU71</t>
  </si>
  <si>
    <t>3X42-K52-TC14</t>
  </si>
  <si>
    <t>(413) 204-3231</t>
  </si>
  <si>
    <t>Newman</t>
  </si>
  <si>
    <t>9VX8-P38-GG22</t>
  </si>
  <si>
    <t>5WM5-QA6-YA98</t>
  </si>
  <si>
    <t>MAXINE</t>
  </si>
  <si>
    <t>5 N G 8 Q Q 5 F T 5 0</t>
  </si>
  <si>
    <t>DUDEN</t>
  </si>
  <si>
    <t>9VC8-CA9-TQ22</t>
  </si>
  <si>
    <t>GIPSON</t>
  </si>
  <si>
    <t>3VH2-ND3-PR08</t>
  </si>
  <si>
    <t>4KQ8-FJ7-JP32</t>
  </si>
  <si>
    <t>9HQ8-CQ6-DR34</t>
  </si>
  <si>
    <t>Loyal</t>
  </si>
  <si>
    <t>Evers Burchfiel Jr.</t>
  </si>
  <si>
    <t>2NT0-TQ5-FM02</t>
  </si>
  <si>
    <t>Holton</t>
  </si>
  <si>
    <t>Earnestein</t>
  </si>
  <si>
    <t>Earnestein Holton</t>
  </si>
  <si>
    <t>Winslow</t>
  </si>
  <si>
    <t>2QK4-NV7-HN97</t>
  </si>
  <si>
    <t>CarePlus</t>
  </si>
  <si>
    <t>LASSALLE</t>
  </si>
  <si>
    <t>8W74-KR6-HM65</t>
  </si>
  <si>
    <t>ARCE</t>
  </si>
  <si>
    <t>7H66-C77-GD67</t>
  </si>
  <si>
    <t>SERRANO</t>
  </si>
  <si>
    <t>5AQ4-E10-NR03</t>
  </si>
  <si>
    <t>BRONDA</t>
  </si>
  <si>
    <t>9PM6EP4MC49</t>
  </si>
  <si>
    <t>Homer</t>
  </si>
  <si>
    <t>Dunbar Jr</t>
  </si>
  <si>
    <t>8KU0-YK7-ND26</t>
  </si>
  <si>
    <t>4K37-WR2-RW39</t>
  </si>
  <si>
    <t>AREGA</t>
  </si>
  <si>
    <t>NIGUSSIE</t>
  </si>
  <si>
    <t>9G99-C73-TJ25</t>
  </si>
  <si>
    <t>DAVIS JR</t>
  </si>
  <si>
    <t>6X47-TR0-KG68</t>
  </si>
  <si>
    <t>Susie</t>
  </si>
  <si>
    <t>Hawthorne</t>
  </si>
  <si>
    <t>4RC2-R82-NM00</t>
  </si>
  <si>
    <t>3JM3-YR1-MF72</t>
  </si>
  <si>
    <t>SLADEK</t>
  </si>
  <si>
    <t>9VJ7-UA0-GQ60</t>
  </si>
  <si>
    <t>Heath</t>
  </si>
  <si>
    <t>2J12-D91-EV86</t>
  </si>
  <si>
    <t>4JT0-N48-YY02</t>
  </si>
  <si>
    <t>MARLITA</t>
  </si>
  <si>
    <t>MANNS</t>
  </si>
  <si>
    <t>8P04-X28-JW66</t>
  </si>
  <si>
    <t>EDMUND</t>
  </si>
  <si>
    <t>STAYNE</t>
  </si>
  <si>
    <t>2XQ4-PD7-HH97</t>
  </si>
  <si>
    <t>SEARCY</t>
  </si>
  <si>
    <t>8E09-G22-GT13</t>
  </si>
  <si>
    <t>Pawlick</t>
  </si>
  <si>
    <t>7QT2-WU8-RD95</t>
  </si>
  <si>
    <t>SEGALL</t>
  </si>
  <si>
    <t>3G60-MJ0-RM24</t>
  </si>
  <si>
    <t>CELIA</t>
  </si>
  <si>
    <t>D. AUSTIN</t>
  </si>
  <si>
    <t>2g35ca6dp63</t>
  </si>
  <si>
    <t>6HP9-E00-YP11</t>
  </si>
  <si>
    <t>2RM8-H13-RX26</t>
  </si>
  <si>
    <t>LEOLA</t>
  </si>
  <si>
    <t>7F08W97WK66</t>
  </si>
  <si>
    <t>RUFFNER</t>
  </si>
  <si>
    <t>9CR9-YQ3-ND24</t>
  </si>
  <si>
    <t>DOUGHTY</t>
  </si>
  <si>
    <t>8HQ2CH0MN91</t>
  </si>
  <si>
    <t>Carolina</t>
  </si>
  <si>
    <t>Donner</t>
  </si>
  <si>
    <t>1x54kq2nw81</t>
  </si>
  <si>
    <t>Baskin</t>
  </si>
  <si>
    <t>Rhonda Baskin</t>
  </si>
  <si>
    <t>Catania Sr</t>
  </si>
  <si>
    <t>2QJ0-WW2-GN46</t>
  </si>
  <si>
    <t>Luffman</t>
  </si>
  <si>
    <t>Jacob Luffman</t>
  </si>
  <si>
    <t>SLONE</t>
  </si>
  <si>
    <t>8G67-KR9-DK43</t>
  </si>
  <si>
    <t>Beamon</t>
  </si>
  <si>
    <t>8KE3-V10-CT76</t>
  </si>
  <si>
    <t>CLAVIJO</t>
  </si>
  <si>
    <t>6Q24-Q48-HH67</t>
  </si>
  <si>
    <t>Bruno</t>
  </si>
  <si>
    <t>9h49-t27-pa23</t>
  </si>
  <si>
    <t>FARRELL</t>
  </si>
  <si>
    <t>5DJ3-QN4-DQ18</t>
  </si>
  <si>
    <t>9MM7-PY3-UE41</t>
  </si>
  <si>
    <t>ROGERS JR</t>
  </si>
  <si>
    <t>9W89-AW1-CR29</t>
  </si>
  <si>
    <t>Fabricant</t>
  </si>
  <si>
    <t>3R35-R40-VJ99</t>
  </si>
  <si>
    <t>(207) 602-8820</t>
  </si>
  <si>
    <t>VIGLIOTTI</t>
  </si>
  <si>
    <t>1R77-C84-PM74</t>
  </si>
  <si>
    <t>Pellerin</t>
  </si>
  <si>
    <t>9W61-PQ5-QJ01</t>
  </si>
  <si>
    <t>Isabel</t>
  </si>
  <si>
    <t>9cd0-wd2-kk20</t>
  </si>
  <si>
    <t>Alford</t>
  </si>
  <si>
    <t>7YP9-W32-JY19</t>
  </si>
  <si>
    <t>Wiley</t>
  </si>
  <si>
    <t>3A56-WX2-AY63</t>
  </si>
  <si>
    <t>LESHIA</t>
  </si>
  <si>
    <t>2RK5-E99-EY76</t>
  </si>
  <si>
    <t>SHAYNE</t>
  </si>
  <si>
    <t>1TW7-A58-QC37</t>
  </si>
  <si>
    <t>3TA2-DU5-DW96</t>
  </si>
  <si>
    <t>BRANHAM</t>
  </si>
  <si>
    <t>1GE4-FP3-PA62</t>
  </si>
  <si>
    <t>2PJ3-JH5-JC07</t>
  </si>
  <si>
    <t>Ladawn</t>
  </si>
  <si>
    <t>7UJ7-ED2-WW53</t>
  </si>
  <si>
    <t>7F24-XX1-EC62</t>
  </si>
  <si>
    <t>(417) 718-3279</t>
  </si>
  <si>
    <t>BRIDGETTE</t>
  </si>
  <si>
    <t>STEPHENSON</t>
  </si>
  <si>
    <t>7MD0-EF1-AH37</t>
  </si>
  <si>
    <t>6M89-F96-XK15</t>
  </si>
  <si>
    <t>ROQUE</t>
  </si>
  <si>
    <t>6R28-F31-MP22</t>
  </si>
  <si>
    <t>Gladeta</t>
  </si>
  <si>
    <t>6UD3-Y91-FK19</t>
  </si>
  <si>
    <t>2HK1-GH6-HP98</t>
  </si>
  <si>
    <t>(602) 703-0585</t>
  </si>
  <si>
    <t>Hoyungowa</t>
  </si>
  <si>
    <t>3A61-K08-XW32</t>
  </si>
  <si>
    <t>WOESSNER</t>
  </si>
  <si>
    <t>4C99-HA3-WF12</t>
  </si>
  <si>
    <t>Princess</t>
  </si>
  <si>
    <t>DEARINGER</t>
  </si>
  <si>
    <t>5DH9-XF0-HR20</t>
  </si>
  <si>
    <t>6PN7-R40-KY38</t>
  </si>
  <si>
    <t>5ED1-FN6-DK19</t>
  </si>
  <si>
    <t>2GR2-P82-XX29</t>
  </si>
  <si>
    <t>7V76-HY1-RU71</t>
  </si>
  <si>
    <t>PACE</t>
  </si>
  <si>
    <t>6ep2-m30-ty00</t>
  </si>
  <si>
    <t>8KA9-K61-CW16</t>
  </si>
  <si>
    <t>(816) 520-7057</t>
  </si>
  <si>
    <t>7f08-vg6-tf23</t>
  </si>
  <si>
    <t>ADOLFO</t>
  </si>
  <si>
    <t>5NM9-XF5-JK16</t>
  </si>
  <si>
    <t>Vasquez</t>
  </si>
  <si>
    <t>Guild</t>
  </si>
  <si>
    <t>9XT7-UE7-TP34</t>
  </si>
  <si>
    <t>Mullen</t>
  </si>
  <si>
    <t>7FY1-W78-HJ05</t>
  </si>
  <si>
    <t>EARTHIA</t>
  </si>
  <si>
    <t>7AU9-PM6-DD36</t>
  </si>
  <si>
    <t>3XF6-V74-EP64</t>
  </si>
  <si>
    <t>1E41-N51-UN23</t>
  </si>
  <si>
    <t>VERSIA</t>
  </si>
  <si>
    <t>BROYLES</t>
  </si>
  <si>
    <t>6FW6-TF0-ME59</t>
  </si>
  <si>
    <t>Hallgren</t>
  </si>
  <si>
    <t>7Y68-Y34-AJ62</t>
  </si>
  <si>
    <t>WEEKS</t>
  </si>
  <si>
    <t>4Y34-UC1-MM91</t>
  </si>
  <si>
    <t>DERRICK L</t>
  </si>
  <si>
    <t>MCDADE SR</t>
  </si>
  <si>
    <t>4T17-T93-XD52</t>
  </si>
  <si>
    <t>1n44-hn7-av79</t>
  </si>
  <si>
    <t>Kirby</t>
  </si>
  <si>
    <t>8RU1-WT9-KX21</t>
  </si>
  <si>
    <t>2XR4-WW9-KH88</t>
  </si>
  <si>
    <t>1M75-F07-RR59</t>
  </si>
  <si>
    <t>3U13-NG7-EM99</t>
  </si>
  <si>
    <t>2V86-YR6-MA76</t>
  </si>
  <si>
    <t>7JM1-WD9-RY17</t>
  </si>
  <si>
    <t>Gregg</t>
  </si>
  <si>
    <t>4YK4-DV0-TY76</t>
  </si>
  <si>
    <t>EDGINGTON</t>
  </si>
  <si>
    <t>4PN7-FG8-QD31</t>
  </si>
  <si>
    <t>2UE8-M79-PH57</t>
  </si>
  <si>
    <t>9XD6-VY4-DQ63</t>
  </si>
  <si>
    <t>BARLOW</t>
  </si>
  <si>
    <t>2FX1-MW9-JM96</t>
  </si>
  <si>
    <t>OSVALDO</t>
  </si>
  <si>
    <t>2W16-MP7-WU45</t>
  </si>
  <si>
    <t>3VX0-V51-UJ32</t>
  </si>
  <si>
    <t>H B</t>
  </si>
  <si>
    <t>Barrance</t>
  </si>
  <si>
    <t>7YJ4-V56-AG81</t>
  </si>
  <si>
    <t>3KH7-WV4-JW42</t>
  </si>
  <si>
    <t>Barham</t>
  </si>
  <si>
    <t>1WD6-P13-CK89</t>
  </si>
  <si>
    <t>Roden</t>
  </si>
  <si>
    <t>1HR2-QV5-MM81</t>
  </si>
  <si>
    <t>8GH8-QU3-YF29</t>
  </si>
  <si>
    <t>6CJ9-YG0-MX14</t>
  </si>
  <si>
    <t>7JM4-QH6-KE61</t>
  </si>
  <si>
    <t>4CF0-KT6-UH09</t>
  </si>
  <si>
    <t>3MY7-JA9-QP49</t>
  </si>
  <si>
    <t>Jayson</t>
  </si>
  <si>
    <t>Buzzell</t>
  </si>
  <si>
    <t>9x51-ct4-ta34</t>
  </si>
  <si>
    <t>Cericola</t>
  </si>
  <si>
    <t>6A94-R96-YU73</t>
  </si>
  <si>
    <t>RASILA</t>
  </si>
  <si>
    <t>Patel</t>
  </si>
  <si>
    <t>5AG8-J12-YM63</t>
  </si>
  <si>
    <t>GOBER</t>
  </si>
  <si>
    <t>1J95-PE6-AJ74</t>
  </si>
  <si>
    <t>COMEAUX</t>
  </si>
  <si>
    <t>4T77-FQ9-CY55</t>
  </si>
  <si>
    <t>(832) 790-7841</t>
  </si>
  <si>
    <t>1KE8-KR6-RV28</t>
  </si>
  <si>
    <t>GARY W.</t>
  </si>
  <si>
    <t>1T58-DV4-MY63</t>
  </si>
  <si>
    <t>WREN</t>
  </si>
  <si>
    <t>3C20-EM1-JP22</t>
  </si>
  <si>
    <t>1FD8-F48-DP52</t>
  </si>
  <si>
    <t>Menard</t>
  </si>
  <si>
    <t>7AT5-NP8-HH79</t>
  </si>
  <si>
    <t>3TH9-HM3-YM44</t>
  </si>
  <si>
    <t>4G32-F46-DP83</t>
  </si>
  <si>
    <t>Harman</t>
  </si>
  <si>
    <t>9RA7-Q30-NF43</t>
  </si>
  <si>
    <t>ENGLISH</t>
  </si>
  <si>
    <t>5C72-RR9-KJ03</t>
  </si>
  <si>
    <t>PINEDA</t>
  </si>
  <si>
    <t>1GW0-Y75-AU21</t>
  </si>
  <si>
    <t>4H78-TU3-CW53</t>
  </si>
  <si>
    <t>859-460-8195</t>
  </si>
  <si>
    <t>6DX9-CH0-NA17</t>
  </si>
  <si>
    <t>Darcie</t>
  </si>
  <si>
    <t>9RY3-GQ1-VP99</t>
  </si>
  <si>
    <t>2U61-X50-CP06</t>
  </si>
  <si>
    <t>Disque</t>
  </si>
  <si>
    <t>1GE8-GW8-DC53</t>
  </si>
  <si>
    <t>LIBIA</t>
  </si>
  <si>
    <t>GOMEZ MEDINA</t>
  </si>
  <si>
    <t>9YN0-CT5-UX37</t>
  </si>
  <si>
    <t>Castma</t>
  </si>
  <si>
    <t>4AW5-U96-FD58</t>
  </si>
  <si>
    <t>5NF0-F84-FV20</t>
  </si>
  <si>
    <t>(513) 910-3975</t>
  </si>
  <si>
    <t>2F25-Q42-RC52</t>
  </si>
  <si>
    <t>BLUETTA</t>
  </si>
  <si>
    <t>6KW9-PG9-FF39</t>
  </si>
  <si>
    <t>JANELLE</t>
  </si>
  <si>
    <t>VOLLERTSEN</t>
  </si>
  <si>
    <t>1TK1-CX1-TP08</t>
  </si>
  <si>
    <t>(270) 997-2237</t>
  </si>
  <si>
    <t>7TX2-XE9-FD89</t>
  </si>
  <si>
    <t>ACREE</t>
  </si>
  <si>
    <t>2CN3-C51-RY08</t>
  </si>
  <si>
    <t>4XQ7-HP1-DP32</t>
  </si>
  <si>
    <t>9FV2-CV1-NF09</t>
  </si>
  <si>
    <t>Dolores</t>
  </si>
  <si>
    <t>5K47-E60-RV49</t>
  </si>
  <si>
    <t>CARMACK</t>
  </si>
  <si>
    <t>5AC2-RY5-UX98</t>
  </si>
  <si>
    <t>TARTER</t>
  </si>
  <si>
    <t>1m38-vx1-yr25</t>
  </si>
  <si>
    <t>McMahon</t>
  </si>
  <si>
    <t>2CC1-XE1-PH16</t>
  </si>
  <si>
    <t>GALLAGHER</t>
  </si>
  <si>
    <t>6GD5-Y33-PC82</t>
  </si>
  <si>
    <t>1r40-n92-an23</t>
  </si>
  <si>
    <t>Cross</t>
  </si>
  <si>
    <t>9QK5-XP1-AT51</t>
  </si>
  <si>
    <t>Mayfield</t>
  </si>
  <si>
    <t>3CX4-QQ2-WP50</t>
  </si>
  <si>
    <t>YOCOM</t>
  </si>
  <si>
    <t>5PE1-U51-EH80</t>
  </si>
  <si>
    <t>MCINTOSH</t>
  </si>
  <si>
    <t>5VV3-QV5-WM04</t>
  </si>
  <si>
    <t>Boldin</t>
  </si>
  <si>
    <t>5HG1-V16-TQ06</t>
  </si>
  <si>
    <t>4AJ8-QG6-YQ50</t>
  </si>
  <si>
    <t>Neal</t>
  </si>
  <si>
    <t>9GD8-D91-NA21</t>
  </si>
  <si>
    <t>2J32-CX3-YP03</t>
  </si>
  <si>
    <t>YEARRY</t>
  </si>
  <si>
    <t>6HK0-CP6-NU12</t>
  </si>
  <si>
    <t>2T91-NU3-JN80</t>
  </si>
  <si>
    <t>LAVOIE</t>
  </si>
  <si>
    <t>4KV9-NJ1-NC36</t>
  </si>
  <si>
    <t>MADUEMEZIA</t>
  </si>
  <si>
    <t>7MK5-N86-KY65</t>
  </si>
  <si>
    <t>2F28-HQ5-QW30</t>
  </si>
  <si>
    <t>GIRTON</t>
  </si>
  <si>
    <t>1MR8-JM9-MT46</t>
  </si>
  <si>
    <t>McClane</t>
  </si>
  <si>
    <t>Hodge</t>
  </si>
  <si>
    <t>Joshua Stanley Hodge</t>
  </si>
  <si>
    <t>LEMASTERS</t>
  </si>
  <si>
    <t>2AE8-QY4-GV28</t>
  </si>
  <si>
    <t>7R64-WX0-ME90</t>
  </si>
  <si>
    <t>McFarland</t>
  </si>
  <si>
    <t>3H48-RA8-UG67</t>
  </si>
  <si>
    <t>KILLEBREW</t>
  </si>
  <si>
    <t>9GQ5-C72-QC62</t>
  </si>
  <si>
    <t>Shawn</t>
  </si>
  <si>
    <t>5RM4-VW6-EX96</t>
  </si>
  <si>
    <t>WHEAT</t>
  </si>
  <si>
    <t>7KM1-DG0-JP10</t>
  </si>
  <si>
    <t>NORMAN</t>
  </si>
  <si>
    <t>1N95-W80-CC79</t>
  </si>
  <si>
    <t>Sun</t>
  </si>
  <si>
    <t>Buttrey</t>
  </si>
  <si>
    <t>9K13-RV6-WD72</t>
  </si>
  <si>
    <t>8C88-MN4-FQ58</t>
  </si>
  <si>
    <t>6JX0-T44-PW14</t>
  </si>
  <si>
    <t>6Q39-TU7-ED24</t>
  </si>
  <si>
    <t>Franklin</t>
  </si>
  <si>
    <t>8TX5-D67-KG82</t>
  </si>
  <si>
    <t>Claire</t>
  </si>
  <si>
    <t>Souza</t>
  </si>
  <si>
    <t>7WN9-GH4-NC49</t>
  </si>
  <si>
    <t>Quinn</t>
  </si>
  <si>
    <t>Brooks Sr</t>
  </si>
  <si>
    <t>8G52-YA9-AJ81</t>
  </si>
  <si>
    <t>3UJ9-V36-MY15</t>
  </si>
  <si>
    <t>Velez</t>
  </si>
  <si>
    <t>6EG5-GC9-TX82</t>
  </si>
  <si>
    <t>BOWENS Sr</t>
  </si>
  <si>
    <t>2XM6-A94-GK46</t>
  </si>
  <si>
    <t>MALCOLM</t>
  </si>
  <si>
    <t>BURKE</t>
  </si>
  <si>
    <t>6y60-fn0-up16</t>
  </si>
  <si>
    <t>Pace</t>
  </si>
  <si>
    <t>6HR3-NN2-WJ99</t>
  </si>
  <si>
    <t>4QR7-KC0-FF36</t>
  </si>
  <si>
    <t>RIBERA</t>
  </si>
  <si>
    <t>6PE1-TX0-DN11</t>
  </si>
  <si>
    <t>Clyde</t>
  </si>
  <si>
    <t>Hanley</t>
  </si>
  <si>
    <t>7W31-J42-FP23</t>
  </si>
  <si>
    <t>(720) 365-7793</t>
  </si>
  <si>
    <t>456063313A</t>
  </si>
  <si>
    <t>(281) 577-6621</t>
  </si>
  <si>
    <t>Rachelle</t>
  </si>
  <si>
    <t>Cazey</t>
  </si>
  <si>
    <t>7HW1-K71-QK94</t>
  </si>
  <si>
    <t>7DW6-AH1-DE89</t>
  </si>
  <si>
    <t>Erma</t>
  </si>
  <si>
    <t>8YE0-RN5-FF06</t>
  </si>
  <si>
    <t>Crain</t>
  </si>
  <si>
    <t>7JX2-AF8-JT91</t>
  </si>
  <si>
    <t>(209) 206-3568</t>
  </si>
  <si>
    <t>5R72-HF5-JR99</t>
  </si>
  <si>
    <t>VIVIAN</t>
  </si>
  <si>
    <t>9T64-VK4-VV61</t>
  </si>
  <si>
    <t>HARDING</t>
  </si>
  <si>
    <t>6F41-WH6-GC24</t>
  </si>
  <si>
    <t>Shields</t>
  </si>
  <si>
    <t>1AQ5-JF1-AQ53</t>
  </si>
  <si>
    <t>Cook</t>
  </si>
  <si>
    <t>9GQ4-Y11-FT05</t>
  </si>
  <si>
    <t>HOPGOOD</t>
  </si>
  <si>
    <t>4WT2-VA0-JR26</t>
  </si>
  <si>
    <t>Carmen</t>
  </si>
  <si>
    <t>9NF3-NA4-NU78</t>
  </si>
  <si>
    <t>5J43-JU4-DQ85</t>
  </si>
  <si>
    <t>Munson</t>
  </si>
  <si>
    <t>2HY7-M02-PG33</t>
  </si>
  <si>
    <t>Aurora</t>
  </si>
  <si>
    <t>Catalan</t>
  </si>
  <si>
    <t>1AN2-E23-MT12</t>
  </si>
  <si>
    <t>(602) 487-6283</t>
  </si>
  <si>
    <t>RYWANT</t>
  </si>
  <si>
    <t>6V43-MC7-PG78</t>
  </si>
  <si>
    <t>Parsons</t>
  </si>
  <si>
    <t>4J40-W01-JK01</t>
  </si>
  <si>
    <t>8C31-MW6-TJ09</t>
  </si>
  <si>
    <t>Bolling</t>
  </si>
  <si>
    <t>3D36-UQ0-JC53</t>
  </si>
  <si>
    <t>(254) 370-9254</t>
  </si>
  <si>
    <t>Berbena</t>
  </si>
  <si>
    <t>2JJ1-VJ3-TE38</t>
  </si>
  <si>
    <t>HERMES</t>
  </si>
  <si>
    <t>1TT4-U04-KG50</t>
  </si>
  <si>
    <t>5C90-NA7-RM27</t>
  </si>
  <si>
    <t>(303) 373-5863</t>
  </si>
  <si>
    <t>CONSUELO</t>
  </si>
  <si>
    <t>5Q48-XX6-YX41</t>
  </si>
  <si>
    <t>4TK5-TU7-XP40</t>
  </si>
  <si>
    <t>ND</t>
  </si>
  <si>
    <t>Moss</t>
  </si>
  <si>
    <t>8NU2-AY5-JD26</t>
  </si>
  <si>
    <t>MERLYN</t>
  </si>
  <si>
    <t>SRALLA</t>
  </si>
  <si>
    <t>3UM7-CY2-JF72</t>
  </si>
  <si>
    <t>Bender</t>
  </si>
  <si>
    <t>4GJ9-PA2-QH52</t>
  </si>
  <si>
    <t>Meier</t>
  </si>
  <si>
    <t>9KK9-WQ6-TR29</t>
  </si>
  <si>
    <t>7DQ4-XK1-UN71</t>
  </si>
  <si>
    <t>ARNELL</t>
  </si>
  <si>
    <t>3XJ1-T50-QQ80</t>
  </si>
  <si>
    <t>8G26-AA5-KK49</t>
  </si>
  <si>
    <t>5UT6-GN2-EV79</t>
  </si>
  <si>
    <t>(270) 245-9425</t>
  </si>
  <si>
    <t>SWAN</t>
  </si>
  <si>
    <t>8WF7-JQ2-RK51</t>
  </si>
  <si>
    <t>RUZICKA</t>
  </si>
  <si>
    <t>Mearns</t>
  </si>
  <si>
    <t>7J16-A23-MR63</t>
  </si>
  <si>
    <t>NELDIA</t>
  </si>
  <si>
    <t>ROARK</t>
  </si>
  <si>
    <t>8VG4-M81-WP75</t>
  </si>
  <si>
    <t>MANZELLA</t>
  </si>
  <si>
    <t>7A64-G78-JW01</t>
  </si>
  <si>
    <t>FAITH</t>
  </si>
  <si>
    <t>5TF8-K57-PR65</t>
  </si>
  <si>
    <t>RATFORD</t>
  </si>
  <si>
    <t>1YM5-DG4-CA50</t>
  </si>
  <si>
    <t>8aw3-dm8-mh82</t>
  </si>
  <si>
    <t>8N99-G10-DR21</t>
  </si>
  <si>
    <t>SHERK</t>
  </si>
  <si>
    <t>5QV6-QV0-TP75</t>
  </si>
  <si>
    <t>5NU7-PM2-YF58</t>
  </si>
  <si>
    <t>6NA0-A92-QQ01</t>
  </si>
  <si>
    <t>9J22-N41-NR84</t>
  </si>
  <si>
    <t>SINGER</t>
  </si>
  <si>
    <t>9Q61-WE0-QX23</t>
  </si>
  <si>
    <t>1AH7-EY6-MW32</t>
  </si>
  <si>
    <t>Smith -Mumphrey</t>
  </si>
  <si>
    <t>1W23-DQ0-JT95</t>
  </si>
  <si>
    <t>Junior</t>
  </si>
  <si>
    <t>Begay</t>
  </si>
  <si>
    <t>1WK4-M00-FW93</t>
  </si>
  <si>
    <t>(928) 280-8661</t>
  </si>
  <si>
    <t>Tejada</t>
  </si>
  <si>
    <t>8DU8-KP0-PG58</t>
  </si>
  <si>
    <t>8XF5-CD7-DU50</t>
  </si>
  <si>
    <t>(513) 306-5581</t>
  </si>
  <si>
    <t>CARLOYN</t>
  </si>
  <si>
    <t>ESPINOSA</t>
  </si>
  <si>
    <t>9YR9-XX0-AV00</t>
  </si>
  <si>
    <t>STROUP</t>
  </si>
  <si>
    <t>2H58-NC9-RC35</t>
  </si>
  <si>
    <t>BENNIE</t>
  </si>
  <si>
    <t>9E64-TK5-WN65</t>
  </si>
  <si>
    <t>9EE3-QQ7-FA72</t>
  </si>
  <si>
    <t>773-367-0135</t>
  </si>
  <si>
    <t>ENGLAND</t>
  </si>
  <si>
    <t>1K00-NJ6-CJ36</t>
  </si>
  <si>
    <t>1VQ8-AP8-WR44</t>
  </si>
  <si>
    <t>Jaeden</t>
  </si>
  <si>
    <t>Jaeden Collins</t>
  </si>
  <si>
    <t>Alicia</t>
  </si>
  <si>
    <t>OLUSANYA EMMANUEL</t>
  </si>
  <si>
    <t>6Y31-TK6-UT36</t>
  </si>
  <si>
    <t>9uy0-qj3-rp19</t>
  </si>
  <si>
    <t>8FQ6-NJ4-HT84</t>
  </si>
  <si>
    <t>Velazquez</t>
  </si>
  <si>
    <t>5xw5-jh0-vc77</t>
  </si>
  <si>
    <t>Hinz</t>
  </si>
  <si>
    <t>4MX1-MJ6-UU12</t>
  </si>
  <si>
    <t>(480) 516-9404</t>
  </si>
  <si>
    <t>MCGONEGAL</t>
  </si>
  <si>
    <t>3XW8-T72-PG51</t>
  </si>
  <si>
    <t>Lovejoy</t>
  </si>
  <si>
    <t>7G51-AE7-TP25</t>
  </si>
  <si>
    <t>Melvin</t>
  </si>
  <si>
    <t>4AC2-RD6-YX70</t>
  </si>
  <si>
    <t>HENIRETTA</t>
  </si>
  <si>
    <t>4FP1-AD6-TR93</t>
  </si>
  <si>
    <t>6KC0-PQ9-WY30</t>
  </si>
  <si>
    <t>COBLENTZ</t>
  </si>
  <si>
    <t>4VM5-NF1-CN68</t>
  </si>
  <si>
    <t>(281) 714-5788</t>
  </si>
  <si>
    <t>Chatmon</t>
  </si>
  <si>
    <t>2XF0-QY0-QN13</t>
  </si>
  <si>
    <t>ARVELLE</t>
  </si>
  <si>
    <t>4x19-a28-ee33</t>
  </si>
  <si>
    <t>Evers</t>
  </si>
  <si>
    <t>9QV5-MR6-TC76</t>
  </si>
  <si>
    <t>8JP3-U28-MD72</t>
  </si>
  <si>
    <t>HETEVESEY</t>
  </si>
  <si>
    <t>DANFORD CURTIS</t>
  </si>
  <si>
    <t>5A30-PP2-GX39</t>
  </si>
  <si>
    <t>Nancie</t>
  </si>
  <si>
    <t>Tharp</t>
  </si>
  <si>
    <t>1JH3-Q02-NY04</t>
  </si>
  <si>
    <t>5A21-YJ7-XX10</t>
  </si>
  <si>
    <t>Ocbai</t>
  </si>
  <si>
    <t>Tesfay</t>
  </si>
  <si>
    <t>3VV1-P11-FJ11</t>
  </si>
  <si>
    <t>1DK0-RJ2-VU02</t>
  </si>
  <si>
    <t>SALLYE</t>
  </si>
  <si>
    <t>9G15-DW2-CQ72</t>
  </si>
  <si>
    <t>HESSELGRAVE</t>
  </si>
  <si>
    <t>4XJ4-MU1-CU61</t>
  </si>
  <si>
    <t>1K96-FT5-KV83</t>
  </si>
  <si>
    <t>5CG1-Q98-GG09</t>
  </si>
  <si>
    <t>ALEJANDRA</t>
  </si>
  <si>
    <t>BELLO</t>
  </si>
  <si>
    <t>7TW7-U26-AK54</t>
  </si>
  <si>
    <t>McCray</t>
  </si>
  <si>
    <t>4N10-HQ0-EC11</t>
  </si>
  <si>
    <t>3H42-CD3-TE86</t>
  </si>
  <si>
    <t>Malcolm</t>
  </si>
  <si>
    <t>Judie</t>
  </si>
  <si>
    <t>2KM1-FE4-YJ05</t>
  </si>
  <si>
    <t>2QH6-CM3-DM64</t>
  </si>
  <si>
    <t>2TR4-NG1-WM81</t>
  </si>
  <si>
    <t>PAM</t>
  </si>
  <si>
    <t>KITTNER</t>
  </si>
  <si>
    <t>1MD3-J00-MG86</t>
  </si>
  <si>
    <t>3M71-C41-TH31</t>
  </si>
  <si>
    <t>(317) 728-2787</t>
  </si>
  <si>
    <t>4RX9-GW1-MP30</t>
  </si>
  <si>
    <t>Patton</t>
  </si>
  <si>
    <t>2C03-XA5-DK87</t>
  </si>
  <si>
    <t>7M24-J02-TN71</t>
  </si>
  <si>
    <t>6x50-gc0-xu09</t>
  </si>
  <si>
    <t>TRAVIS</t>
  </si>
  <si>
    <t>SHROPSHIRE JR</t>
  </si>
  <si>
    <t>4RM8-N41-FY37</t>
  </si>
  <si>
    <t>6TA0-W86-AU34</t>
  </si>
  <si>
    <t>Belinda</t>
  </si>
  <si>
    <t>3PD1-EY2-RD13</t>
  </si>
  <si>
    <t>(872) 463-4896</t>
  </si>
  <si>
    <t>3EX7-EE8-PQ59</t>
  </si>
  <si>
    <t>Swisher</t>
  </si>
  <si>
    <t>8MJ6-GR4-DE89</t>
  </si>
  <si>
    <t>Conrad</t>
  </si>
  <si>
    <t>1HW6-DE4-QK54</t>
  </si>
  <si>
    <t>MICHAELLE</t>
  </si>
  <si>
    <t>7NP9-HY9-UR13</t>
  </si>
  <si>
    <t>Columbus</t>
  </si>
  <si>
    <t>8RY8-UX0-XR41</t>
  </si>
  <si>
    <t>Pecore</t>
  </si>
  <si>
    <t>5P34-JJ8-JT96</t>
  </si>
  <si>
    <t>(727) 916-0206</t>
  </si>
  <si>
    <t>1X36-WU5-NY71</t>
  </si>
  <si>
    <t>EN</t>
  </si>
  <si>
    <t>TRINH</t>
  </si>
  <si>
    <t>2R91-N98-RK96</t>
  </si>
  <si>
    <t>Chisholm</t>
  </si>
  <si>
    <t>4u40-n38-du47</t>
  </si>
  <si>
    <t>(843) 592-5504</t>
  </si>
  <si>
    <t>Deckard</t>
  </si>
  <si>
    <t>5G59-Q51-QM43</t>
  </si>
  <si>
    <t>9MT3-YE3-KQ05</t>
  </si>
  <si>
    <t>9VQ8-CH8-VQ43</t>
  </si>
  <si>
    <t>KEUTHAN</t>
  </si>
  <si>
    <t>3RV7-Q11-RA35</t>
  </si>
  <si>
    <t>Ligia</t>
  </si>
  <si>
    <t>Velandia</t>
  </si>
  <si>
    <t>2CN6-KY6-KE82</t>
  </si>
  <si>
    <t>SPRIGGS</t>
  </si>
  <si>
    <t>5J27-Y22-UK79</t>
  </si>
  <si>
    <t>Crussen</t>
  </si>
  <si>
    <t>1NV0-UK8-MF38</t>
  </si>
  <si>
    <t>Terveen</t>
  </si>
  <si>
    <t>6PN7-PR4-GV55</t>
  </si>
  <si>
    <t>1X02-U29-KA99</t>
  </si>
  <si>
    <t>Mae</t>
  </si>
  <si>
    <t>9N42-MK7-JD05</t>
  </si>
  <si>
    <t>DE JESUS</t>
  </si>
  <si>
    <t>7A75-H60-EA56</t>
  </si>
  <si>
    <t>VILAIRE</t>
  </si>
  <si>
    <t>3EP1-RD5-WU95</t>
  </si>
  <si>
    <t>Yeager JR</t>
  </si>
  <si>
    <t>5T81-PC8-RA37</t>
  </si>
  <si>
    <t>(847) 650-4061</t>
  </si>
  <si>
    <t>Huckabee</t>
  </si>
  <si>
    <t>2mr2-u01-pv98</t>
  </si>
  <si>
    <t>Jasmin</t>
  </si>
  <si>
    <t>Jasmin Johnson</t>
  </si>
  <si>
    <t>Natha</t>
  </si>
  <si>
    <t>Pizarro</t>
  </si>
  <si>
    <t>1C68-CN9-FF49</t>
  </si>
  <si>
    <t>Putesoy</t>
  </si>
  <si>
    <t>5EA0-N66-UN20</t>
  </si>
  <si>
    <t>(928) 448-2284</t>
  </si>
  <si>
    <t>MCCARTHY</t>
  </si>
  <si>
    <t>4NP9-PH9-UF14</t>
  </si>
  <si>
    <t>BRANTLEY</t>
  </si>
  <si>
    <t>3VY8-QR5-WH44</t>
  </si>
  <si>
    <t>Weber</t>
  </si>
  <si>
    <t>1EW9-Y94-XY45</t>
  </si>
  <si>
    <t>(970) 529-0322</t>
  </si>
  <si>
    <t>PEDRO</t>
  </si>
  <si>
    <t>VELAZQUEZ</t>
  </si>
  <si>
    <t>4CE7-DM4-QG37</t>
  </si>
  <si>
    <t>4n36-gy8-rv60</t>
  </si>
  <si>
    <t>Dorina</t>
  </si>
  <si>
    <t>Valencia</t>
  </si>
  <si>
    <t>7MY8-TC4-GN20</t>
  </si>
  <si>
    <t>Bettina</t>
  </si>
  <si>
    <t>Van Pelt</t>
  </si>
  <si>
    <t>9FV1-PW2-AG39</t>
  </si>
  <si>
    <t>3AV1-A53-MF10</t>
  </si>
  <si>
    <t>6MX8-MC9-AA56</t>
  </si>
  <si>
    <t>MCILVEENE</t>
  </si>
  <si>
    <t>4P01-U54-XM18</t>
  </si>
  <si>
    <t>Gerrick</t>
  </si>
  <si>
    <t>1J14-KM3-YR73</t>
  </si>
  <si>
    <t>(234) 703-9609</t>
  </si>
  <si>
    <t>PLEASANT</t>
  </si>
  <si>
    <t>7F64-Y62-HA65</t>
  </si>
  <si>
    <t>5MY1-YQ1-UT02</t>
  </si>
  <si>
    <t>FITZPATRICK</t>
  </si>
  <si>
    <t>6MP5-W71-JE63</t>
  </si>
  <si>
    <t>Dostal</t>
  </si>
  <si>
    <t>8DP9-YQ1-WF54</t>
  </si>
  <si>
    <t>2AP4-J84-YK60</t>
  </si>
  <si>
    <t>7UY1-G35-WU13</t>
  </si>
  <si>
    <t>(773) 407-3836</t>
  </si>
  <si>
    <t>GABRIEL</t>
  </si>
  <si>
    <t>HERNANDEZ ARRIOLA</t>
  </si>
  <si>
    <t>3W75-FN4-VM55</t>
  </si>
  <si>
    <t>LINER</t>
  </si>
  <si>
    <t>5J24-VJ8-FJ08</t>
  </si>
  <si>
    <t>9Q05-HK8-PE72</t>
  </si>
  <si>
    <t>1Q94-HR0-GX96</t>
  </si>
  <si>
    <t>Louise</t>
  </si>
  <si>
    <t>2KF8-RN9-RV38</t>
  </si>
  <si>
    <t>Wynn</t>
  </si>
  <si>
    <t>9FW2-QQ3-QH11</t>
  </si>
  <si>
    <t>LeJune</t>
  </si>
  <si>
    <t>7EP6-Q35-GD52</t>
  </si>
  <si>
    <t>Candi</t>
  </si>
  <si>
    <t>Moton</t>
  </si>
  <si>
    <t>7DF5-JH2-VU60</t>
  </si>
  <si>
    <t>(520) 478-9338</t>
  </si>
  <si>
    <t>2PT0-MR2-TA03</t>
  </si>
  <si>
    <t>2r64-ku8-am83</t>
  </si>
  <si>
    <t>Tiyanna</t>
  </si>
  <si>
    <t>Tiyanna Walton</t>
  </si>
  <si>
    <t>Pentecost</t>
  </si>
  <si>
    <t>Sterling</t>
  </si>
  <si>
    <t>Speights</t>
  </si>
  <si>
    <t>7DU6-XT1-NE87</t>
  </si>
  <si>
    <t>BEN</t>
  </si>
  <si>
    <t>SMITH  Jr</t>
  </si>
  <si>
    <t>5AT5-PR4-FG98</t>
  </si>
  <si>
    <t>Solomon</t>
  </si>
  <si>
    <t>3VD0-CX4-KT05</t>
  </si>
  <si>
    <t>(216) 315-0255</t>
  </si>
  <si>
    <t>Dianne</t>
  </si>
  <si>
    <t>6XH6-D42-DK73</t>
  </si>
  <si>
    <t>5GU0-FY1-RY43</t>
  </si>
  <si>
    <t>9rg2-hn8-nf80</t>
  </si>
  <si>
    <t>SENTERS</t>
  </si>
  <si>
    <t>1AP6-W78-AF64</t>
  </si>
  <si>
    <t>SMITH MCCUIE</t>
  </si>
  <si>
    <t>6T23-WR0-PF85</t>
  </si>
  <si>
    <t>Jerome</t>
  </si>
  <si>
    <t>Burton</t>
  </si>
  <si>
    <t>9R94-AD7-DJ65</t>
  </si>
  <si>
    <t>HOWERY</t>
  </si>
  <si>
    <t>3R71-KM7-CK94</t>
  </si>
  <si>
    <t>4YD6-DV7-JJ78</t>
  </si>
  <si>
    <t>4KN1-VU2-XG34</t>
  </si>
  <si>
    <t>Schroeder</t>
  </si>
  <si>
    <t>4KW0-FH0-MK14</t>
  </si>
  <si>
    <t>8M39-PU4-AU56</t>
  </si>
  <si>
    <t>DUBOSE</t>
  </si>
  <si>
    <t>3E26-QJ2-XU65</t>
  </si>
  <si>
    <t>LUIS EMILIO</t>
  </si>
  <si>
    <t>4NY2-RY1-XY87</t>
  </si>
  <si>
    <t>(870) 676-8413</t>
  </si>
  <si>
    <t>6WE4-W83-PJ09</t>
  </si>
  <si>
    <t>(865) 255-9651</t>
  </si>
  <si>
    <t>Laurann</t>
  </si>
  <si>
    <t>Efrati</t>
  </si>
  <si>
    <t>7E74-HV5-RH01</t>
  </si>
  <si>
    <t>GIRARD</t>
  </si>
  <si>
    <t>7V79-AP4-EF39</t>
  </si>
  <si>
    <t>1V22-GC1-AW88</t>
  </si>
  <si>
    <t>9YD8-QD9-NC32</t>
  </si>
  <si>
    <t>LAVIN</t>
  </si>
  <si>
    <t>2DK7-PE0-EQ39</t>
  </si>
  <si>
    <t>Gwinn</t>
  </si>
  <si>
    <t>5M48-T92-HN23</t>
  </si>
  <si>
    <t>6D56-T81-AE76</t>
  </si>
  <si>
    <t>Venda</t>
  </si>
  <si>
    <t>3P85-Q30-NQ89</t>
  </si>
  <si>
    <t>(859) 456-9457</t>
  </si>
  <si>
    <t>9N62-A15-MD17</t>
  </si>
  <si>
    <t>4P82-NK8-RH13</t>
  </si>
  <si>
    <t>DAYLE</t>
  </si>
  <si>
    <t>HADDIN</t>
  </si>
  <si>
    <t>9v29-ap6-je44</t>
  </si>
  <si>
    <t>MCCUSKER</t>
  </si>
  <si>
    <t>1JQ6-K18-XA51</t>
  </si>
  <si>
    <t>Walters</t>
  </si>
  <si>
    <t>4WJ9-H90-CF39</t>
  </si>
  <si>
    <t>(928) 961-4478</t>
  </si>
  <si>
    <t>Evelina</t>
  </si>
  <si>
    <t>Bonnet</t>
  </si>
  <si>
    <t>5HR3-JD5-QQ14</t>
  </si>
  <si>
    <t>FONTECCHIO</t>
  </si>
  <si>
    <t>5AV9-HM7-DN15</t>
  </si>
  <si>
    <t>Eubanks</t>
  </si>
  <si>
    <t>3hw7-dp4-cj23</t>
  </si>
  <si>
    <t>ACQUENETTA</t>
  </si>
  <si>
    <t>COUCH</t>
  </si>
  <si>
    <t>2AF1-A55-MN23</t>
  </si>
  <si>
    <t>6YP1-T38-CD32</t>
  </si>
  <si>
    <t>VIVERITO SR</t>
  </si>
  <si>
    <t>4KV8-AC3-KK43</t>
  </si>
  <si>
    <t>Bruenette</t>
  </si>
  <si>
    <t>Mays</t>
  </si>
  <si>
    <t>8YN9-ME0-AY00</t>
  </si>
  <si>
    <t>5h22-qf6-uw88</t>
  </si>
  <si>
    <t>Makin</t>
  </si>
  <si>
    <t>3WA7-V89-HJ65</t>
  </si>
  <si>
    <t>(513) 400-9493</t>
  </si>
  <si>
    <t>Nadina</t>
  </si>
  <si>
    <t>Hinton</t>
  </si>
  <si>
    <t>2XM6-JW5-QN50</t>
  </si>
  <si>
    <t>Eaton</t>
  </si>
  <si>
    <t>8GK2-YW1-WC88</t>
  </si>
  <si>
    <t>Venus</t>
  </si>
  <si>
    <t>Guinto</t>
  </si>
  <si>
    <t>8VQ2-UC7-TP01</t>
  </si>
  <si>
    <t>5RC1-HY7-FJ17</t>
  </si>
  <si>
    <t>JEANE</t>
  </si>
  <si>
    <t>5PC2-G00-NN29</t>
  </si>
  <si>
    <t>FREDeRICK</t>
  </si>
  <si>
    <t>9W19-E59-VT14</t>
  </si>
  <si>
    <t>8RV7-PT5-YR40</t>
  </si>
  <si>
    <t>Desiree</t>
  </si>
  <si>
    <t>Dismukes</t>
  </si>
  <si>
    <t>5TD1-QQ4-XX00</t>
  </si>
  <si>
    <t>Scottie</t>
  </si>
  <si>
    <t>4QG3-H78-CN13</t>
  </si>
  <si>
    <t>Houston</t>
  </si>
  <si>
    <t>4U13-UG8-DW07</t>
  </si>
  <si>
    <t>Elkin</t>
  </si>
  <si>
    <t>8WY6-UW1-AP49</t>
  </si>
  <si>
    <t>Frieda</t>
  </si>
  <si>
    <t>Cromley</t>
  </si>
  <si>
    <t>5tu8-g95-df57</t>
  </si>
  <si>
    <t>(904) 571-2673</t>
  </si>
  <si>
    <t>HRYCYK</t>
  </si>
  <si>
    <t>1TR7-WK2-NE55</t>
  </si>
  <si>
    <t>4QM2-AK2-FK96</t>
  </si>
  <si>
    <t>Aubrey</t>
  </si>
  <si>
    <t>Hudson</t>
  </si>
  <si>
    <t>1FT3-X64-QK71</t>
  </si>
  <si>
    <t>3CX8-CD5-VT31</t>
  </si>
  <si>
    <t>Eliot</t>
  </si>
  <si>
    <t>2AK7-A34-NJ34</t>
  </si>
  <si>
    <t>5N44-KR9-DX61</t>
  </si>
  <si>
    <t>1GP2-JQ6-JX28</t>
  </si>
  <si>
    <t>4QE5-C34-DR84</t>
  </si>
  <si>
    <t>(270) 606-1377</t>
  </si>
  <si>
    <t>GUNSELL</t>
  </si>
  <si>
    <t>7G44-HU0-JT77</t>
  </si>
  <si>
    <t>Dunson</t>
  </si>
  <si>
    <t>7M34-CA4-TM81</t>
  </si>
  <si>
    <t>Andrews</t>
  </si>
  <si>
    <t>8gv3-w65-ty84</t>
  </si>
  <si>
    <t>Haney</t>
  </si>
  <si>
    <t>8HJ5-Q49-CM74</t>
  </si>
  <si>
    <t>ANDERSON-SMITH</t>
  </si>
  <si>
    <t>1P72-ME6-RJ83</t>
  </si>
  <si>
    <t>Lloyd</t>
  </si>
  <si>
    <t>9DK4-J95-PN97</t>
  </si>
  <si>
    <t>5HV0-DJ6-PK13</t>
  </si>
  <si>
    <t>7AK9-UH1-GQ38</t>
  </si>
  <si>
    <t>Annabelle</t>
  </si>
  <si>
    <t>BENALLY</t>
  </si>
  <si>
    <t>7K25-CQ3-XE83</t>
  </si>
  <si>
    <t>BENNING</t>
  </si>
  <si>
    <t>4P88-KF6-VM26</t>
  </si>
  <si>
    <t>COWART</t>
  </si>
  <si>
    <t>1tu2-r50-xg10</t>
  </si>
  <si>
    <t>Uzzi</t>
  </si>
  <si>
    <t>6XM0-JC4-YQ29</t>
  </si>
  <si>
    <t>Bonacci</t>
  </si>
  <si>
    <t>9M62-D74-HK03</t>
  </si>
  <si>
    <t>Edana</t>
  </si>
  <si>
    <t>Schmidt</t>
  </si>
  <si>
    <t>8GF0-U66-MH19</t>
  </si>
  <si>
    <t>3PU2-M31-TY83</t>
  </si>
  <si>
    <t>(901) 292-6753</t>
  </si>
  <si>
    <t>HARWOOD</t>
  </si>
  <si>
    <t>7VC2-T81-GR13</t>
  </si>
  <si>
    <t>Goodell</t>
  </si>
  <si>
    <t>9ea1-vk2-jh15</t>
  </si>
  <si>
    <t>9QP5-AP6-FH96</t>
  </si>
  <si>
    <t>9J34-Q27-MP73</t>
  </si>
  <si>
    <t>NARVELLA</t>
  </si>
  <si>
    <t>8MG2-CA5-NE27</t>
  </si>
  <si>
    <t>4G14-HW9-KM99</t>
  </si>
  <si>
    <t>Summey</t>
  </si>
  <si>
    <t>Ronnette</t>
  </si>
  <si>
    <t>Ronnette Summey</t>
  </si>
  <si>
    <t>FULTON</t>
  </si>
  <si>
    <t>1WC0-NQ1-NK18</t>
  </si>
  <si>
    <t>Hobbs</t>
  </si>
  <si>
    <t>7AJ5-ME0-TP77</t>
  </si>
  <si>
    <t>Stinnett</t>
  </si>
  <si>
    <t>3K17-AG4-RY59</t>
  </si>
  <si>
    <t>BARROW</t>
  </si>
  <si>
    <t>9K19-CK3-HX20</t>
  </si>
  <si>
    <t>DARBY</t>
  </si>
  <si>
    <t>5PH8-KG1-VC36</t>
  </si>
  <si>
    <t>9J25-DC0-GK79</t>
  </si>
  <si>
    <t>George SR</t>
  </si>
  <si>
    <t>7R04-QU5-QU64</t>
  </si>
  <si>
    <t>MC INTOSH</t>
  </si>
  <si>
    <t>5mj4-x53-Hx83</t>
  </si>
  <si>
    <t>4tc5-wx4-xr63</t>
  </si>
  <si>
    <t>Harty</t>
  </si>
  <si>
    <t>6hp1-fr7-nk90</t>
  </si>
  <si>
    <t>Saldana</t>
  </si>
  <si>
    <t>5D70-TH1-NA46</t>
  </si>
  <si>
    <t>Wilkes</t>
  </si>
  <si>
    <t>8k57-ck7-gw61</t>
  </si>
  <si>
    <t>(904) 373-4151</t>
  </si>
  <si>
    <t>ANASTACIA</t>
  </si>
  <si>
    <t>GERSON</t>
  </si>
  <si>
    <t>7V32-K96-RY91</t>
  </si>
  <si>
    <t>7NR0-KN0-CK49</t>
  </si>
  <si>
    <t>Philip Ramos</t>
  </si>
  <si>
    <t>Pulliam</t>
  </si>
  <si>
    <t>4H03-NW6-YD71</t>
  </si>
  <si>
    <t>4FD8-MV5-TN61</t>
  </si>
  <si>
    <t>DELPIVO</t>
  </si>
  <si>
    <t>4H28-VH6-DE34</t>
  </si>
  <si>
    <t>Gass</t>
  </si>
  <si>
    <t>3TE3-PP1-YQ74</t>
  </si>
  <si>
    <t>32KOM33EK35</t>
  </si>
  <si>
    <t>(520) 599-4432</t>
  </si>
  <si>
    <t>1NN2-D57-FM70</t>
  </si>
  <si>
    <t>DARIELLE</t>
  </si>
  <si>
    <t>DORSEY</t>
  </si>
  <si>
    <t>6R51-YV2-MK02</t>
  </si>
  <si>
    <t>(803) 847-3637</t>
  </si>
  <si>
    <t>Woodall</t>
  </si>
  <si>
    <t>3EU7-HK6-TT50</t>
  </si>
  <si>
    <t>8AV9-CU7-RE47</t>
  </si>
  <si>
    <t>Grier</t>
  </si>
  <si>
    <t>7kw1-jm1-kj33</t>
  </si>
  <si>
    <t>2P30-KW8-PM11</t>
  </si>
  <si>
    <t>KILBOURNE</t>
  </si>
  <si>
    <t>1YN3-NK4-AY80</t>
  </si>
  <si>
    <t>HAVRILLA</t>
  </si>
  <si>
    <t>7GC9-UT6-VJ37</t>
  </si>
  <si>
    <t>PILLA</t>
  </si>
  <si>
    <t>8YJ5-WC6-QX54</t>
  </si>
  <si>
    <t>7VN9-DR8-UR32</t>
  </si>
  <si>
    <t>2TD3-AQ4-EV77</t>
  </si>
  <si>
    <t>Horan</t>
  </si>
  <si>
    <t>1GA8-GP3-QM30</t>
  </si>
  <si>
    <t>4XH8-X39-EM34</t>
  </si>
  <si>
    <t>6pf0-j17-ve26</t>
  </si>
  <si>
    <t>5VN4-MX4-HH94</t>
  </si>
  <si>
    <t>DURRIYYAH</t>
  </si>
  <si>
    <t>5JE1-GK5-ND94</t>
  </si>
  <si>
    <t>Lenora</t>
  </si>
  <si>
    <t>House</t>
  </si>
  <si>
    <t>7ea3-ww9-vg94</t>
  </si>
  <si>
    <t>Quick</t>
  </si>
  <si>
    <t>7tg3-x55-gu99</t>
  </si>
  <si>
    <t>DALELENE</t>
  </si>
  <si>
    <t>Mamie</t>
  </si>
  <si>
    <t>Colvin</t>
  </si>
  <si>
    <t>5VX4-HD6-TF81</t>
  </si>
  <si>
    <t>3e50-vr9-rj21</t>
  </si>
  <si>
    <t>Lydian</t>
  </si>
  <si>
    <t>7HM0-P18-YR01</t>
  </si>
  <si>
    <t>(678) 952-6673</t>
  </si>
  <si>
    <t>Alois</t>
  </si>
  <si>
    <t>7X77-EE2-UY35</t>
  </si>
  <si>
    <t>PATE</t>
  </si>
  <si>
    <t>5RN8-HK9-FX27</t>
  </si>
  <si>
    <t>SAMI</t>
  </si>
  <si>
    <t>ALMAHMOUD</t>
  </si>
  <si>
    <t>3HK6-DM5-NU72</t>
  </si>
  <si>
    <t>Burns</t>
  </si>
  <si>
    <t>7F19-Q54-TE53</t>
  </si>
  <si>
    <t>4Y80-UT5-EK35</t>
  </si>
  <si>
    <t>Marsh</t>
  </si>
  <si>
    <t>5HU1-XY8-WG19</t>
  </si>
  <si>
    <t>8H35-NJ3-UV98</t>
  </si>
  <si>
    <t>9MM0-PR9-PA28</t>
  </si>
  <si>
    <t>6UD8-DH1-MG65</t>
  </si>
  <si>
    <t>MARLENA</t>
  </si>
  <si>
    <t>CAGE</t>
  </si>
  <si>
    <t>4HU6-MC8-NK62</t>
  </si>
  <si>
    <t>7VV6-QY2-GJ42</t>
  </si>
  <si>
    <t>Mcintire</t>
  </si>
  <si>
    <t>2WM4-WN2-AC89</t>
  </si>
  <si>
    <t>8VH9-QA9-TV51</t>
  </si>
  <si>
    <t>Dupree</t>
  </si>
  <si>
    <t>7WE0-NP6-WF36</t>
  </si>
  <si>
    <t>WALTINA</t>
  </si>
  <si>
    <t>7T63-U13-QC16</t>
  </si>
  <si>
    <t>Carrizosa</t>
  </si>
  <si>
    <t>2WX9-HA8-QT51</t>
  </si>
  <si>
    <t>SHAW</t>
  </si>
  <si>
    <t>9ah3-hd9-xw01</t>
  </si>
  <si>
    <t>Valorie</t>
  </si>
  <si>
    <t>McGill</t>
  </si>
  <si>
    <t>4TJ6-RC8-WU81</t>
  </si>
  <si>
    <t>MOJICA</t>
  </si>
  <si>
    <t>4GJ0-PJ8-UA16</t>
  </si>
  <si>
    <t>SITCHENKO JR</t>
  </si>
  <si>
    <t>4A26-KP7-QG65</t>
  </si>
  <si>
    <t>Gamble</t>
  </si>
  <si>
    <t>3FP3-Y23-EM00</t>
  </si>
  <si>
    <t>2EK4-YC3-CD89</t>
  </si>
  <si>
    <t>Hudelson</t>
  </si>
  <si>
    <t>2XV8-JM4-QE50</t>
  </si>
  <si>
    <t>Arvey</t>
  </si>
  <si>
    <t>2RC1-MN8-XD31</t>
  </si>
  <si>
    <t>4XT5-J73-DG60</t>
  </si>
  <si>
    <t>7TN9-VJ0-TM18</t>
  </si>
  <si>
    <t>4VH3-MT9-HM94</t>
  </si>
  <si>
    <t>PINKERTON</t>
  </si>
  <si>
    <t>1T27-KD8-JA41</t>
  </si>
  <si>
    <t>Parviz</t>
  </si>
  <si>
    <t>Kamangar</t>
  </si>
  <si>
    <t>3G79-D03-MT49</t>
  </si>
  <si>
    <t>Eve</t>
  </si>
  <si>
    <t>McAtee</t>
  </si>
  <si>
    <t>8HD0-JE3-WX19</t>
  </si>
  <si>
    <t>MYRLENE</t>
  </si>
  <si>
    <t>PICKENS</t>
  </si>
  <si>
    <t>3YF6-W98-AY72</t>
  </si>
  <si>
    <t>Julio</t>
  </si>
  <si>
    <t>COLON</t>
  </si>
  <si>
    <t>1D83-T72-RD89</t>
  </si>
  <si>
    <t>GABRIELLA</t>
  </si>
  <si>
    <t>REITZ</t>
  </si>
  <si>
    <t>7TG4-X39-XM63</t>
  </si>
  <si>
    <t>4Q55-R91-YW81</t>
  </si>
  <si>
    <t>McKoy</t>
  </si>
  <si>
    <t>3D65-DH1-DE68</t>
  </si>
  <si>
    <t>PARRETT</t>
  </si>
  <si>
    <t>7PG8-C39-AG59</t>
  </si>
  <si>
    <t>Doherty</t>
  </si>
  <si>
    <t>1kq6-f61-mr44</t>
  </si>
  <si>
    <t>Runyon</t>
  </si>
  <si>
    <t>6CD0-RH7-GM49</t>
  </si>
  <si>
    <t>1DX9-UH7-NA17</t>
  </si>
  <si>
    <t>7ye8-kp6-dd54</t>
  </si>
  <si>
    <t>Bartlett</t>
  </si>
  <si>
    <t>4YD5-D52-PD53</t>
  </si>
  <si>
    <t>Eldridge</t>
  </si>
  <si>
    <t>7HV9-CD4-RN25</t>
  </si>
  <si>
    <t>Rhunett</t>
  </si>
  <si>
    <t>1MF2-EK1-YE16</t>
  </si>
  <si>
    <t>(803) 353-2739</t>
  </si>
  <si>
    <t>PATTY</t>
  </si>
  <si>
    <t>DEMARCO</t>
  </si>
  <si>
    <t>3NG1-C01-EW91</t>
  </si>
  <si>
    <t>Burden</t>
  </si>
  <si>
    <t>3YJ4-TP5-PD50</t>
  </si>
  <si>
    <t>LICHTEY</t>
  </si>
  <si>
    <t>4HT6-WV3-AG70</t>
  </si>
  <si>
    <t>3WE3-R98-HE15</t>
  </si>
  <si>
    <t>7U90-F45-MJ25</t>
  </si>
  <si>
    <t>ALTAMIRANO</t>
  </si>
  <si>
    <t>5Y99-T43-QH34</t>
  </si>
  <si>
    <t>MCCASLIN</t>
  </si>
  <si>
    <t>Hoover</t>
  </si>
  <si>
    <t>3AX8-A93-FD48</t>
  </si>
  <si>
    <t>KLUG</t>
  </si>
  <si>
    <t>9af6-m54-gu88</t>
  </si>
  <si>
    <t>4QV7-DR5-FP75</t>
  </si>
  <si>
    <t>MARCINKAS</t>
  </si>
  <si>
    <t>7T88-J76-CY65</t>
  </si>
  <si>
    <t>7D39-RG8-GV40</t>
  </si>
  <si>
    <t>8n74-f97-du91</t>
  </si>
  <si>
    <t>5WP8-NC2-YY58</t>
  </si>
  <si>
    <t>HOOVER</t>
  </si>
  <si>
    <t>5CE1-EA8-JN11</t>
  </si>
  <si>
    <t>KATHI</t>
  </si>
  <si>
    <t>BUTCHER</t>
  </si>
  <si>
    <t>4C26-PH0-FK49</t>
  </si>
  <si>
    <t>Singletary</t>
  </si>
  <si>
    <t>2QG3-D63-PN93</t>
  </si>
  <si>
    <t>WHITSETT</t>
  </si>
  <si>
    <t>4DU4-Y38-HF60</t>
  </si>
  <si>
    <t>BODOVINAC</t>
  </si>
  <si>
    <t>6EA1-MY5-PM28</t>
  </si>
  <si>
    <t>Walk</t>
  </si>
  <si>
    <t>1UD7-DE4-KE64</t>
  </si>
  <si>
    <t>Farley</t>
  </si>
  <si>
    <t>5H32-U51-MV90</t>
  </si>
  <si>
    <t>BRANSON</t>
  </si>
  <si>
    <t>1JC3-UT5-DH86</t>
  </si>
  <si>
    <t>3TV9-XA9-KE00</t>
  </si>
  <si>
    <t>DOLSHUNE</t>
  </si>
  <si>
    <t>3T96-AM9-RY87</t>
  </si>
  <si>
    <t>Lytle</t>
  </si>
  <si>
    <t>1D09-R36-XG14</t>
  </si>
  <si>
    <t>Clay</t>
  </si>
  <si>
    <t>3R36-H87-RT85</t>
  </si>
  <si>
    <t>BETHKE</t>
  </si>
  <si>
    <t>7kd8-ac5-ww20</t>
  </si>
  <si>
    <t>Winsberry</t>
  </si>
  <si>
    <t>5Q72-KW4-NV82</t>
  </si>
  <si>
    <t>Hanold</t>
  </si>
  <si>
    <t>1XC3-ME8-NQ11</t>
  </si>
  <si>
    <t>Darrick</t>
  </si>
  <si>
    <t>2C28-NJ7-HN41</t>
  </si>
  <si>
    <t>Redman</t>
  </si>
  <si>
    <t>9UF3-Y31-NE96</t>
  </si>
  <si>
    <t>ARLEN</t>
  </si>
  <si>
    <t>1X83-R97-XC98</t>
  </si>
  <si>
    <t>(440) 361-0147</t>
  </si>
  <si>
    <t>Dalton</t>
  </si>
  <si>
    <t>Robbins</t>
  </si>
  <si>
    <t>8KH4-V15-JW62</t>
  </si>
  <si>
    <t>8XW4-X35-FM74</t>
  </si>
  <si>
    <t>McCabe</t>
  </si>
  <si>
    <t>9PW6-K21-DV52</t>
  </si>
  <si>
    <t>MICKLEY</t>
  </si>
  <si>
    <t>7FM5-CD6-RN60</t>
  </si>
  <si>
    <t>Rex</t>
  </si>
  <si>
    <t>3Y74-RW9-JQ08</t>
  </si>
  <si>
    <t>HENRIETTA</t>
  </si>
  <si>
    <t>5T42-MG7-NC14</t>
  </si>
  <si>
    <t>Blane</t>
  </si>
  <si>
    <t>7DN1-Y12-WT13</t>
  </si>
  <si>
    <t>GATHERCOLE</t>
  </si>
  <si>
    <t>8UG2-DH4-DF28</t>
  </si>
  <si>
    <t>Kennard</t>
  </si>
  <si>
    <t>4EG1-RX2-UY13</t>
  </si>
  <si>
    <t>Cotton</t>
  </si>
  <si>
    <t>2K19-CM3-EK47</t>
  </si>
  <si>
    <t>LAYNE</t>
  </si>
  <si>
    <t>9MC2-X67-DK88</t>
  </si>
  <si>
    <t>(740) 858-1199</t>
  </si>
  <si>
    <t>BAREFOOT</t>
  </si>
  <si>
    <t>9EY6-U36-ER41</t>
  </si>
  <si>
    <t>Peterson</t>
  </si>
  <si>
    <t>9R51-TV0-VT08</t>
  </si>
  <si>
    <t>WORELDS</t>
  </si>
  <si>
    <t>3EA0-VK5-FE02</t>
  </si>
  <si>
    <t>(757) 998-5849</t>
  </si>
  <si>
    <t>SPEAR</t>
  </si>
  <si>
    <t>4NV6-WX9-FJ72</t>
  </si>
  <si>
    <t>4YU3-XT7-GR97</t>
  </si>
  <si>
    <t>7DA2-DU1-XU24</t>
  </si>
  <si>
    <t>SPOONER</t>
  </si>
  <si>
    <t>7VW5-WM6-CE99</t>
  </si>
  <si>
    <t>Christine</t>
  </si>
  <si>
    <t>Everhart</t>
  </si>
  <si>
    <t>6FG1-MT7-RM93</t>
  </si>
  <si>
    <t>Melbourne</t>
  </si>
  <si>
    <t>Prince</t>
  </si>
  <si>
    <t>2J55-N30-AN54</t>
  </si>
  <si>
    <t>VANDOLAH</t>
  </si>
  <si>
    <t>4j61-vm0-jh91</t>
  </si>
  <si>
    <t>2QT9-EK7-UG47</t>
  </si>
  <si>
    <t>Lemon</t>
  </si>
  <si>
    <t>7RM5-F87-AG92</t>
  </si>
  <si>
    <t>MORRIS SR.</t>
  </si>
  <si>
    <t>3FQ7-QH5-WJ67</t>
  </si>
  <si>
    <t>(832) 840-2191</t>
  </si>
  <si>
    <t>Leitz</t>
  </si>
  <si>
    <t>7XR4-UE9-PM91</t>
  </si>
  <si>
    <t>SPARKES</t>
  </si>
  <si>
    <t>9vg2-ew6-tx11</t>
  </si>
  <si>
    <t>Jimmie</t>
  </si>
  <si>
    <t>4PU1-V90-WR97</t>
  </si>
  <si>
    <t>1J48-R63-RR46</t>
  </si>
  <si>
    <t>Freida</t>
  </si>
  <si>
    <t>1QN0-C26-DG24</t>
  </si>
  <si>
    <t>GABRIELLE</t>
  </si>
  <si>
    <t>3HC2-A28-TU06</t>
  </si>
  <si>
    <t>Kinsella</t>
  </si>
  <si>
    <t>6V52-PH8-PF28</t>
  </si>
  <si>
    <t>(312) 867-1332</t>
  </si>
  <si>
    <t>4M62-T55-JM94</t>
  </si>
  <si>
    <t>4HQ6-WP2-AP72</t>
  </si>
  <si>
    <t>Karam</t>
  </si>
  <si>
    <t>5N85-MM0-RV92</t>
  </si>
  <si>
    <t>PEAVY</t>
  </si>
  <si>
    <t>7PK7-R11-QF71</t>
  </si>
  <si>
    <t>CHARITA</t>
  </si>
  <si>
    <t>GODSEY</t>
  </si>
  <si>
    <t>7FC1-N97-RR93</t>
  </si>
  <si>
    <t>6J52-CH4-EQ86</t>
  </si>
  <si>
    <t>BEARDEN</t>
  </si>
  <si>
    <t>9WC4-AG0-QC81</t>
  </si>
  <si>
    <t>(618) 534-3843</t>
  </si>
  <si>
    <t>MALLICOAT</t>
  </si>
  <si>
    <t>2h96-tq8-ex85</t>
  </si>
  <si>
    <t>Avalon</t>
  </si>
  <si>
    <t>5VD1-Q32-UX10</t>
  </si>
  <si>
    <t>9JK1-H63-QY16</t>
  </si>
  <si>
    <t>2W19-U34-MX57</t>
  </si>
  <si>
    <t>Micheal</t>
  </si>
  <si>
    <t>7D90-DQ8-RD39</t>
  </si>
  <si>
    <t>Mirage</t>
  </si>
  <si>
    <t>3vf9-fm7-fx11</t>
  </si>
  <si>
    <t>3JR6-EU9-UW79</t>
  </si>
  <si>
    <t>LOVIA</t>
  </si>
  <si>
    <t>6K20-FG4-NF25</t>
  </si>
  <si>
    <t>Kulozynski</t>
  </si>
  <si>
    <t>4YA1-AK5-DG34</t>
  </si>
  <si>
    <t>BORNHAUSER</t>
  </si>
  <si>
    <t>1U85-DU1-MM75</t>
  </si>
  <si>
    <t>Chandler</t>
  </si>
  <si>
    <t>8YW5-EK4-GP67</t>
  </si>
  <si>
    <t>1AE2-C07-YP93</t>
  </si>
  <si>
    <t>McCown</t>
  </si>
  <si>
    <t>1XF6-J12-YV59</t>
  </si>
  <si>
    <t>DARCELL</t>
  </si>
  <si>
    <t>1H60-FC1-TC16</t>
  </si>
  <si>
    <t>CHARLYNE</t>
  </si>
  <si>
    <t>3MU2-EV2-UU00</t>
  </si>
  <si>
    <t>PROVANCHER</t>
  </si>
  <si>
    <t>8FA7-PC3-YY48</t>
  </si>
  <si>
    <t>HILLS</t>
  </si>
  <si>
    <t>7xm9-wu3-rh24</t>
  </si>
  <si>
    <t>Daryl</t>
  </si>
  <si>
    <t>Casey</t>
  </si>
  <si>
    <t>8UK6-UX0-VF81</t>
  </si>
  <si>
    <t>BARAJAS</t>
  </si>
  <si>
    <t>4UE8-C96-JC63</t>
  </si>
  <si>
    <t>Morlett</t>
  </si>
  <si>
    <t>8FX1-RV0-HK95</t>
  </si>
  <si>
    <t>FORT</t>
  </si>
  <si>
    <t>5AD4-AM4-MW60</t>
  </si>
  <si>
    <t>Clarence</t>
  </si>
  <si>
    <t>5YC4-V91-QG84</t>
  </si>
  <si>
    <t>6AM5-FN5-PJ55</t>
  </si>
  <si>
    <t>CREIGHTON</t>
  </si>
  <si>
    <t>8KU2-HG7-YN94</t>
  </si>
  <si>
    <t>DYKSTRA</t>
  </si>
  <si>
    <t>3PJ6-HW2-KD78</t>
  </si>
  <si>
    <t>Kuchta</t>
  </si>
  <si>
    <t>4YH3-QQ5-CX73</t>
  </si>
  <si>
    <t>Emeka</t>
  </si>
  <si>
    <t>NNATUBEUGO</t>
  </si>
  <si>
    <t>9HG7-NW8-AT50</t>
  </si>
  <si>
    <t>Van</t>
  </si>
  <si>
    <t>Stansberry</t>
  </si>
  <si>
    <t>8TN8-YE2-AH45</t>
  </si>
  <si>
    <t>(312) 837-5712</t>
  </si>
  <si>
    <t>Joy</t>
  </si>
  <si>
    <t>Dinkins</t>
  </si>
  <si>
    <t>6KF9-UT0-EU18</t>
  </si>
  <si>
    <t>DeWitt</t>
  </si>
  <si>
    <t>8VU9-WA9-AG58</t>
  </si>
  <si>
    <t>Neloms</t>
  </si>
  <si>
    <t>5AA2-E38-WR01</t>
  </si>
  <si>
    <t>5VM9-F26-QQ49</t>
  </si>
  <si>
    <t>Dina</t>
  </si>
  <si>
    <t>Mistretta</t>
  </si>
  <si>
    <t>2RC9-VN8-YD32</t>
  </si>
  <si>
    <t>Burson</t>
  </si>
  <si>
    <t>8FD8-P34-VT45</t>
  </si>
  <si>
    <t>Jolley</t>
  </si>
  <si>
    <t>9jy3yj5sn08</t>
  </si>
  <si>
    <t>4YC1-TA6-AD92</t>
  </si>
  <si>
    <t>4VU5-N39-FJ71</t>
  </si>
  <si>
    <t>BARTOLOME</t>
  </si>
  <si>
    <t>6DW6-HT1-VH62</t>
  </si>
  <si>
    <t>Janie</t>
  </si>
  <si>
    <t>9T27-C28-FX39</t>
  </si>
  <si>
    <t>Knox</t>
  </si>
  <si>
    <t>9XF4-EG6-KU68</t>
  </si>
  <si>
    <t>STUTESMAN</t>
  </si>
  <si>
    <t>9q93-qj4-hy07</t>
  </si>
  <si>
    <t>4HA2-P73-FW16</t>
  </si>
  <si>
    <t>(520) 392-5871</t>
  </si>
  <si>
    <t>MICKLITSCH</t>
  </si>
  <si>
    <t>9HA7-QU8-UX37</t>
  </si>
  <si>
    <t>Bartolome</t>
  </si>
  <si>
    <t>7RP1-XY0-YY10</t>
  </si>
  <si>
    <t>NUZUM</t>
  </si>
  <si>
    <t>5QA5-PD2-CT53</t>
  </si>
  <si>
    <t>HOSIE</t>
  </si>
  <si>
    <t>Jefferson</t>
  </si>
  <si>
    <t>3DK2-V71-MM16</t>
  </si>
  <si>
    <t>ESTELA</t>
  </si>
  <si>
    <t>RODELA</t>
  </si>
  <si>
    <t>6AC2-PF9-DU05</t>
  </si>
  <si>
    <t>Middletown</t>
  </si>
  <si>
    <t>5WX6-DU1-RU62</t>
  </si>
  <si>
    <t>BINNIE</t>
  </si>
  <si>
    <t>BEYNUM</t>
  </si>
  <si>
    <t>8GU2-P54-QY12</t>
  </si>
  <si>
    <t>8QF2-JD3-CV00</t>
  </si>
  <si>
    <t>Kilday</t>
  </si>
  <si>
    <t>1pp1-cw3-jw27</t>
  </si>
  <si>
    <t>6WV7-WU1-WQ66</t>
  </si>
  <si>
    <t>(217) 441-6819</t>
  </si>
  <si>
    <t>GISSENDANNER</t>
  </si>
  <si>
    <t>2RC6-A91-NK50</t>
  </si>
  <si>
    <t>1UM6CU7HE61</t>
  </si>
  <si>
    <t>WellCare Health Plans, Inc.</t>
  </si>
  <si>
    <t>Rosario</t>
  </si>
  <si>
    <t>Cerino</t>
  </si>
  <si>
    <t>4FG1-HH8-GP95</t>
  </si>
  <si>
    <t>GILYARD</t>
  </si>
  <si>
    <t>4E32-XW3-AU27</t>
  </si>
  <si>
    <t>Thressa</t>
  </si>
  <si>
    <t>4VT8-R42-UM62</t>
  </si>
  <si>
    <t>(224) 443-6866</t>
  </si>
  <si>
    <t>3TF2-YR2-ET07</t>
  </si>
  <si>
    <t>FAZAL</t>
  </si>
  <si>
    <t>USMANI</t>
  </si>
  <si>
    <t>6M67-WT2-UJ62</t>
  </si>
  <si>
    <t>BENEFINELD</t>
  </si>
  <si>
    <t>6PX4-J14-PT61</t>
  </si>
  <si>
    <t>5KQ2-H00-CH97</t>
  </si>
  <si>
    <t>(615) 495-1128</t>
  </si>
  <si>
    <t>PACKLEY</t>
  </si>
  <si>
    <t>1D32-UY3-XD04</t>
  </si>
  <si>
    <t>(870) 706-9598</t>
  </si>
  <si>
    <t>Simpson</t>
  </si>
  <si>
    <t>2HU7-M48-AK42</t>
  </si>
  <si>
    <t>Johnson Jr</t>
  </si>
  <si>
    <t>1RH0-M97-PY14</t>
  </si>
  <si>
    <t>Purdy</t>
  </si>
  <si>
    <t>5T87-PQ0-VT31</t>
  </si>
  <si>
    <t>Wilda</t>
  </si>
  <si>
    <t>4X37-CQ4-WH67</t>
  </si>
  <si>
    <t>BLOCK-WILKERSON</t>
  </si>
  <si>
    <t>1MD4-Q51-EK69</t>
  </si>
  <si>
    <t>(480) 287-2160</t>
  </si>
  <si>
    <t>Caron Jr</t>
  </si>
  <si>
    <t>8j80-xw7-jf21</t>
  </si>
  <si>
    <t>GILES</t>
  </si>
  <si>
    <t>2M01-AN5-VT23</t>
  </si>
  <si>
    <t>Red Fox</t>
  </si>
  <si>
    <t>6U65-EN8-QQ57</t>
  </si>
  <si>
    <t>HEARN JR.</t>
  </si>
  <si>
    <t>7PK7-JE1-YD79</t>
  </si>
  <si>
    <t>1JM2-V55-EY27</t>
  </si>
  <si>
    <t>HENNESSEY</t>
  </si>
  <si>
    <t>2DP3-K72-WR73</t>
  </si>
  <si>
    <t>GODWIN</t>
  </si>
  <si>
    <t>OCANSEY</t>
  </si>
  <si>
    <t>3GF5-MN9-GE86</t>
  </si>
  <si>
    <t>HURREL</t>
  </si>
  <si>
    <t>Nelson Jr</t>
  </si>
  <si>
    <t>5YN3-UT2-DU84</t>
  </si>
  <si>
    <t>CLEMENTE</t>
  </si>
  <si>
    <t>HOFFMAN</t>
  </si>
  <si>
    <t>7UQ6-D67-KD63</t>
  </si>
  <si>
    <t>BARGE III</t>
  </si>
  <si>
    <t>6KQ5-RK0-JP62</t>
  </si>
  <si>
    <t>6Y48-XD7-AG30</t>
  </si>
  <si>
    <t>4H70-CW1-RY35</t>
  </si>
  <si>
    <t>7DV6-FM1-XN84</t>
  </si>
  <si>
    <t>2QU3-Y17-TD16</t>
  </si>
  <si>
    <t>Jurson</t>
  </si>
  <si>
    <t>9WX4-VU4-UW93</t>
  </si>
  <si>
    <t>HULTMAN</t>
  </si>
  <si>
    <t>8QE4-A73-PV50</t>
  </si>
  <si>
    <t>7HF5-G59-FR66</t>
  </si>
  <si>
    <t>ESCALANTE JR</t>
  </si>
  <si>
    <t>3PA7-VX6-HJ36</t>
  </si>
  <si>
    <t>GOODRICH</t>
  </si>
  <si>
    <t>2W64-G66-XP96</t>
  </si>
  <si>
    <t>7MK9-JT8-PD48</t>
  </si>
  <si>
    <t>SOCARRAS</t>
  </si>
  <si>
    <t>8WE0-PY1-KG17</t>
  </si>
  <si>
    <t>5MP1-CR9-KU05</t>
  </si>
  <si>
    <t>Gandy</t>
  </si>
  <si>
    <t>4AY5-YR0-MA80</t>
  </si>
  <si>
    <t>Karla</t>
  </si>
  <si>
    <t>Barekman</t>
  </si>
  <si>
    <t>2UX5-W13-PY56</t>
  </si>
  <si>
    <t>2XU2-C07-WF88</t>
  </si>
  <si>
    <t>1J00-UP6-WQ01</t>
  </si>
  <si>
    <t>Corlew</t>
  </si>
  <si>
    <t>7D98-H97-AX46</t>
  </si>
  <si>
    <t>Bernell</t>
  </si>
  <si>
    <t>Shephard</t>
  </si>
  <si>
    <t>9ju3-er3-yx72</t>
  </si>
  <si>
    <t>Fricker</t>
  </si>
  <si>
    <t>6XA8-TW5-WY57</t>
  </si>
  <si>
    <t>8VC1-FC8-GY20</t>
  </si>
  <si>
    <t>4X70-DC3-NF29</t>
  </si>
  <si>
    <t>ROKEN</t>
  </si>
  <si>
    <t>6UQ2-M58-PV27</t>
  </si>
  <si>
    <t>Ruse</t>
  </si>
  <si>
    <t>1KP0-HH8-KR43</t>
  </si>
  <si>
    <t>8PG0-NX9-RG10</t>
  </si>
  <si>
    <t>1M68-PF8-GJ42</t>
  </si>
  <si>
    <t>Pratti</t>
  </si>
  <si>
    <t>6C08-R29-FN59</t>
  </si>
  <si>
    <t>7FN4-WG6-XK07</t>
  </si>
  <si>
    <t>Roderick</t>
  </si>
  <si>
    <t>7N11-EJ1-AY99</t>
  </si>
  <si>
    <t>2VV7-EW8-KC46</t>
  </si>
  <si>
    <t>Voss</t>
  </si>
  <si>
    <t>2A90-QH2-EX06</t>
  </si>
  <si>
    <t>(602) 607-6637</t>
  </si>
  <si>
    <t>Cheryll</t>
  </si>
  <si>
    <t>Germaine</t>
  </si>
  <si>
    <t>2t32-an2-jv80</t>
  </si>
  <si>
    <t>L JORDAN</t>
  </si>
  <si>
    <t>4QF3-KA7-UR76</t>
  </si>
  <si>
    <t>Kimmell</t>
  </si>
  <si>
    <t>2PE2-A56-QN01</t>
  </si>
  <si>
    <t>1GY0-R18-CT12</t>
  </si>
  <si>
    <t>Rachel</t>
  </si>
  <si>
    <t>4MU0-RY6-YQ06</t>
  </si>
  <si>
    <t>GusGus</t>
  </si>
  <si>
    <t>Estrada</t>
  </si>
  <si>
    <t>6WE1-MG4-FJ10</t>
  </si>
  <si>
    <t>ECHOLS jr</t>
  </si>
  <si>
    <t>6UD8-NT3-VC32</t>
  </si>
  <si>
    <t>DOTSON</t>
  </si>
  <si>
    <t>1RW7-J65-RN46</t>
  </si>
  <si>
    <t>DEROCHER</t>
  </si>
  <si>
    <t>5T71-T72-TD08</t>
  </si>
  <si>
    <t>Bennight</t>
  </si>
  <si>
    <t>8R09-A07-NT53</t>
  </si>
  <si>
    <t>SAMMIE JO</t>
  </si>
  <si>
    <t>4YV5-MJ9-FC85</t>
  </si>
  <si>
    <t>8gm2-n61-eg03</t>
  </si>
  <si>
    <t>Haymer</t>
  </si>
  <si>
    <t>4w26-wj4-mj48</t>
  </si>
  <si>
    <t>ANGLEA</t>
  </si>
  <si>
    <t>9ja1-n51-we21</t>
  </si>
  <si>
    <t>Weeks</t>
  </si>
  <si>
    <t>1XU1-HV0-QK22</t>
  </si>
  <si>
    <t>5y35-wd7-hu87</t>
  </si>
  <si>
    <t>4FD3-TP0-CN91</t>
  </si>
  <si>
    <t>Hoskins</t>
  </si>
  <si>
    <t>5PT9-XP7-MW39</t>
  </si>
  <si>
    <t>ANN MARIE</t>
  </si>
  <si>
    <t>MANZO</t>
  </si>
  <si>
    <t>8UF4-Q61-FH79</t>
  </si>
  <si>
    <t>4V40-D98-GY02</t>
  </si>
  <si>
    <t>Guillermo</t>
  </si>
  <si>
    <t>Villa</t>
  </si>
  <si>
    <t>1G93-MQ5-PG12</t>
  </si>
  <si>
    <t>7r48-c27-rq55</t>
  </si>
  <si>
    <t>Smart</t>
  </si>
  <si>
    <t>3H35-ED4-VW59</t>
  </si>
  <si>
    <t>Walder</t>
  </si>
  <si>
    <t>9NE4-N28-PW89</t>
  </si>
  <si>
    <t>WILLHITE</t>
  </si>
  <si>
    <t>8GG2-H74-WF88</t>
  </si>
  <si>
    <t>9RY6-RE0-TY86</t>
  </si>
  <si>
    <t>Rufus</t>
  </si>
  <si>
    <t>1TN7-CV4-TM78</t>
  </si>
  <si>
    <t>9AG0-AG2-AN14</t>
  </si>
  <si>
    <t>GRINSTEAD</t>
  </si>
  <si>
    <t>1UR0-MV3-MR35</t>
  </si>
  <si>
    <t>Crescencia</t>
  </si>
  <si>
    <t>Landin</t>
  </si>
  <si>
    <t>3YG6-FP4-GE47</t>
  </si>
  <si>
    <t>SHAVERS SR</t>
  </si>
  <si>
    <t>3GE5-RA8-VG97</t>
  </si>
  <si>
    <t>Faye</t>
  </si>
  <si>
    <t>4YM5-HX1-PA70</t>
  </si>
  <si>
    <t>6FE3-AV3-HR85</t>
  </si>
  <si>
    <t>Maristo</t>
  </si>
  <si>
    <t>2W04-Q11-MM88</t>
  </si>
  <si>
    <t>CRITES</t>
  </si>
  <si>
    <t>9GN6-D26-DE82</t>
  </si>
  <si>
    <t>4MY5-PE4-JV83</t>
  </si>
  <si>
    <t>LAUER</t>
  </si>
  <si>
    <t>1Q64-GU3-VD77</t>
  </si>
  <si>
    <t>Sangster</t>
  </si>
  <si>
    <t>1HP6-UT4-QG45</t>
  </si>
  <si>
    <t>9RM5-TM4-VC79</t>
  </si>
  <si>
    <t>2AY2-RX5-YA90</t>
  </si>
  <si>
    <t>5P88-FQ7-PF31</t>
  </si>
  <si>
    <t>Rice</t>
  </si>
  <si>
    <t>2R42-MC8-UT17</t>
  </si>
  <si>
    <t>Leticia</t>
  </si>
  <si>
    <t>Santana</t>
  </si>
  <si>
    <t>1MF2-AX6-RH09</t>
  </si>
  <si>
    <t>DUPREE</t>
  </si>
  <si>
    <t>9MY4-EA7-UT82</t>
  </si>
  <si>
    <t>Monohon</t>
  </si>
  <si>
    <t>9PG0-FT3-GC05</t>
  </si>
  <si>
    <t>1F15-JP7-YY99</t>
  </si>
  <si>
    <t>EVGUENIA</t>
  </si>
  <si>
    <t>BAGOVA</t>
  </si>
  <si>
    <t>7N19-J92-TD12</t>
  </si>
  <si>
    <t>BALDOMERO</t>
  </si>
  <si>
    <t>Anzaldua</t>
  </si>
  <si>
    <t>3P53-RM2-DF90</t>
  </si>
  <si>
    <t>rice</t>
  </si>
  <si>
    <t>3KW6-DN4-VG51</t>
  </si>
  <si>
    <t>4DN5-D45-RN69</t>
  </si>
  <si>
    <t>Butterfield</t>
  </si>
  <si>
    <t>1TK9-DW2-UR29</t>
  </si>
  <si>
    <t>5DW3-CX1-HJ12</t>
  </si>
  <si>
    <t>Heather</t>
  </si>
  <si>
    <t>Mason-Clark</t>
  </si>
  <si>
    <t>7UA8-HD3-YH35</t>
  </si>
  <si>
    <t>Soares</t>
  </si>
  <si>
    <t>8DF4-K40-PT87</t>
  </si>
  <si>
    <t>Treva</t>
  </si>
  <si>
    <t>Weathers</t>
  </si>
  <si>
    <t>8V59-EP2-PU19</t>
  </si>
  <si>
    <t>7GE2-R33-PC22</t>
  </si>
  <si>
    <t>Mendez</t>
  </si>
  <si>
    <t>1WK4-TP0-TH92</t>
  </si>
  <si>
    <t>Gilberto</t>
  </si>
  <si>
    <t>9G21-F40-DQ23</t>
  </si>
  <si>
    <t>THIGPEN</t>
  </si>
  <si>
    <t>6KG3-KG5-VK72</t>
  </si>
  <si>
    <t>MEADOWS</t>
  </si>
  <si>
    <t>9DP4-YX9-JG84</t>
  </si>
  <si>
    <t>(216) 414-1100</t>
  </si>
  <si>
    <t>Gandee Lesczynske</t>
  </si>
  <si>
    <t>4DN9-TV5-JT13</t>
  </si>
  <si>
    <t>AMSDEN</t>
  </si>
  <si>
    <t>5MX2-Q46-AN87</t>
  </si>
  <si>
    <t>Kotecki</t>
  </si>
  <si>
    <t>1KY7-C35-CM56</t>
  </si>
  <si>
    <t>Viswam</t>
  </si>
  <si>
    <t>Gullapalli</t>
  </si>
  <si>
    <t>3XG0-NR5-RN44</t>
  </si>
  <si>
    <t>LUTHER</t>
  </si>
  <si>
    <t>COLLEY</t>
  </si>
  <si>
    <t>3RF2-NW3-UG88</t>
  </si>
  <si>
    <t>Vereen</t>
  </si>
  <si>
    <t>4ng9-wq0-ew31</t>
  </si>
  <si>
    <t>JUDES</t>
  </si>
  <si>
    <t>DUMORNEY</t>
  </si>
  <si>
    <t>7JQ1-UC4-MC02</t>
  </si>
  <si>
    <t>Dorame</t>
  </si>
  <si>
    <t>2NQ7-W65-GQ43</t>
  </si>
  <si>
    <t>Cecile</t>
  </si>
  <si>
    <t>4EM3-AY3-KX96</t>
  </si>
  <si>
    <t>CORY</t>
  </si>
  <si>
    <t>3D63-PD8-JX73</t>
  </si>
  <si>
    <t>7EX6-WC1-NP78</t>
  </si>
  <si>
    <t>Valdemar</t>
  </si>
  <si>
    <t>Sawczyk</t>
  </si>
  <si>
    <t>4HY3-P41-EJ85</t>
  </si>
  <si>
    <t>Holt</t>
  </si>
  <si>
    <t>3FH8-UR2-MT48</t>
  </si>
  <si>
    <t>Galluzzo</t>
  </si>
  <si>
    <t>7D08-C04-AK56</t>
  </si>
  <si>
    <t>2xx5-y18-xd59</t>
  </si>
  <si>
    <t>3MQ9-YM8-DY49</t>
  </si>
  <si>
    <t>JONNETTE</t>
  </si>
  <si>
    <t>McCormick</t>
  </si>
  <si>
    <t>Mihalik</t>
  </si>
  <si>
    <t>3Q91-GQ3-EV24</t>
  </si>
  <si>
    <t>Tandy</t>
  </si>
  <si>
    <t>6N56-JC4-VC84</t>
  </si>
  <si>
    <t>5GN1-F76-EU34</t>
  </si>
  <si>
    <t>Denson</t>
  </si>
  <si>
    <t>7GX8-NA0-HN37</t>
  </si>
  <si>
    <t>MAYNARD</t>
  </si>
  <si>
    <t>9J32-PH9-WM91</t>
  </si>
  <si>
    <t>Romanita</t>
  </si>
  <si>
    <t>5TY6-HW2-YG63</t>
  </si>
  <si>
    <t>Angel</t>
  </si>
  <si>
    <t>Ortiz Garcia</t>
  </si>
  <si>
    <t>1MR1-CH3-GA31</t>
  </si>
  <si>
    <t>(954) 778-7569</t>
  </si>
  <si>
    <t>8NV6-WF2-UK63</t>
  </si>
  <si>
    <t>Enid</t>
  </si>
  <si>
    <t>Coffeey</t>
  </si>
  <si>
    <t>5V79-N70-AC37</t>
  </si>
  <si>
    <t>(440) 412-9031</t>
  </si>
  <si>
    <t>Pierre</t>
  </si>
  <si>
    <t>Cancoult</t>
  </si>
  <si>
    <t>9QD0-NR4-AP12</t>
  </si>
  <si>
    <t>(561) 480-7893</t>
  </si>
  <si>
    <t>LuAnn</t>
  </si>
  <si>
    <t>Hazen</t>
  </si>
  <si>
    <t>7E04-VF6-CN99</t>
  </si>
  <si>
    <t>SOARES</t>
  </si>
  <si>
    <t>7JY2-PM3-YU03</t>
  </si>
  <si>
    <t>2pq1-wn3-qc21</t>
  </si>
  <si>
    <t>4T63-QA7-HV71</t>
  </si>
  <si>
    <t>Alea</t>
  </si>
  <si>
    <t>2FX1-KX7-EC80</t>
  </si>
  <si>
    <t>5UX6-QR4-CA66</t>
  </si>
  <si>
    <t>Esau</t>
  </si>
  <si>
    <t>6gp0-yh3-pc21</t>
  </si>
  <si>
    <t>Marcano</t>
  </si>
  <si>
    <t>4VN5-A12-NK77</t>
  </si>
  <si>
    <t>4VY1-DJ6-WH94</t>
  </si>
  <si>
    <t>(317) 450-9809</t>
  </si>
  <si>
    <t>Quay</t>
  </si>
  <si>
    <t>5T53-AJ0-DD16</t>
  </si>
  <si>
    <t>Toothman</t>
  </si>
  <si>
    <t>4QK6-WD9-RM75</t>
  </si>
  <si>
    <t>Perrone</t>
  </si>
  <si>
    <t>4RE5-TJ8-DF65</t>
  </si>
  <si>
    <t>CRIS</t>
  </si>
  <si>
    <t>CAMERUCCI</t>
  </si>
  <si>
    <t>4TA7-WX5-DW36</t>
  </si>
  <si>
    <t>BIGELOW</t>
  </si>
  <si>
    <t>2EP7-Q37-XV36</t>
  </si>
  <si>
    <t>NADIA</t>
  </si>
  <si>
    <t>IANAKIEVA</t>
  </si>
  <si>
    <t>9GX8-KX1-CU62</t>
  </si>
  <si>
    <t>Roche</t>
  </si>
  <si>
    <t>8HG4-V49-WU89</t>
  </si>
  <si>
    <t>Wentworth</t>
  </si>
  <si>
    <t>4QX4-H86-WD99</t>
  </si>
  <si>
    <t>Trevor</t>
  </si>
  <si>
    <t>8G14-R53-WK78</t>
  </si>
  <si>
    <t>(331) 213-1274</t>
  </si>
  <si>
    <t>Cunningham</t>
  </si>
  <si>
    <t>6YJ4-CM2-HD88</t>
  </si>
  <si>
    <t>Mary Anne</t>
  </si>
  <si>
    <t>6D07-A61-JF53</t>
  </si>
  <si>
    <t>(386) 717-9162</t>
  </si>
  <si>
    <t>1FN8-R83-YN48</t>
  </si>
  <si>
    <t>1GJ8-PG0-UC66</t>
  </si>
  <si>
    <t>9ap8-u49-um48</t>
  </si>
  <si>
    <t>Lathan</t>
  </si>
  <si>
    <t>4GH2-TK1-TA15</t>
  </si>
  <si>
    <t>Holsman</t>
  </si>
  <si>
    <t>6XH7-FE7-FN45</t>
  </si>
  <si>
    <t>4QW0-K53-XF39</t>
  </si>
  <si>
    <t>5ME8-D73-JD44</t>
  </si>
  <si>
    <t>ORALIA</t>
  </si>
  <si>
    <t>9K33-KF1-DV78</t>
  </si>
  <si>
    <t>Greta</t>
  </si>
  <si>
    <t>3WY2-E06-XX96</t>
  </si>
  <si>
    <t>Dyshuk</t>
  </si>
  <si>
    <t>8XD7-YK8-HU46</t>
  </si>
  <si>
    <t>4XF7-VE7-HT56</t>
  </si>
  <si>
    <t>Emilio</t>
  </si>
  <si>
    <t>1un6-gn1-kf43</t>
  </si>
  <si>
    <t>SUBRINA</t>
  </si>
  <si>
    <t>1E87-P03-AN37</t>
  </si>
  <si>
    <t>Nina</t>
  </si>
  <si>
    <t>2M97-KP4-MM66</t>
  </si>
  <si>
    <t>8E54-WJ8-UN03</t>
  </si>
  <si>
    <t>8MC3-TN6-JF04</t>
  </si>
  <si>
    <t>McIntyre</t>
  </si>
  <si>
    <t>2TG1-A31-QQ26</t>
  </si>
  <si>
    <t>4UF2-QF4-JA83</t>
  </si>
  <si>
    <t>5D67-UT7-MC65</t>
  </si>
  <si>
    <t>3AT1-EA9-PD25</t>
  </si>
  <si>
    <t>(407) 953-7543</t>
  </si>
  <si>
    <t>Scarborough</t>
  </si>
  <si>
    <t>7UY2-CH3-EP09</t>
  </si>
  <si>
    <t>(419) 699-5065</t>
  </si>
  <si>
    <t>Holly</t>
  </si>
  <si>
    <t>Hollowell</t>
  </si>
  <si>
    <t>6U38-G92-RJ39</t>
  </si>
  <si>
    <t>LENORA</t>
  </si>
  <si>
    <t>COFIELD</t>
  </si>
  <si>
    <t>7D26-J11-GW40</t>
  </si>
  <si>
    <t>6FE4-KA6-FR94</t>
  </si>
  <si>
    <t>Royster</t>
  </si>
  <si>
    <t>6TP3-PE3-QJ17</t>
  </si>
  <si>
    <t>SMALLEY</t>
  </si>
  <si>
    <t>4D68-YG9-CE57</t>
  </si>
  <si>
    <t>DEDREA</t>
  </si>
  <si>
    <t>MATTHEWS</t>
  </si>
  <si>
    <t>1VM0-R21-HU33</t>
  </si>
  <si>
    <t>ZELSKI</t>
  </si>
  <si>
    <t>9H38-MM2-DD54</t>
  </si>
  <si>
    <t>1ER5-GC1-EY51</t>
  </si>
  <si>
    <t>Sistrunk</t>
  </si>
  <si>
    <t>3FF3-U19-FP04</t>
  </si>
  <si>
    <t>Hildebran</t>
  </si>
  <si>
    <t>2FT6-Q96-WF47</t>
  </si>
  <si>
    <t>3xc1-km0-cq32</t>
  </si>
  <si>
    <t>4MR8-VW9-NV47</t>
  </si>
  <si>
    <t>1P48Q76CK51</t>
  </si>
  <si>
    <t>Siwierka</t>
  </si>
  <si>
    <t>4R67-K89-XH61</t>
  </si>
  <si>
    <t>Veronica</t>
  </si>
  <si>
    <t>Randi</t>
  </si>
  <si>
    <t>MacLaren</t>
  </si>
  <si>
    <t>3G28-NR3-WJ28</t>
  </si>
  <si>
    <t>Hartleben</t>
  </si>
  <si>
    <t>3TX4-A01-EC98</t>
  </si>
  <si>
    <t>(740) 315-5602</t>
  </si>
  <si>
    <t>STREIN</t>
  </si>
  <si>
    <t>3HH8-A50-UQ27</t>
  </si>
  <si>
    <t>Marmy</t>
  </si>
  <si>
    <t>8u40-yp8-rj39</t>
  </si>
  <si>
    <t>MARCIAL</t>
  </si>
  <si>
    <t>Costin</t>
  </si>
  <si>
    <t>2WH6-E59-JD56</t>
  </si>
  <si>
    <t>Bolden</t>
  </si>
  <si>
    <t>9P80-F71-PF21</t>
  </si>
  <si>
    <t>Zarate</t>
  </si>
  <si>
    <t>2N48-KQ9-NV29</t>
  </si>
  <si>
    <t>Pernettie</t>
  </si>
  <si>
    <t>3KJ0-XR6-RR38</t>
  </si>
  <si>
    <t>4Y73-PG0-MH01</t>
  </si>
  <si>
    <t>ELSIE</t>
  </si>
  <si>
    <t>3YG4-RQ3-EC75</t>
  </si>
  <si>
    <t>(928) 434-5705</t>
  </si>
  <si>
    <t>Luiza</t>
  </si>
  <si>
    <t>7EV6-HH0-AR48</t>
  </si>
  <si>
    <t>9TV8-H58-QD37</t>
  </si>
  <si>
    <t>3K16-T81-DJ77</t>
  </si>
  <si>
    <t>JOYETTE</t>
  </si>
  <si>
    <t>6WR5-VU4-RV50</t>
  </si>
  <si>
    <t>Barrow</t>
  </si>
  <si>
    <t>7EJ1-R28-XA16</t>
  </si>
  <si>
    <t>7Q78-HJ5-KE49</t>
  </si>
  <si>
    <t>8XG6-YU8-VQ46</t>
  </si>
  <si>
    <t>Geralyn</t>
  </si>
  <si>
    <t>1HY2-M68-UA08</t>
  </si>
  <si>
    <t>Shamus</t>
  </si>
  <si>
    <t>2UR1-U22-YD24</t>
  </si>
  <si>
    <t>2V13-AK6-UE02</t>
  </si>
  <si>
    <t>7vu9-qr3-kp45</t>
  </si>
  <si>
    <t>Karim</t>
  </si>
  <si>
    <t>Baksh</t>
  </si>
  <si>
    <t>9MP9-CY1-GX00</t>
  </si>
  <si>
    <t>Martin Kuebler</t>
  </si>
  <si>
    <t>7KM6-FC4-JT82</t>
  </si>
  <si>
    <t>BORGES</t>
  </si>
  <si>
    <t>9R45-UJ6-AN73</t>
  </si>
  <si>
    <t>1ej9-a50-jy55</t>
  </si>
  <si>
    <t>MORRIS MCDONALD</t>
  </si>
  <si>
    <t>3YF6-TM4-AK41</t>
  </si>
  <si>
    <t>McKinnon</t>
  </si>
  <si>
    <t>9WV3-TV5-VY04</t>
  </si>
  <si>
    <t>4JY9-QU6-JR31</t>
  </si>
  <si>
    <t>1J26-K80-XP62</t>
  </si>
  <si>
    <t>BERLINDA</t>
  </si>
  <si>
    <t>GORE</t>
  </si>
  <si>
    <t>4N07-CX6-KJ36</t>
  </si>
  <si>
    <t>7kq7-ww2-rj68</t>
  </si>
  <si>
    <t>BUIE</t>
  </si>
  <si>
    <t>9D06-M54-GD81</t>
  </si>
  <si>
    <t>6E15-EF6-FK70</t>
  </si>
  <si>
    <t>6RM6-E71-VC49</t>
  </si>
  <si>
    <t>(805) 208-9776</t>
  </si>
  <si>
    <t>8EU0-UY0-WA34</t>
  </si>
  <si>
    <t>EllsWORTH</t>
  </si>
  <si>
    <t>6TW3-M75-MK13</t>
  </si>
  <si>
    <t>YENSER JR</t>
  </si>
  <si>
    <t>5q75-tn7-ta85</t>
  </si>
  <si>
    <t>Laws</t>
  </si>
  <si>
    <t>1T59-RN9-KX32</t>
  </si>
  <si>
    <t>HERMAN</t>
  </si>
  <si>
    <t>SWINDLE</t>
  </si>
  <si>
    <t>2X37-TM2-NY31</t>
  </si>
  <si>
    <t>5h53-yq1-ue77</t>
  </si>
  <si>
    <t>McWilliams</t>
  </si>
  <si>
    <t>7EK7-WX3-UG42</t>
  </si>
  <si>
    <t>9H95-AT1-RW55</t>
  </si>
  <si>
    <t>5A35-X88-TV88</t>
  </si>
  <si>
    <t>Lord</t>
  </si>
  <si>
    <t>6W73-K02-PR79</t>
  </si>
  <si>
    <t>GERARD</t>
  </si>
  <si>
    <t>TAMECIS</t>
  </si>
  <si>
    <t>GELPI</t>
  </si>
  <si>
    <t>2r51-j00-pn34</t>
  </si>
  <si>
    <t>Joni</t>
  </si>
  <si>
    <t>8M92-F72-WH24</t>
  </si>
  <si>
    <t>Martin Gibson</t>
  </si>
  <si>
    <t>8M95-NF1-GA80</t>
  </si>
  <si>
    <t>ROBYN</t>
  </si>
  <si>
    <t>CARTE</t>
  </si>
  <si>
    <t>8ED9-NV1-XG46</t>
  </si>
  <si>
    <t>Kearney SR</t>
  </si>
  <si>
    <t>5NF0-QE3-TN03</t>
  </si>
  <si>
    <t>MCMAHON</t>
  </si>
  <si>
    <t>2HC7-YK1-AR33</t>
  </si>
  <si>
    <t>(870) 710-0318</t>
  </si>
  <si>
    <t>Hattie</t>
  </si>
  <si>
    <t>Shepard</t>
  </si>
  <si>
    <t>2PC4-RA6-QD72</t>
  </si>
  <si>
    <t>NANCE</t>
  </si>
  <si>
    <t>6NR3-UK2-NH18</t>
  </si>
  <si>
    <t>Maxine</t>
  </si>
  <si>
    <t>9JG2-T73-YF70</t>
  </si>
  <si>
    <t>5GR1-VR2-PA11</t>
  </si>
  <si>
    <t>Dorinda</t>
  </si>
  <si>
    <t>6PD3-NE7-RE83</t>
  </si>
  <si>
    <t>7J77-CK3-RP76</t>
  </si>
  <si>
    <t>(980) 399-9635</t>
  </si>
  <si>
    <t>3QV1-C89-HE08</t>
  </si>
  <si>
    <t>6CH3-HJ0-YY74</t>
  </si>
  <si>
    <t>DESLYNN</t>
  </si>
  <si>
    <t>2YY4-GW0-DV93</t>
  </si>
  <si>
    <t>Gaines</t>
  </si>
  <si>
    <t>3UP2-V54-AV96</t>
  </si>
  <si>
    <t>7CG4-FY7-JJ61</t>
  </si>
  <si>
    <t>GODBEY</t>
  </si>
  <si>
    <t>6TE9-D20-MQ34</t>
  </si>
  <si>
    <t>Elsie</t>
  </si>
  <si>
    <t>Rockett</t>
  </si>
  <si>
    <t>3xe5-mj0-eq54</t>
  </si>
  <si>
    <t>Fernandez</t>
  </si>
  <si>
    <t>5JF5-FP6-RF87</t>
  </si>
  <si>
    <t>5UP3-P14-XE73</t>
  </si>
  <si>
    <t>Adney</t>
  </si>
  <si>
    <t>2T20-VF6-JA21</t>
  </si>
  <si>
    <t>Aduba</t>
  </si>
  <si>
    <t>5R63-H56-HR78</t>
  </si>
  <si>
    <t>Ladonna</t>
  </si>
  <si>
    <t>1V00-HV1-UE32</t>
  </si>
  <si>
    <t>6V08-JR7-YJ26</t>
  </si>
  <si>
    <t>Huey</t>
  </si>
  <si>
    <t>Lowery JR</t>
  </si>
  <si>
    <t>1JQ1-VV0-PE24</t>
  </si>
  <si>
    <t>Pueblas</t>
  </si>
  <si>
    <t>1EH6-KN7-VY44</t>
  </si>
  <si>
    <t>Lynnette</t>
  </si>
  <si>
    <t>Stovall</t>
  </si>
  <si>
    <t>3FT2-H18-NH99</t>
  </si>
  <si>
    <t>GLEEN</t>
  </si>
  <si>
    <t>6F26-TU6-GE44</t>
  </si>
  <si>
    <t>Remington</t>
  </si>
  <si>
    <t>8FN3-EQ2-VJ06</t>
  </si>
  <si>
    <t>Alex</t>
  </si>
  <si>
    <t>7XC5-UE9-UV65</t>
  </si>
  <si>
    <t>ABELARDO</t>
  </si>
  <si>
    <t>Ferrer</t>
  </si>
  <si>
    <t>9TJ7-KY4-XV42</t>
  </si>
  <si>
    <t>2T46-CE1-WU50</t>
  </si>
  <si>
    <t>Longtin</t>
  </si>
  <si>
    <t>3FC6-EN6-DQ72</t>
  </si>
  <si>
    <t>(727) 248-9437</t>
  </si>
  <si>
    <t>WASHBURNE</t>
  </si>
  <si>
    <t>6EF6-T56-GG30</t>
  </si>
  <si>
    <t>5x42-ed8-kv99</t>
  </si>
  <si>
    <t>Elton</t>
  </si>
  <si>
    <t>Kibodeaux</t>
  </si>
  <si>
    <t>4D97-R78-NY76</t>
  </si>
  <si>
    <t>7m40-ue0-qu08</t>
  </si>
  <si>
    <t>PHOENIX SR.</t>
  </si>
  <si>
    <t>5VX1-JU4-YA27</t>
  </si>
  <si>
    <t>Emory</t>
  </si>
  <si>
    <t>7K32-CA9-DV28</t>
  </si>
  <si>
    <t>2TY0-NH4-JE41</t>
  </si>
  <si>
    <t>Hardee</t>
  </si>
  <si>
    <t>9TY2-AK0-FC19</t>
  </si>
  <si>
    <t>Paulsen</t>
  </si>
  <si>
    <t>1N49-RN7-CH38</t>
  </si>
  <si>
    <t>Roscoe</t>
  </si>
  <si>
    <t>8CA9-GR0-PJ36</t>
  </si>
  <si>
    <t>LAURETTA</t>
  </si>
  <si>
    <t>CODRINGTON</t>
  </si>
  <si>
    <t>3PN4-UC8-QY50</t>
  </si>
  <si>
    <t>4KJ5-HK7-DP87</t>
  </si>
  <si>
    <t>5D99-G01-YW35</t>
  </si>
  <si>
    <t>Weston</t>
  </si>
  <si>
    <t>3CK0-N62-PY16</t>
  </si>
  <si>
    <t>7WM0-WR6-UV14</t>
  </si>
  <si>
    <t>KOTRAN</t>
  </si>
  <si>
    <t>5Q32-V71-WX29</t>
  </si>
  <si>
    <t>Malinda</t>
  </si>
  <si>
    <t>9PX3-AQ0-YQ79</t>
  </si>
  <si>
    <t>4EY5-NR5-NN88</t>
  </si>
  <si>
    <t>Horace</t>
  </si>
  <si>
    <t>7HX0-M28-VE39</t>
  </si>
  <si>
    <t>VIGOA</t>
  </si>
  <si>
    <t>4CF0-W13-KA23</t>
  </si>
  <si>
    <t>3C64-FR4-XM03</t>
  </si>
  <si>
    <t>Roux</t>
  </si>
  <si>
    <t>6YP7-DR1-DE43</t>
  </si>
  <si>
    <t>HYDEN</t>
  </si>
  <si>
    <t>5C98-D88-NJ45</t>
  </si>
  <si>
    <t>McNutt</t>
  </si>
  <si>
    <t>8tu3-p24-xm12</t>
  </si>
  <si>
    <t>3XP0-EW3-YN39</t>
  </si>
  <si>
    <t>MONGE CRUZ</t>
  </si>
  <si>
    <t>7GV3-H90-JR08</t>
  </si>
  <si>
    <t>Basilia</t>
  </si>
  <si>
    <t>Visaya</t>
  </si>
  <si>
    <t>1vn8-y07-nm47</t>
  </si>
  <si>
    <t>Diona</t>
  </si>
  <si>
    <t>Guisewite</t>
  </si>
  <si>
    <t>5at9-t06-gh58</t>
  </si>
  <si>
    <t>5H71-D32-QX14</t>
  </si>
  <si>
    <t>Boissonneau</t>
  </si>
  <si>
    <t>2CG5-YQ4-GG89</t>
  </si>
  <si>
    <t>8VN9-XY5-VG24</t>
  </si>
  <si>
    <t>OELSCHER</t>
  </si>
  <si>
    <t>7GY2-PQ6-VX86</t>
  </si>
  <si>
    <t>Lakesha</t>
  </si>
  <si>
    <t>4PA6-VJ6-MM48</t>
  </si>
  <si>
    <t>4QD7-AJ5-NP42</t>
  </si>
  <si>
    <t>2XT6-YF3-MH49</t>
  </si>
  <si>
    <t>7C44-NF5-DR96</t>
  </si>
  <si>
    <t>8PJ1-JW1-RD90</t>
  </si>
  <si>
    <t>8DH8-RA1-NP26</t>
  </si>
  <si>
    <t>ELANE</t>
  </si>
  <si>
    <t>6CY6-C08-QM67</t>
  </si>
  <si>
    <t>7PE3-PN5-GE75</t>
  </si>
  <si>
    <t>Eash</t>
  </si>
  <si>
    <t>1PT1-KX1-YV99</t>
  </si>
  <si>
    <t>DONNIE</t>
  </si>
  <si>
    <t>4J07-UY9-QV55</t>
  </si>
  <si>
    <t>1YM3-WV2-UY07</t>
  </si>
  <si>
    <t>SEELY</t>
  </si>
  <si>
    <t>3CK8-UQ4-FD49</t>
  </si>
  <si>
    <t>Abernathy</t>
  </si>
  <si>
    <t>4VP0-YX9-CK08</t>
  </si>
  <si>
    <t>BIANCA</t>
  </si>
  <si>
    <t>2V47-DC2-CG78</t>
  </si>
  <si>
    <t>ABIE</t>
  </si>
  <si>
    <t>VASQUEZ JR</t>
  </si>
  <si>
    <t>5J23-MW2-XQ02</t>
  </si>
  <si>
    <t>O'Brien</t>
  </si>
  <si>
    <t>6XD8-XG4-RR54</t>
  </si>
  <si>
    <t>Chito</t>
  </si>
  <si>
    <t>Merin</t>
  </si>
  <si>
    <t>8JG1-MF9-DD16</t>
  </si>
  <si>
    <t>3vd7-p47-aw77</t>
  </si>
  <si>
    <t>3NX9-KJ2-EF41</t>
  </si>
  <si>
    <t>Cassadore</t>
  </si>
  <si>
    <t>4JA5-EQ6-AG64</t>
  </si>
  <si>
    <t>5N53-RF8-FX72</t>
  </si>
  <si>
    <t>Schmid</t>
  </si>
  <si>
    <t>Denham</t>
  </si>
  <si>
    <t>9RX7-K56-GP48</t>
  </si>
  <si>
    <t>Acker</t>
  </si>
  <si>
    <t>9D20-JM7-CX38</t>
  </si>
  <si>
    <t>1AP6-RU7-MK60</t>
  </si>
  <si>
    <t>Arnell Sr</t>
  </si>
  <si>
    <t>8QR5-UD2-XJ99</t>
  </si>
  <si>
    <t>Leonidas</t>
  </si>
  <si>
    <t>1AG4-D25-FR07</t>
  </si>
  <si>
    <t>4YE5-Q93-RE55</t>
  </si>
  <si>
    <t>2UP1-ND0-PW97</t>
  </si>
  <si>
    <t>RUSSITANO</t>
  </si>
  <si>
    <t>6dW3-A65-NC97</t>
  </si>
  <si>
    <t>8H91-AQ2-MT12</t>
  </si>
  <si>
    <t>4W15-Q49-WU55</t>
  </si>
  <si>
    <t>(234) 419-4315</t>
  </si>
  <si>
    <t>TURMAN</t>
  </si>
  <si>
    <t>1V95-V33-RR91</t>
  </si>
  <si>
    <t>4WD0-YN7-TD33</t>
  </si>
  <si>
    <t>COBB</t>
  </si>
  <si>
    <t>9E06-PR0-FR42</t>
  </si>
  <si>
    <t>Whitsett</t>
  </si>
  <si>
    <t>3GC0-QE8-MN29</t>
  </si>
  <si>
    <t>1VH4-FN2-GR70</t>
  </si>
  <si>
    <t>6NA8-NQ2-YY47</t>
  </si>
  <si>
    <t>9XR7-W10-DH60</t>
  </si>
  <si>
    <t>AMADOR JR</t>
  </si>
  <si>
    <t>5VK7-E24-GH73</t>
  </si>
  <si>
    <t>5CG5-J49-JJ51</t>
  </si>
  <si>
    <t>LAVENTURE</t>
  </si>
  <si>
    <t>4KY8A99EC49</t>
  </si>
  <si>
    <t>9KG1-UA0-WT80</t>
  </si>
  <si>
    <t>Probst</t>
  </si>
  <si>
    <t>4EY1-EW8-FP00</t>
  </si>
  <si>
    <t>TOLIVER</t>
  </si>
  <si>
    <t>9F28-RP3-WG46</t>
  </si>
  <si>
    <t>6E12-V09-TK80</t>
  </si>
  <si>
    <t>Vernell</t>
  </si>
  <si>
    <t>Hoff</t>
  </si>
  <si>
    <t>2QF6-FH3-PU40</t>
  </si>
  <si>
    <t>JACOB</t>
  </si>
  <si>
    <t>WILMOT</t>
  </si>
  <si>
    <t>QUITNO</t>
  </si>
  <si>
    <t>6CT0-EX5-HX21</t>
  </si>
  <si>
    <t>SANTO</t>
  </si>
  <si>
    <t>NARDI Jr</t>
  </si>
  <si>
    <t>6QQ2-NM7-JJ98</t>
  </si>
  <si>
    <t>5QJ3-C49-CW92</t>
  </si>
  <si>
    <t>PELOQUIN</t>
  </si>
  <si>
    <t>4mn2-ev6-yw86</t>
  </si>
  <si>
    <t>2UY7-EM8-UR71</t>
  </si>
  <si>
    <t>VANDIVIER</t>
  </si>
  <si>
    <t>2FM7-ND5-TH44</t>
  </si>
  <si>
    <t>9E36-DU9-UP73</t>
  </si>
  <si>
    <t>STEPHERSON</t>
  </si>
  <si>
    <t>1NW7-P30-FH52</t>
  </si>
  <si>
    <t>5MM6-RQ2-HA50</t>
  </si>
  <si>
    <t>Barbios</t>
  </si>
  <si>
    <t>6TY9-JJ3-XA40</t>
  </si>
  <si>
    <t>Blouin</t>
  </si>
  <si>
    <t>6NP3-VT6-VG85</t>
  </si>
  <si>
    <t>2MU4-C18-YC65</t>
  </si>
  <si>
    <t>Talley</t>
  </si>
  <si>
    <t>4VY7-HD5-FE31</t>
  </si>
  <si>
    <t>STIDHAM</t>
  </si>
  <si>
    <t>6X11-NR2-HH96</t>
  </si>
  <si>
    <t>Delois</t>
  </si>
  <si>
    <t>3UD6-MP1-XE64</t>
  </si>
  <si>
    <t>Stidham</t>
  </si>
  <si>
    <t>7T89-NX5-NW34</t>
  </si>
  <si>
    <t>PHYLISS</t>
  </si>
  <si>
    <t>FRANTSKEVITCH</t>
  </si>
  <si>
    <t>3ER2-XX9-VC13</t>
  </si>
  <si>
    <t>Vaughn Jr</t>
  </si>
  <si>
    <t>9GY1-GV1-JN18</t>
  </si>
  <si>
    <t>9JQ8UE1YC32</t>
  </si>
  <si>
    <t>1TC0-N56-QV26</t>
  </si>
  <si>
    <t>Rolph</t>
  </si>
  <si>
    <t>5FA3-H60-CQ81</t>
  </si>
  <si>
    <t>URSO</t>
  </si>
  <si>
    <t>1RF7-XE5-QD45</t>
  </si>
  <si>
    <t>2HW3-QY8-VE99</t>
  </si>
  <si>
    <t>Leroy</t>
  </si>
  <si>
    <t>8AD9-NP3-JN51</t>
  </si>
  <si>
    <t>Trudy</t>
  </si>
  <si>
    <t>7NP7-WX5-AK58</t>
  </si>
  <si>
    <t>SEYMOUR</t>
  </si>
  <si>
    <t>8GT2-YK7-UR16</t>
  </si>
  <si>
    <t>4KJ2-K00-JW12</t>
  </si>
  <si>
    <t>4MW2-EF0-UW12</t>
  </si>
  <si>
    <t>NIKOLAI</t>
  </si>
  <si>
    <t>DAVIDKOV</t>
  </si>
  <si>
    <t>5GE4-UC9-HG97</t>
  </si>
  <si>
    <t>FUSSELMAN</t>
  </si>
  <si>
    <t>8VN9-MJ6-FQ41</t>
  </si>
  <si>
    <t>2H36-K32-UV78</t>
  </si>
  <si>
    <t>Rouzard</t>
  </si>
  <si>
    <t>9EN0-VV8-XW26</t>
  </si>
  <si>
    <t>7GK0-UE5-KE39</t>
  </si>
  <si>
    <t>Busch</t>
  </si>
  <si>
    <t>1k59-q52-cd16</t>
  </si>
  <si>
    <t>2EM3-DY7-VV74</t>
  </si>
  <si>
    <t>Lyal</t>
  </si>
  <si>
    <t>Simon Jr</t>
  </si>
  <si>
    <t>4k98-jq9-yv64</t>
  </si>
  <si>
    <t>COALTER</t>
  </si>
  <si>
    <t>3W38-X25-EH50</t>
  </si>
  <si>
    <t>McFarlane</t>
  </si>
  <si>
    <t>5G72-KA0-TM85</t>
  </si>
  <si>
    <t>3TF6XY8WM72</t>
  </si>
  <si>
    <t>Halsey</t>
  </si>
  <si>
    <t>5v58-qk4-ft50</t>
  </si>
  <si>
    <t>1U76-K35-KK64</t>
  </si>
  <si>
    <t>1P99-GE4-MN18</t>
  </si>
  <si>
    <t>HANSFORD</t>
  </si>
  <si>
    <t>6K92-M81-FC89</t>
  </si>
  <si>
    <t>MANTHY</t>
  </si>
  <si>
    <t>8TY7-AJ3-YG33</t>
  </si>
  <si>
    <t>HARGADON</t>
  </si>
  <si>
    <t>8RT1-E56-CA93</t>
  </si>
  <si>
    <t>Bishop Junior</t>
  </si>
  <si>
    <t>1DY4-FG2-NK66</t>
  </si>
  <si>
    <t>Mora</t>
  </si>
  <si>
    <t>5CM8-RR2-XF62</t>
  </si>
  <si>
    <t>VYRTICE</t>
  </si>
  <si>
    <t>ARCHIE CROSS</t>
  </si>
  <si>
    <t>9DV4-TV6-HE80</t>
  </si>
  <si>
    <t>Foreman</t>
  </si>
  <si>
    <t>6DA8-N33-FQ51</t>
  </si>
  <si>
    <t>LESLEY</t>
  </si>
  <si>
    <t>7KU6-WH9-CE67</t>
  </si>
  <si>
    <t>ROCKWELL</t>
  </si>
  <si>
    <t>7YH6U93FD86</t>
  </si>
  <si>
    <t>MIDDLETON</t>
  </si>
  <si>
    <t>8XF2-PC7-VR16</t>
  </si>
  <si>
    <t>DIANNA</t>
  </si>
  <si>
    <t>HEARD</t>
  </si>
  <si>
    <t>8XH4-HW5-WQ67</t>
  </si>
  <si>
    <t>9uj5-rh0-re89</t>
  </si>
  <si>
    <t>CHERRY</t>
  </si>
  <si>
    <t>9MU3-W37-AR87</t>
  </si>
  <si>
    <t>7HW6-UC1-ND70</t>
  </si>
  <si>
    <t>SOLON</t>
  </si>
  <si>
    <t>POINTER JR</t>
  </si>
  <si>
    <t>6N27-RF8-KH56</t>
  </si>
  <si>
    <t>7KR0-XV4-YQ24</t>
  </si>
  <si>
    <t>LIAS</t>
  </si>
  <si>
    <t>9DC6-PH7-HX40</t>
  </si>
  <si>
    <t>Lamaca</t>
  </si>
  <si>
    <t>8CA3-NW3-UN89</t>
  </si>
  <si>
    <t>Luz</t>
  </si>
  <si>
    <t>Duran</t>
  </si>
  <si>
    <t>9MF9-Y70-YF56</t>
  </si>
  <si>
    <t>1TH7-HC6-QQ56</t>
  </si>
  <si>
    <t>5GD8-Q87-PC32</t>
  </si>
  <si>
    <t>8NW9-JF2-EG31</t>
  </si>
  <si>
    <t>BATEMAN</t>
  </si>
  <si>
    <t>2YC9-A71-TH26</t>
  </si>
  <si>
    <t>Hammond</t>
  </si>
  <si>
    <t>7MP5-H32-JF93</t>
  </si>
  <si>
    <t>Brigitte</t>
  </si>
  <si>
    <t>6CX8-M30-WP30</t>
  </si>
  <si>
    <t>Ingles</t>
  </si>
  <si>
    <t>3FH1-WH5-DW11</t>
  </si>
  <si>
    <t>3D86-DF7-XW44</t>
  </si>
  <si>
    <t>Barnett</t>
  </si>
  <si>
    <t>4HJ8-P70-VR48</t>
  </si>
  <si>
    <t>8JQ1-FC2-UX99</t>
  </si>
  <si>
    <t>MILAN</t>
  </si>
  <si>
    <t>DROBNJAK</t>
  </si>
  <si>
    <t>6VJ6-Q17-QR79</t>
  </si>
  <si>
    <t>8ct3-d51-tv79</t>
  </si>
  <si>
    <t>Kim</t>
  </si>
  <si>
    <t>Autin</t>
  </si>
  <si>
    <t>5N97-F48-AA68</t>
  </si>
  <si>
    <t>5NM3-HF7-HV93</t>
  </si>
  <si>
    <t>7KW3-U94-CC07</t>
  </si>
  <si>
    <t>Holder</t>
  </si>
  <si>
    <t>8WA1-DQ7-YK17</t>
  </si>
  <si>
    <t>Titla</t>
  </si>
  <si>
    <t>7F59-AH7-FY23</t>
  </si>
  <si>
    <t>SANDOVAL</t>
  </si>
  <si>
    <t>9JV9-UP4-FT48</t>
  </si>
  <si>
    <t>Stefan</t>
  </si>
  <si>
    <t>6KY6-VQ3-XG73</t>
  </si>
  <si>
    <t>Hanger</t>
  </si>
  <si>
    <t>3H25-C01-FG96</t>
  </si>
  <si>
    <t>5KK3-NF2-HT91</t>
  </si>
  <si>
    <t>MAYLOR</t>
  </si>
  <si>
    <t>4WW2-V05-RR00</t>
  </si>
  <si>
    <t>LIEBBE</t>
  </si>
  <si>
    <t>9NR8-A46-HE55</t>
  </si>
  <si>
    <t>LEONA</t>
  </si>
  <si>
    <t>HOSTEENEZ</t>
  </si>
  <si>
    <t>7UJ7-N82-JH42</t>
  </si>
  <si>
    <t>5HY2-C53-AA80</t>
  </si>
  <si>
    <t>4QX9-VN3-NF21</t>
  </si>
  <si>
    <t>3VA6-MW6-KW75</t>
  </si>
  <si>
    <t>Kenny</t>
  </si>
  <si>
    <t>4DN8-KX5-JG64</t>
  </si>
  <si>
    <t>1TU5-AJ9-DE77</t>
  </si>
  <si>
    <t>PRENTISS</t>
  </si>
  <si>
    <t>1CW0-A99-JV12</t>
  </si>
  <si>
    <t>1H48-MK0-XX51</t>
  </si>
  <si>
    <t>PETERSHEIM</t>
  </si>
  <si>
    <t>4F51-M31-FY23</t>
  </si>
  <si>
    <t>McDaniel</t>
  </si>
  <si>
    <t>2aw1-jk3-aj03</t>
  </si>
  <si>
    <t>7J07-GR5-EM57</t>
  </si>
  <si>
    <t>(727) 346-5625</t>
  </si>
  <si>
    <t>Poindexter</t>
  </si>
  <si>
    <t>3XH3-YD4-FN85</t>
  </si>
  <si>
    <t>4GW3-YA8-PQ60</t>
  </si>
  <si>
    <t>Tolliver</t>
  </si>
  <si>
    <t>4YA6-M87-DG64</t>
  </si>
  <si>
    <t>1ED0-GR2-PJ28</t>
  </si>
  <si>
    <t>Tolbert</t>
  </si>
  <si>
    <t>3JU8-G08-QC45</t>
  </si>
  <si>
    <t>JERRYL</t>
  </si>
  <si>
    <t>TRUITT</t>
  </si>
  <si>
    <t>Agnew</t>
  </si>
  <si>
    <t>6Q55-GT4-JU89</t>
  </si>
  <si>
    <t>7M73-YP1-KM85</t>
  </si>
  <si>
    <t>3A25-F27-XW60</t>
  </si>
  <si>
    <t>(760) 625-7400</t>
  </si>
  <si>
    <t>4FV0-NY3-UM14</t>
  </si>
  <si>
    <t>6X76-HR7-KD68</t>
  </si>
  <si>
    <t>Meyer</t>
  </si>
  <si>
    <t>6AD3-CW1-TV77</t>
  </si>
  <si>
    <t>SUZETTE</t>
  </si>
  <si>
    <t>2K70-QK5-UU21</t>
  </si>
  <si>
    <t>Dora</t>
  </si>
  <si>
    <t>5WM5-HF8-FA60</t>
  </si>
  <si>
    <t>Brooks-Brooks</t>
  </si>
  <si>
    <t>5XN9-RD5-WM57</t>
  </si>
  <si>
    <t>8J09-E16-JQ11</t>
  </si>
  <si>
    <t>Reno</t>
  </si>
  <si>
    <t>4QV2-VP1-EM14</t>
  </si>
  <si>
    <t>FAULK</t>
  </si>
  <si>
    <t>3wq6-tj1-yw68</t>
  </si>
  <si>
    <t>CLOUSE</t>
  </si>
  <si>
    <t>4MF2-DX1-XD15</t>
  </si>
  <si>
    <t>Franks</t>
  </si>
  <si>
    <t>5N00-Q43-NC39</t>
  </si>
  <si>
    <t>Harriet</t>
  </si>
  <si>
    <t>8JD6-H07-AE44</t>
  </si>
  <si>
    <t>Florence</t>
  </si>
  <si>
    <t>6Q70-AR2-NV12</t>
  </si>
  <si>
    <t>Givan</t>
  </si>
  <si>
    <t>2J00-A75-DV15</t>
  </si>
  <si>
    <t>2M55-U73-UF40</t>
  </si>
  <si>
    <t>5V18-AM7-PY59</t>
  </si>
  <si>
    <t>6G63-UG0-XF99</t>
  </si>
  <si>
    <t>BALAZSI</t>
  </si>
  <si>
    <t>5PG1-NY5-QX92</t>
  </si>
  <si>
    <t>ZIMMER</t>
  </si>
  <si>
    <t>1P93-A65-VK06</t>
  </si>
  <si>
    <t>LORETHA</t>
  </si>
  <si>
    <t>7AC4-CE9-EV06</t>
  </si>
  <si>
    <t>Dancey</t>
  </si>
  <si>
    <t>9TD9-QF6-UY39</t>
  </si>
  <si>
    <t>Ortiz</t>
  </si>
  <si>
    <t>8QV1-H12-RM94</t>
  </si>
  <si>
    <t>928-961-6778</t>
  </si>
  <si>
    <t>3MR5-U70-FY51</t>
  </si>
  <si>
    <t>Jessie</t>
  </si>
  <si>
    <t>Hutton</t>
  </si>
  <si>
    <t>7GT5-GV3-FR95</t>
  </si>
  <si>
    <t>Edwina</t>
  </si>
  <si>
    <t>Enac Barnes</t>
  </si>
  <si>
    <t>9JH6-R76-YE30</t>
  </si>
  <si>
    <t>8XC8-KN7-VW56</t>
  </si>
  <si>
    <t>Mullens</t>
  </si>
  <si>
    <t>1R86-GF2-MG52</t>
  </si>
  <si>
    <t>7N78-PM3-UW33</t>
  </si>
  <si>
    <t>Durham</t>
  </si>
  <si>
    <t>6JM9-CH5-MA30</t>
  </si>
  <si>
    <t>CARA</t>
  </si>
  <si>
    <t>3DH9-M93-CQ27</t>
  </si>
  <si>
    <t>8GW1-J18-TX14</t>
  </si>
  <si>
    <t>2QV3-RJ4-CK12</t>
  </si>
  <si>
    <t>8EK4-XV4-HX84</t>
  </si>
  <si>
    <t>Troyer</t>
  </si>
  <si>
    <t>5E96-KY2-GG63</t>
  </si>
  <si>
    <t>Camiolo</t>
  </si>
  <si>
    <t>3AH5-KC4-YM93</t>
  </si>
  <si>
    <t>954-495-6693</t>
  </si>
  <si>
    <t>8MD0-VM0-VK10</t>
  </si>
  <si>
    <t>3JR6-J24-WY81</t>
  </si>
  <si>
    <t>Mandi</t>
  </si>
  <si>
    <t>Mandi Jones</t>
  </si>
  <si>
    <t>Maxwell</t>
  </si>
  <si>
    <t>8FX6-WU2-MD79</t>
  </si>
  <si>
    <t>Pike</t>
  </si>
  <si>
    <t>2HT0-A22-FF37</t>
  </si>
  <si>
    <t>VILLARREAL JR</t>
  </si>
  <si>
    <t>5GV0-MU4-TY34</t>
  </si>
  <si>
    <t>C</t>
  </si>
  <si>
    <t>President-Graham</t>
  </si>
  <si>
    <t>9UR9-A91-DV28</t>
  </si>
  <si>
    <t>MARASPINI</t>
  </si>
  <si>
    <t>5AV3-CY5-PM04</t>
  </si>
  <si>
    <t>Terrie</t>
  </si>
  <si>
    <t>Pancost</t>
  </si>
  <si>
    <t>2E90-NF1-XK26</t>
  </si>
  <si>
    <t>ADEY</t>
  </si>
  <si>
    <t>6MF4-NK2-XD85</t>
  </si>
  <si>
    <t>4K27-PH9-RX59</t>
  </si>
  <si>
    <t>Curry</t>
  </si>
  <si>
    <t>6d74-g53-ee99</t>
  </si>
  <si>
    <t>LOVE-TURNER</t>
  </si>
  <si>
    <t>1FE7-GG2-TQ44</t>
  </si>
  <si>
    <t>ADAMS-HAMMONS</t>
  </si>
  <si>
    <t>6U32-NF8-EK29</t>
  </si>
  <si>
    <t>Contreras</t>
  </si>
  <si>
    <t>6PA2-XP9-AN89</t>
  </si>
  <si>
    <t>9RP6-TG9-QV65</t>
  </si>
  <si>
    <t>5HD0-DR0-NQ03</t>
  </si>
  <si>
    <t>Robbin</t>
  </si>
  <si>
    <t>8PU8-XF4-DT20</t>
  </si>
  <si>
    <t>WAHLERS</t>
  </si>
  <si>
    <t>8TH6-AA9-RQ47</t>
  </si>
  <si>
    <t>Tsilivis</t>
  </si>
  <si>
    <t>8U15-JJ3-RM99</t>
  </si>
  <si>
    <t>KARRIEMA MUHAMMAD</t>
  </si>
  <si>
    <t>7EK9-F60-UC20</t>
  </si>
  <si>
    <t>Carter-Doughty</t>
  </si>
  <si>
    <t>6ND5-QR2-DN71</t>
  </si>
  <si>
    <t>9XA4-H58-JX67</t>
  </si>
  <si>
    <t>1A23-VK6-RG96</t>
  </si>
  <si>
    <t>Stuller</t>
  </si>
  <si>
    <t>9AA9-F41-WQ21</t>
  </si>
  <si>
    <t>ANNA</t>
  </si>
  <si>
    <t>1HG7-X21-YW61</t>
  </si>
  <si>
    <t>(708) 346-6441</t>
  </si>
  <si>
    <t>4R45-RJ4-NN73</t>
  </si>
  <si>
    <t>CONWAY</t>
  </si>
  <si>
    <t>7NA3-Y45-VU04</t>
  </si>
  <si>
    <t>3EW0-TV0-YQ47</t>
  </si>
  <si>
    <t>Brendle</t>
  </si>
  <si>
    <t>1V39-QN1-AV18</t>
  </si>
  <si>
    <t>JACOBS</t>
  </si>
  <si>
    <t>2DG7-A91-UK72</t>
  </si>
  <si>
    <t>9UE3-FD2-WD13</t>
  </si>
  <si>
    <t>6CT3-R37-RU78</t>
  </si>
  <si>
    <t>4FR9-Q23-YH28</t>
  </si>
  <si>
    <t>Wetonia</t>
  </si>
  <si>
    <t>7DP1-R69-HQ22</t>
  </si>
  <si>
    <t>3T12-T99-YE83</t>
  </si>
  <si>
    <t>Sain</t>
  </si>
  <si>
    <t>1KX4-W02-PA07</t>
  </si>
  <si>
    <t>(872) 814-4556</t>
  </si>
  <si>
    <t>Cover</t>
  </si>
  <si>
    <t>7TU6-U33-XK52</t>
  </si>
  <si>
    <t>2YP8-GG0-FW66</t>
  </si>
  <si>
    <t>Robey</t>
  </si>
  <si>
    <t>6C72-RG3-UR19</t>
  </si>
  <si>
    <t>Nowry</t>
  </si>
  <si>
    <t>8UW3-NG1-NN76</t>
  </si>
  <si>
    <t>5JA6-N93-TK57</t>
  </si>
  <si>
    <t>Shackleford</t>
  </si>
  <si>
    <t>5M89-CV8-RQ19</t>
  </si>
  <si>
    <t>Rayford</t>
  </si>
  <si>
    <t>5PV5-VX3-GA84</t>
  </si>
  <si>
    <t>4P66-DJ9-QJ72</t>
  </si>
  <si>
    <t>7Y20-UP0-HV07</t>
  </si>
  <si>
    <t>1Q87-PR5-NP30</t>
  </si>
  <si>
    <t>Ives</t>
  </si>
  <si>
    <t>3PY8-XN4-DN10</t>
  </si>
  <si>
    <t>2V12-U66-NX88</t>
  </si>
  <si>
    <t>Jeller</t>
  </si>
  <si>
    <t>6A14-NY6-MD72</t>
  </si>
  <si>
    <t>Tindall</t>
  </si>
  <si>
    <t>5PR1-A73-MW99</t>
  </si>
  <si>
    <t>8N64-X63-VA84</t>
  </si>
  <si>
    <t>8DE7-UM4-PU37</t>
  </si>
  <si>
    <t>8qy5-jx0-ha98</t>
  </si>
  <si>
    <t>SHRIVER</t>
  </si>
  <si>
    <t>7KR6-EK4-TJ59</t>
  </si>
  <si>
    <t>McGowen</t>
  </si>
  <si>
    <t>2P12-K32-PP81</t>
  </si>
  <si>
    <t>3RR6-ET6-AA52</t>
  </si>
  <si>
    <t>Hester</t>
  </si>
  <si>
    <t>7TC4-K28-WR02</t>
  </si>
  <si>
    <t>FELTNER</t>
  </si>
  <si>
    <t>8HQ5-TQ4-FH57</t>
  </si>
  <si>
    <t>(615) 688-7245</t>
  </si>
  <si>
    <t>DANNIE</t>
  </si>
  <si>
    <t>2R35-UV0-RT65</t>
  </si>
  <si>
    <t>8G79-U10-XR58</t>
  </si>
  <si>
    <t>8F48-P12-WE26</t>
  </si>
  <si>
    <t>Feltner</t>
  </si>
  <si>
    <t>2pc0-e89-ff04</t>
  </si>
  <si>
    <t>9e52-r85-yq06</t>
  </si>
  <si>
    <t>7UF1-V86-HK91</t>
  </si>
  <si>
    <t>6TW5-C20-CA76</t>
  </si>
  <si>
    <t>Heard</t>
  </si>
  <si>
    <t>6XP2-VF6-QM00</t>
  </si>
  <si>
    <t>5MC2-D38-YH86</t>
  </si>
  <si>
    <t>Tah</t>
  </si>
  <si>
    <t>3GN9-C90-QE32</t>
  </si>
  <si>
    <t>NESTOR</t>
  </si>
  <si>
    <t>PAJARILLAGA</t>
  </si>
  <si>
    <t>5YW6-WR6-NQ40</t>
  </si>
  <si>
    <t>SCHAEPERKLAUS</t>
  </si>
  <si>
    <t>1PT5-U76-GR65</t>
  </si>
  <si>
    <t>LANG Jr</t>
  </si>
  <si>
    <t>6M14-PX1-UR92</t>
  </si>
  <si>
    <t>8WU1-TJ1-KR37</t>
  </si>
  <si>
    <t>JACQUEZ</t>
  </si>
  <si>
    <t>3RC2-DP7-XC91</t>
  </si>
  <si>
    <t>PARISI</t>
  </si>
  <si>
    <t>4DJ9-GW3-KM15</t>
  </si>
  <si>
    <t>HUTCHCRAFT</t>
  </si>
  <si>
    <t>8ww3-vj3-nr09</t>
  </si>
  <si>
    <t>7yv5-rr8-ar60</t>
  </si>
  <si>
    <t>GENE</t>
  </si>
  <si>
    <t>PERSINGER</t>
  </si>
  <si>
    <t>4XN2-FF5-JK07</t>
  </si>
  <si>
    <t>ELMER</t>
  </si>
  <si>
    <t>BROADNAX</t>
  </si>
  <si>
    <t>7MV0-NT7-UT10</t>
  </si>
  <si>
    <t>ROSALINA</t>
  </si>
  <si>
    <t>7NW3-C03-JM75</t>
  </si>
  <si>
    <t>9YG8-R77-UF47</t>
  </si>
  <si>
    <t>8U81-RK0-JH13</t>
  </si>
  <si>
    <t>Herr</t>
  </si>
  <si>
    <t>7M30-XK3-GJ10</t>
  </si>
  <si>
    <t>ROTHERT</t>
  </si>
  <si>
    <t>3UW9-DN5-YX34</t>
  </si>
  <si>
    <t>HEDOUND</t>
  </si>
  <si>
    <t>1R78-EY9-YD10</t>
  </si>
  <si>
    <t>2GM8-MX4-HY27</t>
  </si>
  <si>
    <t>Kimberley</t>
  </si>
  <si>
    <t>Zimmer</t>
  </si>
  <si>
    <t>7TJ1-HJ9-QN36</t>
  </si>
  <si>
    <t>Poe-Pittman</t>
  </si>
  <si>
    <t>8PM6-CQ4-FG43</t>
  </si>
  <si>
    <t>Barrs</t>
  </si>
  <si>
    <t>Sydnie</t>
  </si>
  <si>
    <t>Sydnie Barrs</t>
  </si>
  <si>
    <t>McCain</t>
  </si>
  <si>
    <t>4u16-mq8-cw56</t>
  </si>
  <si>
    <t>1EA0-T68-GF23</t>
  </si>
  <si>
    <t>LAWERNCE</t>
  </si>
  <si>
    <t>1r36-kn3-yh40</t>
  </si>
  <si>
    <t>8H05-WN6-FJ76</t>
  </si>
  <si>
    <t>7RM7-Y13-YE61</t>
  </si>
  <si>
    <t>8WV8-DA3-KQ27</t>
  </si>
  <si>
    <t>Sergio</t>
  </si>
  <si>
    <t>8GA8-YQ0-ND31</t>
  </si>
  <si>
    <t>6X68-PV1-NV31</t>
  </si>
  <si>
    <t>PEDERLIND JR</t>
  </si>
  <si>
    <t>3PG7-N54-XF68</t>
  </si>
  <si>
    <t>(520) 229-7760</t>
  </si>
  <si>
    <t>Noles</t>
  </si>
  <si>
    <t>9RY4-NV9-GN78</t>
  </si>
  <si>
    <t>Weary</t>
  </si>
  <si>
    <t>Jonathan Weary</t>
  </si>
  <si>
    <t>1P09-AY4-XN38</t>
  </si>
  <si>
    <t>SEAN</t>
  </si>
  <si>
    <t>SURACE</t>
  </si>
  <si>
    <t>7XV8-J97-WE28</t>
  </si>
  <si>
    <t>Piburn</t>
  </si>
  <si>
    <t>8U91-AM9-UF01</t>
  </si>
  <si>
    <t>Ellsworth</t>
  </si>
  <si>
    <t>5R89-D89-YC10</t>
  </si>
  <si>
    <t>ANDERSON JR.</t>
  </si>
  <si>
    <t>3C65-A75-MM64</t>
  </si>
  <si>
    <t>8H77-YG0-HD38</t>
  </si>
  <si>
    <t>HEUER</t>
  </si>
  <si>
    <t>6KD6-KH3-EW88</t>
  </si>
  <si>
    <t>Marty</t>
  </si>
  <si>
    <t>5EM6-G72-VH83</t>
  </si>
  <si>
    <t>8JW4-E43-JV01</t>
  </si>
  <si>
    <t>Urban</t>
  </si>
  <si>
    <t>3HU0-WD4-MJ11</t>
  </si>
  <si>
    <t>Joann</t>
  </si>
  <si>
    <t>5DK2-GA1-MM26</t>
  </si>
  <si>
    <t>FETTY</t>
  </si>
  <si>
    <t>6C19-F72-WK40</t>
  </si>
  <si>
    <t>Ernie</t>
  </si>
  <si>
    <t>2T08-WF6-YF33</t>
  </si>
  <si>
    <t>FRIDAY</t>
  </si>
  <si>
    <t>6YD3-JX1-TG06</t>
  </si>
  <si>
    <t>9DH3-U05-WM74</t>
  </si>
  <si>
    <t>(480) 436-1560</t>
  </si>
  <si>
    <t>Elkins</t>
  </si>
  <si>
    <t>6A79-Y85-QY45</t>
  </si>
  <si>
    <t>Rios</t>
  </si>
  <si>
    <t>4XT3-EC9-TP04</t>
  </si>
  <si>
    <t>Luradean</t>
  </si>
  <si>
    <t>1C15-JD3-TM59</t>
  </si>
  <si>
    <t>9ef7-ec1-ua43</t>
  </si>
  <si>
    <t>Forshee</t>
  </si>
  <si>
    <t>2FM1-A18-ET92</t>
  </si>
  <si>
    <t>LEAB</t>
  </si>
  <si>
    <t>9X85-UV3-WA67</t>
  </si>
  <si>
    <t>Watts-Golden</t>
  </si>
  <si>
    <t>Marvonique</t>
  </si>
  <si>
    <t>Marvonique Watts-Golden</t>
  </si>
  <si>
    <t>1VA9-U79-GT23</t>
  </si>
  <si>
    <t>LOGGINS</t>
  </si>
  <si>
    <t>8CY6-XF8-XU43</t>
  </si>
  <si>
    <t>1N34-XJ9-UD93</t>
  </si>
  <si>
    <t>Smith Jr</t>
  </si>
  <si>
    <t>7Y30-Y44-DQ04</t>
  </si>
  <si>
    <t>Hiler</t>
  </si>
  <si>
    <t>6A54-TR1-UU89</t>
  </si>
  <si>
    <t>Wermers</t>
  </si>
  <si>
    <t>3MU9-D33-HX22</t>
  </si>
  <si>
    <t>6VY2-D42-TF01</t>
  </si>
  <si>
    <t>4jy2-kv5-yu13</t>
  </si>
  <si>
    <t>1q85-kh0-uy86</t>
  </si>
  <si>
    <t>Llora</t>
  </si>
  <si>
    <t>7R82-Y63-DK15</t>
  </si>
  <si>
    <t>Terence</t>
  </si>
  <si>
    <t>5XP1-AW4-DK90</t>
  </si>
  <si>
    <t>Kent</t>
  </si>
  <si>
    <t>5FX8-TQ8-KN56</t>
  </si>
  <si>
    <t>REDFIELD</t>
  </si>
  <si>
    <t>6YA8-NK4-FJ46</t>
  </si>
  <si>
    <t>Stormo</t>
  </si>
  <si>
    <t>1A97-HG4-DW35</t>
  </si>
  <si>
    <t>1PT1-NH8-JT27</t>
  </si>
  <si>
    <t>3NX3-R62-RG11</t>
  </si>
  <si>
    <t>1K27-ND3-VA61</t>
  </si>
  <si>
    <t>9k17-xv7-qj37</t>
  </si>
  <si>
    <t>Haley</t>
  </si>
  <si>
    <t>4KA1-V46-DX97</t>
  </si>
  <si>
    <t>LOZANO</t>
  </si>
  <si>
    <t>4m58-nm4-qu48</t>
  </si>
  <si>
    <t>Townsend</t>
  </si>
  <si>
    <t>2TG6-J61-ER67</t>
  </si>
  <si>
    <t>davis</t>
  </si>
  <si>
    <t>7EJ1-N51-HX24</t>
  </si>
  <si>
    <t>DARIN</t>
  </si>
  <si>
    <t>PARGIN</t>
  </si>
  <si>
    <t>8NE8-MC1-CW29</t>
  </si>
  <si>
    <t>Lumpkin</t>
  </si>
  <si>
    <t>2UH2-R25-JE80</t>
  </si>
  <si>
    <t>5VA3-D71-ER01</t>
  </si>
  <si>
    <t>(757) 778-0388</t>
  </si>
  <si>
    <t>SZEWKA</t>
  </si>
  <si>
    <t>2HY8-G87-EK65</t>
  </si>
  <si>
    <t>TINSLEY</t>
  </si>
  <si>
    <t>9WW4-D25-AR99</t>
  </si>
  <si>
    <t>Becker</t>
  </si>
  <si>
    <t>8VF7-PW2-YR36</t>
  </si>
  <si>
    <t>Greg</t>
  </si>
  <si>
    <t>7TX4-WN4-RC08</t>
  </si>
  <si>
    <t>MIKEAL</t>
  </si>
  <si>
    <t>DURFEY</t>
  </si>
  <si>
    <t>3PW8-JW4-QV62</t>
  </si>
  <si>
    <t>Jackline</t>
  </si>
  <si>
    <t>4W51-D56-YR17</t>
  </si>
  <si>
    <t>5CN0-FM6-MF23</t>
  </si>
  <si>
    <t>LEBERT</t>
  </si>
  <si>
    <t>9EX5-JJ9-FP80</t>
  </si>
  <si>
    <t>BUFFURINE JR</t>
  </si>
  <si>
    <t>2RD7-CT2-QG65</t>
  </si>
  <si>
    <t>DANETTE</t>
  </si>
  <si>
    <t>1DP5-QW3-VK60</t>
  </si>
  <si>
    <t>DALMAGE</t>
  </si>
  <si>
    <t>1M51-Q46-FJ91</t>
  </si>
  <si>
    <t>Alejandria</t>
  </si>
  <si>
    <t>Cesario</t>
  </si>
  <si>
    <t>8K25-NU1-KE93</t>
  </si>
  <si>
    <t>(773) 680-6595</t>
  </si>
  <si>
    <t>8JC5-NY8-QH76</t>
  </si>
  <si>
    <t>Tavon</t>
  </si>
  <si>
    <t>Tavon Todd</t>
  </si>
  <si>
    <t>4HJ5-GW2-AQ70</t>
  </si>
  <si>
    <t>Paris</t>
  </si>
  <si>
    <t>3J45-D90-GU98</t>
  </si>
  <si>
    <t>LYON</t>
  </si>
  <si>
    <t>3QR8-QH7-QP63</t>
  </si>
  <si>
    <t>6q22-ru5-vw28</t>
  </si>
  <si>
    <t>(954) 790-5850</t>
  </si>
  <si>
    <t>Rowe</t>
  </si>
  <si>
    <t>1C78-XU2-UR39</t>
  </si>
  <si>
    <t>4EP3-TK1-WU75</t>
  </si>
  <si>
    <t>5K05-WV4-PX87</t>
  </si>
  <si>
    <t>Rosshirt</t>
  </si>
  <si>
    <t>4AX9-D07-TD38</t>
  </si>
  <si>
    <t>6UX9-X30-ER49</t>
  </si>
  <si>
    <t>Tatum</t>
  </si>
  <si>
    <t>2HE5-NC9-AV70</t>
  </si>
  <si>
    <t>6VX5-A77-WJ54</t>
  </si>
  <si>
    <t>NEAVINS</t>
  </si>
  <si>
    <t>1NJ8-RX8-AR38</t>
  </si>
  <si>
    <t>4DP5-HM9-WR63</t>
  </si>
  <si>
    <t>ERMELINDA</t>
  </si>
  <si>
    <t>8UT5-YJ6-XC83</t>
  </si>
  <si>
    <t>KRUSE JR.</t>
  </si>
  <si>
    <t>5XJ0-EE9-TM25</t>
  </si>
  <si>
    <t>Lannon</t>
  </si>
  <si>
    <t>Garrett</t>
  </si>
  <si>
    <t>1Q32-XK2-DC83</t>
  </si>
  <si>
    <t>(903) 503-0262</t>
  </si>
  <si>
    <t>Cobble</t>
  </si>
  <si>
    <t>3RC0-VU0-CF24</t>
  </si>
  <si>
    <t>6MN9-JK1-JU44</t>
  </si>
  <si>
    <t>6pq6-ey1-wv77</t>
  </si>
  <si>
    <t>Miguel</t>
  </si>
  <si>
    <t>Salinas</t>
  </si>
  <si>
    <t>6RX6-HG0-TN47</t>
  </si>
  <si>
    <t>5JM4-PE3-YA90</t>
  </si>
  <si>
    <t>Thurman SR</t>
  </si>
  <si>
    <t>6KE6-FT2-RV58</t>
  </si>
  <si>
    <t>Chavis</t>
  </si>
  <si>
    <t>1HG1-PQ1-PN04</t>
  </si>
  <si>
    <t>3WH6-DJ9-HC85</t>
  </si>
  <si>
    <t>8wr9-hm9-yv18</t>
  </si>
  <si>
    <t>1F66-DX9-ME58</t>
  </si>
  <si>
    <t>Gatlin</t>
  </si>
  <si>
    <t>8EM9-G32-JW15</t>
  </si>
  <si>
    <t>2WC1-T42-NM38</t>
  </si>
  <si>
    <t>ALI</t>
  </si>
  <si>
    <t>TEKBALI</t>
  </si>
  <si>
    <t>4Y98-WA3-WP58</t>
  </si>
  <si>
    <t>Lesiah</t>
  </si>
  <si>
    <t>Doddy</t>
  </si>
  <si>
    <t>5AF3-JM7-HV89</t>
  </si>
  <si>
    <t>Vintimilla</t>
  </si>
  <si>
    <t>Carlos Vintimilla</t>
  </si>
  <si>
    <t>1uk8-jr9-dd68</t>
  </si>
  <si>
    <t>Standfast</t>
  </si>
  <si>
    <t>9E45-AK9-VP64</t>
  </si>
  <si>
    <t>5qp9-tp5-xn49</t>
  </si>
  <si>
    <t>BALLINGER</t>
  </si>
  <si>
    <t>1UT0-VV4-WY12</t>
  </si>
  <si>
    <t>4AU7-D17-MK62</t>
  </si>
  <si>
    <t>NEWTON</t>
  </si>
  <si>
    <t>5F99-XE7-AD39</t>
  </si>
  <si>
    <t>1UR5-AM1-AT66</t>
  </si>
  <si>
    <t>IVAN</t>
  </si>
  <si>
    <t>BENSKIN</t>
  </si>
  <si>
    <t>7W30-N78-RN12</t>
  </si>
  <si>
    <t>8MQ7-M03-HC52</t>
  </si>
  <si>
    <t>Penn</t>
  </si>
  <si>
    <t>1XY0-QX6-DC30</t>
  </si>
  <si>
    <t>Agent Name</t>
  </si>
  <si>
    <t>Submission Month</t>
  </si>
  <si>
    <t>Effective Date</t>
  </si>
  <si>
    <t>Outcome</t>
  </si>
  <si>
    <t>Complaint(s)</t>
  </si>
  <si>
    <t>Complaint Summary</t>
  </si>
  <si>
    <t>11/001/2025</t>
  </si>
  <si>
    <t>https://app.agencybloc.com/individuals/77674269/detail</t>
  </si>
  <si>
    <t>Caller feels misled because the beneficiary was told that she would be getting extra benefits and nothing would change about her coverage. She was told that her doctors accepted this insurance, however they do not.</t>
  </si>
  <si>
    <t>["Providers - Medical","Enrollment Consent"]</t>
  </si>
  <si>
    <t>["Providers - Medical","Enrollment Consent","Benefit Misinformation"]</t>
  </si>
  <si>
    <t xml:space="preserve">Robin tells the member they are going to start the enrollment process at 1:32:44 and at 1:33:09 she asks “Do I have your permission to record this enrollment?” begins the enrollment attestations at approximately 1:49:26 into the call. She reads the final attestation, but it is not heard on the call her asking for the member to state their name, date of birth, and “I agree”.  At 1:52:18 she moves into the HRA.  A confirmation number for the enrollment is provided to the member at 2:04:36.   Therefore, the member did not consent to enroll.  
At approximately 9:10 into the call the member provides their PCP as Dr. Michael Alexander on 4th Street.  She provides her nephrologist as Dr. Diego Echeverri on Wiles Road at 10:33 into the call.  These providers are in network at those locations.  At 20:45 the member provides Dr. Mitchell Greenberg, her ophthalmologist, on University Drive.  At 34:58, Robin indicates to the member that her doctors are all in network.  At 35:29 she states “And so, your doctors do work with this plan”.  She reiterates this at 36:58 and 58:48. However, Dr. Greenberg is not in-network at the location provided.  The member mentions a hand specialist at 1:01:27 of Dr. Purnell Traverso.  Robin accurately states he is out-of-network at 1:03:54. Additionally, the member provides their hospital at 14:43 as Coral Springs.  This hospital is not in network for non-emergencies.  There was no mention of the facilities participation status.  
The QA checklist on this call begins at 1:22:24.  There were several areas of concern identified here.  When quoting the dental and vision benefits, she provides an out-of-network benefit of $15 for these services but does not state that it is for Medicare covered services only.  Member had mentioned needing comprehensive dental work done and did not have a provider in mind.  Robin mentioned finding her one, but did not.  When discussing the specialist copays at 1:25:18 she states “a kidney doctor, a hear doctor, or a doctor for diabetes” as a $0 copay rather than the provider type.  
There were also concerns in the way the smartphone was discussed.  At 1:27:22 she tells the member that “This plan also will provide you a free phone service if you ever need it.  The smartphone is free.”  She does not indicate that there are eligibility requirements, such as signing up for care management.  At 1:27:47, the member asks if it can be used internationally as well.  She mentioned earlier in the call that she will be out-of-the country for two months in the summer.  Robin responds “Inside and outside. Yes, ma'am. Wherever the T-Mobile service is. It's through T-Mobile.”  From all available information, this coverage is only available within the country.  
</t>
  </si>
  <si>
    <t>https://mypolicypoint-my.sharepoint.com/:w:/r/personal/mthomas_mypolicypoint_com/Documents/Performance%20Tracking/Complaint%20Tracking/Robin%20OQuinn%2004.30.2026.docx?d=wd677234ac06a448485ea5bb5123de620&amp;csf=1&amp;web=1&amp;e=oxWLVR</t>
  </si>
  <si>
    <t>Jacob Michael Luffman</t>
  </si>
  <si>
    <t>Neelam Shahab</t>
  </si>
  <si>
    <t>Rachelle Vilme</t>
  </si>
  <si>
    <t>Shanae Kisi</t>
  </si>
  <si>
    <t>Zachary Copley</t>
  </si>
  <si>
    <t>Jeremiah Napper</t>
  </si>
  <si>
    <t>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</si>
</sst>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Aptos Narrow"/>
      <family val="2"/>
      <scheme val="minor"/>
    </font>
    <font>
      <u/>
      <sz val="11"/>
      <color theme="10"/>
      <name val="Aptos Narrow"/>
      <family val="2"/>
      <scheme val="minor"/>
    </font>
    <font>
      <sz val="10"/>
      <color theme="1"/>
      <name val="Arial"/>
      <family val="2"/>
    </font>
    <font>
      <sz val="12"/>
      <color theme="1"/>
      <name val="Aptos"/>
      <family val="2"/>
    </font>
    <font>
      <b/>
      <sz val="10"/>
      <color rgb="FFFFFFFF"/>
      <name val="Arial"/>
      <family val="2"/>
    </font>
    <font>
      <sz val="8"/>
      <name val="Aptos Narrow"/>
      <family val="2"/>
      <scheme val="minor"/>
    </font>
    <font>
      <b/>
      <sz val="11"/>
      <color theme="1"/>
      <name val="Aptos Narrow"/>
      <family val="2"/>
      <scheme val="minor"/>
    </font>
    <font>
      <sz val="12"/>
      <color rgb="FF000000"/>
      <name val="Calibri"/>
      <family val="2"/>
    </font>
    <font>
      <sz val="11"/>
      <color rgb="FF9C0006"/>
      <name val="Aptos Narrow"/>
      <family val="2"/>
      <scheme val="minor"/>
    </font>
    <font>
      <sz val="12"/>
      <color rgb="FF000000"/>
      <name val="Calibri"/>
      <family val="2"/>
    </font>
    <font>
      <sz val="11"/>
      <color rgb="FF000000"/>
      <name val="Aptos Narrow"/>
      <family val="2"/>
    </font>
    <font>
      <sz val="11"/>
      <color rgb="FF000000"/>
      <name val="Aptos Narrow"/>
      <family val="2"/>
      <scheme val="minor"/>
    </font>
  </fonts>
  <fills count="4">
    <fill>
      <patternFill patternType="none"/>
    </fill>
    <fill>
      <patternFill patternType="gray125"/>
    </fill>
    <fill>
      <patternFill patternType="solid">
        <fgColor rgb="FF1C4587"/>
        <bgColor indexed="64"/>
      </patternFill>
    </fill>
    <fill>
      <patternFill patternType="solid">
        <fgColor rgb="FFFFC7CE"/>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1" fillId="0" borderId="0" applyNumberFormat="0" applyFill="0" applyBorder="0" applyAlignment="0" applyProtection="0"/>
    <xf numFmtId="0" fontId="8" fillId="3" borderId="0" applyNumberFormat="0" applyBorder="0" applyAlignment="0" applyProtection="0"/>
  </cellStyleXfs>
  <cellXfs count="29">
    <xf numFmtId="0" fontId="0" fillId="0" borderId="0" xfId="0"/>
    <xf numFmtId="0" fontId="0" fillId="0" borderId="0" xfId="0" applyAlignment="1">
      <alignment horizontal="center" vertical="center" wrapText="1"/>
    </xf>
    <xf numFmtId="0" fontId="0" fillId="0" borderId="0" xfId="0" applyAlignment="1">
      <alignment horizontal="left"/>
    </xf>
    <xf numFmtId="0" fontId="0" fillId="0" borderId="0" xfId="0" applyAlignment="1">
      <alignment horizontal="center" vertical="center"/>
    </xf>
    <xf numFmtId="0" fontId="0" fillId="0" borderId="0" xfId="1" applyFont="1" applyFill="1" applyBorder="1"/>
    <xf numFmtId="0" fontId="2" fillId="0" borderId="1" xfId="0" applyFont="1" applyBorder="1" applyAlignment="1">
      <alignment wrapText="1"/>
    </xf>
    <xf numFmtId="0" fontId="1" fillId="0" borderId="1" xfId="1" applyBorder="1" applyAlignment="1">
      <alignment wrapText="1"/>
    </xf>
    <xf numFmtId="14" fontId="2" fillId="0" borderId="1" xfId="0" applyNumberFormat="1" applyFont="1" applyBorder="1" applyAlignment="1">
      <alignment horizontal="right" wrapText="1"/>
    </xf>
    <xf numFmtId="0" fontId="3" fillId="0" borderId="1" xfId="0" applyFont="1" applyBorder="1" applyAlignment="1">
      <alignment wrapText="1"/>
    </xf>
    <xf numFmtId="0" fontId="4" fillId="2" borderId="1" xfId="0" applyFont="1" applyFill="1" applyBorder="1" applyAlignment="1">
      <alignment horizontal="center" wrapText="1"/>
    </xf>
    <xf numFmtId="14" fontId="0" fillId="0" borderId="0" xfId="0" applyNumberFormat="1" applyAlignment="1">
      <alignment horizontal="center" vertical="center" wrapText="1"/>
    </xf>
    <xf numFmtId="0" fontId="0" fillId="0" borderId="0" xfId="1" applyFont="1" applyFill="1" applyBorder="1" applyAlignment="1">
      <alignment horizontal="center" vertical="center" wrapText="1"/>
    </xf>
    <xf numFmtId="0" fontId="1" fillId="0" borderId="0" xfId="1" applyFill="1" applyBorder="1" applyAlignment="1">
      <alignment horizontal="center" vertical="center" wrapText="1"/>
    </xf>
    <xf numFmtId="14" fontId="0" fillId="0" borderId="0" xfId="0" applyNumberFormat="1"/>
    <xf numFmtId="0" fontId="0" fillId="0" borderId="0" xfId="1" applyFont="1" applyAlignment="1">
      <alignment horizontal="center" vertical="center" wrapText="1"/>
    </xf>
    <xf numFmtId="0" fontId="1" fillId="0" borderId="0" xfId="1" applyAlignment="1">
      <alignment horizontal="center" vertical="center" wrapText="1"/>
    </xf>
    <xf numFmtId="0" fontId="0" fillId="0" borderId="0" xfId="0" applyAlignment="1">
      <alignment wrapText="1"/>
    </xf>
    <xf numFmtId="0" fontId="7" fillId="0" borderId="0" xfId="0" applyFont="1" applyAlignment="1">
      <alignment horizontal="center" vertical="center" wrapText="1"/>
    </xf>
    <xf numFmtId="164" fontId="0" fillId="0" borderId="0" xfId="0" applyNumberFormat="1" applyAlignment="1">
      <alignment horizontal="center" vertical="center"/>
    </xf>
    <xf numFmtId="10" fontId="0" fillId="0" borderId="0" xfId="0" applyNumberFormat="1" applyAlignment="1">
      <alignment horizontal="center" vertical="center"/>
    </xf>
    <xf numFmtId="0" fontId="0" fillId="0" borderId="0" xfId="0" applyAlignment="1">
      <alignment horizontal="center" wrapText="1"/>
    </xf>
    <xf numFmtId="0" fontId="0" fillId="0" borderId="0" xfId="0" applyAlignment="1">
      <alignment horizontal="left" wrapText="1"/>
    </xf>
    <xf numFmtId="0" fontId="3" fillId="0" borderId="0" xfId="0" applyFont="1" applyAlignment="1">
      <alignment horizontal="center" vertical="center" wrapText="1"/>
    </xf>
    <xf numFmtId="0" fontId="0" fillId="0" borderId="0" xfId="0" applyAlignment="1">
      <alignment horizontal="center"/>
    </xf>
    <xf numFmtId="0" fontId="9"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vertical="center"/>
    </xf>
    <xf numFmtId="0" fontId="8" fillId="3" borderId="0" xfId="2" applyAlignment="1">
      <alignment horizontal="center" vertical="center"/>
    </xf>
    <xf numFmtId="0" fontId="6" fillId="0" borderId="0" xfId="0" applyFont="1" applyAlignment="1">
      <alignment horizontal="left" vertical="center"/>
    </xf>
  </cellXfs>
  <cellStyles count="3">
    <cellStyle name="Bad" xfId="2" builtinId="27"/>
    <cellStyle name="Hyperlink" xfId="1" builtinId="8"/>
    <cellStyle name="Normal" xfId="0" builtinId="0"/>
  </cellStyles>
  <dxfs count="1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ill>
        <patternFill patternType="solid">
          <fgColor rgb="FFC6EFCE"/>
          <bgColor rgb="FF000000"/>
        </patternFill>
      </fill>
    </dxf>
    <dxf>
      <fill>
        <patternFill patternType="solid">
          <fgColor rgb="FFFFEB9C"/>
          <bgColor rgb="FF000000"/>
        </patternFill>
      </fill>
    </dxf>
    <dxf>
      <fill>
        <patternFill patternType="solid">
          <fgColor rgb="FFFFC7CE"/>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FFC7CE"/>
          <bgColor rgb="FF000000"/>
        </patternFill>
      </fill>
    </dxf>
    <dxf>
      <numFmt numFmtId="19" formatCode="m/d/yyyy"/>
    </dxf>
    <dxf>
      <numFmt numFmtId="19" formatCode="m/d/yyyy"/>
    </dxf>
    <dxf>
      <alignment horizontal="left" vertical="bottom"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rgb="FF000000"/>
        <name val="Calibri"/>
        <family val="2"/>
        <scheme val="none"/>
      </font>
      <alignment horizontal="center" vertical="center" textRotation="0" wrapText="1" indent="0" justifyLastLine="0" shrinkToFit="0" readingOrder="0"/>
    </dxf>
    <dxf>
      <alignment horizontal="center" vertical="center" textRotation="0" wrapText="1" indent="0" justifyLastLine="0" shrinkToFit="0" readingOrder="0"/>
    </dxf>
    <dxf>
      <numFmt numFmtId="19" formatCode="m/d/yyyy"/>
      <alignment horizontal="center" vertical="center" textRotation="0" wrapText="1" indent="0" justifyLastLine="0" shrinkToFit="0" readingOrder="0"/>
    </dxf>
    <dxf>
      <numFmt numFmtId="19" formatCode="m/d/yyyy"/>
      <alignment horizontal="center" vertical="center" textRotation="0" wrapText="1" indent="0" justifyLastLine="0" shrinkToFit="0" readingOrder="0"/>
    </dxf>
    <dxf>
      <numFmt numFmtId="19" formatCode="m/d/yyyy"/>
      <alignment horizontal="center" vertical="center" textRotation="0" wrapText="1" indent="0" justifyLastLine="0" shrinkToFit="0" readingOrder="0"/>
    </dxf>
    <dxf>
      <numFmt numFmtId="19" formatCode="m/d/yyyy"/>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center" textRotation="0" wrapText="1" indent="0" justifyLastLine="0" shrinkToFit="0" readingOrder="0"/>
    </dxf>
    <dxf>
      <numFmt numFmtId="14"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color rgb="FF000000"/>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s>
  <tableStyles count="0" defaultTableStyle="TableStyleMedium2" defaultPivotStyle="PivotStyleLight16"/>
  <colors>
    <mruColors>
      <color rgb="FFC6EFCE"/>
      <color rgb="FF006100"/>
      <color rgb="FF9C6500"/>
      <color rgb="FFFFEB9C"/>
      <color rgb="FFFFC7CE"/>
      <color rgb="FF9C0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iche\Downloads\Complaint_Tracker_Updated_1.xlsx" TargetMode="External"/><Relationship Id="rId1" Type="http://schemas.openxmlformats.org/officeDocument/2006/relationships/externalLinkPath" Target="file:///C:\Users\miche\Downloads\Complaint_Tracker_Updated_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cap"/>
      <sheetName val="Results"/>
      <sheetName val="Sheet1"/>
      <sheetName val="Agent Roster"/>
      <sheetName val="Policies"/>
      <sheetName val="Sheet3"/>
      <sheetName val="Sheet5"/>
    </sheetNames>
    <sheetDataSet>
      <sheetData sheetId="0">
        <row r="49">
          <cell r="A49" t="str">
            <v>Cigna</v>
          </cell>
        </row>
        <row r="50">
          <cell r="A50" t="str">
            <v>Devoted Health</v>
          </cell>
        </row>
        <row r="51">
          <cell r="A51" t="str">
            <v>Gold Kidney Health Plan</v>
          </cell>
        </row>
        <row r="52">
          <cell r="A52" t="str">
            <v>Humana</v>
          </cell>
        </row>
        <row r="53">
          <cell r="A53" t="str">
            <v>Member Services Call</v>
          </cell>
        </row>
        <row r="54">
          <cell r="A54" t="str">
            <v>United Healthcare</v>
          </cell>
        </row>
        <row r="55">
          <cell r="A55" t="str">
            <v>WellCare</v>
          </cell>
        </row>
        <row r="56">
          <cell r="A56" t="str">
            <v>Zing Health</v>
          </cell>
        </row>
        <row r="57">
          <cell r="A57" t="str">
            <v>Total</v>
          </cell>
        </row>
      </sheetData>
      <sheetData sheetId="1"/>
      <sheetData sheetId="2"/>
      <sheetData sheetId="3"/>
      <sheetData sheetId="4"/>
      <sheetData sheetId="5"/>
      <sheetData sheetId="6"/>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1AF5B0E-2784-4993-8E93-44944ADFD7DE}">
    <nsvFilter filterId="{8C47D1D4-B446-4464-B26B-96C10D1A2A9F}" ref="A1:Q56" tableId="1">
      <columnFilter colId="4" id="{91BD4D35-26A8-41A4-866C-3E1AA3DBF75D}">
        <filter colId="4">
          <x:filters>
            <x:dateGroupItem year="2026" dateTimeGrouping="year"/>
          </x:filters>
        </filter>
      </columnFilter>
      <columnFilter colId="11" id="{CCCC2629-FEB3-47EC-81F0-DEAF8BAA64A3}">
        <filter colId="11">
          <x:filters>
            <x:filter val="Founded"/>
            <x:filter val="Partially Founded"/>
          </x:filters>
        </filter>
      </columnFilter>
    </nsvFilter>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BAE29ED-E748-4E4F-BF13-502E8ACB9F22}" name="Summary" displayName="Summary" ref="A2:I49" totalsRowCount="1" headerRowDxfId="110" dataDxfId="109" totalsRowDxfId="108">
  <autoFilter ref="A2:I48" xr:uid="{2BAE29ED-E748-4E4F-BF13-502E8ACB9F22}"/>
  <sortState xmlns:xlrd2="http://schemas.microsoft.com/office/spreadsheetml/2017/richdata2" ref="A3:I48">
    <sortCondition descending="1" ref="D2:D48"/>
    <sortCondition descending="1" ref="H2:H48"/>
    <sortCondition sortBy="cellColor" ref="A2:A48" dxfId="9"/>
    <sortCondition sortBy="cellColor" ref="A2:A48" dxfId="8"/>
    <sortCondition sortBy="cellColor" ref="A2:A48" dxfId="7"/>
    <sortCondition ref="A2:A48"/>
  </sortState>
  <tableColumns count="9">
    <tableColumn id="1" xr3:uid="{8D8822EE-F04B-41DE-91BF-3284A95E0435}" name="Agent" totalsRowLabel="Total" dataDxfId="107" totalsRowDxfId="106"/>
    <tableColumn id="8" xr3:uid="{A2A6A842-A78A-4A02-BDD0-CB315835BDF7}" name="Total Policies" totalsRowFunction="sum" dataDxfId="105" totalsRowDxfId="104">
      <calculatedColumnFormula>COUNTIFS(policies[[Effective Date ]],"&gt;="&amp;EOMONTH(TODAY(),-3)+1,policies[[Effective Date ]],"&lt;="&amp;EOMONTH(TODAY(),0),policies[Column3],Summary[[#This Row],[Agent]])</calculatedColumnFormula>
    </tableColumn>
    <tableColumn id="2" xr3:uid="{98E36FA7-6E5C-4EFB-8135-2507F5723CFE}" name="Manager" dataDxfId="103" totalsRowDxfId="102"/>
    <tableColumn id="3" xr3:uid="{D7FD02E2-099F-4856-A88F-B01C7B06AC89}" name="Founded" totalsRowFunction="sum" dataDxfId="101" totalsRowDxfId="100">
      <calculatedColumnFormula>COUNTIFS(Results[Agent],Summary[[#This Row],[Agent]],Results[Complaint Date],"&gt;="&amp;EOMONTH(TODAY(),-3)+1,Results[Complaint Date],"&lt;="&amp;EOMONTH(TODAY(),0),Results[Determination],"Founded")</calculatedColumnFormula>
    </tableColumn>
    <tableColumn id="4" xr3:uid="{33A411F6-F975-44DA-9E41-CF602C40A28D}" name="Partially Founded" totalsRowFunction="sum" dataDxfId="99" totalsRowDxfId="98">
      <calculatedColumnFormula>COUNTIFS(Results[Agent],Summary[[#This Row],[Agent]],Results[Complaint Date],"&gt;="&amp;EOMONTH(TODAY(),-3)+1,Results[Complaint Date],"&lt;="&amp;EOMONTH(TODAY(),0),Results[Determination],"Partially Founded")</calculatedColumnFormula>
    </tableColumn>
    <tableColumn id="5" xr3:uid="{E564F8E1-C083-467A-84A6-6B810FAC69BD}" name="Unfounded" totalsRowFunction="sum" dataDxfId="97" totalsRowDxfId="96">
      <calculatedColumnFormula>COUNTIFS(Results[Agent],Summary[[#This Row],[Agent]],Results[Complaint Date],"&gt;="&amp;EOMONTH(TODAY(),-3)+1,Results[Complaint Date],"&lt;="&amp;EOMONTH(TODAY(),0),Results[Determination],"Unfounded")</calculatedColumnFormula>
    </tableColumn>
    <tableColumn id="7" xr3:uid="{5D1CB788-0C09-493F-89D7-0425F3E11FF2}" name="Unfounded, coaching opportunities present" totalsRowFunction="sum" dataDxfId="95" totalsRowDxfId="94">
      <calculatedColumnFormula>COUNTIFS(Results[Agent],Summary[[#This Row],[Agent]],Results[Reviewed Date],"&gt;="&amp;EOMONTH(TODAY(),-3)+1,Results[Reviewed Date],"&lt;="&amp;EOMONTH(TODAY(),0),Results[Determination],"Unfounded, coaching opportunities present")</calculatedColumnFormula>
    </tableColumn>
    <tableColumn id="6" xr3:uid="{C03AB21C-0690-4813-A4CC-0145A3EFA025}" name="Total" totalsRowFunction="sum" dataDxfId="93" totalsRowDxfId="92">
      <calculatedColumnFormula>COUNTIFS(Results[Agent],Summary[[#This Row],[Agent]],Results[Complaint Date],"&gt;="&amp;EOMONTH(TODAY(),-3)+1,Results[Complaint Date],"&lt;="&amp;EOMONTH(TODAY(),0))</calculatedColumnFormula>
    </tableColumn>
    <tableColumn id="9" xr3:uid="{09356E38-3070-46FE-B7B0-F790D0DB6F2B}" name="Complaint Percentage" totalsRowFunction="custom" dataDxfId="91" totalsRowDxfId="90">
      <calculatedColumnFormula>IFERROR(Summary[[#This Row],[Total]]/Summary[[#This Row],[Total Policies]],"")</calculatedColumnFormula>
      <totalsRowFormula>Summary[[#Totals],[Total]]/SUM(Summary[Total Policies])</totalsRow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3476B8-F152-4E90-B9DA-6A7786D0E535}" name="Table6" displayName="Table6" ref="A52:F56" totalsRowCount="1" headerRowDxfId="89">
  <autoFilter ref="A52:F55" xr:uid="{183476B8-F152-4E90-B9DA-6A7786D0E535}"/>
  <tableColumns count="6">
    <tableColumn id="1" xr3:uid="{6F4FA6A1-A3A1-4BFB-934D-6E46D7A0B89C}" name="Source" totalsRowLabel="Total" dataDxfId="88" totalsRowDxfId="87"/>
    <tableColumn id="2" xr3:uid="{5A98EF65-366F-4BE4-A3CD-7ECBAF551C86}" name="Founded" totalsRowFunction="sum" dataDxfId="86" totalsRowDxfId="85">
      <calculatedColumnFormula>COUNTIFS(Results[Complaint Source],Table6[[#This Row],[Source]],Results[Reviewed Date],"&gt;="&amp;EOMONTH(TODAY(),-3)+1,Results[Reviewed Date],"&lt;="&amp;EOMONTH(TODAY(),0),Results[Determination],"Founded")</calculatedColumnFormula>
    </tableColumn>
    <tableColumn id="3" xr3:uid="{050014D6-262C-48CD-8EFE-87BCD49E8EDF}" name="Partially Founded" totalsRowFunction="sum" dataDxfId="84" totalsRowDxfId="83">
      <calculatedColumnFormula>COUNTIFS(Results[Complaint Source],Table6[[#This Row],[Source]],Results[Reviewed Date],"&gt;="&amp;EOMONTH(TODAY(),-3)+1,Results[Reviewed Date],"&lt;="&amp;EOMONTH(TODAY(),0),Results[Determination],"Partially Founded")</calculatedColumnFormula>
    </tableColumn>
    <tableColumn id="4" xr3:uid="{AA5EB14D-8211-4B13-B1B6-8D3C1DA06E61}" name="Unfounded" totalsRowFunction="sum" dataDxfId="82" totalsRowDxfId="81">
      <calculatedColumnFormula>COUNTIFS(Results[Complaint Source],Table6[[#This Row],[Source]],Results[Reviewed Date],"&gt;="&amp;EOMONTH(TODAY(),-3)+1,Results[Reviewed Date],"&lt;="&amp;EOMONTH(TODAY(),0),Results[Determination],"Unfounded")</calculatedColumnFormula>
    </tableColumn>
    <tableColumn id="5" xr3:uid="{4E155341-87EA-4599-B607-1CD00EC61DDA}" name="Unfounded, coaching opportunities present" totalsRowFunction="sum" dataDxfId="80" totalsRowDxfId="79">
      <calculatedColumnFormula>COUNTIFS(Results[Complaint Source],Table6[[#This Row],[Source]],Results[Reviewed Date],"&gt;="&amp;EOMONTH(TODAY(),-3)+1,Results[Reviewed Date],"&lt;="&amp;EOMONTH(TODAY(),0),Results[Determination],"Unfounded, coaching opportunities present")</calculatedColumnFormula>
    </tableColumn>
    <tableColumn id="6" xr3:uid="{55C783D3-C1F6-4CC1-9AF6-7AB71A4ABB7F}" name="Total" totalsRowFunction="sum" dataDxfId="78" totalsRowDxfId="77">
      <calculatedColumnFormula>SUM(Table6[[#This Row],[Founded]:[Unfounded, coaching opportunities present]])</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8D2BBB4-5F59-4E06-8B4D-F291B4A97DE9}" name="Table9" displayName="Table9" ref="A59:F69" totalsRowCount="1" headerRowDxfId="76" dataDxfId="75">
  <autoFilter ref="A59:F68" xr:uid="{F8D2BBB4-5F59-4E06-8B4D-F291B4A97DE9}"/>
  <sortState xmlns:xlrd2="http://schemas.microsoft.com/office/spreadsheetml/2017/richdata2" ref="A60:F68">
    <sortCondition descending="1" ref="F59:F68"/>
  </sortState>
  <tableColumns count="6">
    <tableColumn id="1" xr3:uid="{F16DCC84-6E32-4EAF-A083-C8DE6801059D}" name="Carrier" totalsRowLabel="Total" dataDxfId="74" totalsRowDxfId="73"/>
    <tableColumn id="2" xr3:uid="{FE70B322-BA34-44EF-9B7A-7643C6C0C991}" name="Founded" totalsRowFunction="sum" dataDxfId="72" totalsRowDxfId="71">
      <calculatedColumnFormula>COUNTIFS(Results[Name of Carrier Enrolled],Recap!A60,Results[Reviewed Date],"&gt;="&amp;EOMONTH(TODAY(),-3)+1,Results[Reviewed Date],"&lt;="&amp;EOMONTH(TODAY(),0),Results[Determination],"Founded")</calculatedColumnFormula>
    </tableColumn>
    <tableColumn id="3" xr3:uid="{80D657F5-E7DD-4E82-BB1B-B5B51464A7CC}" name="Partially Founded" totalsRowFunction="sum" dataDxfId="70" totalsRowDxfId="69">
      <calculatedColumnFormula>COUNTIFS(Results[Name of Carrier Enrolled],[1]Recap!A49,Results[Reviewed Date],"&gt;="&amp;EOMONTH(TODAY(),-3)+1,Results[Reviewed Date],"&lt;="&amp;EOMONTH(TODAY(),0),Results[Determination],"Partially Founded")</calculatedColumnFormula>
    </tableColumn>
    <tableColumn id="4" xr3:uid="{092F8D4C-D0AC-4C79-8212-C3CDA8A08531}" name="Unfounded" totalsRowFunction="sum" dataDxfId="68" totalsRowDxfId="67">
      <calculatedColumnFormula>COUNTIFS(Results[Name of Carrier Enrolled],[1]Recap!A49,Results[Reviewed Date],"&gt;="&amp;EOMONTH(TODAY(),-3)+1,Results[Reviewed Date],"&lt;="&amp;EOMONTH(TODAY(),0),Results[Determination],"Unfounded")</calculatedColumnFormula>
    </tableColumn>
    <tableColumn id="5" xr3:uid="{59541D41-D4F1-4BE2-93DB-DB6545FAB0FA}" name="Unfounded, coaching opportunities present" totalsRowFunction="sum" dataDxfId="66" totalsRowDxfId="65">
      <calculatedColumnFormula>COUNTIFS(Results[Name of Carrier Enrolled],[1]Recap!A49,Results[Reviewed Date],"&gt;="&amp;EOMONTH(TODAY(),-3)+1,Results[Reviewed Date],"&lt;="&amp;EOMONTH(TODAY(),0),Results[Determination],"Unfounded, coaching opportunities present")</calculatedColumnFormula>
    </tableColumn>
    <tableColumn id="6" xr3:uid="{8A366A4C-0B92-4A4D-94A0-F64EF29110FE}" name="Total" totalsRowFunction="sum" dataDxfId="64" totalsRowDxfId="63">
      <calculatedColumnFormula>SUM(B60:E60)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5C367C3-5C22-45E0-B4F9-AF05A2DBC82C}" name="Table13" displayName="Table13" ref="A72:F82" totalsRowCount="1" headerRowDxfId="62" dataDxfId="61">
  <autoFilter ref="A72:F81" xr:uid="{95C367C3-5C22-45E0-B4F9-AF05A2DBC82C}"/>
  <sortState xmlns:xlrd2="http://schemas.microsoft.com/office/spreadsheetml/2017/richdata2" ref="A73:F81">
    <sortCondition descending="1" ref="F72:F81"/>
  </sortState>
  <tableColumns count="6">
    <tableColumn id="1" xr3:uid="{693E7281-48F6-4341-9321-7C8AFC8CE574}" name="Allegation Topic" totalsRowLabel="Total" dataDxfId="60" totalsRowDxfId="59"/>
    <tableColumn id="2" xr3:uid="{EA12C5BD-D0E8-4BDD-8C0D-EFC44ADB5825}" name="Founded" totalsRowFunction="sum" dataDxfId="58" totalsRowDxfId="57"/>
    <tableColumn id="3" xr3:uid="{8DDA7C5F-884A-44D8-B1EA-3DE50E871276}" name="Partially Founded" totalsRowFunction="sum" dataDxfId="56" totalsRowDxfId="55"/>
    <tableColumn id="4" xr3:uid="{52A9F740-1EA8-49D5-8102-255364E0A4A2}" name="Unfounded" totalsRowFunction="sum" dataDxfId="54" totalsRowDxfId="53"/>
    <tableColumn id="5" xr3:uid="{97074D99-6337-4B9F-8187-BF3A976FC298}" name="Unfounded, coaching opportunities present" totalsRowFunction="sum" dataDxfId="52" totalsRowDxfId="51"/>
    <tableColumn id="6" xr3:uid="{99BDD870-DAD3-484D-B19F-C7C85CAF61FD}" name="Total" totalsRowFunction="sum" dataDxfId="50" totalsRowDxfId="49">
      <calculatedColumnFormula>SUM(B73:E73)</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5C37B61-8038-40DF-9EF8-298BED3AC97A}" name="Table14" displayName="Table14" ref="A85:F95" totalsRowCount="1" headerRowDxfId="48" dataDxfId="47">
  <autoFilter ref="A85:F94" xr:uid="{55C37B61-8038-40DF-9EF8-298BED3AC97A}"/>
  <sortState xmlns:xlrd2="http://schemas.microsoft.com/office/spreadsheetml/2017/richdata2" ref="A86:F94">
    <sortCondition descending="1" ref="F85:F94"/>
  </sortState>
  <tableColumns count="6">
    <tableColumn id="1" xr3:uid="{DB14C35E-9C40-4187-B245-1CE979B3B870}" name="AOI" totalsRowLabel="Total" dataDxfId="46" totalsRowDxfId="45"/>
    <tableColumn id="2" xr3:uid="{11C0CFB1-13B9-497D-A418-D11A283F6C8E}" name="Founded" totalsRowFunction="sum" dataDxfId="44" totalsRowDxfId="43"/>
    <tableColumn id="3" xr3:uid="{34ED94C6-51B9-4EFA-A9D6-95723FCD8F57}" name="Partially Founded" totalsRowFunction="sum" dataDxfId="42" totalsRowDxfId="41"/>
    <tableColumn id="4" xr3:uid="{E3B372BC-570B-4358-A389-5772D2F5F916}" name="Unfounded" totalsRowFunction="sum" dataDxfId="40" totalsRowDxfId="39"/>
    <tableColumn id="5" xr3:uid="{52067097-BCFD-43E2-AEEB-66BC1BFD1396}" name="Unfounded, coaching opportunities present" totalsRowFunction="sum" dataDxfId="38" totalsRowDxfId="37"/>
    <tableColumn id="6" xr3:uid="{332FA71C-F7E0-4255-9A2A-2A060905BB72}" name="Total" totalsRowFunction="sum" dataDxfId="36" totalsRowDxfId="35">
      <calculatedColumnFormula>SUM(B86:E86)</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47D1D4-B446-4464-B26B-96C10D1A2A9F}" name="Results" displayName="Results" ref="A1:Q56" totalsRowShown="0" headerRowDxfId="34" dataDxfId="33">
  <autoFilter ref="A1:Q56" xr:uid="{8C47D1D4-B446-4464-B26B-96C10D1A2A9F}"/>
  <tableColumns count="17">
    <tableColumn id="1" xr3:uid="{8D0B31EB-D901-4F6E-A678-FE535441EA1F}" name="Agent" dataDxfId="32"/>
    <tableColumn id="2" xr3:uid="{1AC0B32A-F7AA-42B1-9BF1-9FEC4F57F720}" name="Manager" dataDxfId="31"/>
    <tableColumn id="3" xr3:uid="{2156692B-763A-481C-88F5-74E15D13FF71}" name="AMS Link" dataDxfId="30"/>
    <tableColumn id="4" xr3:uid="{9EDFC002-A829-4C94-B124-A03352E8E436}" name="Application Date" dataDxfId="29"/>
    <tableColumn id="5" xr3:uid="{91BD4D35-26A8-41A4-866C-3E1AA3DBF75D}" name="Complaint Date" dataDxfId="28"/>
    <tableColumn id="13" xr3:uid="{6D3A35B2-0273-4975-8382-BCEF91EF5DD9}" name="Due Date" dataDxfId="27"/>
    <tableColumn id="14" xr3:uid="{877DE798-D84D-4204-B1E3-36C08B0B52D5}" name="Reviewed Date" dataDxfId="26"/>
    <tableColumn id="10" xr3:uid="{11E8CF72-3008-4319-B690-EBDA202A2B4A}" name="Complaint Source" dataDxfId="25"/>
    <tableColumn id="15" xr3:uid="{CBF0B9C9-E6BB-4287-81A4-2CB496970892}" name="Name of Carrier Enrolled" dataDxfId="24"/>
    <tableColumn id="8" xr3:uid="{99FC290C-5199-498F-A354-265BEF1B87F5}" name="Allegations" dataDxfId="23"/>
    <tableColumn id="16" xr3:uid="{439FA8C8-9BB3-48A5-A9EE-104F8AADBA64}" name="Allegation Topic" dataDxfId="22"/>
    <tableColumn id="6" xr3:uid="{CCCC2629-FEB3-47EC-81F0-DEAF8BAA64A3}" name="Determination" dataDxfId="21"/>
    <tableColumn id="17" xr3:uid="{78BDCFEB-1F2C-42C6-8E0F-40C4D50BEAB1}" name="AOIs" dataDxfId="20"/>
    <tableColumn id="9" xr3:uid="{2D6D0786-EF5D-4A83-A70D-C29B5E66A052}" name="Rationale" dataDxfId="19"/>
    <tableColumn id="7" xr3:uid="{7F32631E-FF34-473E-8445-90F346CF85F1}" name="Summary Link" dataDxfId="18"/>
    <tableColumn id="11" xr3:uid="{9832EEAF-2D83-4A38-B05D-CA8908A5EAB0}" name="Coached" dataDxfId="17"/>
    <tableColumn id="12" xr3:uid="{E4537120-9D50-42CB-8DB0-0B706CF90A4E}" name="Date" dataDxfId="1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0455AC-4DF8-40F6-9C83-3A3AFE73A08D}" name="Table2" displayName="Table2" ref="A1:C36" totalsRowShown="0">
  <autoFilter ref="A1:C36" xr:uid="{C90455AC-4DF8-40F6-9C83-3A3AFE73A08D}"/>
  <sortState xmlns:xlrd2="http://schemas.microsoft.com/office/spreadsheetml/2017/richdata2" ref="A2:C36">
    <sortCondition ref="A1:A36"/>
  </sortState>
  <tableColumns count="3">
    <tableColumn id="1" xr3:uid="{52E1F7C5-62C0-4D6E-AE87-83FBAE93A723}" name="Agent "/>
    <tableColumn id="4" xr3:uid="{AE9A06CF-ECA4-420C-8CFD-781277B5A33A}" name="New Manager"/>
    <tableColumn id="5" xr3:uid="{8EBFEBAD-804E-4300-8F55-E02402A655EA}" name="Manager Email"/>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F05DC5-CF03-4C22-9247-A9470E558662}" name="Email" displayName="Email" ref="E1:F7" totalsRowShown="0">
  <autoFilter ref="E1:F7" xr:uid="{29F05DC5-CF03-4C22-9247-A9470E558662}"/>
  <tableColumns count="2">
    <tableColumn id="1" xr3:uid="{4777F7A8-E8CA-49CF-B8C5-A62A1B7C7759}" name="Manager" dataDxfId="15"/>
    <tableColumn id="2" xr3:uid="{D8FF4E0C-FA57-440F-97F8-C36421CCDDCE}" name="Email"/>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325C3B7-5279-4EEA-8EE2-9851D31AED40}" name="policies" displayName="policies" ref="A1:N6749" totalsRowShown="0">
  <autoFilter ref="A1:N6749" xr:uid="{66C2F618-1A1F-48FE-B101-DECCC9018F7F}"/>
  <sortState xmlns:xlrd2="http://schemas.microsoft.com/office/spreadsheetml/2017/richdata2" ref="A2:N6749">
    <sortCondition ref="N2:N6749"/>
    <sortCondition ref="K2:K6749"/>
  </sortState>
  <tableColumns count="14">
    <tableColumn id="1" xr3:uid="{1F92AF9B-78B8-4A56-8344-13891B005DBE}" name="Policy ID "/>
    <tableColumn id="2" xr3:uid="{07058F20-0249-4D52-89F0-AE10083AC2E0}" name="First Name "/>
    <tableColumn id="3" xr3:uid="{9ED4770A-B013-4F64-9B2A-0C2469B01C3B}" name="Last Name "/>
    <tableColumn id="4" xr3:uid="{79CBBEF6-1400-4E85-AFE4-23D9E36FE4C0}" name="MBI "/>
    <tableColumn id="5" xr3:uid="{C97FC9AD-20CD-4B1C-A80A-5825ABD04E43}" name="PhoneNumber "/>
    <tableColumn id="6" xr3:uid="{CD5837AE-6D1C-4063-9CAB-7CFCA27EC4F5}" name="Servicing"/>
    <tableColumn id="26" xr3:uid="{03534D4F-F702-48DA-9C7D-6EA62D8C4005}" name="Agent"/>
    <tableColumn id="25" xr3:uid="{E93E7D64-B5E3-429F-8750-E33D8F6A880A}" name="Name"/>
    <tableColumn id="7" xr3:uid="{525552F0-0BAD-4CE3-93F5-FDA0E99EE03A}" name="Column3"/>
    <tableColumn id="8" xr3:uid="{B85FC9B0-7E95-44FF-99B3-4C9DC4CA9413}" name="App Submit Date " dataDxfId="14"/>
    <tableColumn id="9" xr3:uid="{C24053B4-A098-4965-B29E-C5CEED8E9E2D}" name="Effective Date " dataDxfId="13"/>
    <tableColumn id="10" xr3:uid="{A57D90E9-AF75-4A00-84D9-EDA442CFB8DF}" name="StateAbbrev "/>
    <tableColumn id="11" xr3:uid="{AC7654DE-9741-4F2A-92E7-6B67711E545A}" name="Carrier Name "/>
    <tableColumn id="24" xr3:uid="{FD41D755-9778-4474-B2E4-0BF692934CAF}" name="Individual ID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microsoft.com/office/2019/04/relationships/namedSheetView" Target="../namedSheetViews/namedSheetView1.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app.agencybloc.com/individuals/72104512/detail" TargetMode="External"/><Relationship Id="rId7" Type="http://schemas.openxmlformats.org/officeDocument/2006/relationships/table" Target="../tables/table6.xml"/><Relationship Id="rId2" Type="http://schemas.openxmlformats.org/officeDocument/2006/relationships/hyperlink" Target="https://app.agencybloc.com/individuals/73235663/detail" TargetMode="External"/><Relationship Id="rId1" Type="http://schemas.openxmlformats.org/officeDocument/2006/relationships/hyperlink" Target="https://app.agencybloc.com/individuals/73450699/detail" TargetMode="External"/><Relationship Id="rId6" Type="http://schemas.openxmlformats.org/officeDocument/2006/relationships/vmlDrawing" Target="../drawings/vmlDrawing1.vml"/><Relationship Id="rId5" Type="http://schemas.openxmlformats.org/officeDocument/2006/relationships/hyperlink" Target="https://app.agencybloc.com/individuals/74174174/detail" TargetMode="External"/><Relationship Id="rId4" Type="http://schemas.openxmlformats.org/officeDocument/2006/relationships/hyperlink" Target="https://app.agencybloc.com/individuals/76356743/detail" TargetMode="External"/><Relationship Id="rId9" Type="http://schemas.microsoft.com/office/2019/04/relationships/namedSheetView" Target="../namedSheetViews/namedSheetView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7.xml.rels><?xml version="1.0" encoding="UTF-8" standalone="yes"?>
<Relationships xmlns="http://schemas.openxmlformats.org/package/2006/relationships"><Relationship Id="rId8" Type="http://schemas.openxmlformats.org/officeDocument/2006/relationships/hyperlink" Target="https://app.agencybloc.com/individuals/70928855/detail" TargetMode="External"/><Relationship Id="rId13" Type="http://schemas.openxmlformats.org/officeDocument/2006/relationships/hyperlink" Target="https://mypolicypoint-my.sharepoint.com/:w:/p/mthomas/ESE6KQc7ipRPqixsf_NR5dMB6RFnvQBxMRjOeygpQ9OzaA?e=JlpcSC" TargetMode="External"/><Relationship Id="rId18" Type="http://schemas.openxmlformats.org/officeDocument/2006/relationships/hyperlink" Target="https://app.agencybloc.com/individuals/71088452/detail" TargetMode="External"/><Relationship Id="rId3" Type="http://schemas.openxmlformats.org/officeDocument/2006/relationships/hyperlink" Target="https://mypolicypoint-my.sharepoint.com/:w:/p/mthomas/EWh2VuK-dRJCqJs0Hz6g7LgBuveBtkgZzp_LTLVxQT4-FQ?e=jRqA8u" TargetMode="External"/><Relationship Id="rId7" Type="http://schemas.openxmlformats.org/officeDocument/2006/relationships/hyperlink" Target="https://mypolicypoint-my.sharepoint.com/:w:/p/mthomas/EeEskwEC47hKpjS8eTCfyA4BqUsf7s-I0dpHANF_VMPiCA?e=aigFiZ" TargetMode="External"/><Relationship Id="rId12" Type="http://schemas.openxmlformats.org/officeDocument/2006/relationships/hyperlink" Target="https://app.agencybloc.com/individuals/70265012/detail" TargetMode="External"/><Relationship Id="rId17" Type="http://schemas.openxmlformats.org/officeDocument/2006/relationships/hyperlink" Target="https://mypolicypoint-my.sharepoint.com/:w:/p/mthomas/EUbAavAskMFFrXTKbx81smoBPCog_4oDb-TTMRyQ-zhQbg?e=3mbq9U" TargetMode="External"/><Relationship Id="rId2" Type="http://schemas.openxmlformats.org/officeDocument/2006/relationships/hyperlink" Target="https://app.agencybloc.com/individuals/70211869/detail" TargetMode="External"/><Relationship Id="rId16" Type="http://schemas.openxmlformats.org/officeDocument/2006/relationships/hyperlink" Target="https://app.agencybloc.com/individuals/71169581/detail" TargetMode="External"/><Relationship Id="rId1" Type="http://schemas.openxmlformats.org/officeDocument/2006/relationships/hyperlink" Target="https://app.agencybloc.com/salesEnablement/records/4972889/view?tab=activities&amp;activity_id=108543624" TargetMode="External"/><Relationship Id="rId6" Type="http://schemas.openxmlformats.org/officeDocument/2006/relationships/hyperlink" Target="https://app.agencybloc.com/individuals/69624040/activities" TargetMode="External"/><Relationship Id="rId11" Type="http://schemas.openxmlformats.org/officeDocument/2006/relationships/hyperlink" Target="https://mypolicypoint-my.sharepoint.com/:w:/p/mthomas/EfntsKMUEGBKsjWnLXUvbAcBtepattphphTeVVPSIq37XA?e=tsDsxG" TargetMode="External"/><Relationship Id="rId5" Type="http://schemas.openxmlformats.org/officeDocument/2006/relationships/hyperlink" Target="https://mypolicypoint-my.sharepoint.com/:w:/p/mthomas/ERTR3DMOkrdHi7uyY_D8rt4BE0Gf0f4kZtJ6vy1QR8B5jw?e=Hc0n8s" TargetMode="External"/><Relationship Id="rId15" Type="http://schemas.openxmlformats.org/officeDocument/2006/relationships/hyperlink" Target="https://mypolicypoint-my.sharepoint.com/:w:/p/mthomas/EUmK4QmXoNJOk_L0cSHOPdABxYazToFmbARuBR5hTPvOvg?e=7HKRkN" TargetMode="External"/><Relationship Id="rId10" Type="http://schemas.openxmlformats.org/officeDocument/2006/relationships/hyperlink" Target="https://app.agencybloc.com/individuals/70816444/detail" TargetMode="External"/><Relationship Id="rId19" Type="http://schemas.openxmlformats.org/officeDocument/2006/relationships/hyperlink" Target="https://mypolicypoint-my.sharepoint.com/:w:/s/PolicyPointSalesCenter/EYc_F6nvDmZMl6d1ZTetM1QB1KkcXjmjgSewG3irVYACSg?e=X25eyW" TargetMode="External"/><Relationship Id="rId4" Type="http://schemas.openxmlformats.org/officeDocument/2006/relationships/hyperlink" Target="https://app.agencybloc.com/individuals/71062004/detail" TargetMode="External"/><Relationship Id="rId9" Type="http://schemas.openxmlformats.org/officeDocument/2006/relationships/hyperlink" Target="https://mypolicypoint-my.sharepoint.com/:w:/p/mthomas/ESSIjj6mCSlHuTpct7CHMvIBdVMYKtRl7YRocIIM6MTSzw?e=E1d83Y" TargetMode="External"/><Relationship Id="rId14" Type="http://schemas.openxmlformats.org/officeDocument/2006/relationships/hyperlink" Target="https://app.agencybloc.com/individuals/71444225/deta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767E6-2B28-4255-B661-7B3D81BF7F90}">
  <dimension ref="A1:J96"/>
  <sheetViews>
    <sheetView topLeftCell="C56" zoomScale="85" zoomScaleNormal="85" workbookViewId="0">
      <selection activeCell="K1" sqref="K1:S1048576"/>
    </sheetView>
  </sheetViews>
  <sheetFormatPr defaultRowHeight="15" x14ac:dyDescent="0.25"/>
  <cols>
    <col min="1" max="1" width="22.7109375" style="3" bestFit="1" customWidth="1"/>
    <col min="2" max="2" width="15.85546875" style="3" bestFit="1" customWidth="1"/>
    <col min="3" max="3" width="18.7109375" style="3" customWidth="1"/>
    <col min="4" max="4" width="21.28515625" style="3" bestFit="1" customWidth="1"/>
    <col min="5" max="5" width="42.28515625" style="3" customWidth="1"/>
    <col min="6" max="6" width="15.5703125" style="3" customWidth="1"/>
    <col min="7" max="7" width="13" style="3" customWidth="1"/>
    <col min="9" max="9" width="12" bestFit="1" customWidth="1"/>
    <col min="10" max="10" width="16" customWidth="1"/>
  </cols>
  <sheetData>
    <row r="1" spans="1:9" x14ac:dyDescent="0.25">
      <c r="A1" s="28" t="s">
        <v>0</v>
      </c>
      <c r="B1" s="28"/>
      <c r="C1" s="28"/>
      <c r="D1" s="28"/>
      <c r="E1" s="28"/>
      <c r="F1" s="28"/>
      <c r="G1" s="28"/>
    </row>
    <row r="2" spans="1:9" s="16" customFormat="1" ht="60" x14ac:dyDescent="0.25">
      <c r="A2" s="1" t="s">
        <v>1</v>
      </c>
      <c r="B2" s="1" t="s">
        <v>2</v>
      </c>
      <c r="C2" s="1" t="s">
        <v>3</v>
      </c>
      <c r="D2" s="1" t="s">
        <v>4</v>
      </c>
      <c r="E2" s="1" t="s">
        <v>5</v>
      </c>
      <c r="F2" s="1" t="s">
        <v>6</v>
      </c>
      <c r="G2" s="1" t="s">
        <v>7</v>
      </c>
      <c r="H2" s="1" t="s">
        <v>8</v>
      </c>
      <c r="I2" s="1" t="s">
        <v>9</v>
      </c>
    </row>
    <row r="3" spans="1:9" x14ac:dyDescent="0.25">
      <c r="A3" s="25" t="s">
        <v>132</v>
      </c>
      <c r="B3" s="3">
        <f ca="1">COUNTIFS(policies[[Effective Date ]],"&gt;="&amp;EOMONTH(TODAY(),-3)+1,policies[[Effective Date ]],"&lt;="&amp;EOMONTH(TODAY(),0),policies[Column3],Summary[[#This Row],[Agent]])</f>
        <v>133</v>
      </c>
      <c r="C3" s="3" t="s">
        <v>91</v>
      </c>
      <c r="D3" s="3">
        <f ca="1">COUNTIFS(Results[Agent],Summary[[#This Row],[Agent]],Results[Reviewed Date],"&gt;="&amp;EOMONTH(TODAY(),-3)+1,Results[Reviewed Date],"&lt;="&amp;EOMONTH(TODAY(),0),Results[Determination],"Founded")</f>
        <v>3</v>
      </c>
      <c r="E3" s="3">
        <f ca="1">COUNTIFS(Results[Agent],Summary[[#This Row],[Agent]],Results[Reviewed Date],"&gt;="&amp;EOMONTH(TODAY(),-3)+1,Results[Reviewed Date],"&lt;="&amp;EOMONTH(TODAY(),0),Results[Determination],"Partially Founded")</f>
        <v>2</v>
      </c>
      <c r="F3" s="3">
        <f ca="1">COUNTIFS(Results[Agent],Summary[[#This Row],[Agent]],Results[Reviewed Date],"&gt;="&amp;EOMONTH(TODAY(),-3)+1,Results[Reviewed Date],"&lt;="&amp;EOMONTH(TODAY(),0),Results[Determination],"Unfounded")</f>
        <v>0</v>
      </c>
      <c r="G3" s="3">
        <f ca="1">COUNTIFS(Results[Agent],Summary[[#This Row],[Agent]],Results[Reviewed Date],"&gt;="&amp;EOMONTH(TODAY(),-3)+1,Results[Reviewed Date],"&lt;="&amp;EOMONTH(TODAY(),0),Results[Determination],"Unfounded, coaching opportunities present")</f>
        <v>1</v>
      </c>
      <c r="H3" s="3">
        <f ca="1">COUNTIFS(Results[Agent],Summary[[#This Row],[Agent]],Results[Reviewed Date],"&gt;="&amp;EOMONTH(TODAY(),-3)+1,Results[Reviewed Date],"&lt;="&amp;EOMONTH(TODAY(),0))</f>
        <v>6</v>
      </c>
      <c r="I3" s="18">
        <f ca="1">IFERROR(Summary[[#This Row],[Total]]/Summary[[#This Row],[Total Policies]],"")</f>
        <v>4.5112781954887216E-2</v>
      </c>
    </row>
    <row r="4" spans="1:9" x14ac:dyDescent="0.25">
      <c r="A4" s="25" t="s">
        <v>14</v>
      </c>
      <c r="B4" s="3">
        <f ca="1">COUNTIFS(policies[[Effective Date ]],"&gt;="&amp;EOMONTH(TODAY(),-3)+1,policies[[Effective Date ]],"&lt;="&amp;EOMONTH(TODAY(),0),policies[Column3],Summary[[#This Row],[Agent]])</f>
        <v>86</v>
      </c>
      <c r="C4" s="3" t="s">
        <v>13</v>
      </c>
      <c r="D4" s="3">
        <f ca="1">COUNTIFS(Results[Agent],Summary[[#This Row],[Agent]],Results[Reviewed Date],"&gt;="&amp;EOMONTH(TODAY(),-3)+1,Results[Reviewed Date],"&lt;="&amp;EOMONTH(TODAY(),0),Results[Determination],"Founded")</f>
        <v>3</v>
      </c>
      <c r="E4" s="3">
        <f ca="1">COUNTIFS(Results[Agent],Summary[[#This Row],[Agent]],Results[Reviewed Date],"&gt;="&amp;EOMONTH(TODAY(),-3)+1,Results[Reviewed Date],"&lt;="&amp;EOMONTH(TODAY(),0),Results[Determination],"Partially Founded")</f>
        <v>1</v>
      </c>
      <c r="F4" s="3">
        <f ca="1">COUNTIFS(Results[Agent],Summary[[#This Row],[Agent]],Results[Reviewed Date],"&gt;="&amp;EOMONTH(TODAY(),-3)+1,Results[Reviewed Date],"&lt;="&amp;EOMONTH(TODAY(),0),Results[Determination],"Unfounded")</f>
        <v>0</v>
      </c>
      <c r="G4" s="3">
        <f ca="1">COUNTIFS(Results[Agent],Summary[[#This Row],[Agent]],Results[Reviewed Date],"&gt;="&amp;EOMONTH(TODAY(),-3)+1,Results[Reviewed Date],"&lt;="&amp;EOMONTH(TODAY(),0),Results[Determination],"Unfounded, coaching opportunities present")</f>
        <v>0</v>
      </c>
      <c r="H4" s="3">
        <f ca="1">COUNTIFS(Results[Agent],Summary[[#This Row],[Agent]],Results[Reviewed Date],"&gt;="&amp;EOMONTH(TODAY(),-3)+1,Results[Reviewed Date],"&lt;="&amp;EOMONTH(TODAY(),0))</f>
        <v>4</v>
      </c>
      <c r="I4" s="18">
        <f ca="1">IFERROR(Summary[[#This Row],[Total]]/Summary[[#This Row],[Total Policies]],"")</f>
        <v>4.6511627906976744E-2</v>
      </c>
    </row>
    <row r="5" spans="1:9" x14ac:dyDescent="0.25">
      <c r="A5" s="25" t="s">
        <v>17</v>
      </c>
      <c r="B5" s="3">
        <f ca="1">COUNTIFS(policies[[Effective Date ]],"&gt;="&amp;EOMONTH(TODAY(),-3)+1,policies[[Effective Date ]],"&lt;="&amp;EOMONTH(TODAY(),0),policies[Column3],Summary[[#This Row],[Agent]])</f>
        <v>94</v>
      </c>
      <c r="C5" s="3" t="s">
        <v>13</v>
      </c>
      <c r="D5" s="3">
        <f ca="1">COUNTIFS(Results[Agent],Summary[[#This Row],[Agent]],Results[Reviewed Date],"&gt;="&amp;EOMONTH(TODAY(),-3)+1,Results[Reviewed Date],"&lt;="&amp;EOMONTH(TODAY(),0),Results[Determination],"Founded")</f>
        <v>3</v>
      </c>
      <c r="E5" s="3">
        <f ca="1">COUNTIFS(Results[Agent],Summary[[#This Row],[Agent]],Results[Reviewed Date],"&gt;="&amp;EOMONTH(TODAY(),-3)+1,Results[Reviewed Date],"&lt;="&amp;EOMONTH(TODAY(),0),Results[Determination],"Partially Founded")</f>
        <v>0</v>
      </c>
      <c r="F5" s="3">
        <f ca="1">COUNTIFS(Results[Agent],Summary[[#This Row],[Agent]],Results[Reviewed Date],"&gt;="&amp;EOMONTH(TODAY(),-3)+1,Results[Reviewed Date],"&lt;="&amp;EOMONTH(TODAY(),0),Results[Determination],"Unfounded")</f>
        <v>0</v>
      </c>
      <c r="G5" s="3">
        <f ca="1">COUNTIFS(Results[Agent],Summary[[#This Row],[Agent]],Results[Reviewed Date],"&gt;="&amp;EOMONTH(TODAY(),-3)+1,Results[Reviewed Date],"&lt;="&amp;EOMONTH(TODAY(),0),Results[Determination],"Unfounded, coaching opportunities present")</f>
        <v>0</v>
      </c>
      <c r="H5" s="3">
        <f ca="1">COUNTIFS(Results[Agent],Summary[[#This Row],[Agent]],Results[Reviewed Date],"&gt;="&amp;EOMONTH(TODAY(),-3)+1,Results[Reviewed Date],"&lt;="&amp;EOMONTH(TODAY(),0))</f>
        <v>3</v>
      </c>
      <c r="I5" s="18">
        <f ca="1">IFERROR(Summary[[#This Row],[Total]]/Summary[[#This Row],[Total Policies]],"")</f>
        <v>3.1914893617021274E-2</v>
      </c>
    </row>
    <row r="6" spans="1:9" x14ac:dyDescent="0.25">
      <c r="A6" s="25" t="s">
        <v>26</v>
      </c>
      <c r="B6" s="3">
        <f ca="1">COUNTIFS(policies[[Effective Date ]],"&gt;="&amp;EOMONTH(TODAY(),-3)+1,policies[[Effective Date ]],"&lt;="&amp;EOMONTH(TODAY(),0),policies[Column3],Summary[[#This Row],[Agent]])</f>
        <v>115</v>
      </c>
      <c r="C6" s="3" t="s">
        <v>21</v>
      </c>
      <c r="D6" s="3">
        <f ca="1">COUNTIFS(Results[Agent],Summary[[#This Row],[Agent]],Results[Reviewed Date],"&gt;="&amp;EOMONTH(TODAY(),-3)+1,Results[Reviewed Date],"&lt;="&amp;EOMONTH(TODAY(),0),Results[Determination],"Founded")</f>
        <v>2</v>
      </c>
      <c r="E6" s="3">
        <f ca="1">COUNTIFS(Results[Agent],Summary[[#This Row],[Agent]],Results[Reviewed Date],"&gt;="&amp;EOMONTH(TODAY(),-3)+1,Results[Reviewed Date],"&lt;="&amp;EOMONTH(TODAY(),0),Results[Determination],"Partially Founded")</f>
        <v>1</v>
      </c>
      <c r="F6" s="3">
        <f ca="1">COUNTIFS(Results[Agent],Summary[[#This Row],[Agent]],Results[Reviewed Date],"&gt;="&amp;EOMONTH(TODAY(),-3)+1,Results[Reviewed Date],"&lt;="&amp;EOMONTH(TODAY(),0),Results[Determination],"Unfounded")</f>
        <v>0</v>
      </c>
      <c r="G6" s="3">
        <f ca="1">COUNTIFS(Results[Agent],Summary[[#This Row],[Agent]],Results[Reviewed Date],"&gt;="&amp;EOMONTH(TODAY(),-3)+1,Results[Reviewed Date],"&lt;="&amp;EOMONTH(TODAY(),0),Results[Determination],"Unfounded, coaching opportunities present")</f>
        <v>1</v>
      </c>
      <c r="H6" s="3">
        <f ca="1">COUNTIFS(Results[Agent],Summary[[#This Row],[Agent]],Results[Reviewed Date],"&gt;="&amp;EOMONTH(TODAY(),-3)+1,Results[Reviewed Date],"&lt;="&amp;EOMONTH(TODAY(),0))</f>
        <v>4</v>
      </c>
      <c r="I6" s="18">
        <f ca="1">IFERROR(Summary[[#This Row],[Total]]/Summary[[#This Row],[Total Policies]],"")</f>
        <v>3.4782608695652174E-2</v>
      </c>
    </row>
    <row r="7" spans="1:9" x14ac:dyDescent="0.25">
      <c r="A7" s="25" t="s">
        <v>20</v>
      </c>
      <c r="B7" s="3">
        <f ca="1">COUNTIFS(policies[[Effective Date ]],"&gt;="&amp;EOMONTH(TODAY(),-3)+1,policies[[Effective Date ]],"&lt;="&amp;EOMONTH(TODAY(),0),policies[Column3],Summary[[#This Row],[Agent]])</f>
        <v>97</v>
      </c>
      <c r="C7" s="3" t="s">
        <v>21</v>
      </c>
      <c r="D7" s="3">
        <f ca="1">COUNTIFS(Results[Agent],Summary[[#This Row],[Agent]],Results[Reviewed Date],"&gt;="&amp;EOMONTH(TODAY(),-3)+1,Results[Reviewed Date],"&lt;="&amp;EOMONTH(TODAY(),0),Results[Determination],"Founded")</f>
        <v>2</v>
      </c>
      <c r="E7" s="3">
        <f ca="1">COUNTIFS(Results[Agent],Summary[[#This Row],[Agent]],Results[Reviewed Date],"&gt;="&amp;EOMONTH(TODAY(),-3)+1,Results[Reviewed Date],"&lt;="&amp;EOMONTH(TODAY(),0),Results[Determination],"Partially Founded")</f>
        <v>1</v>
      </c>
      <c r="F7" s="3">
        <f ca="1">COUNTIFS(Results[Agent],Summary[[#This Row],[Agent]],Results[Reviewed Date],"&gt;="&amp;EOMONTH(TODAY(),-3)+1,Results[Reviewed Date],"&lt;="&amp;EOMONTH(TODAY(),0),Results[Determination],"Unfounded")</f>
        <v>0</v>
      </c>
      <c r="G7" s="3">
        <f ca="1">COUNTIFS(Results[Agent],Summary[[#This Row],[Agent]],Results[Reviewed Date],"&gt;="&amp;EOMONTH(TODAY(),-3)+1,Results[Reviewed Date],"&lt;="&amp;EOMONTH(TODAY(),0),Results[Determination],"Unfounded, coaching opportunities present")</f>
        <v>0</v>
      </c>
      <c r="H7" s="3">
        <f ca="1">COUNTIFS(Results[Agent],Summary[[#This Row],[Agent]],Results[Reviewed Date],"&gt;="&amp;EOMONTH(TODAY(),-3)+1,Results[Reviewed Date],"&lt;="&amp;EOMONTH(TODAY(),0))</f>
        <v>3</v>
      </c>
      <c r="I7" s="18">
        <f ca="1">IFERROR(Summary[[#This Row],[Total]]/Summary[[#This Row],[Total Policies]],"")</f>
        <v>3.0927835051546393E-2</v>
      </c>
    </row>
    <row r="8" spans="1:9" x14ac:dyDescent="0.25">
      <c r="A8" s="25" t="s">
        <v>12</v>
      </c>
      <c r="B8" s="3">
        <f ca="1">COUNTIFS(policies[[Effective Date ]],"&gt;="&amp;EOMONTH(TODAY(),-3)+1,policies[[Effective Date ]],"&lt;="&amp;EOMONTH(TODAY(),0),policies[Column3],Summary[[#This Row],[Agent]])</f>
        <v>90</v>
      </c>
      <c r="C8" s="3" t="s">
        <v>13</v>
      </c>
      <c r="D8" s="3">
        <f ca="1">COUNTIFS(Results[Agent],Summary[[#This Row],[Agent]],Results[Reviewed Date],"&gt;="&amp;EOMONTH(TODAY(),-3)+1,Results[Reviewed Date],"&lt;="&amp;EOMONTH(TODAY(),0),Results[Determination],"Founded")</f>
        <v>2</v>
      </c>
      <c r="E8" s="3">
        <f ca="1">COUNTIFS(Results[Agent],Summary[[#This Row],[Agent]],Results[Reviewed Date],"&gt;="&amp;EOMONTH(TODAY(),-3)+1,Results[Reviewed Date],"&lt;="&amp;EOMONTH(TODAY(),0),Results[Determination],"Partially Founded")</f>
        <v>0</v>
      </c>
      <c r="F8" s="3">
        <f ca="1">COUNTIFS(Results[Agent],Summary[[#This Row],[Agent]],Results[Reviewed Date],"&gt;="&amp;EOMONTH(TODAY(),-3)+1,Results[Reviewed Date],"&lt;="&amp;EOMONTH(TODAY(),0),Results[Determination],"Unfounded")</f>
        <v>0</v>
      </c>
      <c r="G8" s="3">
        <f ca="1">COUNTIFS(Results[Agent],Summary[[#This Row],[Agent]],Results[Reviewed Date],"&gt;="&amp;EOMONTH(TODAY(),-3)+1,Results[Reviewed Date],"&lt;="&amp;EOMONTH(TODAY(),0),Results[Determination],"Unfounded, coaching opportunities present")</f>
        <v>1</v>
      </c>
      <c r="H8" s="3">
        <f ca="1">COUNTIFS(Results[Agent],Summary[[#This Row],[Agent]],Results[Reviewed Date],"&gt;="&amp;EOMONTH(TODAY(),-3)+1,Results[Reviewed Date],"&lt;="&amp;EOMONTH(TODAY(),0))</f>
        <v>3</v>
      </c>
      <c r="I8" s="18">
        <f ca="1">IFERROR(Summary[[#This Row],[Total]]/Summary[[#This Row],[Total Policies]],"")</f>
        <v>3.3333333333333333E-2</v>
      </c>
    </row>
    <row r="9" spans="1:9" x14ac:dyDescent="0.25">
      <c r="A9" s="26" t="s">
        <v>284</v>
      </c>
      <c r="B9" s="3">
        <f ca="1">COUNTIFS(policies[[Effective Date ]],"&gt;="&amp;EOMONTH(TODAY(),-3)+1,policies[[Effective Date ]],"&lt;="&amp;EOMONTH(TODAY(),0),policies[Column3],Summary[[#This Row],[Agent]])</f>
        <v>0</v>
      </c>
      <c r="C9" s="3" t="s">
        <v>21</v>
      </c>
      <c r="D9" s="3">
        <f ca="1">COUNTIFS(Results[Agent],Summary[[#This Row],[Agent]],Results[Reviewed Date],"&gt;="&amp;EOMONTH(TODAY(),-3)+1,Results[Reviewed Date],"&lt;="&amp;EOMONTH(TODAY(),0),Results[Determination],"Founded")</f>
        <v>2</v>
      </c>
      <c r="E9" s="3">
        <f ca="1">COUNTIFS(Results[Agent],Summary[[#This Row],[Agent]],Results[Reviewed Date],"&gt;="&amp;EOMONTH(TODAY(),-3)+1,Results[Reviewed Date],"&lt;="&amp;EOMONTH(TODAY(),0),Results[Determination],"Partially Founded")</f>
        <v>0</v>
      </c>
      <c r="F9" s="3">
        <f ca="1">COUNTIFS(Results[Agent],Summary[[#This Row],[Agent]],Results[Reviewed Date],"&gt;="&amp;EOMONTH(TODAY(),-3)+1,Results[Reviewed Date],"&lt;="&amp;EOMONTH(TODAY(),0),Results[Determination],"Unfounded")</f>
        <v>0</v>
      </c>
      <c r="G9" s="3">
        <f ca="1">COUNTIFS(Results[Agent],Summary[[#This Row],[Agent]],Results[Reviewed Date],"&gt;="&amp;EOMONTH(TODAY(),-3)+1,Results[Reviewed Date],"&lt;="&amp;EOMONTH(TODAY(),0),Results[Determination],"Unfounded, coaching opportunities present")</f>
        <v>0</v>
      </c>
      <c r="H9" s="3">
        <f ca="1">COUNTIFS(Results[Agent],Summary[[#This Row],[Agent]],Results[Reviewed Date],"&gt;="&amp;EOMONTH(TODAY(),-3)+1,Results[Reviewed Date],"&lt;="&amp;EOMONTH(TODAY(),0))</f>
        <v>2</v>
      </c>
      <c r="I9" s="18" t="str">
        <f ca="1">IFERROR(Summary[[#This Row],[Total]]/Summary[[#This Row],[Total Policies]],"")</f>
        <v/>
      </c>
    </row>
    <row r="10" spans="1:9" x14ac:dyDescent="0.25">
      <c r="A10" s="25" t="s">
        <v>22</v>
      </c>
      <c r="B10" s="3">
        <f ca="1">COUNTIFS(policies[[Effective Date ]],"&gt;="&amp;EOMONTH(TODAY(),-3)+1,policies[[Effective Date ]],"&lt;="&amp;EOMONTH(TODAY(),0),policies[Column3],Summary[[#This Row],[Agent]])</f>
        <v>83</v>
      </c>
      <c r="C10" s="3" t="s">
        <v>21</v>
      </c>
      <c r="D10" s="3">
        <f ca="1">COUNTIFS(Results[Agent],Summary[[#This Row],[Agent]],Results[Reviewed Date],"&gt;="&amp;EOMONTH(TODAY(),-3)+1,Results[Reviewed Date],"&lt;="&amp;EOMONTH(TODAY(),0),Results[Determination],"Founded")</f>
        <v>2</v>
      </c>
      <c r="E10" s="3">
        <f ca="1">COUNTIFS(Results[Agent],Summary[[#This Row],[Agent]],Results[Reviewed Date],"&gt;="&amp;EOMONTH(TODAY(),-3)+1,Results[Reviewed Date],"&lt;="&amp;EOMONTH(TODAY(),0),Results[Determination],"Partially Founded")</f>
        <v>0</v>
      </c>
      <c r="F10" s="3">
        <f ca="1">COUNTIFS(Results[Agent],Summary[[#This Row],[Agent]],Results[Reviewed Date],"&gt;="&amp;EOMONTH(TODAY(),-3)+1,Results[Reviewed Date],"&lt;="&amp;EOMONTH(TODAY(),0),Results[Determination],"Unfounded")</f>
        <v>0</v>
      </c>
      <c r="G10" s="3">
        <f ca="1">COUNTIFS(Results[Agent],Summary[[#This Row],[Agent]],Results[Reviewed Date],"&gt;="&amp;EOMONTH(TODAY(),-3)+1,Results[Reviewed Date],"&lt;="&amp;EOMONTH(TODAY(),0),Results[Determination],"Unfounded, coaching opportunities present")</f>
        <v>0</v>
      </c>
      <c r="H10" s="3">
        <f ca="1">COUNTIFS(Results[Agent],Summary[[#This Row],[Agent]],Results[Reviewed Date],"&gt;="&amp;EOMONTH(TODAY(),-3)+1,Results[Reviewed Date],"&lt;="&amp;EOMONTH(TODAY(),0))</f>
        <v>2</v>
      </c>
      <c r="I10" s="18">
        <f ca="1">IFERROR(Summary[[#This Row],[Total]]/Summary[[#This Row],[Total Policies]],"")</f>
        <v>2.4096385542168676E-2</v>
      </c>
    </row>
    <row r="11" spans="1:9" x14ac:dyDescent="0.25">
      <c r="A11" s="25" t="s">
        <v>24</v>
      </c>
      <c r="B11" s="3">
        <f ca="1">COUNTIFS(policies[[Effective Date ]],"&gt;="&amp;EOMONTH(TODAY(),-3)+1,policies[[Effective Date ]],"&lt;="&amp;EOMONTH(TODAY(),0),policies[Column3],Summary[[#This Row],[Agent]])</f>
        <v>67</v>
      </c>
      <c r="C11" s="3" t="s">
        <v>91</v>
      </c>
      <c r="D11" s="3">
        <f ca="1">COUNTIFS(Results[Agent],Summary[[#This Row],[Agent]],Results[Reviewed Date],"&gt;="&amp;EOMONTH(TODAY(),-3)+1,Results[Reviewed Date],"&lt;="&amp;EOMONTH(TODAY(),0),Results[Determination],"Founded")</f>
        <v>2</v>
      </c>
      <c r="E11" s="3">
        <f ca="1">COUNTIFS(Results[Agent],Summary[[#This Row],[Agent]],Results[Reviewed Date],"&gt;="&amp;EOMONTH(TODAY(),-3)+1,Results[Reviewed Date],"&lt;="&amp;EOMONTH(TODAY(),0),Results[Determination],"Partially Founded")</f>
        <v>0</v>
      </c>
      <c r="F11" s="3">
        <f ca="1">COUNTIFS(Results[Agent],Summary[[#This Row],[Agent]],Results[Reviewed Date],"&gt;="&amp;EOMONTH(TODAY(),-3)+1,Results[Reviewed Date],"&lt;="&amp;EOMONTH(TODAY(),0),Results[Determination],"Unfounded")</f>
        <v>0</v>
      </c>
      <c r="G11" s="3">
        <f ca="1">COUNTIFS(Results[Agent],Summary[[#This Row],[Agent]],Results[Reviewed Date],"&gt;="&amp;EOMONTH(TODAY(),-3)+1,Results[Reviewed Date],"&lt;="&amp;EOMONTH(TODAY(),0),Results[Determination],"Unfounded, coaching opportunities present")</f>
        <v>0</v>
      </c>
      <c r="H11" s="3">
        <f ca="1">COUNTIFS(Results[Agent],Summary[[#This Row],[Agent]],Results[Reviewed Date],"&gt;="&amp;EOMONTH(TODAY(),-3)+1,Results[Reviewed Date],"&lt;="&amp;EOMONTH(TODAY(),0))</f>
        <v>2</v>
      </c>
      <c r="I11" s="18">
        <f ca="1">IFERROR(Summary[[#This Row],[Total]]/Summary[[#This Row],[Total Policies]],"")</f>
        <v>2.9850746268656716E-2</v>
      </c>
    </row>
    <row r="12" spans="1:9" x14ac:dyDescent="0.25">
      <c r="A12" s="26" t="s">
        <v>32</v>
      </c>
      <c r="B12" s="3">
        <f ca="1">COUNTIFS(policies[[Effective Date ]],"&gt;="&amp;EOMONTH(TODAY(),-3)+1,policies[[Effective Date ]],"&lt;="&amp;EOMONTH(TODAY(),0),policies[Column3],Summary[[#This Row],[Agent]])</f>
        <v>53</v>
      </c>
      <c r="C12" s="3" t="s">
        <v>21</v>
      </c>
      <c r="D12" s="3">
        <f ca="1">COUNTIFS(Results[Agent],Summary[[#This Row],[Agent]],Results[Reviewed Date],"&gt;="&amp;EOMONTH(TODAY(),-3)+1,Results[Reviewed Date],"&lt;="&amp;EOMONTH(TODAY(),0),Results[Determination],"Founded")</f>
        <v>2</v>
      </c>
      <c r="E12" s="3">
        <f ca="1">COUNTIFS(Results[Agent],Summary[[#This Row],[Agent]],Results[Reviewed Date],"&gt;="&amp;EOMONTH(TODAY(),-3)+1,Results[Reviewed Date],"&lt;="&amp;EOMONTH(TODAY(),0),Results[Determination],"Partially Founded")</f>
        <v>0</v>
      </c>
      <c r="F12" s="3">
        <f ca="1">COUNTIFS(Results[Agent],Summary[[#This Row],[Agent]],Results[Reviewed Date],"&gt;="&amp;EOMONTH(TODAY(),-3)+1,Results[Reviewed Date],"&lt;="&amp;EOMONTH(TODAY(),0),Results[Determination],"Unfounded")</f>
        <v>0</v>
      </c>
      <c r="G12" s="3">
        <f ca="1">COUNTIFS(Results[Agent],Summary[[#This Row],[Agent]],Results[Reviewed Date],"&gt;="&amp;EOMONTH(TODAY(),-3)+1,Results[Reviewed Date],"&lt;="&amp;EOMONTH(TODAY(),0),Results[Determination],"Unfounded, coaching opportunities present")</f>
        <v>0</v>
      </c>
      <c r="H12" s="3">
        <f ca="1">COUNTIFS(Results[Agent],Summary[[#This Row],[Agent]],Results[Reviewed Date],"&gt;="&amp;EOMONTH(TODAY(),-3)+1,Results[Reviewed Date],"&lt;="&amp;EOMONTH(TODAY(),0))</f>
        <v>2</v>
      </c>
      <c r="I12" s="18">
        <f ca="1">IFERROR(Summary[[#This Row],[Total]]/Summary[[#This Row],[Total Policies]],"")</f>
        <v>3.7735849056603772E-2</v>
      </c>
    </row>
    <row r="13" spans="1:9" x14ac:dyDescent="0.25">
      <c r="A13" s="26" t="s">
        <v>18</v>
      </c>
      <c r="B13" s="3">
        <f ca="1">COUNTIFS(policies[[Effective Date ]],"&gt;="&amp;EOMONTH(TODAY(),-3)+1,policies[[Effective Date ]],"&lt;="&amp;EOMONTH(TODAY(),0),policies[Column3],Summary[[#This Row],[Agent]])</f>
        <v>53</v>
      </c>
      <c r="C13" s="3" t="s">
        <v>13</v>
      </c>
      <c r="D13" s="3">
        <f ca="1">COUNTIFS(Results[Agent],Summary[[#This Row],[Agent]],Results[Reviewed Date],"&gt;="&amp;EOMONTH(TODAY(),-3)+1,Results[Reviewed Date],"&lt;="&amp;EOMONTH(TODAY(),0),Results[Determination],"Founded")</f>
        <v>1</v>
      </c>
      <c r="E13" s="3">
        <f ca="1">COUNTIFS(Results[Agent],Summary[[#This Row],[Agent]],Results[Reviewed Date],"&gt;="&amp;EOMONTH(TODAY(),-3)+1,Results[Reviewed Date],"&lt;="&amp;EOMONTH(TODAY(),0),Results[Determination],"Partially Founded")</f>
        <v>0</v>
      </c>
      <c r="F13" s="3">
        <f ca="1">COUNTIFS(Results[Agent],Summary[[#This Row],[Agent]],Results[Reviewed Date],"&gt;="&amp;EOMONTH(TODAY(),-3)+1,Results[Reviewed Date],"&lt;="&amp;EOMONTH(TODAY(),0),Results[Determination],"Unfounded")</f>
        <v>1</v>
      </c>
      <c r="G13" s="3">
        <f ca="1">COUNTIFS(Results[Agent],Summary[[#This Row],[Agent]],Results[Reviewed Date],"&gt;="&amp;EOMONTH(TODAY(),-3)+1,Results[Reviewed Date],"&lt;="&amp;EOMONTH(TODAY(),0),Results[Determination],"Unfounded, coaching opportunities present")</f>
        <v>0</v>
      </c>
      <c r="H13" s="3">
        <f ca="1">COUNTIFS(Results[Agent],Summary[[#This Row],[Agent]],Results[Reviewed Date],"&gt;="&amp;EOMONTH(TODAY(),-3)+1,Results[Reviewed Date],"&lt;="&amp;EOMONTH(TODAY(),0))</f>
        <v>2</v>
      </c>
      <c r="I13" s="18">
        <f ca="1">IFERROR(Summary[[#This Row],[Total]]/Summary[[#This Row],[Total Policies]],"")</f>
        <v>3.7735849056603772E-2</v>
      </c>
    </row>
    <row r="14" spans="1:9" x14ac:dyDescent="0.25">
      <c r="A14" s="25" t="s">
        <v>25</v>
      </c>
      <c r="B14" s="3">
        <f ca="1">COUNTIFS(policies[[Effective Date ]],"&gt;="&amp;EOMONTH(TODAY(),-3)+1,policies[[Effective Date ]],"&lt;="&amp;EOMONTH(TODAY(),0),policies[Column3],Summary[[#This Row],[Agent]])</f>
        <v>67</v>
      </c>
      <c r="C14" s="3" t="s">
        <v>21</v>
      </c>
      <c r="D14" s="3">
        <f ca="1">COUNTIFS(Results[Agent],Summary[[#This Row],[Agent]],Results[Reviewed Date],"&gt;="&amp;EOMONTH(TODAY(),-3)+1,Results[Reviewed Date],"&lt;="&amp;EOMONTH(TODAY(),0),Results[Determination],"Founded")</f>
        <v>1</v>
      </c>
      <c r="E14" s="3">
        <f ca="1">COUNTIFS(Results[Agent],Summary[[#This Row],[Agent]],Results[Reviewed Date],"&gt;="&amp;EOMONTH(TODAY(),-3)+1,Results[Reviewed Date],"&lt;="&amp;EOMONTH(TODAY(),0),Results[Determination],"Partially Founded")</f>
        <v>0</v>
      </c>
      <c r="F14" s="3">
        <f ca="1">COUNTIFS(Results[Agent],Summary[[#This Row],[Agent]],Results[Reviewed Date],"&gt;="&amp;EOMONTH(TODAY(),-3)+1,Results[Reviewed Date],"&lt;="&amp;EOMONTH(TODAY(),0),Results[Determination],"Unfounded")</f>
        <v>0</v>
      </c>
      <c r="G14" s="3">
        <f ca="1">COUNTIFS(Results[Agent],Summary[[#This Row],[Agent]],Results[Reviewed Date],"&gt;="&amp;EOMONTH(TODAY(),-3)+1,Results[Reviewed Date],"&lt;="&amp;EOMONTH(TODAY(),0),Results[Determination],"Unfounded, coaching opportunities present")</f>
        <v>0</v>
      </c>
      <c r="H14" s="3">
        <f ca="1">COUNTIFS(Results[Agent],Summary[[#This Row],[Agent]],Results[Reviewed Date],"&gt;="&amp;EOMONTH(TODAY(),-3)+1,Results[Reviewed Date],"&lt;="&amp;EOMONTH(TODAY(),0))</f>
        <v>1</v>
      </c>
      <c r="I14" s="18">
        <f ca="1">IFERROR(Summary[[#This Row],[Total]]/Summary[[#This Row],[Total Policies]],"")</f>
        <v>1.4925373134328358E-2</v>
      </c>
    </row>
    <row r="15" spans="1:9" x14ac:dyDescent="0.25">
      <c r="A15" s="26" t="s">
        <v>322</v>
      </c>
      <c r="B15" s="3">
        <f ca="1">COUNTIFS(policies[[Effective Date ]],"&gt;="&amp;EOMONTH(TODAY(),-3)+1,policies[[Effective Date ]],"&lt;="&amp;EOMONTH(TODAY(),0),policies[Column3],Summary[[#This Row],[Agent]])</f>
        <v>20</v>
      </c>
      <c r="C15" s="3" t="s">
        <v>91</v>
      </c>
      <c r="D15" s="3">
        <f ca="1">COUNTIFS(Results[Agent],Summary[[#This Row],[Agent]],Results[Reviewed Date],"&gt;="&amp;EOMONTH(TODAY(),-3)+1,Results[Reviewed Date],"&lt;="&amp;EOMONTH(TODAY(),0),Results[Determination],"Founded")</f>
        <v>1</v>
      </c>
      <c r="E15" s="3">
        <f ca="1">COUNTIFS(Results[Agent],Summary[[#This Row],[Agent]],Results[Reviewed Date],"&gt;="&amp;EOMONTH(TODAY(),-3)+1,Results[Reviewed Date],"&lt;="&amp;EOMONTH(TODAY(),0),Results[Determination],"Partially Founded")</f>
        <v>0</v>
      </c>
      <c r="F15" s="3">
        <f ca="1">COUNTIFS(Results[Agent],Summary[[#This Row],[Agent]],Results[Reviewed Date],"&gt;="&amp;EOMONTH(TODAY(),-3)+1,Results[Reviewed Date],"&lt;="&amp;EOMONTH(TODAY(),0),Results[Determination],"Unfounded")</f>
        <v>0</v>
      </c>
      <c r="G15" s="3">
        <f ca="1">COUNTIFS(Results[Agent],Summary[[#This Row],[Agent]],Results[Reviewed Date],"&gt;="&amp;EOMONTH(TODAY(),-3)+1,Results[Reviewed Date],"&lt;="&amp;EOMONTH(TODAY(),0),Results[Determination],"Unfounded, coaching opportunities present")</f>
        <v>0</v>
      </c>
      <c r="H15" s="3">
        <f ca="1">COUNTIFS(Results[Agent],Summary[[#This Row],[Agent]],Results[Reviewed Date],"&gt;="&amp;EOMONTH(TODAY(),-3)+1,Results[Reviewed Date],"&lt;="&amp;EOMONTH(TODAY(),0))</f>
        <v>1</v>
      </c>
      <c r="I15" s="18">
        <f ca="1">IFERROR(Summary[[#This Row],[Total]]/Summary[[#This Row],[Total Policies]],"")</f>
        <v>0.05</v>
      </c>
    </row>
    <row r="16" spans="1:9" x14ac:dyDescent="0.25">
      <c r="A16" s="25" t="s">
        <v>30</v>
      </c>
      <c r="B16" s="3">
        <f ca="1">COUNTIFS(policies[[Effective Date ]],"&gt;="&amp;EOMONTH(TODAY(),-3)+1,policies[[Effective Date ]],"&lt;="&amp;EOMONTH(TODAY(),0),policies[Column3],Summary[[#This Row],[Agent]])</f>
        <v>63</v>
      </c>
      <c r="C16" s="3" t="s">
        <v>91</v>
      </c>
      <c r="D16" s="3">
        <f ca="1">COUNTIFS(Results[Agent],Summary[[#This Row],[Agent]],Results[Reviewed Date],"&gt;="&amp;EOMONTH(TODAY(),-3)+1,Results[Reviewed Date],"&lt;="&amp;EOMONTH(TODAY(),0),Results[Determination],"Founded")</f>
        <v>1</v>
      </c>
      <c r="E16" s="3">
        <f ca="1">COUNTIFS(Results[Agent],Summary[[#This Row],[Agent]],Results[Reviewed Date],"&gt;="&amp;EOMONTH(TODAY(),-3)+1,Results[Reviewed Date],"&lt;="&amp;EOMONTH(TODAY(),0),Results[Determination],"Partially Founded")</f>
        <v>0</v>
      </c>
      <c r="F16" s="3">
        <f ca="1">COUNTIFS(Results[Agent],Summary[[#This Row],[Agent]],Results[Reviewed Date],"&gt;="&amp;EOMONTH(TODAY(),-3)+1,Results[Reviewed Date],"&lt;="&amp;EOMONTH(TODAY(),0),Results[Determination],"Unfounded")</f>
        <v>0</v>
      </c>
      <c r="G16" s="3">
        <f ca="1">COUNTIFS(Results[Agent],Summary[[#This Row],[Agent]],Results[Reviewed Date],"&gt;="&amp;EOMONTH(TODAY(),-3)+1,Results[Reviewed Date],"&lt;="&amp;EOMONTH(TODAY(),0),Results[Determination],"Unfounded, coaching opportunities present")</f>
        <v>0</v>
      </c>
      <c r="H16" s="3">
        <f ca="1">COUNTIFS(Results[Agent],Summary[[#This Row],[Agent]],Results[Reviewed Date],"&gt;="&amp;EOMONTH(TODAY(),-3)+1,Results[Reviewed Date],"&lt;="&amp;EOMONTH(TODAY(),0))</f>
        <v>1</v>
      </c>
      <c r="I16" s="18">
        <f ca="1">IFERROR(Summary[[#This Row],[Total]]/Summary[[#This Row],[Total Policies]],"")</f>
        <v>1.5873015873015872E-2</v>
      </c>
    </row>
    <row r="17" spans="1:9" x14ac:dyDescent="0.25">
      <c r="A17" s="26" t="s">
        <v>29</v>
      </c>
      <c r="B17" s="3">
        <f ca="1">COUNTIFS(policies[[Effective Date ]],"&gt;="&amp;EOMONTH(TODAY(),-3)+1,policies[[Effective Date ]],"&lt;="&amp;EOMONTH(TODAY(),0),policies[Column3],Summary[[#This Row],[Agent]])</f>
        <v>44</v>
      </c>
      <c r="C17" s="3" t="s">
        <v>13</v>
      </c>
      <c r="D17" s="3">
        <f ca="1">COUNTIFS(Results[Agent],Summary[[#This Row],[Agent]],Results[Reviewed Date],"&gt;="&amp;EOMONTH(TODAY(),-3)+1,Results[Reviewed Date],"&lt;="&amp;EOMONTH(TODAY(),0),Results[Determination],"Founded")</f>
        <v>0</v>
      </c>
      <c r="E17" s="3">
        <f ca="1">COUNTIFS(Results[Agent],Summary[[#This Row],[Agent]],Results[Reviewed Date],"&gt;="&amp;EOMONTH(TODAY(),-3)+1,Results[Reviewed Date],"&lt;="&amp;EOMONTH(TODAY(),0),Results[Determination],"Partially Founded")</f>
        <v>0</v>
      </c>
      <c r="F17" s="3">
        <f ca="1">COUNTIFS(Results[Agent],Summary[[#This Row],[Agent]],Results[Reviewed Date],"&gt;="&amp;EOMONTH(TODAY(),-3)+1,Results[Reviewed Date],"&lt;="&amp;EOMONTH(TODAY(),0),Results[Determination],"Unfounded")</f>
        <v>0</v>
      </c>
      <c r="G17" s="3">
        <f ca="1">COUNTIFS(Results[Agent],Summary[[#This Row],[Agent]],Results[Reviewed Date],"&gt;="&amp;EOMONTH(TODAY(),-3)+1,Results[Reviewed Date],"&lt;="&amp;EOMONTH(TODAY(),0),Results[Determination],"Unfounded, coaching opportunities present")</f>
        <v>1</v>
      </c>
      <c r="H17" s="3">
        <f ca="1">COUNTIFS(Results[Agent],Summary[[#This Row],[Agent]],Results[Reviewed Date],"&gt;="&amp;EOMONTH(TODAY(),-3)+1,Results[Reviewed Date],"&lt;="&amp;EOMONTH(TODAY(),0))</f>
        <v>1</v>
      </c>
      <c r="I17" s="18">
        <f ca="1">IFERROR(Summary[[#This Row],[Total]]/Summary[[#This Row],[Total Policies]],"")</f>
        <v>2.2727272727272728E-2</v>
      </c>
    </row>
    <row r="18" spans="1:9" x14ac:dyDescent="0.25">
      <c r="A18" s="25" t="s">
        <v>31</v>
      </c>
      <c r="B18" s="3">
        <f ca="1">COUNTIFS(policies[[Effective Date ]],"&gt;="&amp;EOMONTH(TODAY(),-3)+1,policies[[Effective Date ]],"&lt;="&amp;EOMONTH(TODAY(),0),policies[Column3],Summary[[#This Row],[Agent]])</f>
        <v>93</v>
      </c>
      <c r="C18" s="3" t="s">
        <v>91</v>
      </c>
      <c r="D18" s="3">
        <f ca="1">COUNTIFS(Results[Agent],Summary[[#This Row],[Agent]],Results[Reviewed Date],"&gt;="&amp;EOMONTH(TODAY(),-3)+1,Results[Reviewed Date],"&lt;="&amp;EOMONTH(TODAY(),0),Results[Determination],"Founded")</f>
        <v>0</v>
      </c>
      <c r="E18" s="3">
        <f ca="1">COUNTIFS(Results[Agent],Summary[[#This Row],[Agent]],Results[Reviewed Date],"&gt;="&amp;EOMONTH(TODAY(),-3)+1,Results[Reviewed Date],"&lt;="&amp;EOMONTH(TODAY(),0),Results[Determination],"Partially Founded")</f>
        <v>1</v>
      </c>
      <c r="F18" s="3">
        <f ca="1">COUNTIFS(Results[Agent],Summary[[#This Row],[Agent]],Results[Reviewed Date],"&gt;="&amp;EOMONTH(TODAY(),-3)+1,Results[Reviewed Date],"&lt;="&amp;EOMONTH(TODAY(),0),Results[Determination],"Unfounded")</f>
        <v>0</v>
      </c>
      <c r="G18" s="3">
        <f ca="1">COUNTIFS(Results[Agent],Summary[[#This Row],[Agent]],Results[Reviewed Date],"&gt;="&amp;EOMONTH(TODAY(),-3)+1,Results[Reviewed Date],"&lt;="&amp;EOMONTH(TODAY(),0),Results[Determination],"Unfounded, coaching opportunities present")</f>
        <v>0</v>
      </c>
      <c r="H18" s="3">
        <f ca="1">COUNTIFS(Results[Agent],Summary[[#This Row],[Agent]],Results[Reviewed Date],"&gt;="&amp;EOMONTH(TODAY(),-3)+1,Results[Reviewed Date],"&lt;="&amp;EOMONTH(TODAY(),0))</f>
        <v>1</v>
      </c>
      <c r="I18" s="18">
        <f ca="1">IFERROR(Summary[[#This Row],[Total]]/Summary[[#This Row],[Total Policies]],"")</f>
        <v>1.0752688172043012E-2</v>
      </c>
    </row>
    <row r="19" spans="1:9" x14ac:dyDescent="0.25">
      <c r="A19" s="25" t="s">
        <v>23</v>
      </c>
      <c r="B19" s="3">
        <f ca="1">COUNTIFS(policies[[Effective Date ]],"&gt;="&amp;EOMONTH(TODAY(),-3)+1,policies[[Effective Date ]],"&lt;="&amp;EOMONTH(TODAY(),0),policies[Column3],Summary[[#This Row],[Agent]])</f>
        <v>60</v>
      </c>
      <c r="C19" s="3" t="s">
        <v>13</v>
      </c>
      <c r="D19" s="3">
        <f ca="1">COUNTIFS(Results[Agent],Summary[[#This Row],[Agent]],Results[Reviewed Date],"&gt;="&amp;EOMONTH(TODAY(),-3)+1,Results[Reviewed Date],"&lt;="&amp;EOMONTH(TODAY(),0),Results[Determination],"Founded")</f>
        <v>0</v>
      </c>
      <c r="E19" s="3">
        <f ca="1">COUNTIFS(Results[Agent],Summary[[#This Row],[Agent]],Results[Reviewed Date],"&gt;="&amp;EOMONTH(TODAY(),-3)+1,Results[Reviewed Date],"&lt;="&amp;EOMONTH(TODAY(),0),Results[Determination],"Partially Founded")</f>
        <v>0</v>
      </c>
      <c r="F19" s="3">
        <f ca="1">COUNTIFS(Results[Agent],Summary[[#This Row],[Agent]],Results[Reviewed Date],"&gt;="&amp;EOMONTH(TODAY(),-3)+1,Results[Reviewed Date],"&lt;="&amp;EOMONTH(TODAY(),0),Results[Determination],"Unfounded")</f>
        <v>0</v>
      </c>
      <c r="G19" s="3">
        <f ca="1">COUNTIFS(Results[Agent],Summary[[#This Row],[Agent]],Results[Reviewed Date],"&gt;="&amp;EOMONTH(TODAY(),-3)+1,Results[Reviewed Date],"&lt;="&amp;EOMONTH(TODAY(),0),Results[Determination],"Unfounded, coaching opportunities present")</f>
        <v>1</v>
      </c>
      <c r="H19" s="3">
        <f ca="1">COUNTIFS(Results[Agent],Summary[[#This Row],[Agent]],Results[Reviewed Date],"&gt;="&amp;EOMONTH(TODAY(),-3)+1,Results[Reviewed Date],"&lt;="&amp;EOMONTH(TODAY(),0))</f>
        <v>1</v>
      </c>
      <c r="I19" s="18">
        <f ca="1">IFERROR(Summary[[#This Row],[Total]]/Summary[[#This Row],[Total Policies]],"")</f>
        <v>1.6666666666666666E-2</v>
      </c>
    </row>
    <row r="20" spans="1:9" x14ac:dyDescent="0.25">
      <c r="A20" s="25" t="s">
        <v>47</v>
      </c>
      <c r="B20" s="3">
        <f ca="1">COUNTIFS(policies[[Effective Date ]],"&gt;="&amp;EOMONTH(TODAY(),-3)+1,policies[[Effective Date ]],"&lt;="&amp;EOMONTH(TODAY(),0),policies[Column3],Summary[[#This Row],[Agent]])</f>
        <v>79</v>
      </c>
      <c r="C20" s="3" t="s">
        <v>21</v>
      </c>
      <c r="D20" s="3">
        <f ca="1">COUNTIFS(Results[Agent],Summary[[#This Row],[Agent]],Results[Reviewed Date],"&gt;="&amp;EOMONTH(TODAY(),-3)+1,Results[Reviewed Date],"&lt;="&amp;EOMONTH(TODAY(),0),Results[Determination],"Founded")</f>
        <v>0</v>
      </c>
      <c r="E20" s="3">
        <f ca="1">COUNTIFS(Results[Agent],Summary[[#This Row],[Agent]],Results[Reviewed Date],"&gt;="&amp;EOMONTH(TODAY(),-3)+1,Results[Reviewed Date],"&lt;="&amp;EOMONTH(TODAY(),0),Results[Determination],"Partially Founded")</f>
        <v>1</v>
      </c>
      <c r="F20" s="3">
        <f ca="1">COUNTIFS(Results[Agent],Summary[[#This Row],[Agent]],Results[Reviewed Date],"&gt;="&amp;EOMONTH(TODAY(),-3)+1,Results[Reviewed Date],"&lt;="&amp;EOMONTH(TODAY(),0),Results[Determination],"Unfounded")</f>
        <v>0</v>
      </c>
      <c r="G20" s="3">
        <f ca="1">COUNTIFS(Results[Agent],Summary[[#This Row],[Agent]],Results[Reviewed Date],"&gt;="&amp;EOMONTH(TODAY(),-3)+1,Results[Reviewed Date],"&lt;="&amp;EOMONTH(TODAY(),0),Results[Determination],"Unfounded, coaching opportunities present")</f>
        <v>0</v>
      </c>
      <c r="H20" s="3">
        <f ca="1">COUNTIFS(Results[Agent],Summary[[#This Row],[Agent]],Results[Reviewed Date],"&gt;="&amp;EOMONTH(TODAY(),-3)+1,Results[Reviewed Date],"&lt;="&amp;EOMONTH(TODAY(),0))</f>
        <v>1</v>
      </c>
      <c r="I20" s="18">
        <f ca="1">IFERROR(Summary[[#This Row],[Total]]/Summary[[#This Row],[Total Policies]],"")</f>
        <v>1.2658227848101266E-2</v>
      </c>
    </row>
    <row r="21" spans="1:9" x14ac:dyDescent="0.25">
      <c r="A21" s="26" t="s">
        <v>36</v>
      </c>
      <c r="B21" s="3">
        <f ca="1">COUNTIFS(policies[[Effective Date ]],"&gt;="&amp;EOMONTH(TODAY(),-3)+1,policies[[Effective Date ]],"&lt;="&amp;EOMONTH(TODAY(),0),policies[Column3],Summary[[#This Row],[Agent]])</f>
        <v>50</v>
      </c>
      <c r="C21" s="3" t="s">
        <v>13</v>
      </c>
      <c r="D21" s="3">
        <f ca="1">COUNTIFS(Results[Agent],Summary[[#This Row],[Agent]],Results[Reviewed Date],"&gt;="&amp;EOMONTH(TODAY(),-3)+1,Results[Reviewed Date],"&lt;="&amp;EOMONTH(TODAY(),0),Results[Determination],"Founded")</f>
        <v>0</v>
      </c>
      <c r="E21" s="3">
        <f ca="1">COUNTIFS(Results[Agent],Summary[[#This Row],[Agent]],Results[Reviewed Date],"&gt;="&amp;EOMONTH(TODAY(),-3)+1,Results[Reviewed Date],"&lt;="&amp;EOMONTH(TODAY(),0),Results[Determination],"Partially Founded")</f>
        <v>0</v>
      </c>
      <c r="F21" s="3">
        <f ca="1">COUNTIFS(Results[Agent],Summary[[#This Row],[Agent]],Results[Reviewed Date],"&gt;="&amp;EOMONTH(TODAY(),-3)+1,Results[Reviewed Date],"&lt;="&amp;EOMONTH(TODAY(),0),Results[Determination],"Unfounded")</f>
        <v>0</v>
      </c>
      <c r="G21" s="3">
        <f ca="1">COUNTIFS(Results[Agent],Summary[[#This Row],[Agent]],Results[Reviewed Date],"&gt;="&amp;EOMONTH(TODAY(),-3)+1,Results[Reviewed Date],"&lt;="&amp;EOMONTH(TODAY(),0),Results[Determination],"Unfounded, coaching opportunities present")</f>
        <v>1</v>
      </c>
      <c r="H21" s="3">
        <f ca="1">COUNTIFS(Results[Agent],Summary[[#This Row],[Agent]],Results[Reviewed Date],"&gt;="&amp;EOMONTH(TODAY(),-3)+1,Results[Reviewed Date],"&lt;="&amp;EOMONTH(TODAY(),0))</f>
        <v>1</v>
      </c>
      <c r="I21" s="18">
        <f ca="1">IFERROR(Summary[[#This Row],[Total]]/Summary[[#This Row],[Total Policies]],"")</f>
        <v>0.02</v>
      </c>
    </row>
    <row r="22" spans="1:9" x14ac:dyDescent="0.25">
      <c r="A22" s="25" t="s">
        <v>28</v>
      </c>
      <c r="B22" s="3">
        <f ca="1">COUNTIFS(policies[[Effective Date ]],"&gt;="&amp;EOMONTH(TODAY(),-3)+1,policies[[Effective Date ]],"&lt;="&amp;EOMONTH(TODAY(),0),policies[Column3],Summary[[#This Row],[Agent]])</f>
        <v>105</v>
      </c>
      <c r="C22" s="3" t="s">
        <v>91</v>
      </c>
      <c r="D22" s="3">
        <f ca="1">COUNTIFS(Results[Agent],Summary[[#This Row],[Agent]],Results[Reviewed Date],"&gt;="&amp;EOMONTH(TODAY(),-3)+1,Results[Reviewed Date],"&lt;="&amp;EOMONTH(TODAY(),0),Results[Determination],"Founded")</f>
        <v>0</v>
      </c>
      <c r="E22" s="3">
        <f ca="1">COUNTIFS(Results[Agent],Summary[[#This Row],[Agent]],Results[Reviewed Date],"&gt;="&amp;EOMONTH(TODAY(),-3)+1,Results[Reviewed Date],"&lt;="&amp;EOMONTH(TODAY(),0),Results[Determination],"Partially Founded")</f>
        <v>0</v>
      </c>
      <c r="F22" s="3">
        <f ca="1">COUNTIFS(Results[Agent],Summary[[#This Row],[Agent]],Results[Reviewed Date],"&gt;="&amp;EOMONTH(TODAY(),-3)+1,Results[Reviewed Date],"&lt;="&amp;EOMONTH(TODAY(),0),Results[Determination],"Unfounded")</f>
        <v>0</v>
      </c>
      <c r="G22" s="3">
        <f ca="1">COUNTIFS(Results[Agent],Summary[[#This Row],[Agent]],Results[Reviewed Date],"&gt;="&amp;EOMONTH(TODAY(),-3)+1,Results[Reviewed Date],"&lt;="&amp;EOMONTH(TODAY(),0),Results[Determination],"Unfounded, coaching opportunities present")</f>
        <v>0</v>
      </c>
      <c r="H22" s="27">
        <f ca="1">COUNTIFS(Results[Agent],Summary[[#This Row],[Agent]],Results[Reviewed Date],"&gt;="&amp;EOMONTH(TODAY(),-3)+1,Results[Reviewed Date],"&lt;="&amp;EOMONTH(TODAY(),0))</f>
        <v>0</v>
      </c>
      <c r="I22" s="18">
        <f ca="1">IFERROR(Summary[[#This Row],[Total]]/Summary[[#This Row],[Total Policies]],"")</f>
        <v>0</v>
      </c>
    </row>
    <row r="23" spans="1:9" x14ac:dyDescent="0.25">
      <c r="A23" s="25" t="s">
        <v>33</v>
      </c>
      <c r="B23" s="3">
        <f ca="1">COUNTIFS(policies[[Effective Date ]],"&gt;="&amp;EOMONTH(TODAY(),-3)+1,policies[[Effective Date ]],"&lt;="&amp;EOMONTH(TODAY(),0),policies[Column3],Summary[[#This Row],[Agent]])</f>
        <v>64</v>
      </c>
      <c r="C23" s="3" t="s">
        <v>21</v>
      </c>
      <c r="D23" s="3">
        <f ca="1">COUNTIFS(Results[Agent],Summary[[#This Row],[Agent]],Results[Reviewed Date],"&gt;="&amp;EOMONTH(TODAY(),-3)+1,Results[Reviewed Date],"&lt;="&amp;EOMONTH(TODAY(),0),Results[Determination],"Founded")</f>
        <v>0</v>
      </c>
      <c r="E23" s="3">
        <f ca="1">COUNTIFS(Results[Agent],Summary[[#This Row],[Agent]],Results[Reviewed Date],"&gt;="&amp;EOMONTH(TODAY(),-3)+1,Results[Reviewed Date],"&lt;="&amp;EOMONTH(TODAY(),0),Results[Determination],"Partially Founded")</f>
        <v>0</v>
      </c>
      <c r="F23" s="3">
        <f ca="1">COUNTIFS(Results[Agent],Summary[[#This Row],[Agent]],Results[Reviewed Date],"&gt;="&amp;EOMONTH(TODAY(),-3)+1,Results[Reviewed Date],"&lt;="&amp;EOMONTH(TODAY(),0),Results[Determination],"Unfounded")</f>
        <v>0</v>
      </c>
      <c r="G23" s="3">
        <f ca="1">COUNTIFS(Results[Agent],Summary[[#This Row],[Agent]],Results[Reviewed Date],"&gt;="&amp;EOMONTH(TODAY(),-3)+1,Results[Reviewed Date],"&lt;="&amp;EOMONTH(TODAY(),0),Results[Determination],"Unfounded, coaching opportunities present")</f>
        <v>0</v>
      </c>
      <c r="H23" s="3">
        <f ca="1">COUNTIFS(Results[Agent],Summary[[#This Row],[Agent]],Results[Reviewed Date],"&gt;="&amp;EOMONTH(TODAY(),-3)+1,Results[Reviewed Date],"&lt;="&amp;EOMONTH(TODAY(),0))</f>
        <v>0</v>
      </c>
      <c r="I23" s="18"/>
    </row>
    <row r="24" spans="1:9" x14ac:dyDescent="0.25">
      <c r="A24" s="25" t="s">
        <v>34</v>
      </c>
      <c r="B24" s="3">
        <f ca="1">COUNTIFS(policies[[Effective Date ]],"&gt;="&amp;EOMONTH(TODAY(),-3)+1,policies[[Effective Date ]],"&lt;="&amp;EOMONTH(TODAY(),0),policies[Column3],Summary[[#This Row],[Agent]])</f>
        <v>76</v>
      </c>
      <c r="C24" s="3" t="s">
        <v>21</v>
      </c>
      <c r="D24" s="3">
        <f ca="1">COUNTIFS(Results[Agent],Summary[[#This Row],[Agent]],Results[Reviewed Date],"&gt;="&amp;EOMONTH(TODAY(),-3)+1,Results[Reviewed Date],"&lt;="&amp;EOMONTH(TODAY(),0),Results[Determination],"Founded")</f>
        <v>0</v>
      </c>
      <c r="E24" s="3">
        <f ca="1">COUNTIFS(Results[Agent],Summary[[#This Row],[Agent]],Results[Reviewed Date],"&gt;="&amp;EOMONTH(TODAY(),-3)+1,Results[Reviewed Date],"&lt;="&amp;EOMONTH(TODAY(),0),Results[Determination],"Partially Founded")</f>
        <v>0</v>
      </c>
      <c r="F24" s="3">
        <f ca="1">COUNTIFS(Results[Agent],Summary[[#This Row],[Agent]],Results[Reviewed Date],"&gt;="&amp;EOMONTH(TODAY(),-3)+1,Results[Reviewed Date],"&lt;="&amp;EOMONTH(TODAY(),0),Results[Determination],"Unfounded")</f>
        <v>0</v>
      </c>
      <c r="G24" s="3">
        <f ca="1">COUNTIFS(Results[Agent],Summary[[#This Row],[Agent]],Results[Reviewed Date],"&gt;="&amp;EOMONTH(TODAY(),-3)+1,Results[Reviewed Date],"&lt;="&amp;EOMONTH(TODAY(),0),Results[Determination],"Unfounded, coaching opportunities present")</f>
        <v>0</v>
      </c>
      <c r="H24" s="3">
        <f ca="1">COUNTIFS(Results[Agent],Summary[[#This Row],[Agent]],Results[Reviewed Date],"&gt;="&amp;EOMONTH(TODAY(),-3)+1,Results[Reviewed Date],"&lt;="&amp;EOMONTH(TODAY(),0))</f>
        <v>0</v>
      </c>
      <c r="I24" s="18">
        <f ca="1">IFERROR(Summary[[#This Row],[Total]]/Summary[[#This Row],[Total Policies]],"")</f>
        <v>0</v>
      </c>
    </row>
    <row r="25" spans="1:9" x14ac:dyDescent="0.25">
      <c r="A25" s="26" t="s">
        <v>14258</v>
      </c>
      <c r="B25" s="3">
        <f ca="1">COUNTIFS(policies[[Effective Date ]],"&gt;="&amp;EOMONTH(TODAY(),-3)+1,policies[[Effective Date ]],"&lt;="&amp;EOMONTH(TODAY(),0),policies[Column3],Summary[[#This Row],[Agent]])</f>
        <v>0</v>
      </c>
      <c r="C25" s="3" t="s">
        <v>14294</v>
      </c>
      <c r="D25" s="3">
        <f ca="1">COUNTIFS(Results[Agent],Summary[[#This Row],[Agent]],Results[Reviewed Date],"&gt;="&amp;EOMONTH(TODAY(),-3)+1,Results[Reviewed Date],"&lt;="&amp;EOMONTH(TODAY(),0),Results[Determination],"Founded")</f>
        <v>0</v>
      </c>
      <c r="E25" s="3">
        <f ca="1">COUNTIFS(Results[Agent],Summary[[#This Row],[Agent]],Results[Reviewed Date],"&gt;="&amp;EOMONTH(TODAY(),-3)+1,Results[Reviewed Date],"&lt;="&amp;EOMONTH(TODAY(),0),Results[Determination],"Partially Founded")</f>
        <v>0</v>
      </c>
      <c r="F25" s="3">
        <f ca="1">COUNTIFS(Results[Agent],Summary[[#This Row],[Agent]],Results[Reviewed Date],"&gt;="&amp;EOMONTH(TODAY(),-3)+1,Results[Reviewed Date],"&lt;="&amp;EOMONTH(TODAY(),0),Results[Determination],"Unfounded")</f>
        <v>0</v>
      </c>
      <c r="G25" s="3">
        <f ca="1">COUNTIFS(Results[Agent],Summary[[#This Row],[Agent]],Results[Reviewed Date],"&gt;="&amp;EOMONTH(TODAY(),-3)+1,Results[Reviewed Date],"&lt;="&amp;EOMONTH(TODAY(),0),Results[Determination],"Unfounded, coaching opportunities present")</f>
        <v>0</v>
      </c>
      <c r="H25" s="3">
        <f ca="1">COUNTIFS(Results[Agent],Summary[[#This Row],[Agent]],Results[Reviewed Date],"&gt;="&amp;EOMONTH(TODAY(),-3)+1,Results[Reviewed Date],"&lt;="&amp;EOMONTH(TODAY(),0))</f>
        <v>0</v>
      </c>
      <c r="I25" s="18" t="str">
        <f ca="1">IFERROR(Summary[[#This Row],[Total]]/Summary[[#This Row],[Total Policies]],"")</f>
        <v/>
      </c>
    </row>
    <row r="26" spans="1:9" x14ac:dyDescent="0.25">
      <c r="A26" s="25" t="s">
        <v>35</v>
      </c>
      <c r="B26" s="3">
        <f ca="1">COUNTIFS(policies[[Effective Date ]],"&gt;="&amp;EOMONTH(TODAY(),-3)+1,policies[[Effective Date ]],"&lt;="&amp;EOMONTH(TODAY(),0),policies[Column3],Summary[[#This Row],[Agent]])</f>
        <v>80</v>
      </c>
      <c r="C26" s="3" t="s">
        <v>91</v>
      </c>
      <c r="D26" s="3">
        <f ca="1">COUNTIFS(Results[Agent],Summary[[#This Row],[Agent]],Results[Reviewed Date],"&gt;="&amp;EOMONTH(TODAY(),-3)+1,Results[Reviewed Date],"&lt;="&amp;EOMONTH(TODAY(),0),Results[Determination],"Founded")</f>
        <v>0</v>
      </c>
      <c r="E26" s="3">
        <f ca="1">COUNTIFS(Results[Agent],Summary[[#This Row],[Agent]],Results[Reviewed Date],"&gt;="&amp;EOMONTH(TODAY(),-3)+1,Results[Reviewed Date],"&lt;="&amp;EOMONTH(TODAY(),0),Results[Determination],"Partially Founded")</f>
        <v>0</v>
      </c>
      <c r="F26" s="3">
        <f ca="1">COUNTIFS(Results[Agent],Summary[[#This Row],[Agent]],Results[Reviewed Date],"&gt;="&amp;EOMONTH(TODAY(),-3)+1,Results[Reviewed Date],"&lt;="&amp;EOMONTH(TODAY(),0),Results[Determination],"Unfounded")</f>
        <v>0</v>
      </c>
      <c r="G26" s="3">
        <f ca="1">COUNTIFS(Results[Agent],Summary[[#This Row],[Agent]],Results[Reviewed Date],"&gt;="&amp;EOMONTH(TODAY(),-3)+1,Results[Reviewed Date],"&lt;="&amp;EOMONTH(TODAY(),0),Results[Determination],"Unfounded, coaching opportunities present")</f>
        <v>0</v>
      </c>
      <c r="H26" s="3">
        <f ca="1">COUNTIFS(Results[Agent],Summary[[#This Row],[Agent]],Results[Reviewed Date],"&gt;="&amp;EOMONTH(TODAY(),-3)+1,Results[Reviewed Date],"&lt;="&amp;EOMONTH(TODAY(),0))</f>
        <v>0</v>
      </c>
      <c r="I26" s="18">
        <f ca="1">IFERROR(Summary[[#This Row],[Total]]/Summary[[#This Row],[Total Policies]],"")</f>
        <v>0</v>
      </c>
    </row>
    <row r="27" spans="1:9" x14ac:dyDescent="0.25">
      <c r="A27" s="26" t="s">
        <v>11840</v>
      </c>
      <c r="B27" s="3">
        <f ca="1">COUNTIFS(policies[[Effective Date ]],"&gt;="&amp;EOMONTH(TODAY(),-3)+1,policies[[Effective Date ]],"&lt;="&amp;EOMONTH(TODAY(),0),policies[Column3],Summary[[#This Row],[Agent]])</f>
        <v>19</v>
      </c>
      <c r="C27" s="3" t="s">
        <v>91</v>
      </c>
      <c r="D27" s="3">
        <f ca="1">COUNTIFS(Results[Agent],Summary[[#This Row],[Agent]],Results[Reviewed Date],"&gt;="&amp;EOMONTH(TODAY(),-3)+1,Results[Reviewed Date],"&lt;="&amp;EOMONTH(TODAY(),0),Results[Determination],"Founded")</f>
        <v>0</v>
      </c>
      <c r="E27" s="3">
        <f ca="1">COUNTIFS(Results[Agent],Summary[[#This Row],[Agent]],Results[Reviewed Date],"&gt;="&amp;EOMONTH(TODAY(),-3)+1,Results[Reviewed Date],"&lt;="&amp;EOMONTH(TODAY(),0),Results[Determination],"Partially Founded")</f>
        <v>0</v>
      </c>
      <c r="F27" s="3">
        <f ca="1">COUNTIFS(Results[Agent],Summary[[#This Row],[Agent]],Results[Reviewed Date],"&gt;="&amp;EOMONTH(TODAY(),-3)+1,Results[Reviewed Date],"&lt;="&amp;EOMONTH(TODAY(),0),Results[Determination],"Unfounded")</f>
        <v>0</v>
      </c>
      <c r="G27" s="3">
        <f ca="1">COUNTIFS(Results[Agent],Summary[[#This Row],[Agent]],Results[Reviewed Date],"&gt;="&amp;EOMONTH(TODAY(),-3)+1,Results[Reviewed Date],"&lt;="&amp;EOMONTH(TODAY(),0),Results[Determination],"Unfounded, coaching opportunities present")</f>
        <v>0</v>
      </c>
      <c r="H27" s="3">
        <f ca="1">COUNTIFS(Results[Agent],Summary[[#This Row],[Agent]],Results[Reviewed Date],"&gt;="&amp;EOMONTH(TODAY(),-3)+1,Results[Reviewed Date],"&lt;="&amp;EOMONTH(TODAY(),0))</f>
        <v>0</v>
      </c>
      <c r="I27" s="18">
        <f ca="1">IFERROR(Summary[[#This Row],[Total]]/Summary[[#This Row],[Total Policies]],"")</f>
        <v>0</v>
      </c>
    </row>
    <row r="28" spans="1:9" x14ac:dyDescent="0.25">
      <c r="A28" s="26" t="s">
        <v>14288</v>
      </c>
      <c r="B28" s="3">
        <f ca="1">COUNTIFS(policies[[Effective Date ]],"&gt;="&amp;EOMONTH(TODAY(),-3)+1,policies[[Effective Date ]],"&lt;="&amp;EOMONTH(TODAY(),0),policies[Column3],Summary[[#This Row],[Agent]])</f>
        <v>0</v>
      </c>
      <c r="C28" s="3" t="s">
        <v>14294</v>
      </c>
      <c r="D28" s="3">
        <f ca="1">COUNTIFS(Results[Agent],Summary[[#This Row],[Agent]],Results[Reviewed Date],"&gt;="&amp;EOMONTH(TODAY(),-3)+1,Results[Reviewed Date],"&lt;="&amp;EOMONTH(TODAY(),0),Results[Determination],"Founded")</f>
        <v>0</v>
      </c>
      <c r="E28" s="3">
        <f ca="1">COUNTIFS(Results[Agent],Summary[[#This Row],[Agent]],Results[Reviewed Date],"&gt;="&amp;EOMONTH(TODAY(),-3)+1,Results[Reviewed Date],"&lt;="&amp;EOMONTH(TODAY(),0),Results[Determination],"Partially Founded")</f>
        <v>0</v>
      </c>
      <c r="F28" s="3">
        <f ca="1">COUNTIFS(Results[Agent],Summary[[#This Row],[Agent]],Results[Reviewed Date],"&gt;="&amp;EOMONTH(TODAY(),-3)+1,Results[Reviewed Date],"&lt;="&amp;EOMONTH(TODAY(),0),Results[Determination],"Unfounded")</f>
        <v>0</v>
      </c>
      <c r="G28" s="3">
        <f ca="1">COUNTIFS(Results[Agent],Summary[[#This Row],[Agent]],Results[Reviewed Date],"&gt;="&amp;EOMONTH(TODAY(),-3)+1,Results[Reviewed Date],"&lt;="&amp;EOMONTH(TODAY(),0),Results[Determination],"Unfounded, coaching opportunities present")</f>
        <v>0</v>
      </c>
      <c r="H28" s="3">
        <f ca="1">COUNTIFS(Results[Agent],Summary[[#This Row],[Agent]],Results[Reviewed Date],"&gt;="&amp;EOMONTH(TODAY(),-3)+1,Results[Reviewed Date],"&lt;="&amp;EOMONTH(TODAY(),0))</f>
        <v>0</v>
      </c>
      <c r="I28" s="18" t="str">
        <f ca="1">IFERROR(Summary[[#This Row],[Total]]/Summary[[#This Row],[Total Policies]],"")</f>
        <v/>
      </c>
    </row>
    <row r="29" spans="1:9" x14ac:dyDescent="0.25">
      <c r="A29" s="26" t="s">
        <v>12268</v>
      </c>
      <c r="B29" s="3">
        <f ca="1">COUNTIFS(policies[[Effective Date ]],"&gt;="&amp;EOMONTH(TODAY(),-3)+1,policies[[Effective Date ]],"&lt;="&amp;EOMONTH(TODAY(),0),policies[Column3],Summary[[#This Row],[Agent]])</f>
        <v>17</v>
      </c>
      <c r="C29" s="3" t="s">
        <v>21</v>
      </c>
      <c r="D29" s="3">
        <f ca="1">COUNTIFS(Results[Agent],Summary[[#This Row],[Agent]],Results[Reviewed Date],"&gt;="&amp;EOMONTH(TODAY(),-3)+1,Results[Reviewed Date],"&lt;="&amp;EOMONTH(TODAY(),0),Results[Determination],"Founded")</f>
        <v>0</v>
      </c>
      <c r="E29" s="3">
        <f ca="1">COUNTIFS(Results[Agent],Summary[[#This Row],[Agent]],Results[Reviewed Date],"&gt;="&amp;EOMONTH(TODAY(),-3)+1,Results[Reviewed Date],"&lt;="&amp;EOMONTH(TODAY(),0),Results[Determination],"Partially Founded")</f>
        <v>0</v>
      </c>
      <c r="F29" s="3">
        <f ca="1">COUNTIFS(Results[Agent],Summary[[#This Row],[Agent]],Results[Reviewed Date],"&gt;="&amp;EOMONTH(TODAY(),-3)+1,Results[Reviewed Date],"&lt;="&amp;EOMONTH(TODAY(),0),Results[Determination],"Unfounded")</f>
        <v>0</v>
      </c>
      <c r="G29" s="3">
        <f ca="1">COUNTIFS(Results[Agent],Summary[[#This Row],[Agent]],Results[Reviewed Date],"&gt;="&amp;EOMONTH(TODAY(),-3)+1,Results[Reviewed Date],"&lt;="&amp;EOMONTH(TODAY(),0),Results[Determination],"Unfounded, coaching opportunities present")</f>
        <v>0</v>
      </c>
      <c r="H29" s="3">
        <f ca="1">COUNTIFS(Results[Agent],Summary[[#This Row],[Agent]],Results[Reviewed Date],"&gt;="&amp;EOMONTH(TODAY(),-3)+1,Results[Reviewed Date],"&lt;="&amp;EOMONTH(TODAY(),0))</f>
        <v>0</v>
      </c>
      <c r="I29" s="18">
        <f ca="1">IFERROR(Summary[[#This Row],[Total]]/Summary[[#This Row],[Total Policies]],"")</f>
        <v>0</v>
      </c>
    </row>
    <row r="30" spans="1:9" x14ac:dyDescent="0.25">
      <c r="A30" s="26" t="s">
        <v>12390</v>
      </c>
      <c r="B30" s="3">
        <f ca="1">COUNTIFS(policies[[Effective Date ]],"&gt;="&amp;EOMONTH(TODAY(),-3)+1,policies[[Effective Date ]],"&lt;="&amp;EOMONTH(TODAY(),0),policies[Column3],Summary[[#This Row],[Agent]])</f>
        <v>28</v>
      </c>
      <c r="C30" s="3" t="s">
        <v>13</v>
      </c>
      <c r="D30" s="3">
        <f ca="1">COUNTIFS(Results[Agent],Summary[[#This Row],[Agent]],Results[Reviewed Date],"&gt;="&amp;EOMONTH(TODAY(),-3)+1,Results[Reviewed Date],"&lt;="&amp;EOMONTH(TODAY(),0),Results[Determination],"Founded")</f>
        <v>0</v>
      </c>
      <c r="E30" s="3">
        <f ca="1">COUNTIFS(Results[Agent],Summary[[#This Row],[Agent]],Results[Reviewed Date],"&gt;="&amp;EOMONTH(TODAY(),-3)+1,Results[Reviewed Date],"&lt;="&amp;EOMONTH(TODAY(),0),Results[Determination],"Partially Founded")</f>
        <v>0</v>
      </c>
      <c r="F30" s="3">
        <f ca="1">COUNTIFS(Results[Agent],Summary[[#This Row],[Agent]],Results[Reviewed Date],"&gt;="&amp;EOMONTH(TODAY(),-3)+1,Results[Reviewed Date],"&lt;="&amp;EOMONTH(TODAY(),0),Results[Determination],"Unfounded")</f>
        <v>0</v>
      </c>
      <c r="G30" s="3">
        <f ca="1">COUNTIFS(Results[Agent],Summary[[#This Row],[Agent]],Results[Reviewed Date],"&gt;="&amp;EOMONTH(TODAY(),-3)+1,Results[Reviewed Date],"&lt;="&amp;EOMONTH(TODAY(),0),Results[Determination],"Unfounded, coaching opportunities present")</f>
        <v>0</v>
      </c>
      <c r="H30" s="3">
        <f ca="1">COUNTIFS(Results[Agent],Summary[[#This Row],[Agent]],Results[Reviewed Date],"&gt;="&amp;EOMONTH(TODAY(),-3)+1,Results[Reviewed Date],"&lt;="&amp;EOMONTH(TODAY(),0))</f>
        <v>0</v>
      </c>
      <c r="I30" s="18">
        <f ca="1">IFERROR(Summary[[#This Row],[Total]]/Summary[[#This Row],[Total Policies]],"")</f>
        <v>0</v>
      </c>
    </row>
    <row r="31" spans="1:9" x14ac:dyDescent="0.25">
      <c r="A31" s="26" t="s">
        <v>14293</v>
      </c>
      <c r="B31" s="3">
        <f ca="1">COUNTIFS(policies[[Effective Date ]],"&gt;="&amp;EOMONTH(TODAY(),-3)+1,policies[[Effective Date ]],"&lt;="&amp;EOMONTH(TODAY(),0),policies[Column3],Summary[[#This Row],[Agent]])</f>
        <v>0</v>
      </c>
      <c r="C31" s="3" t="s">
        <v>14294</v>
      </c>
      <c r="D31" s="3">
        <f ca="1">COUNTIFS(Results[Agent],Summary[[#This Row],[Agent]],Results[Reviewed Date],"&gt;="&amp;EOMONTH(TODAY(),-3)+1,Results[Reviewed Date],"&lt;="&amp;EOMONTH(TODAY(),0),Results[Determination],"Founded")</f>
        <v>0</v>
      </c>
      <c r="E31" s="3">
        <f ca="1">COUNTIFS(Results[Agent],Summary[[#This Row],[Agent]],Results[Reviewed Date],"&gt;="&amp;EOMONTH(TODAY(),-3)+1,Results[Reviewed Date],"&lt;="&amp;EOMONTH(TODAY(),0),Results[Determination],"Partially Founded")</f>
        <v>0</v>
      </c>
      <c r="F31" s="3">
        <f ca="1">COUNTIFS(Results[Agent],Summary[[#This Row],[Agent]],Results[Reviewed Date],"&gt;="&amp;EOMONTH(TODAY(),-3)+1,Results[Reviewed Date],"&lt;="&amp;EOMONTH(TODAY(),0),Results[Determination],"Unfounded")</f>
        <v>0</v>
      </c>
      <c r="G31" s="3">
        <f ca="1">COUNTIFS(Results[Agent],Summary[[#This Row],[Agent]],Results[Reviewed Date],"&gt;="&amp;EOMONTH(TODAY(),-3)+1,Results[Reviewed Date],"&lt;="&amp;EOMONTH(TODAY(),0),Results[Determination],"Unfounded, coaching opportunities present")</f>
        <v>0</v>
      </c>
      <c r="H31" s="3">
        <f ca="1">COUNTIFS(Results[Agent],Summary[[#This Row],[Agent]],Results[Reviewed Date],"&gt;="&amp;EOMONTH(TODAY(),-3)+1,Results[Reviewed Date],"&lt;="&amp;EOMONTH(TODAY(),0))</f>
        <v>0</v>
      </c>
      <c r="I31" s="18" t="str">
        <f ca="1">IFERROR(Summary[[#This Row],[Total]]/Summary[[#This Row],[Total Policies]],"")</f>
        <v/>
      </c>
    </row>
    <row r="32" spans="1:9" x14ac:dyDescent="0.25">
      <c r="A32" s="3" t="s">
        <v>37</v>
      </c>
      <c r="B32" s="3">
        <f ca="1">COUNTIFS(policies[[Effective Date ]],"&gt;="&amp;EOMONTH(TODAY(),-3)+1,policies[[Effective Date ]],"&lt;="&amp;EOMONTH(TODAY(),0),policies[Column3],Summary[[#This Row],[Agent]])</f>
        <v>31</v>
      </c>
      <c r="C32" s="3" t="s">
        <v>13</v>
      </c>
      <c r="D32" s="3">
        <f ca="1">COUNTIFS(Results[Agent],Summary[[#This Row],[Agent]],Results[Reviewed Date],"&gt;="&amp;EOMONTH(TODAY(),-3)+1,Results[Reviewed Date],"&lt;="&amp;EOMONTH(TODAY(),0),Results[Determination],"Founded")</f>
        <v>0</v>
      </c>
      <c r="E32" s="3">
        <f ca="1">COUNTIFS(Results[Agent],Summary[[#This Row],[Agent]],Results[Reviewed Date],"&gt;="&amp;EOMONTH(TODAY(),-3)+1,Results[Reviewed Date],"&lt;="&amp;EOMONTH(TODAY(),0),Results[Determination],"Partially Founded")</f>
        <v>0</v>
      </c>
      <c r="F32" s="3">
        <f ca="1">COUNTIFS(Results[Agent],Summary[[#This Row],[Agent]],Results[Reviewed Date],"&gt;="&amp;EOMONTH(TODAY(),-3)+1,Results[Reviewed Date],"&lt;="&amp;EOMONTH(TODAY(),0),Results[Determination],"Unfounded")</f>
        <v>0</v>
      </c>
      <c r="G32" s="3">
        <f ca="1">COUNTIFS(Results[Agent],Summary[[#This Row],[Agent]],Results[Reviewed Date],"&gt;="&amp;EOMONTH(TODAY(),-3)+1,Results[Reviewed Date],"&lt;="&amp;EOMONTH(TODAY(),0),Results[Determination],"Unfounded, coaching opportunities present")</f>
        <v>0</v>
      </c>
      <c r="H32" s="3">
        <f ca="1">COUNTIFS(Results[Agent],Summary[[#This Row],[Agent]],Results[Reviewed Date],"&gt;="&amp;EOMONTH(TODAY(),-3)+1,Results[Reviewed Date],"&lt;="&amp;EOMONTH(TODAY(),0))</f>
        <v>0</v>
      </c>
      <c r="I32" s="18">
        <f ca="1">IFERROR(Summary[[#This Row],[Total]]/Summary[[#This Row],[Total Policies]],"")</f>
        <v>0</v>
      </c>
    </row>
    <row r="33" spans="1:10" x14ac:dyDescent="0.25">
      <c r="A33" s="26" t="s">
        <v>14091</v>
      </c>
      <c r="B33" s="3">
        <f ca="1">COUNTIFS(policies[[Effective Date ]],"&gt;="&amp;EOMONTH(TODAY(),-3)+1,policies[[Effective Date ]],"&lt;="&amp;EOMONTH(TODAY(),0),policies[Column3],Summary[[#This Row],[Agent]])</f>
        <v>0</v>
      </c>
      <c r="C33" s="3" t="s">
        <v>14294</v>
      </c>
      <c r="D33" s="3">
        <f ca="1">COUNTIFS(Results[Agent],Summary[[#This Row],[Agent]],Results[Reviewed Date],"&gt;="&amp;EOMONTH(TODAY(),-3)+1,Results[Reviewed Date],"&lt;="&amp;EOMONTH(TODAY(),0),Results[Determination],"Founded")</f>
        <v>0</v>
      </c>
      <c r="E33" s="3">
        <f ca="1">COUNTIFS(Results[Agent],Summary[[#This Row],[Agent]],Results[Reviewed Date],"&gt;="&amp;EOMONTH(TODAY(),-3)+1,Results[Reviewed Date],"&lt;="&amp;EOMONTH(TODAY(),0),Results[Determination],"Partially Founded")</f>
        <v>0</v>
      </c>
      <c r="F33" s="3">
        <f ca="1">COUNTIFS(Results[Agent],Summary[[#This Row],[Agent]],Results[Reviewed Date],"&gt;="&amp;EOMONTH(TODAY(),-3)+1,Results[Reviewed Date],"&lt;="&amp;EOMONTH(TODAY(),0),Results[Determination],"Unfounded")</f>
        <v>0</v>
      </c>
      <c r="G33" s="3">
        <f ca="1">COUNTIFS(Results[Agent],Summary[[#This Row],[Agent]],Results[Reviewed Date],"&gt;="&amp;EOMONTH(TODAY(),-3)+1,Results[Reviewed Date],"&lt;="&amp;EOMONTH(TODAY(),0),Results[Determination],"Unfounded, coaching opportunities present")</f>
        <v>0</v>
      </c>
      <c r="H33" s="3">
        <f ca="1">COUNTIFS(Results[Agent],Summary[[#This Row],[Agent]],Results[Reviewed Date],"&gt;="&amp;EOMONTH(TODAY(),-3)+1,Results[Reviewed Date],"&lt;="&amp;EOMONTH(TODAY(),0))</f>
        <v>0</v>
      </c>
      <c r="I33" s="18" t="str">
        <f ca="1">IFERROR(Summary[[#This Row],[Total]]/Summary[[#This Row],[Total Policies]],"")</f>
        <v/>
      </c>
    </row>
    <row r="34" spans="1:10" x14ac:dyDescent="0.25">
      <c r="A34" s="26" t="s">
        <v>13923</v>
      </c>
      <c r="B34" s="3">
        <f ca="1">COUNTIFS(policies[[Effective Date ]],"&gt;="&amp;EOMONTH(TODAY(),-3)+1,policies[[Effective Date ]],"&lt;="&amp;EOMONTH(TODAY(),0),policies[Column3],Summary[[#This Row],[Agent]])</f>
        <v>1</v>
      </c>
      <c r="C34" s="3" t="s">
        <v>14294</v>
      </c>
      <c r="D34" s="3">
        <f ca="1">COUNTIFS(Results[Agent],Summary[[#This Row],[Agent]],Results[Reviewed Date],"&gt;="&amp;EOMONTH(TODAY(),-3)+1,Results[Reviewed Date],"&lt;="&amp;EOMONTH(TODAY(),0),Results[Determination],"Founded")</f>
        <v>0</v>
      </c>
      <c r="E34" s="3">
        <f ca="1">COUNTIFS(Results[Agent],Summary[[#This Row],[Agent]],Results[Reviewed Date],"&gt;="&amp;EOMONTH(TODAY(),-3)+1,Results[Reviewed Date],"&lt;="&amp;EOMONTH(TODAY(),0),Results[Determination],"Partially Founded")</f>
        <v>0</v>
      </c>
      <c r="F34" s="3">
        <f ca="1">COUNTIFS(Results[Agent],Summary[[#This Row],[Agent]],Results[Reviewed Date],"&gt;="&amp;EOMONTH(TODAY(),-3)+1,Results[Reviewed Date],"&lt;="&amp;EOMONTH(TODAY(),0),Results[Determination],"Unfounded")</f>
        <v>0</v>
      </c>
      <c r="G34" s="3">
        <f ca="1">COUNTIFS(Results[Agent],Summary[[#This Row],[Agent]],Results[Reviewed Date],"&gt;="&amp;EOMONTH(TODAY(),-3)+1,Results[Reviewed Date],"&lt;="&amp;EOMONTH(TODAY(),0),Results[Determination],"Unfounded, coaching opportunities present")</f>
        <v>0</v>
      </c>
      <c r="H34" s="3">
        <f ca="1">COUNTIFS(Results[Agent],Summary[[#This Row],[Agent]],Results[Reviewed Date],"&gt;="&amp;EOMONTH(TODAY(),-3)+1,Results[Reviewed Date],"&lt;="&amp;EOMONTH(TODAY(),0))</f>
        <v>0</v>
      </c>
      <c r="I34" s="18">
        <f ca="1">IFERROR(Summary[[#This Row],[Total]]/Summary[[#This Row],[Total Policies]],"")</f>
        <v>0</v>
      </c>
    </row>
    <row r="35" spans="1:10" x14ac:dyDescent="0.25">
      <c r="A35" s="26" t="s">
        <v>14133</v>
      </c>
      <c r="B35" s="3">
        <f ca="1">COUNTIFS(policies[[Effective Date ]],"&gt;="&amp;EOMONTH(TODAY(),-3)+1,policies[[Effective Date ]],"&lt;="&amp;EOMONTH(TODAY(),0),policies[Column3],Summary[[#This Row],[Agent]])</f>
        <v>0</v>
      </c>
      <c r="C35" s="3" t="s">
        <v>14294</v>
      </c>
      <c r="D35" s="3">
        <f ca="1">COUNTIFS(Results[Agent],Summary[[#This Row],[Agent]],Results[Reviewed Date],"&gt;="&amp;EOMONTH(TODAY(),-3)+1,Results[Reviewed Date],"&lt;="&amp;EOMONTH(TODAY(),0),Results[Determination],"Founded")</f>
        <v>0</v>
      </c>
      <c r="E35" s="3">
        <f ca="1">COUNTIFS(Results[Agent],Summary[[#This Row],[Agent]],Results[Reviewed Date],"&gt;="&amp;EOMONTH(TODAY(),-3)+1,Results[Reviewed Date],"&lt;="&amp;EOMONTH(TODAY(),0),Results[Determination],"Partially Founded")</f>
        <v>0</v>
      </c>
      <c r="F35" s="3">
        <f ca="1">COUNTIFS(Results[Agent],Summary[[#This Row],[Agent]],Results[Reviewed Date],"&gt;="&amp;EOMONTH(TODAY(),-3)+1,Results[Reviewed Date],"&lt;="&amp;EOMONTH(TODAY(),0),Results[Determination],"Unfounded")</f>
        <v>0</v>
      </c>
      <c r="G35" s="3">
        <f ca="1">COUNTIFS(Results[Agent],Summary[[#This Row],[Agent]],Results[Reviewed Date],"&gt;="&amp;EOMONTH(TODAY(),-3)+1,Results[Reviewed Date],"&lt;="&amp;EOMONTH(TODAY(),0),Results[Determination],"Unfounded, coaching opportunities present")</f>
        <v>0</v>
      </c>
      <c r="H35" s="3">
        <f ca="1">COUNTIFS(Results[Agent],Summary[[#This Row],[Agent]],Results[Reviewed Date],"&gt;="&amp;EOMONTH(TODAY(),-3)+1,Results[Reviewed Date],"&lt;="&amp;EOMONTH(TODAY(),0))</f>
        <v>0</v>
      </c>
      <c r="I35" s="18" t="str">
        <f ca="1">IFERROR(Summary[[#This Row],[Total]]/Summary[[#This Row],[Total Policies]],"")</f>
        <v/>
      </c>
    </row>
    <row r="36" spans="1:10" x14ac:dyDescent="0.25">
      <c r="A36" s="26" t="s">
        <v>40</v>
      </c>
      <c r="B36" s="3">
        <f ca="1">COUNTIFS(policies[[Effective Date ]],"&gt;="&amp;EOMONTH(TODAY(),-3)+1,policies[[Effective Date ]],"&lt;="&amp;EOMONTH(TODAY(),0),policies[Column3],Summary[[#This Row],[Agent]])</f>
        <v>51</v>
      </c>
      <c r="C36" s="3" t="s">
        <v>91</v>
      </c>
      <c r="D36" s="3">
        <f ca="1">COUNTIFS(Results[Agent],Summary[[#This Row],[Agent]],Results[Reviewed Date],"&gt;="&amp;EOMONTH(TODAY(),-3)+1,Results[Reviewed Date],"&lt;="&amp;EOMONTH(TODAY(),0),Results[Determination],"Founded")</f>
        <v>0</v>
      </c>
      <c r="E36" s="3">
        <f ca="1">COUNTIFS(Results[Agent],Summary[[#This Row],[Agent]],Results[Reviewed Date],"&gt;="&amp;EOMONTH(TODAY(),-3)+1,Results[Reviewed Date],"&lt;="&amp;EOMONTH(TODAY(),0),Results[Determination],"Partially Founded")</f>
        <v>0</v>
      </c>
      <c r="F36" s="3">
        <f ca="1">COUNTIFS(Results[Agent],Summary[[#This Row],[Agent]],Results[Reviewed Date],"&gt;="&amp;EOMONTH(TODAY(),-3)+1,Results[Reviewed Date],"&lt;="&amp;EOMONTH(TODAY(),0),Results[Determination],"Unfounded")</f>
        <v>0</v>
      </c>
      <c r="G36" s="3">
        <f ca="1">COUNTIFS(Results[Agent],Summary[[#This Row],[Agent]],Results[Reviewed Date],"&gt;="&amp;EOMONTH(TODAY(),-3)+1,Results[Reviewed Date],"&lt;="&amp;EOMONTH(TODAY(),0),Results[Determination],"Unfounded, coaching opportunities present")</f>
        <v>0</v>
      </c>
      <c r="H36" s="3">
        <f ca="1">COUNTIFS(Results[Agent],Summary[[#This Row],[Agent]],Results[Reviewed Date],"&gt;="&amp;EOMONTH(TODAY(),-3)+1,Results[Reviewed Date],"&lt;="&amp;EOMONTH(TODAY(),0))</f>
        <v>0</v>
      </c>
      <c r="I36" s="18">
        <f ca="1">IFERROR(Summary[[#This Row],[Total]]/Summary[[#This Row],[Total Policies]],"")</f>
        <v>0</v>
      </c>
    </row>
    <row r="37" spans="1:10" x14ac:dyDescent="0.25">
      <c r="A37" s="26" t="s">
        <v>14289</v>
      </c>
      <c r="B37" s="3">
        <f ca="1">COUNTIFS(policies[[Effective Date ]],"&gt;="&amp;EOMONTH(TODAY(),-3)+1,policies[[Effective Date ]],"&lt;="&amp;EOMONTH(TODAY(),0),policies[Column3],Summary[[#This Row],[Agent]])</f>
        <v>0</v>
      </c>
      <c r="C37" s="3" t="s">
        <v>14294</v>
      </c>
      <c r="D37" s="3">
        <f ca="1">COUNTIFS(Results[Agent],Summary[[#This Row],[Agent]],Results[Reviewed Date],"&gt;="&amp;EOMONTH(TODAY(),-3)+1,Results[Reviewed Date],"&lt;="&amp;EOMONTH(TODAY(),0),Results[Determination],"Founded")</f>
        <v>0</v>
      </c>
      <c r="E37" s="3">
        <f ca="1">COUNTIFS(Results[Agent],Summary[[#This Row],[Agent]],Results[Reviewed Date],"&gt;="&amp;EOMONTH(TODAY(),-3)+1,Results[Reviewed Date],"&lt;="&amp;EOMONTH(TODAY(),0),Results[Determination],"Partially Founded")</f>
        <v>0</v>
      </c>
      <c r="F37" s="3">
        <f ca="1">COUNTIFS(Results[Agent],Summary[[#This Row],[Agent]],Results[Reviewed Date],"&gt;="&amp;EOMONTH(TODAY(),-3)+1,Results[Reviewed Date],"&lt;="&amp;EOMONTH(TODAY(),0),Results[Determination],"Unfounded")</f>
        <v>0</v>
      </c>
      <c r="G37" s="3">
        <f ca="1">COUNTIFS(Results[Agent],Summary[[#This Row],[Agent]],Results[Reviewed Date],"&gt;="&amp;EOMONTH(TODAY(),-3)+1,Results[Reviewed Date],"&lt;="&amp;EOMONTH(TODAY(),0),Results[Determination],"Unfounded, coaching opportunities present")</f>
        <v>0</v>
      </c>
      <c r="H37" s="3">
        <f ca="1">COUNTIFS(Results[Agent],Summary[[#This Row],[Agent]],Results[Reviewed Date],"&gt;="&amp;EOMONTH(TODAY(),-3)+1,Results[Reviewed Date],"&lt;="&amp;EOMONTH(TODAY(),0))</f>
        <v>0</v>
      </c>
      <c r="I37" s="18" t="str">
        <f ca="1">IFERROR(Summary[[#This Row],[Total]]/Summary[[#This Row],[Total Policies]],"")</f>
        <v/>
      </c>
    </row>
    <row r="38" spans="1:10" x14ac:dyDescent="0.25">
      <c r="A38" s="26" t="s">
        <v>14290</v>
      </c>
      <c r="B38" s="3">
        <f ca="1">COUNTIFS(policies[[Effective Date ]],"&gt;="&amp;EOMONTH(TODAY(),-3)+1,policies[[Effective Date ]],"&lt;="&amp;EOMONTH(TODAY(),0),policies[Column3],Summary[[#This Row],[Agent]])</f>
        <v>0</v>
      </c>
      <c r="C38" s="3" t="s">
        <v>14294</v>
      </c>
      <c r="D38" s="3">
        <f ca="1">COUNTIFS(Results[Agent],Summary[[#This Row],[Agent]],Results[Reviewed Date],"&gt;="&amp;EOMONTH(TODAY(),-3)+1,Results[Reviewed Date],"&lt;="&amp;EOMONTH(TODAY(),0),Results[Determination],"Founded")</f>
        <v>0</v>
      </c>
      <c r="E38" s="3">
        <f ca="1">COUNTIFS(Results[Agent],Summary[[#This Row],[Agent]],Results[Reviewed Date],"&gt;="&amp;EOMONTH(TODAY(),-3)+1,Results[Reviewed Date],"&lt;="&amp;EOMONTH(TODAY(),0),Results[Determination],"Partially Founded")</f>
        <v>0</v>
      </c>
      <c r="F38" s="3">
        <f ca="1">COUNTIFS(Results[Agent],Summary[[#This Row],[Agent]],Results[Reviewed Date],"&gt;="&amp;EOMONTH(TODAY(),-3)+1,Results[Reviewed Date],"&lt;="&amp;EOMONTH(TODAY(),0),Results[Determination],"Unfounded")</f>
        <v>0</v>
      </c>
      <c r="G38" s="3">
        <f ca="1">COUNTIFS(Results[Agent],Summary[[#This Row],[Agent]],Results[Reviewed Date],"&gt;="&amp;EOMONTH(TODAY(),-3)+1,Results[Reviewed Date],"&lt;="&amp;EOMONTH(TODAY(),0),Results[Determination],"Unfounded, coaching opportunities present")</f>
        <v>0</v>
      </c>
      <c r="H38" s="3">
        <f ca="1">COUNTIFS(Results[Agent],Summary[[#This Row],[Agent]],Results[Reviewed Date],"&gt;="&amp;EOMONTH(TODAY(),-3)+1,Results[Reviewed Date],"&lt;="&amp;EOMONTH(TODAY(),0))</f>
        <v>0</v>
      </c>
      <c r="I38" s="18" t="str">
        <f ca="1">IFERROR(Summary[[#This Row],[Total]]/Summary[[#This Row],[Total Policies]],"")</f>
        <v/>
      </c>
    </row>
    <row r="39" spans="1:10" x14ac:dyDescent="0.25">
      <c r="A39" s="26" t="s">
        <v>11778</v>
      </c>
      <c r="B39" s="3">
        <f ca="1">COUNTIFS(policies[[Effective Date ]],"&gt;="&amp;EOMONTH(TODAY(),-3)+1,policies[[Effective Date ]],"&lt;="&amp;EOMONTH(TODAY(),0),policies[Column3],Summary[[#This Row],[Agent]])</f>
        <v>12</v>
      </c>
      <c r="C39" s="3" t="s">
        <v>13</v>
      </c>
      <c r="D39" s="3">
        <f ca="1">COUNTIFS(Results[Agent],Summary[[#This Row],[Agent]],Results[Reviewed Date],"&gt;="&amp;EOMONTH(TODAY(),-3)+1,Results[Reviewed Date],"&lt;="&amp;EOMONTH(TODAY(),0),Results[Determination],"Founded")</f>
        <v>0</v>
      </c>
      <c r="E39" s="3">
        <f ca="1">COUNTIFS(Results[Agent],Summary[[#This Row],[Agent]],Results[Reviewed Date],"&gt;="&amp;EOMONTH(TODAY(),-3)+1,Results[Reviewed Date],"&lt;="&amp;EOMONTH(TODAY(),0),Results[Determination],"Partially Founded")</f>
        <v>0</v>
      </c>
      <c r="F39" s="3">
        <f ca="1">COUNTIFS(Results[Agent],Summary[[#This Row],[Agent]],Results[Reviewed Date],"&gt;="&amp;EOMONTH(TODAY(),-3)+1,Results[Reviewed Date],"&lt;="&amp;EOMONTH(TODAY(),0),Results[Determination],"Unfounded")</f>
        <v>0</v>
      </c>
      <c r="G39" s="3">
        <f ca="1">COUNTIFS(Results[Agent],Summary[[#This Row],[Agent]],Results[Reviewed Date],"&gt;="&amp;EOMONTH(TODAY(),-3)+1,Results[Reviewed Date],"&lt;="&amp;EOMONTH(TODAY(),0),Results[Determination],"Unfounded, coaching opportunities present")</f>
        <v>0</v>
      </c>
      <c r="H39" s="3">
        <f ca="1">COUNTIFS(Results[Agent],Summary[[#This Row],[Agent]],Results[Reviewed Date],"&gt;="&amp;EOMONTH(TODAY(),-3)+1,Results[Reviewed Date],"&lt;="&amp;EOMONTH(TODAY(),0))</f>
        <v>0</v>
      </c>
      <c r="I39" s="18">
        <f ca="1">IFERROR(Summary[[#This Row],[Total]]/Summary[[#This Row],[Total Policies]],"")</f>
        <v>0</v>
      </c>
    </row>
    <row r="40" spans="1:10" x14ac:dyDescent="0.25">
      <c r="A40" s="26" t="s">
        <v>12613</v>
      </c>
      <c r="B40" s="3">
        <f ca="1">COUNTIFS(policies[[Effective Date ]],"&gt;="&amp;EOMONTH(TODAY(),-3)+1,policies[[Effective Date ]],"&lt;="&amp;EOMONTH(TODAY(),0),policies[Column3],Summary[[#This Row],[Agent]])</f>
        <v>0</v>
      </c>
      <c r="C40" s="3" t="s">
        <v>14294</v>
      </c>
      <c r="D40" s="3">
        <f ca="1">COUNTIFS(Results[Agent],Summary[[#This Row],[Agent]],Results[Reviewed Date],"&gt;="&amp;EOMONTH(TODAY(),-3)+1,Results[Reviewed Date],"&lt;="&amp;EOMONTH(TODAY(),0),Results[Determination],"Founded")</f>
        <v>0</v>
      </c>
      <c r="E40" s="3">
        <f ca="1">COUNTIFS(Results[Agent],Summary[[#This Row],[Agent]],Results[Reviewed Date],"&gt;="&amp;EOMONTH(TODAY(),-3)+1,Results[Reviewed Date],"&lt;="&amp;EOMONTH(TODAY(),0),Results[Determination],"Partially Founded")</f>
        <v>0</v>
      </c>
      <c r="F40" s="3">
        <f ca="1">COUNTIFS(Results[Agent],Summary[[#This Row],[Agent]],Results[Reviewed Date],"&gt;="&amp;EOMONTH(TODAY(),-3)+1,Results[Reviewed Date],"&lt;="&amp;EOMONTH(TODAY(),0),Results[Determination],"Unfounded")</f>
        <v>0</v>
      </c>
      <c r="G40" s="3">
        <f ca="1">COUNTIFS(Results[Agent],Summary[[#This Row],[Agent]],Results[Reviewed Date],"&gt;="&amp;EOMONTH(TODAY(),-3)+1,Results[Reviewed Date],"&lt;="&amp;EOMONTH(TODAY(),0),Results[Determination],"Unfounded, coaching opportunities present")</f>
        <v>0</v>
      </c>
      <c r="H40" s="3">
        <f ca="1">COUNTIFS(Results[Agent],Summary[[#This Row],[Agent]],Results[Reviewed Date],"&gt;="&amp;EOMONTH(TODAY(),-3)+1,Results[Reviewed Date],"&lt;="&amp;EOMONTH(TODAY(),0))</f>
        <v>0</v>
      </c>
      <c r="I40" s="18" t="str">
        <f ca="1">IFERROR(Summary[[#This Row],[Total]]/Summary[[#This Row],[Total Policies]],"")</f>
        <v/>
      </c>
    </row>
    <row r="41" spans="1:10" s="16" customFormat="1" x14ac:dyDescent="0.25">
      <c r="A41" s="25" t="s">
        <v>43</v>
      </c>
      <c r="B41" s="3">
        <f ca="1">COUNTIFS(policies[[Effective Date ]],"&gt;="&amp;EOMONTH(TODAY(),-3)+1,policies[[Effective Date ]],"&lt;="&amp;EOMONTH(TODAY(),0),policies[Column3],Summary[[#This Row],[Agent]])</f>
        <v>102</v>
      </c>
      <c r="C41" s="3" t="s">
        <v>21</v>
      </c>
      <c r="D41" s="3">
        <f ca="1">COUNTIFS(Results[Agent],Summary[[#This Row],[Agent]],Results[Reviewed Date],"&gt;="&amp;EOMONTH(TODAY(),-3)+1,Results[Reviewed Date],"&lt;="&amp;EOMONTH(TODAY(),0),Results[Determination],"Founded")</f>
        <v>0</v>
      </c>
      <c r="E41" s="3">
        <f ca="1">COUNTIFS(Results[Agent],Summary[[#This Row],[Agent]],Results[Reviewed Date],"&gt;="&amp;EOMONTH(TODAY(),-3)+1,Results[Reviewed Date],"&lt;="&amp;EOMONTH(TODAY(),0),Results[Determination],"Partially Founded")</f>
        <v>0</v>
      </c>
      <c r="F41" s="3">
        <f ca="1">COUNTIFS(Results[Agent],Summary[[#This Row],[Agent]],Results[Reviewed Date],"&gt;="&amp;EOMONTH(TODAY(),-3)+1,Results[Reviewed Date],"&lt;="&amp;EOMONTH(TODAY(),0),Results[Determination],"Unfounded")</f>
        <v>0</v>
      </c>
      <c r="G41" s="3">
        <f ca="1">COUNTIFS(Results[Agent],Summary[[#This Row],[Agent]],Results[Reviewed Date],"&gt;="&amp;EOMONTH(TODAY(),-3)+1,Results[Reviewed Date],"&lt;="&amp;EOMONTH(TODAY(),0),Results[Determination],"Unfounded, coaching opportunities present")</f>
        <v>0</v>
      </c>
      <c r="H41" s="3">
        <f ca="1">COUNTIFS(Results[Agent],Summary[[#This Row],[Agent]],Results[Reviewed Date],"&gt;="&amp;EOMONTH(TODAY(),-3)+1,Results[Reviewed Date],"&lt;="&amp;EOMONTH(TODAY(),0))</f>
        <v>0</v>
      </c>
      <c r="I41" s="18">
        <f ca="1">IFERROR(Summary[[#This Row],[Total]]/Summary[[#This Row],[Total Policies]],"")</f>
        <v>0</v>
      </c>
      <c r="J41"/>
    </row>
    <row r="42" spans="1:10" x14ac:dyDescent="0.25">
      <c r="A42" s="26" t="s">
        <v>14291</v>
      </c>
      <c r="B42" s="3">
        <f ca="1">COUNTIFS(policies[[Effective Date ]],"&gt;="&amp;EOMONTH(TODAY(),-3)+1,policies[[Effective Date ]],"&lt;="&amp;EOMONTH(TODAY(),0),policies[Column3],Summary[[#This Row],[Agent]])</f>
        <v>0</v>
      </c>
      <c r="C42" s="3" t="s">
        <v>14294</v>
      </c>
      <c r="D42" s="3">
        <f ca="1">COUNTIFS(Results[Agent],Summary[[#This Row],[Agent]],Results[Reviewed Date],"&gt;="&amp;EOMONTH(TODAY(),-3)+1,Results[Reviewed Date],"&lt;="&amp;EOMONTH(TODAY(),0),Results[Determination],"Founded")</f>
        <v>0</v>
      </c>
      <c r="E42" s="3">
        <f ca="1">COUNTIFS(Results[Agent],Summary[[#This Row],[Agent]],Results[Reviewed Date],"&gt;="&amp;EOMONTH(TODAY(),-3)+1,Results[Reviewed Date],"&lt;="&amp;EOMONTH(TODAY(),0),Results[Determination],"Partially Founded")</f>
        <v>0</v>
      </c>
      <c r="F42" s="3">
        <f ca="1">COUNTIFS(Results[Agent],Summary[[#This Row],[Agent]],Results[Reviewed Date],"&gt;="&amp;EOMONTH(TODAY(),-3)+1,Results[Reviewed Date],"&lt;="&amp;EOMONTH(TODAY(),0),Results[Determination],"Unfounded")</f>
        <v>0</v>
      </c>
      <c r="G42" s="3">
        <f ca="1">COUNTIFS(Results[Agent],Summary[[#This Row],[Agent]],Results[Reviewed Date],"&gt;="&amp;EOMONTH(TODAY(),-3)+1,Results[Reviewed Date],"&lt;="&amp;EOMONTH(TODAY(),0),Results[Determination],"Unfounded, coaching opportunities present")</f>
        <v>0</v>
      </c>
      <c r="H42" s="3">
        <f ca="1">COUNTIFS(Results[Agent],Summary[[#This Row],[Agent]],Results[Reviewed Date],"&gt;="&amp;EOMONTH(TODAY(),-3)+1,Results[Reviewed Date],"&lt;="&amp;EOMONTH(TODAY(),0))</f>
        <v>0</v>
      </c>
      <c r="I42" s="18" t="str">
        <f ca="1">IFERROR(Summary[[#This Row],[Total]]/Summary[[#This Row],[Total Policies]],"")</f>
        <v/>
      </c>
    </row>
    <row r="43" spans="1:10" x14ac:dyDescent="0.25">
      <c r="A43" s="26" t="s">
        <v>45</v>
      </c>
      <c r="B43" s="3">
        <f ca="1">COUNTIFS(policies[[Effective Date ]],"&gt;="&amp;EOMONTH(TODAY(),-3)+1,policies[[Effective Date ]],"&lt;="&amp;EOMONTH(TODAY(),0),policies[Column3],Summary[[#This Row],[Agent]])</f>
        <v>35</v>
      </c>
      <c r="C43" s="3" t="s">
        <v>13</v>
      </c>
      <c r="D43" s="3">
        <f ca="1">COUNTIFS(Results[Agent],Summary[[#This Row],[Agent]],Results[Reviewed Date],"&gt;="&amp;EOMONTH(TODAY(),-3)+1,Results[Reviewed Date],"&lt;="&amp;EOMONTH(TODAY(),0),Results[Determination],"Founded")</f>
        <v>0</v>
      </c>
      <c r="E43" s="3">
        <f ca="1">COUNTIFS(Results[Agent],Summary[[#This Row],[Agent]],Results[Reviewed Date],"&gt;="&amp;EOMONTH(TODAY(),-3)+1,Results[Reviewed Date],"&lt;="&amp;EOMONTH(TODAY(),0),Results[Determination],"Partially Founded")</f>
        <v>0</v>
      </c>
      <c r="F43" s="3">
        <f ca="1">COUNTIFS(Results[Agent],Summary[[#This Row],[Agent]],Results[Reviewed Date],"&gt;="&amp;EOMONTH(TODAY(),-3)+1,Results[Reviewed Date],"&lt;="&amp;EOMONTH(TODAY(),0),Results[Determination],"Unfounded")</f>
        <v>0</v>
      </c>
      <c r="G43" s="3">
        <f ca="1">COUNTIFS(Results[Agent],Summary[[#This Row],[Agent]],Results[Reviewed Date],"&gt;="&amp;EOMONTH(TODAY(),-3)+1,Results[Reviewed Date],"&lt;="&amp;EOMONTH(TODAY(),0),Results[Determination],"Unfounded, coaching opportunities present")</f>
        <v>0</v>
      </c>
      <c r="H43" s="3">
        <f ca="1">COUNTIFS(Results[Agent],Summary[[#This Row],[Agent]],Results[Reviewed Date],"&gt;="&amp;EOMONTH(TODAY(),-3)+1,Results[Reviewed Date],"&lt;="&amp;EOMONTH(TODAY(),0))</f>
        <v>0</v>
      </c>
      <c r="I43" s="18">
        <f ca="1">IFERROR(Summary[[#This Row],[Total]]/Summary[[#This Row],[Total Policies]],"")</f>
        <v>0</v>
      </c>
    </row>
    <row r="44" spans="1:10" x14ac:dyDescent="0.25">
      <c r="A44" s="26" t="s">
        <v>14073</v>
      </c>
      <c r="B44" s="3">
        <f ca="1">COUNTIFS(policies[[Effective Date ]],"&gt;="&amp;EOMONTH(TODAY(),-3)+1,policies[[Effective Date ]],"&lt;="&amp;EOMONTH(TODAY(),0),policies[Column3],Summary[[#This Row],[Agent]])</f>
        <v>0</v>
      </c>
      <c r="C44" s="3" t="s">
        <v>14294</v>
      </c>
      <c r="D44" s="3">
        <f ca="1">COUNTIFS(Results[Agent],Summary[[#This Row],[Agent]],Results[Reviewed Date],"&gt;="&amp;EOMONTH(TODAY(),-3)+1,Results[Reviewed Date],"&lt;="&amp;EOMONTH(TODAY(),0),Results[Determination],"Founded")</f>
        <v>0</v>
      </c>
      <c r="E44" s="3">
        <f ca="1">COUNTIFS(Results[Agent],Summary[[#This Row],[Agent]],Results[Reviewed Date],"&gt;="&amp;EOMONTH(TODAY(),-3)+1,Results[Reviewed Date],"&lt;="&amp;EOMONTH(TODAY(),0),Results[Determination],"Partially Founded")</f>
        <v>0</v>
      </c>
      <c r="F44" s="3">
        <f ca="1">COUNTIFS(Results[Agent],Summary[[#This Row],[Agent]],Results[Reviewed Date],"&gt;="&amp;EOMONTH(TODAY(),-3)+1,Results[Reviewed Date],"&lt;="&amp;EOMONTH(TODAY(),0),Results[Determination],"Unfounded")</f>
        <v>0</v>
      </c>
      <c r="G44" s="3">
        <f ca="1">COUNTIFS(Results[Agent],Summary[[#This Row],[Agent]],Results[Reviewed Date],"&gt;="&amp;EOMONTH(TODAY(),-3)+1,Results[Reviewed Date],"&lt;="&amp;EOMONTH(TODAY(),0),Results[Determination],"Unfounded, coaching opportunities present")</f>
        <v>0</v>
      </c>
      <c r="H44" s="3">
        <f ca="1">COUNTIFS(Results[Agent],Summary[[#This Row],[Agent]],Results[Reviewed Date],"&gt;="&amp;EOMONTH(TODAY(),-3)+1,Results[Reviewed Date],"&lt;="&amp;EOMONTH(TODAY(),0))</f>
        <v>0</v>
      </c>
      <c r="I44" s="18" t="str">
        <f ca="1">IFERROR(Summary[[#This Row],[Total]]/Summary[[#This Row],[Total Policies]],"")</f>
        <v/>
      </c>
    </row>
    <row r="45" spans="1:10" x14ac:dyDescent="0.25">
      <c r="A45" s="26" t="s">
        <v>14204</v>
      </c>
      <c r="B45" s="3">
        <f ca="1">COUNTIFS(policies[[Effective Date ]],"&gt;="&amp;EOMONTH(TODAY(),-3)+1,policies[[Effective Date ]],"&lt;="&amp;EOMONTH(TODAY(),0),policies[Column3],Summary[[#This Row],[Agent]])</f>
        <v>0</v>
      </c>
      <c r="C45" s="3" t="s">
        <v>14294</v>
      </c>
      <c r="D45" s="3">
        <f ca="1">COUNTIFS(Results[Agent],Summary[[#This Row],[Agent]],Results[Reviewed Date],"&gt;="&amp;EOMONTH(TODAY(),-3)+1,Results[Reviewed Date],"&lt;="&amp;EOMONTH(TODAY(),0),Results[Determination],"Founded")</f>
        <v>0</v>
      </c>
      <c r="E45" s="3">
        <f ca="1">COUNTIFS(Results[Agent],Summary[[#This Row],[Agent]],Results[Reviewed Date],"&gt;="&amp;EOMONTH(TODAY(),-3)+1,Results[Reviewed Date],"&lt;="&amp;EOMONTH(TODAY(),0),Results[Determination],"Partially Founded")</f>
        <v>0</v>
      </c>
      <c r="F45" s="3">
        <f ca="1">COUNTIFS(Results[Agent],Summary[[#This Row],[Agent]],Results[Reviewed Date],"&gt;="&amp;EOMONTH(TODAY(),-3)+1,Results[Reviewed Date],"&lt;="&amp;EOMONTH(TODAY(),0),Results[Determination],"Unfounded")</f>
        <v>0</v>
      </c>
      <c r="G45" s="3">
        <f ca="1">COUNTIFS(Results[Agent],Summary[[#This Row],[Agent]],Results[Reviewed Date],"&gt;="&amp;EOMONTH(TODAY(),-3)+1,Results[Reviewed Date],"&lt;="&amp;EOMONTH(TODAY(),0),Results[Determination],"Unfounded, coaching opportunities present")</f>
        <v>0</v>
      </c>
      <c r="H45" s="3">
        <f ca="1">COUNTIFS(Results[Agent],Summary[[#This Row],[Agent]],Results[Reviewed Date],"&gt;="&amp;EOMONTH(TODAY(),-3)+1,Results[Reviewed Date],"&lt;="&amp;EOMONTH(TODAY(),0))</f>
        <v>0</v>
      </c>
      <c r="I45" s="18" t="str">
        <f ca="1">IFERROR(Summary[[#This Row],[Total]]/Summary[[#This Row],[Total Policies]],"")</f>
        <v/>
      </c>
    </row>
    <row r="46" spans="1:10" x14ac:dyDescent="0.25">
      <c r="A46" s="26" t="s">
        <v>48</v>
      </c>
      <c r="B46" s="3">
        <f ca="1">COUNTIFS(policies[[Effective Date ]],"&gt;="&amp;EOMONTH(TODAY(),-3)+1,policies[[Effective Date ]],"&lt;="&amp;EOMONTH(TODAY(),0),policies[Column3],Summary[[#This Row],[Agent]])</f>
        <v>51</v>
      </c>
      <c r="C46" s="3" t="s">
        <v>91</v>
      </c>
      <c r="D46" s="3">
        <f ca="1">COUNTIFS(Results[Agent],Summary[[#This Row],[Agent]],Results[Reviewed Date],"&gt;="&amp;EOMONTH(TODAY(),-3)+1,Results[Reviewed Date],"&lt;="&amp;EOMONTH(TODAY(),0),Results[Determination],"Founded")</f>
        <v>0</v>
      </c>
      <c r="E46" s="3">
        <f ca="1">COUNTIFS(Results[Agent],Summary[[#This Row],[Agent]],Results[Reviewed Date],"&gt;="&amp;EOMONTH(TODAY(),-3)+1,Results[Reviewed Date],"&lt;="&amp;EOMONTH(TODAY(),0),Results[Determination],"Partially Founded")</f>
        <v>0</v>
      </c>
      <c r="F46" s="3">
        <f ca="1">COUNTIFS(Results[Agent],Summary[[#This Row],[Agent]],Results[Reviewed Date],"&gt;="&amp;EOMONTH(TODAY(),-3)+1,Results[Reviewed Date],"&lt;="&amp;EOMONTH(TODAY(),0),Results[Determination],"Unfounded")</f>
        <v>0</v>
      </c>
      <c r="G46" s="3">
        <f ca="1">COUNTIFS(Results[Agent],Summary[[#This Row],[Agent]],Results[Reviewed Date],"&gt;="&amp;EOMONTH(TODAY(),-3)+1,Results[Reviewed Date],"&lt;="&amp;EOMONTH(TODAY(),0),Results[Determination],"Unfounded, coaching opportunities present")</f>
        <v>0</v>
      </c>
      <c r="H46" s="3">
        <f ca="1">COUNTIFS(Results[Agent],Summary[[#This Row],[Agent]],Results[Reviewed Date],"&gt;="&amp;EOMONTH(TODAY(),-3)+1,Results[Reviewed Date],"&lt;="&amp;EOMONTH(TODAY(),0))</f>
        <v>0</v>
      </c>
      <c r="I46" s="18">
        <f ca="1">IFERROR(Summary[[#This Row],[Total]]/Summary[[#This Row],[Total Policies]],"")</f>
        <v>0</v>
      </c>
    </row>
    <row r="47" spans="1:10" x14ac:dyDescent="0.25">
      <c r="A47" s="26" t="s">
        <v>12451</v>
      </c>
      <c r="B47" s="3">
        <f ca="1">COUNTIFS(policies[[Effective Date ]],"&gt;="&amp;EOMONTH(TODAY(),-3)+1,policies[[Effective Date ]],"&lt;="&amp;EOMONTH(TODAY(),0),policies[Column3],Summary[[#This Row],[Agent]])</f>
        <v>16</v>
      </c>
      <c r="C47" s="3" t="s">
        <v>13</v>
      </c>
      <c r="D47" s="3">
        <f ca="1">COUNTIFS(Results[Agent],Summary[[#This Row],[Agent]],Results[Reviewed Date],"&gt;="&amp;EOMONTH(TODAY(),-3)+1,Results[Reviewed Date],"&lt;="&amp;EOMONTH(TODAY(),0),Results[Determination],"Founded")</f>
        <v>0</v>
      </c>
      <c r="E47" s="3">
        <f ca="1">COUNTIFS(Results[Agent],Summary[[#This Row],[Agent]],Results[Reviewed Date],"&gt;="&amp;EOMONTH(TODAY(),-3)+1,Results[Reviewed Date],"&lt;="&amp;EOMONTH(TODAY(),0),Results[Determination],"Partially Founded")</f>
        <v>0</v>
      </c>
      <c r="F47" s="3">
        <f ca="1">COUNTIFS(Results[Agent],Summary[[#This Row],[Agent]],Results[Reviewed Date],"&gt;="&amp;EOMONTH(TODAY(),-3)+1,Results[Reviewed Date],"&lt;="&amp;EOMONTH(TODAY(),0),Results[Determination],"Unfounded")</f>
        <v>0</v>
      </c>
      <c r="G47" s="3">
        <f ca="1">COUNTIFS(Results[Agent],Summary[[#This Row],[Agent]],Results[Reviewed Date],"&gt;="&amp;EOMONTH(TODAY(),-3)+1,Results[Reviewed Date],"&lt;="&amp;EOMONTH(TODAY(),0),Results[Determination],"Unfounded, coaching opportunities present")</f>
        <v>0</v>
      </c>
      <c r="H47" s="3">
        <f ca="1">COUNTIFS(Results[Agent],Summary[[#This Row],[Agent]],Results[Reviewed Date],"&gt;="&amp;EOMONTH(TODAY(),-3)+1,Results[Reviewed Date],"&lt;="&amp;EOMONTH(TODAY(),0))</f>
        <v>0</v>
      </c>
      <c r="I47" s="18">
        <f ca="1">IFERROR(Summary[[#This Row],[Total]]/Summary[[#This Row],[Total Policies]],"")</f>
        <v>0</v>
      </c>
    </row>
    <row r="48" spans="1:10" x14ac:dyDescent="0.25">
      <c r="A48" s="26" t="s">
        <v>14292</v>
      </c>
      <c r="B48" s="3">
        <f ca="1">COUNTIFS(policies[[Effective Date ]],"&gt;="&amp;EOMONTH(TODAY(),-3)+1,policies[[Effective Date ]],"&lt;="&amp;EOMONTH(TODAY(),0),policies[Column3],Summary[[#This Row],[Agent]])</f>
        <v>0</v>
      </c>
      <c r="C48" s="3" t="s">
        <v>14294</v>
      </c>
      <c r="D48" s="3">
        <f ca="1">COUNTIFS(Results[Agent],Summary[[#This Row],[Agent]],Results[Reviewed Date],"&gt;="&amp;EOMONTH(TODAY(),-3)+1,Results[Reviewed Date],"&lt;="&amp;EOMONTH(TODAY(),0),Results[Determination],"Founded")</f>
        <v>0</v>
      </c>
      <c r="E48" s="3">
        <f ca="1">COUNTIFS(Results[Agent],Summary[[#This Row],[Agent]],Results[Reviewed Date],"&gt;="&amp;EOMONTH(TODAY(),-3)+1,Results[Reviewed Date],"&lt;="&amp;EOMONTH(TODAY(),0),Results[Determination],"Partially Founded")</f>
        <v>0</v>
      </c>
      <c r="F48" s="3">
        <f ca="1">COUNTIFS(Results[Agent],Summary[[#This Row],[Agent]],Results[Reviewed Date],"&gt;="&amp;EOMONTH(TODAY(),-3)+1,Results[Reviewed Date],"&lt;="&amp;EOMONTH(TODAY(),0),Results[Determination],"Unfounded")</f>
        <v>0</v>
      </c>
      <c r="G48" s="3">
        <f ca="1">COUNTIFS(Results[Agent],Summary[[#This Row],[Agent]],Results[Reviewed Date],"&gt;="&amp;EOMONTH(TODAY(),-3)+1,Results[Reviewed Date],"&lt;="&amp;EOMONTH(TODAY(),0),Results[Determination],"Unfounded, coaching opportunities present")</f>
        <v>0</v>
      </c>
      <c r="H48" s="3">
        <f ca="1">COUNTIFS(Results[Agent],Summary[[#This Row],[Agent]],Results[Reviewed Date],"&gt;="&amp;EOMONTH(TODAY(),-3)+1,Results[Reviewed Date],"&lt;="&amp;EOMONTH(TODAY(),0))</f>
        <v>0</v>
      </c>
      <c r="I48" s="18" t="str">
        <f ca="1">IFERROR(Summary[[#This Row],[Total]]/Summary[[#This Row],[Total Policies]],"")</f>
        <v/>
      </c>
    </row>
    <row r="49" spans="1:10" x14ac:dyDescent="0.25">
      <c r="A49" s="3" t="s">
        <v>8</v>
      </c>
      <c r="B49" s="3">
        <f ca="1">SUBTOTAL(109,Summary[Total Policies])</f>
        <v>2035</v>
      </c>
      <c r="D49" s="3">
        <f ca="1">SUBTOTAL(109,Summary[Founded])</f>
        <v>27</v>
      </c>
      <c r="E49" s="3">
        <f ca="1">SUBTOTAL(109,Summary[Partially Founded])</f>
        <v>7</v>
      </c>
      <c r="F49" s="3">
        <f ca="1">SUBTOTAL(109,Summary[Unfounded])</f>
        <v>1</v>
      </c>
      <c r="G49" s="3">
        <f ca="1">SUBTOTAL(109,Summary[Unfounded, coaching opportunities present])</f>
        <v>6</v>
      </c>
      <c r="H49" s="3">
        <f ca="1">SUBTOTAL(109,Summary[Total])</f>
        <v>41</v>
      </c>
      <c r="I49" s="19">
        <f ca="1">Summary[[#Totals],[Total]]/SUM(Summary[Total Policies])</f>
        <v>2.0147420147420148E-2</v>
      </c>
    </row>
    <row r="52" spans="1:10" x14ac:dyDescent="0.25">
      <c r="A52" s="1" t="s">
        <v>50</v>
      </c>
      <c r="B52" s="1" t="s">
        <v>4</v>
      </c>
      <c r="C52" s="1" t="s">
        <v>5</v>
      </c>
      <c r="D52" s="1" t="s">
        <v>6</v>
      </c>
      <c r="E52" s="1" t="s">
        <v>7</v>
      </c>
      <c r="F52" s="1" t="s">
        <v>8</v>
      </c>
      <c r="G52" s="1"/>
      <c r="H52" s="16" t="s">
        <v>51</v>
      </c>
      <c r="I52" s="16"/>
      <c r="J52" s="16"/>
    </row>
    <row r="53" spans="1:10" x14ac:dyDescent="0.25">
      <c r="A53" s="2" t="s">
        <v>52</v>
      </c>
      <c r="B53" s="3">
        <f ca="1">COUNTIFS(Results[Complaint Source],Table6[[#This Row],[Source]],Results[Reviewed Date],"&gt;="&amp;EOMONTH(TODAY(),-3)+1,Results[Reviewed Date],"&lt;="&amp;EOMONTH(TODAY(),0),Results[Determination],"Founded")</f>
        <v>9</v>
      </c>
      <c r="C53" s="3">
        <f ca="1">COUNTIFS(Results[Complaint Source],Table6[[#This Row],[Source]],Results[Reviewed Date],"&gt;="&amp;EOMONTH(TODAY(),-3)+1,Results[Reviewed Date],"&lt;="&amp;EOMONTH(TODAY(),0),Results[Determination],"Partially Founded")</f>
        <v>3</v>
      </c>
      <c r="D53" s="3">
        <f ca="1">COUNTIFS(Results[Complaint Source],Table6[[#This Row],[Source]],Results[Reviewed Date],"&gt;="&amp;EOMONTH(TODAY(),-3)+1,Results[Reviewed Date],"&lt;="&amp;EOMONTH(TODAY(),0),Results[Determination],"Unfounded")</f>
        <v>1</v>
      </c>
      <c r="E53" s="3">
        <f ca="1">COUNTIFS(Results[Complaint Source],Table6[[#This Row],[Source]],Results[Reviewed Date],"&gt;="&amp;EOMONTH(TODAY(),-3)+1,Results[Reviewed Date],"&lt;="&amp;EOMONTH(TODAY(),0),Results[Determination],"Unfounded, coaching opportunities present")</f>
        <v>3</v>
      </c>
      <c r="F53" s="3">
        <f ca="1">SUM(Table6[[#This Row],[Founded]:[Unfounded, coaching opportunities present]])</f>
        <v>16</v>
      </c>
    </row>
    <row r="54" spans="1:10" x14ac:dyDescent="0.25">
      <c r="A54" s="2" t="s">
        <v>53</v>
      </c>
      <c r="B54" s="3">
        <f ca="1">COUNTIFS(Results[Complaint Source],Table6[[#This Row],[Source]],Results[Reviewed Date],"&gt;="&amp;EOMONTH(TODAY(),-3)+1,Results[Reviewed Date],"&lt;="&amp;EOMONTH(TODAY(),0),Results[Determination],"Founded")</f>
        <v>3</v>
      </c>
      <c r="C54" s="3">
        <f ca="1">COUNTIFS(Results[Complaint Source],Table6[[#This Row],[Source]],Results[Reviewed Date],"&gt;="&amp;EOMONTH(TODAY(),-3)+1,Results[Reviewed Date],"&lt;="&amp;EOMONTH(TODAY(),0),Results[Determination],"Partially Founded")</f>
        <v>2</v>
      </c>
      <c r="D54" s="3">
        <f ca="1">COUNTIFS(Results[Complaint Source],Table6[[#This Row],[Source]],Results[Reviewed Date],"&gt;="&amp;EOMONTH(TODAY(),-3)+1,Results[Reviewed Date],"&lt;="&amp;EOMONTH(TODAY(),0),Results[Determination],"Unfounded")</f>
        <v>0</v>
      </c>
      <c r="E54" s="3">
        <f ca="1">COUNTIFS(Results[Complaint Source],Table6[[#This Row],[Source]],Results[Reviewed Date],"&gt;="&amp;EOMONTH(TODAY(),-3)+1,Results[Reviewed Date],"&lt;="&amp;EOMONTH(TODAY(),0),Results[Determination],"Unfounded, coaching opportunities present")</f>
        <v>0</v>
      </c>
      <c r="F54" s="3">
        <f ca="1">SUM(Table6[[#This Row],[Founded]:[Unfounded, coaching opportunities present]])</f>
        <v>5</v>
      </c>
    </row>
    <row r="55" spans="1:10" x14ac:dyDescent="0.25">
      <c r="A55" s="2" t="s">
        <v>16</v>
      </c>
      <c r="B55" s="3">
        <f ca="1">COUNTIFS(Results[Complaint Source],Table6[[#This Row],[Source]],Results[Reviewed Date],"&gt;="&amp;EOMONTH(TODAY(),-3)+1,Results[Reviewed Date],"&lt;="&amp;EOMONTH(TODAY(),0),Results[Determination],"Founded")</f>
        <v>17</v>
      </c>
      <c r="C55" s="3">
        <f ca="1">COUNTIFS(Results[Complaint Source],Table6[[#This Row],[Source]],Results[Reviewed Date],"&gt;="&amp;EOMONTH(TODAY(),-3)+1,Results[Reviewed Date],"&lt;="&amp;EOMONTH(TODAY(),0),Results[Determination],"Partially Founded")</f>
        <v>2</v>
      </c>
      <c r="D55" s="3">
        <f ca="1">COUNTIFS(Results[Complaint Source],Table6[[#This Row],[Source]],Results[Reviewed Date],"&gt;="&amp;EOMONTH(TODAY(),-3)+1,Results[Reviewed Date],"&lt;="&amp;EOMONTH(TODAY(),0),Results[Determination],"Unfounded")</f>
        <v>1</v>
      </c>
      <c r="E55" s="3">
        <f ca="1">COUNTIFS(Results[Complaint Source],Table6[[#This Row],[Source]],Results[Reviewed Date],"&gt;="&amp;EOMONTH(TODAY(),-3)+1,Results[Reviewed Date],"&lt;="&amp;EOMONTH(TODAY(),0),Results[Determination],"Unfounded, coaching opportunities present")</f>
        <v>3</v>
      </c>
      <c r="F55" s="3">
        <f ca="1">SUM(Table6[[#This Row],[Founded]:[Unfounded, coaching opportunities present]])</f>
        <v>23</v>
      </c>
    </row>
    <row r="56" spans="1:10" x14ac:dyDescent="0.25">
      <c r="A56" s="2" t="s">
        <v>8</v>
      </c>
      <c r="B56" s="3">
        <f ca="1">SUBTOTAL(109,Table6[Founded])</f>
        <v>29</v>
      </c>
      <c r="C56" s="3">
        <f ca="1">SUBTOTAL(109,Table6[Partially Founded])</f>
        <v>7</v>
      </c>
      <c r="D56" s="3">
        <f ca="1">SUBTOTAL(109,Table6[Unfounded])</f>
        <v>2</v>
      </c>
      <c r="E56" s="3">
        <f ca="1">SUBTOTAL(109,Table6[Unfounded, coaching opportunities present])</f>
        <v>6</v>
      </c>
      <c r="F56" s="3">
        <f ca="1">SUBTOTAL(109,Table6[Total])</f>
        <v>44</v>
      </c>
    </row>
    <row r="59" spans="1:10" x14ac:dyDescent="0.25">
      <c r="A59" s="21" t="s">
        <v>52</v>
      </c>
      <c r="B59" s="20" t="s">
        <v>4</v>
      </c>
      <c r="C59" s="20" t="s">
        <v>5</v>
      </c>
      <c r="D59" s="20" t="s">
        <v>6</v>
      </c>
      <c r="E59" s="20" t="s">
        <v>7</v>
      </c>
      <c r="F59" s="20" t="s">
        <v>8</v>
      </c>
    </row>
    <row r="60" spans="1:10" x14ac:dyDescent="0.25">
      <c r="A60" s="2" t="s">
        <v>54</v>
      </c>
      <c r="B60" s="23">
        <f ca="1">COUNTIFS(Results[Name of Carrier Enrolled],Recap!A63,Results[Reviewed Date],"&gt;="&amp;EOMONTH(TODAY(),-3)+1,Results[Reviewed Date],"&lt;="&amp;EOMONTH(TODAY(),0),Results[Determination],"Founded")</f>
        <v>4</v>
      </c>
      <c r="C60" s="23">
        <f ca="1">COUNTIFS(Results[Name of Carrier Enrolled],[1]Recap!A52,Results[Reviewed Date],"&gt;="&amp;EOMONTH(TODAY(),-3)+1,Results[Reviewed Date],"&lt;="&amp;EOMONTH(TODAY(),0),Results[Determination],"Partially Founded")</f>
        <v>5</v>
      </c>
      <c r="D60" s="23">
        <f ca="1">COUNTIFS(Results[Name of Carrier Enrolled],[1]Recap!A52,Results[Reviewed Date],"&gt;="&amp;EOMONTH(TODAY(),-3)+1,Results[Reviewed Date],"&lt;="&amp;EOMONTH(TODAY(),0),Results[Determination],"Unfounded")</f>
        <v>1</v>
      </c>
      <c r="E60" s="23">
        <f ca="1">COUNTIFS(Results[Name of Carrier Enrolled],[1]Recap!A52,Results[Reviewed Date],"&gt;="&amp;EOMONTH(TODAY(),-3)+1,Results[Reviewed Date],"&lt;="&amp;EOMONTH(TODAY(),0),Results[Determination],"Unfounded, coaching opportunities present")</f>
        <v>1</v>
      </c>
      <c r="F60" s="23">
        <f ca="1">SUM(B60:E60)</f>
        <v>11</v>
      </c>
    </row>
    <row r="61" spans="1:10" x14ac:dyDescent="0.25">
      <c r="A61" s="2" t="s">
        <v>62</v>
      </c>
      <c r="B61" s="23">
        <f ca="1">COUNTIFS(Results[Name of Carrier Enrolled],Recap!A68,Results[Reviewed Date],"&gt;="&amp;EOMONTH(TODAY(),-3)+1,Results[Reviewed Date],"&lt;="&amp;EOMONTH(TODAY(),0),Results[Determination],"Founded")</f>
        <v>4</v>
      </c>
      <c r="C61" s="23">
        <f ca="1">COUNTIFS(Results[Name of Carrier Enrolled],[1]Recap!A57,Results[Reviewed Date],"&gt;="&amp;EOMONTH(TODAY(),-3)+1,Results[Reviewed Date],"&lt;="&amp;EOMONTH(TODAY(),0),Results[Determination],"Partially Founded")</f>
        <v>0</v>
      </c>
      <c r="D61" s="23">
        <f ca="1">COUNTIFS(Results[Name of Carrier Enrolled],[1]Recap!A57,Results[Reviewed Date],"&gt;="&amp;EOMONTH(TODAY(),-3)+1,Results[Reviewed Date],"&lt;="&amp;EOMONTH(TODAY(),0),Results[Determination],"Unfounded")</f>
        <v>0</v>
      </c>
      <c r="E61" s="23">
        <f ca="1">COUNTIFS(Results[Name of Carrier Enrolled],[1]Recap!A57,Results[Reviewed Date],"&gt;="&amp;EOMONTH(TODAY(),-3)+1,Results[Reviewed Date],"&lt;="&amp;EOMONTH(TODAY(),0),Results[Determination],"Unfounded, coaching opportunities present")</f>
        <v>0</v>
      </c>
      <c r="F61" s="23">
        <f ca="1">SUM(B61:E61)</f>
        <v>4</v>
      </c>
    </row>
    <row r="62" spans="1:10" x14ac:dyDescent="0.25">
      <c r="A62" s="2" t="s">
        <v>55</v>
      </c>
      <c r="B62" s="23">
        <f ca="1">COUNTIFS(Results[Name of Carrier Enrolled],Recap!A61,Results[Reviewed Date],"&gt;="&amp;EOMONTH(TODAY(),-3)+1,Results[Reviewed Date],"&lt;="&amp;EOMONTH(TODAY(),0),Results[Determination],"Founded")</f>
        <v>3</v>
      </c>
      <c r="C62" s="23">
        <f ca="1">COUNTIFS(Results[Name of Carrier Enrolled],[1]Recap!A50,Results[Reviewed Date],"&gt;="&amp;EOMONTH(TODAY(),-3)+1,Results[Reviewed Date],"&lt;="&amp;EOMONTH(TODAY(),0),Results[Determination],"Partially Founded")</f>
        <v>0</v>
      </c>
      <c r="D62" s="23">
        <f ca="1">COUNTIFS(Results[Name of Carrier Enrolled],[1]Recap!A50,Results[Reviewed Date],"&gt;="&amp;EOMONTH(TODAY(),-3)+1,Results[Reviewed Date],"&lt;="&amp;EOMONTH(TODAY(),0),Results[Determination],"Unfounded")</f>
        <v>1</v>
      </c>
      <c r="E62" s="23">
        <f ca="1">COUNTIFS(Results[Name of Carrier Enrolled],[1]Recap!A50,Results[Reviewed Date],"&gt;="&amp;EOMONTH(TODAY(),-3)+1,Results[Reviewed Date],"&lt;="&amp;EOMONTH(TODAY(),0),Results[Determination],"Unfounded, coaching opportunities present")</f>
        <v>2</v>
      </c>
      <c r="F62" s="23">
        <f ca="1">SUM(B62:E62)</f>
        <v>6</v>
      </c>
    </row>
    <row r="63" spans="1:10" x14ac:dyDescent="0.25">
      <c r="A63" s="2" t="s">
        <v>59</v>
      </c>
      <c r="B63" s="23">
        <f ca="1">COUNTIFS(Results[Name of Carrier Enrolled],Recap!A62,Results[Reviewed Date],"&gt;="&amp;EOMONTH(TODAY(),-3)+1,Results[Reviewed Date],"&lt;="&amp;EOMONTH(TODAY(),0),Results[Determination],"Founded")</f>
        <v>1</v>
      </c>
      <c r="C63" s="23">
        <f ca="1">COUNTIFS(Results[Name of Carrier Enrolled],[1]Recap!A51,Results[Reviewed Date],"&gt;="&amp;EOMONTH(TODAY(),-3)+1,Results[Reviewed Date],"&lt;="&amp;EOMONTH(TODAY(),0),Results[Determination],"Partially Founded")</f>
        <v>1</v>
      </c>
      <c r="D63" s="23">
        <f ca="1">COUNTIFS(Results[Name of Carrier Enrolled],[1]Recap!A51,Results[Reviewed Date],"&gt;="&amp;EOMONTH(TODAY(),-3)+1,Results[Reviewed Date],"&lt;="&amp;EOMONTH(TODAY(),0),Results[Determination],"Unfounded")</f>
        <v>0</v>
      </c>
      <c r="E63" s="23">
        <f ca="1">COUNTIFS(Results[Name of Carrier Enrolled],[1]Recap!A51,Results[Reviewed Date],"&gt;="&amp;EOMONTH(TODAY(),-3)+1,Results[Reviewed Date],"&lt;="&amp;EOMONTH(TODAY(),0),Results[Determination],"Unfounded, coaching opportunities present")</f>
        <v>1</v>
      </c>
      <c r="F63" s="23">
        <f ca="1">SUM(B63:E63)</f>
        <v>3</v>
      </c>
    </row>
    <row r="64" spans="1:10" x14ac:dyDescent="0.25">
      <c r="A64" s="2" t="s">
        <v>58</v>
      </c>
      <c r="B64" s="23">
        <f ca="1">COUNTIFS(Results[Name of Carrier Enrolled],Recap!A66,Results[Reviewed Date],"&gt;="&amp;EOMONTH(TODAY(),-3)+1,Results[Reviewed Date],"&lt;="&amp;EOMONTH(TODAY(),0),Results[Determination],"Founded")</f>
        <v>8</v>
      </c>
      <c r="C64" s="23">
        <f ca="1">COUNTIFS(Results[Name of Carrier Enrolled],[1]Recap!A55,Results[Reviewed Date],"&gt;="&amp;EOMONTH(TODAY(),-3)+1,Results[Reviewed Date],"&lt;="&amp;EOMONTH(TODAY(),0),Results[Determination],"Partially Founded")</f>
        <v>0</v>
      </c>
      <c r="D64" s="23">
        <f ca="1">COUNTIFS(Results[Name of Carrier Enrolled],[1]Recap!A55,Results[Reviewed Date],"&gt;="&amp;EOMONTH(TODAY(),-3)+1,Results[Reviewed Date],"&lt;="&amp;EOMONTH(TODAY(),0),Results[Determination],"Unfounded")</f>
        <v>0</v>
      </c>
      <c r="E64" s="23">
        <f ca="1">COUNTIFS(Results[Name of Carrier Enrolled],[1]Recap!A55,Results[Reviewed Date],"&gt;="&amp;EOMONTH(TODAY(),-3)+1,Results[Reviewed Date],"&lt;="&amp;EOMONTH(TODAY(),0),Results[Determination],"Unfounded, coaching opportunities present")</f>
        <v>1</v>
      </c>
      <c r="F64" s="23">
        <f ca="1">SUM(B64:E64)</f>
        <v>9</v>
      </c>
    </row>
    <row r="65" spans="1:6" x14ac:dyDescent="0.25">
      <c r="A65" s="2" t="s">
        <v>61</v>
      </c>
      <c r="B65" s="23">
        <f ca="1">COUNTIFS(Results[Name of Carrier Enrolled],Recap!A67,Results[Reviewed Date],"&gt;="&amp;EOMONTH(TODAY(),-3)+1,Results[Reviewed Date],"&lt;="&amp;EOMONTH(TODAY(),0),Results[Determination],"Founded")</f>
        <v>1</v>
      </c>
      <c r="C65" s="23">
        <f ca="1">COUNTIFS(Results[Name of Carrier Enrolled],[1]Recap!A56,Results[Reviewed Date],"&gt;="&amp;EOMONTH(TODAY(),-3)+1,Results[Reviewed Date],"&lt;="&amp;EOMONTH(TODAY(),0),Results[Determination],"Partially Founded")</f>
        <v>1</v>
      </c>
      <c r="D65" s="23">
        <f ca="1">COUNTIFS(Results[Name of Carrier Enrolled],[1]Recap!A56,Results[Reviewed Date],"&gt;="&amp;EOMONTH(TODAY(),-3)+1,Results[Reviewed Date],"&lt;="&amp;EOMONTH(TODAY(),0),Results[Determination],"Unfounded")</f>
        <v>0</v>
      </c>
      <c r="E65" s="23">
        <f ca="1">COUNTIFS(Results[Name of Carrier Enrolled],[1]Recap!A56,Results[Reviewed Date],"&gt;="&amp;EOMONTH(TODAY(),-3)+1,Results[Reviewed Date],"&lt;="&amp;EOMONTH(TODAY(),0),Results[Determination],"Unfounded, coaching opportunities present")</f>
        <v>0</v>
      </c>
      <c r="F65" s="23">
        <f ca="1">SUM(B65:E65)</f>
        <v>2</v>
      </c>
    </row>
    <row r="66" spans="1:6" x14ac:dyDescent="0.25">
      <c r="A66" s="2" t="s">
        <v>56</v>
      </c>
      <c r="B66" s="23">
        <f ca="1">COUNTIFS(Results[Name of Carrier Enrolled],Recap!A64,Results[Reviewed Date],"&gt;="&amp;EOMONTH(TODAY(),-3)+1,Results[Reviewed Date],"&lt;="&amp;EOMONTH(TODAY(),0),Results[Determination],"Founded")</f>
        <v>4</v>
      </c>
      <c r="C66" s="23">
        <f ca="1">COUNTIFS(Results[Name of Carrier Enrolled],[1]Recap!A53,Results[Reviewed Date],"&gt;="&amp;EOMONTH(TODAY(),-3)+1,Results[Reviewed Date],"&lt;="&amp;EOMONTH(TODAY(),0),Results[Determination],"Partially Founded")</f>
        <v>0</v>
      </c>
      <c r="D66" s="23">
        <f ca="1">COUNTIFS(Results[Name of Carrier Enrolled],[1]Recap!A53,Results[Reviewed Date],"&gt;="&amp;EOMONTH(TODAY(),-3)+1,Results[Reviewed Date],"&lt;="&amp;EOMONTH(TODAY(),0),Results[Determination],"Unfounded")</f>
        <v>0</v>
      </c>
      <c r="E66" s="23">
        <f ca="1">COUNTIFS(Results[Name of Carrier Enrolled],[1]Recap!A53,Results[Reviewed Date],"&gt;="&amp;EOMONTH(TODAY(),-3)+1,Results[Reviewed Date],"&lt;="&amp;EOMONTH(TODAY(),0),Results[Determination],"Unfounded, coaching opportunities present")</f>
        <v>0</v>
      </c>
      <c r="F66" s="23">
        <f ca="1">SUM(B66:E66)</f>
        <v>4</v>
      </c>
    </row>
    <row r="67" spans="1:6" x14ac:dyDescent="0.25">
      <c r="A67" s="2" t="s">
        <v>57</v>
      </c>
      <c r="B67" s="23">
        <f ca="1">COUNTIFS(Results[Name of Carrier Enrolled],Recap!A65,Results[Reviewed Date],"&gt;="&amp;EOMONTH(TODAY(),-3)+1,Results[Reviewed Date],"&lt;="&amp;EOMONTH(TODAY(),0),Results[Determination],"Founded")</f>
        <v>0</v>
      </c>
      <c r="C67" s="23">
        <f ca="1">COUNTIFS(Results[Name of Carrier Enrolled],[1]Recap!A54,Results[Reviewed Date],"&gt;="&amp;EOMONTH(TODAY(),-3)+1,Results[Reviewed Date],"&lt;="&amp;EOMONTH(TODAY(),0),Results[Determination],"Partially Founded")</f>
        <v>0</v>
      </c>
      <c r="D67" s="23">
        <f ca="1">COUNTIFS(Results[Name of Carrier Enrolled],[1]Recap!A54,Results[Reviewed Date],"&gt;="&amp;EOMONTH(TODAY(),-3)+1,Results[Reviewed Date],"&lt;="&amp;EOMONTH(TODAY(),0),Results[Determination],"Unfounded")</f>
        <v>0</v>
      </c>
      <c r="E67" s="23">
        <f ca="1">COUNTIFS(Results[Name of Carrier Enrolled],[1]Recap!A54,Results[Reviewed Date],"&gt;="&amp;EOMONTH(TODAY(),-3)+1,Results[Reviewed Date],"&lt;="&amp;EOMONTH(TODAY(),0),Results[Determination],"Unfounded, coaching opportunities present")</f>
        <v>1</v>
      </c>
      <c r="F67" s="23">
        <f ca="1">SUM(B67:E67)</f>
        <v>1</v>
      </c>
    </row>
    <row r="68" spans="1:6" x14ac:dyDescent="0.25">
      <c r="A68" s="2" t="s">
        <v>60</v>
      </c>
      <c r="B68" s="23">
        <f ca="1">COUNTIFS(Results[Name of Carrier Enrolled],Recap!A60,Results[Reviewed Date],"&gt;="&amp;EOMONTH(TODAY(),-3)+1,Results[Reviewed Date],"&lt;="&amp;EOMONTH(TODAY(),0),Results[Determination],"Founded")</f>
        <v>4</v>
      </c>
      <c r="C68" s="23">
        <f ca="1">COUNTIFS(Results[Name of Carrier Enrolled],[1]Recap!A49,Results[Reviewed Date],"&gt;="&amp;EOMONTH(TODAY(),-3)+1,Results[Reviewed Date],"&lt;="&amp;EOMONTH(TODAY(),0),Results[Determination],"Partially Founded")</f>
        <v>0</v>
      </c>
      <c r="D68" s="23">
        <f ca="1">COUNTIFS(Results[Name of Carrier Enrolled],[1]Recap!A49,Results[Reviewed Date],"&gt;="&amp;EOMONTH(TODAY(),-3)+1,Results[Reviewed Date],"&lt;="&amp;EOMONTH(TODAY(),0),Results[Determination],"Unfounded")</f>
        <v>0</v>
      </c>
      <c r="E68" s="23">
        <f ca="1">COUNTIFS(Results[Name of Carrier Enrolled],[1]Recap!A49,Results[Reviewed Date],"&gt;="&amp;EOMONTH(TODAY(),-3)+1,Results[Reviewed Date],"&lt;="&amp;EOMONTH(TODAY(),0),Results[Determination],"Unfounded, coaching opportunities present")</f>
        <v>0</v>
      </c>
      <c r="F68" s="23">
        <f ca="1">SUM(B68:E68)</f>
        <v>4</v>
      </c>
    </row>
    <row r="69" spans="1:6" x14ac:dyDescent="0.25">
      <c r="A69" s="2" t="s">
        <v>8</v>
      </c>
      <c r="B69" s="23">
        <f ca="1">SUBTOTAL(109,Table9[Founded])</f>
        <v>29</v>
      </c>
      <c r="C69" s="23">
        <f ca="1">SUBTOTAL(109,Table9[Partially Founded])</f>
        <v>7</v>
      </c>
      <c r="D69" s="23">
        <f ca="1">SUBTOTAL(109,Table9[Unfounded])</f>
        <v>2</v>
      </c>
      <c r="E69" s="23">
        <f ca="1">SUBTOTAL(109,Table9[Unfounded, coaching opportunities present])</f>
        <v>6</v>
      </c>
      <c r="F69" s="23">
        <f ca="1">SUBTOTAL(109,Table9[Total])</f>
        <v>44</v>
      </c>
    </row>
    <row r="70" spans="1:6" x14ac:dyDescent="0.25">
      <c r="A70" s="2"/>
      <c r="B70" s="23"/>
      <c r="C70" s="23"/>
      <c r="D70" s="23"/>
      <c r="E70" s="23"/>
      <c r="F70" s="23"/>
    </row>
    <row r="72" spans="1:6" x14ac:dyDescent="0.25">
      <c r="A72" s="21" t="s">
        <v>63</v>
      </c>
      <c r="B72" s="20" t="s">
        <v>4</v>
      </c>
      <c r="C72" s="20" t="s">
        <v>5</v>
      </c>
      <c r="D72" s="20" t="s">
        <v>6</v>
      </c>
      <c r="E72" s="20" t="s">
        <v>7</v>
      </c>
      <c r="F72" s="20" t="s">
        <v>8</v>
      </c>
    </row>
    <row r="73" spans="1:6" x14ac:dyDescent="0.25">
      <c r="A73" s="2" t="s">
        <v>64</v>
      </c>
      <c r="B73" s="23">
        <f ca="1">COUNTIFS(Results[Allegation Topic],"*Benefit Misinformation*",Results[Reviewed Date],"&gt;="&amp;EOMONTH(TODAY(),-3)+1,Results[Reviewed Date],"&lt;="&amp;EOMONTH(TODAY(),0),Results[Determination],"Founded")</f>
        <v>15</v>
      </c>
      <c r="C73" s="23">
        <f ca="1">COUNTIFS(Results[Allegation Topic],"*Benefit Misinformation*",Results[Reviewed Date],"&gt;="&amp;EOMONTH(TODAY(),-3)+1,Results[Reviewed Date],"&lt;="&amp;EOMONTH(TODAY(),0),Results[Determination],"Partially Founded")</f>
        <v>4</v>
      </c>
      <c r="D73" s="23">
        <f ca="1">COUNTIFS(Results[Allegation Topic],"*Benefit Misinformation*",Results[Reviewed Date],"&gt;="&amp;EOMONTH(TODAY(),-3)+1,Results[Reviewed Date],"&lt;="&amp;EOMONTH(TODAY(),0),Results[Determination],"Unfounded")</f>
        <v>1</v>
      </c>
      <c r="E73" s="23">
        <f ca="1">COUNTIFS(Results[Allegation Topic],"*Benefit Misinformation*",Results[Reviewed Date],"&gt;="&amp;EOMONTH(TODAY(),-3)+1,Results[Reviewed Date],"&lt;="&amp;EOMONTH(TODAY(),0),Results[Determination],"Unfounded, coaching opportunities present")</f>
        <v>3</v>
      </c>
      <c r="F73" s="23">
        <f ca="1">SUM(B73:E73)</f>
        <v>23</v>
      </c>
    </row>
    <row r="74" spans="1:6" x14ac:dyDescent="0.25">
      <c r="A74" s="2" t="s">
        <v>65</v>
      </c>
      <c r="B74" s="23">
        <f ca="1">COUNTIFS(Results[Allegation Topic],"*Providers - Medical*",Results[Reviewed Date],"&gt;="&amp;EOMONTH(TODAY(),-3)+1,Results[Reviewed Date],"&lt;="&amp;EOMONTH(TODAY(),0),Results[Determination],"Founded")</f>
        <v>14</v>
      </c>
      <c r="C74" s="23">
        <f ca="1">COUNTIFS(Results[Allegation Topic],"*Providers - Medical*",Results[Reviewed Date],"&gt;="&amp;EOMONTH(TODAY(),-3)+1,Results[Reviewed Date],"&lt;="&amp;EOMONTH(TODAY(),0),Results[Determination],"Partially Founded")</f>
        <v>5</v>
      </c>
      <c r="D74" s="23">
        <f ca="1">COUNTIFS(Results[Allegation Topic],"*Providers - Medical*",Results[Reviewed Date],"&gt;="&amp;EOMONTH(TODAY(),-3)+1,Results[Reviewed Date],"&lt;="&amp;EOMONTH(TODAY(),0),Results[Determination],"Unfounded")</f>
        <v>0</v>
      </c>
      <c r="E74" s="23">
        <f ca="1">COUNTIFS(Results[Allegation Topic],"*Providers - Medical*",Results[Reviewed Date],"&gt;="&amp;EOMONTH(TODAY(),-3)+1,Results[Reviewed Date],"&lt;="&amp;EOMONTH(TODAY(),0),Results[Determination],"Unfounded, coaching opportunities present")</f>
        <v>0</v>
      </c>
      <c r="F74" s="23">
        <f ca="1">SUM(B74:E74)</f>
        <v>19</v>
      </c>
    </row>
    <row r="75" spans="1:6" x14ac:dyDescent="0.25">
      <c r="A75" s="2" t="s">
        <v>67</v>
      </c>
      <c r="B75" s="23">
        <f ca="1">COUNTIFS(Results[Allegation Topic],"*Enrollment Consent*",Results[Reviewed Date],"&gt;="&amp;EOMONTH(TODAY(),-3)+1,Results[Reviewed Date],"&lt;="&amp;EOMONTH(TODAY(),0),Results[Determination],"Founded")</f>
        <v>6</v>
      </c>
      <c r="C75" s="23">
        <f ca="1">COUNTIFS(Results[Allegation Topic],"*Enrollment Consent*",Results[Reviewed Date],"&gt;="&amp;EOMONTH(TODAY(),-3)+1,Results[Reviewed Date],"&lt;="&amp;EOMONTH(TODAY(),0),Results[Determination],"Partially Founded")</f>
        <v>1</v>
      </c>
      <c r="D75" s="23">
        <f ca="1">COUNTIFS(Results[Allegation Topic],"*Enrollment Consent*",Results[Reviewed Date],"&gt;="&amp;EOMONTH(TODAY(),-3)+1,Results[Reviewed Date],"&lt;="&amp;EOMONTH(TODAY(),0),Results[Determination],"Unfounded")</f>
        <v>2</v>
      </c>
      <c r="E75" s="23">
        <f ca="1">COUNTIFS(Results[Allegation Topic],"*Enrollment Consent*",Results[Reviewed Date],"&gt;="&amp;EOMONTH(TODAY(),-3)+1,Results[Reviewed Date],"&lt;="&amp;EOMONTH(TODAY(),0),Results[Determination],"Unfounded, coaching opportunities present")</f>
        <v>3</v>
      </c>
      <c r="F75" s="23">
        <f ca="1">SUM(B75:E75)</f>
        <v>12</v>
      </c>
    </row>
    <row r="76" spans="1:6" x14ac:dyDescent="0.25">
      <c r="A76" s="2" t="s">
        <v>68</v>
      </c>
      <c r="B76" s="23">
        <f ca="1">COUNTIFS(Results[Allegation Topic],"*Providers - Ancillary*",Results[Reviewed Date],"&gt;="&amp;EOMONTH(TODAY(),-3)+1,Results[Reviewed Date],"&lt;="&amp;EOMONTH(TODAY(),0),Results[Determination],"Founded")</f>
        <v>5</v>
      </c>
      <c r="C76" s="23">
        <f ca="1">COUNTIFS(Results[Allegation Topic],"*Providers - Ancillary*",Results[Reviewed Date],"&gt;="&amp;EOMONTH(TODAY(),-3)+1,Results[Reviewed Date],"&lt;="&amp;EOMONTH(TODAY(),0),Results[Determination],"Partially Founded")</f>
        <v>3</v>
      </c>
      <c r="D76" s="23">
        <f ca="1">COUNTIFS(Results[Allegation Topic],"*Providers - Ancillary*",Results[Reviewed Date],"&gt;="&amp;EOMONTH(TODAY(),-3)+1,Results[Reviewed Date],"&lt;="&amp;EOMONTH(TODAY(),0),Results[Determination],"Unfounded")</f>
        <v>0</v>
      </c>
      <c r="E76" s="23">
        <f ca="1">COUNTIFS(Results[Allegation Topic],"*Providers - Ancillary*",Results[Reviewed Date],"&gt;="&amp;EOMONTH(TODAY(),-3)+1,Results[Reviewed Date],"&lt;="&amp;EOMONTH(TODAY(),0),Results[Determination],"Unfounded, coaching opportunities present")</f>
        <v>1</v>
      </c>
      <c r="F76" s="23">
        <f ca="1">SUM(B76:E76)</f>
        <v>9</v>
      </c>
    </row>
    <row r="77" spans="1:6" x14ac:dyDescent="0.25">
      <c r="A77" s="2" t="s">
        <v>69</v>
      </c>
      <c r="B77" s="23">
        <f ca="1">COUNTIFS(Results[Allegation Topic],"*Drugs - Cost or Coverage*",Results[Reviewed Date],"&gt;="&amp;EOMONTH(TODAY(),-3)+1,Results[Reviewed Date],"&lt;="&amp;EOMONTH(TODAY(),0),Results[Determination],"Founded")</f>
        <v>8</v>
      </c>
      <c r="C77" s="23">
        <f ca="1">COUNTIFS(Results[Allegation Topic],"*Drugs - Cost or Coverage*",Results[Reviewed Date],"&gt;="&amp;EOMONTH(TODAY(),-3)+1,Results[Reviewed Date],"&lt;="&amp;EOMONTH(TODAY(),0),Results[Determination],"Partially Founded")</f>
        <v>0</v>
      </c>
      <c r="D77" s="23">
        <f ca="1">COUNTIFS(Results[Allegation Topic],"*Drugs - Cost or Coverage*",Results[Reviewed Date],"&gt;="&amp;EOMONTH(TODAY(),-3)+1,Results[Reviewed Date],"&lt;="&amp;EOMONTH(TODAY(),0),Results[Determination],"Unfounded")</f>
        <v>0</v>
      </c>
      <c r="E77" s="23">
        <f ca="1">COUNTIFS(Results[Allegation Topic],"*Drugs - Cost or Coverage*",Results[Reviewed Date],"&gt;="&amp;EOMONTH(TODAY(),-3)+1,Results[Reviewed Date],"&lt;="&amp;EOMONTH(TODAY(),0),Results[Determination],"Unfounded, coaching opportunities present")</f>
        <v>0</v>
      </c>
      <c r="F77" s="23">
        <f ca="1">SUM(B77:E77)</f>
        <v>8</v>
      </c>
    </row>
    <row r="78" spans="1:6" x14ac:dyDescent="0.25">
      <c r="A78" s="2" t="s">
        <v>66</v>
      </c>
      <c r="B78" s="23">
        <f ca="1">COUNTIFS(Results[Allegation Topic],"*Agent Behavior*",Results[Reviewed Date],"&gt;="&amp;EOMONTH(TODAY(),-3)+1,Results[Reviewed Date],"&lt;="&amp;EOMONTH(TODAY(),0),Results[Determination],"Founded")</f>
        <v>3</v>
      </c>
      <c r="C78" s="23">
        <f ca="1">COUNTIFS(Results[Allegation Topic],"*Agent Behavior*",Results[Reviewed Date],"&gt;="&amp;EOMONTH(TODAY(),-3)+1,Results[Reviewed Date],"&lt;="&amp;EOMONTH(TODAY(),0),Results[Determination],"Partially Founded")</f>
        <v>1</v>
      </c>
      <c r="D78" s="23">
        <f ca="1">COUNTIFS(Results[Allegation Topic],"*Agent Behavior*",Results[Reviewed Date],"&gt;="&amp;EOMONTH(TODAY(),-3)+1,Results[Reviewed Date],"&lt;="&amp;EOMONTH(TODAY(),0),Results[Determination],"Unfounded")</f>
        <v>1</v>
      </c>
      <c r="E78" s="23">
        <f ca="1">COUNTIFS(Results[Allegation Topic],"*Agent Behavior*",Results[Reviewed Date],"&gt;="&amp;EOMONTH(TODAY(),-3)+1,Results[Reviewed Date],"&lt;="&amp;EOMONTH(TODAY(),0),Results[Determination],"Unfounded, coaching opportunities present")</f>
        <v>0</v>
      </c>
      <c r="F78" s="23">
        <f ca="1">SUM(B78:E78)</f>
        <v>5</v>
      </c>
    </row>
    <row r="79" spans="1:6" x14ac:dyDescent="0.25">
      <c r="A79" s="2" t="s">
        <v>71</v>
      </c>
      <c r="B79" s="23">
        <f ca="1">COUNTIFS(Results[Allegation Topic],"*SSBCI Benefits*",Results[Reviewed Date],"&gt;="&amp;EOMONTH(TODAY(),-3)+1,Results[Reviewed Date],"&lt;="&amp;EOMONTH(TODAY(),0),Results[Determination],"Founded")</f>
        <v>3</v>
      </c>
      <c r="C79" s="23">
        <f ca="1">COUNTIFS(Results[Allegation Topic],"*SSBCI Benefits*",Results[Reviewed Date],"&gt;="&amp;EOMONTH(TODAY(),-3)+1,Results[Reviewed Date],"&lt;="&amp;EOMONTH(TODAY(),0),Results[Determination],"Partially Founded")</f>
        <v>1</v>
      </c>
      <c r="D79" s="23">
        <f ca="1">COUNTIFS(Results[Allegation Topic],"*SSBCI Benefits*",Results[Reviewed Date],"&gt;="&amp;EOMONTH(TODAY(),-3)+1,Results[Reviewed Date],"&lt;="&amp;EOMONTH(TODAY(),0),Results[Determination],"Unfounded")</f>
        <v>0</v>
      </c>
      <c r="E79" s="23">
        <f ca="1">COUNTIFS(Results[Allegation Topic],"*SSBCI Benefits*",Results[Reviewed Date],"&gt;="&amp;EOMONTH(TODAY(),-3)+1,Results[Reviewed Date],"&lt;="&amp;EOMONTH(TODAY(),0),Results[Determination],"Unfounded, coaching opportunities present")</f>
        <v>1</v>
      </c>
      <c r="F79" s="23">
        <f ca="1">SUM(B79:E79)</f>
        <v>5</v>
      </c>
    </row>
    <row r="80" spans="1:6" x14ac:dyDescent="0.25">
      <c r="A80" s="2" t="s">
        <v>70</v>
      </c>
      <c r="B80" s="23">
        <f ca="1">COUNTIFS(Results[Allegation Topic],"*Medicaid Coverage*",Results[Reviewed Date],"&gt;="&amp;EOMONTH(TODAY(),-3)+1,Results[Reviewed Date],"&lt;="&amp;EOMONTH(TODAY(),0),Results[Determination],"Founded")</f>
        <v>1</v>
      </c>
      <c r="C80" s="23">
        <f ca="1">COUNTIFS(Results[Allegation Topic],"*Medicaid Coverage*",Results[Reviewed Date],"&gt;="&amp;EOMONTH(TODAY(),-3)+1,Results[Reviewed Date],"&lt;="&amp;EOMONTH(TODAY(),0),Results[Determination],"Partially Founded")</f>
        <v>1</v>
      </c>
      <c r="D80" s="23">
        <f ca="1">COUNTIFS(Results[Allegation Topic],"*Medicaid Coverage*",Results[Reviewed Date],"&gt;="&amp;EOMONTH(TODAY(),-3)+1,Results[Reviewed Date],"&lt;="&amp;EOMONTH(TODAY(),0),Results[Determination],"Unfounded")</f>
        <v>0</v>
      </c>
      <c r="E80" s="23">
        <f ca="1">COUNTIFS(Results[Allegation Topic],"*Medicaid Coverage*",Results[Reviewed Date],"&gt;="&amp;EOMONTH(TODAY(),-3)+1,Results[Reviewed Date],"&lt;="&amp;EOMONTH(TODAY(),0),Results[Determination],"Unfounded, coaching opportunities present")</f>
        <v>1</v>
      </c>
      <c r="F80" s="23">
        <f ca="1">SUM(B80:E80)</f>
        <v>3</v>
      </c>
    </row>
    <row r="81" spans="1:10" x14ac:dyDescent="0.25">
      <c r="A81" s="2" t="s">
        <v>72</v>
      </c>
      <c r="B81" s="23">
        <f ca="1">COUNTIFS(Results[Allegation Topic],"*Plan Eligibility*",Results[Reviewed Date],"&gt;="&amp;EOMONTH(TODAY(),-3)+1,Results[Reviewed Date],"&lt;="&amp;EOMONTH(TODAY(),0),Results[Determination],"Founded")</f>
        <v>1</v>
      </c>
      <c r="C81" s="23">
        <f ca="1">COUNTIFS(Results[Allegation Topic],"*Plan Eligibility*",Results[Reviewed Date],"&gt;="&amp;EOMONTH(TODAY(),-3)+1,Results[Reviewed Date],"&lt;="&amp;EOMONTH(TODAY(),0),Results[Determination],"Partially Founded")</f>
        <v>0</v>
      </c>
      <c r="D81" s="23">
        <f ca="1">COUNTIFS(Results[Allegation Topic],"*Plan Eligibility*",Results[Reviewed Date],"&gt;="&amp;EOMONTH(TODAY(),-3)+1,Results[Reviewed Date],"&lt;="&amp;EOMONTH(TODAY(),0),Results[Determination],"Unfounded")</f>
        <v>0</v>
      </c>
      <c r="E81" s="23">
        <f ca="1">COUNTIFS(Results[Allegation Topic],"*Plan Eligibility*",Results[Reviewed Date],"&gt;="&amp;EOMONTH(TODAY(),-3)+1,Results[Reviewed Date],"&lt;="&amp;EOMONTH(TODAY(),0),Results[Determination],"Unfounded, coaching opportunities present")</f>
        <v>0</v>
      </c>
      <c r="F81" s="23">
        <f ca="1">SUM(B81:E81)</f>
        <v>1</v>
      </c>
    </row>
    <row r="82" spans="1:10" x14ac:dyDescent="0.25">
      <c r="A82" s="2" t="s">
        <v>8</v>
      </c>
      <c r="B82" s="23">
        <f ca="1">SUBTOTAL(109,Table13[Founded])</f>
        <v>56</v>
      </c>
      <c r="C82" s="23">
        <f ca="1">SUBTOTAL(109,Table13[Partially Founded])</f>
        <v>16</v>
      </c>
      <c r="D82" s="23">
        <f ca="1">SUBTOTAL(109,Table13[Unfounded])</f>
        <v>4</v>
      </c>
      <c r="E82" s="23">
        <f ca="1">SUBTOTAL(109,Table13[Unfounded, coaching opportunities present])</f>
        <v>9</v>
      </c>
      <c r="F82" s="23">
        <f ca="1">SUBTOTAL(109,Table13[Total])</f>
        <v>85</v>
      </c>
    </row>
    <row r="83" spans="1:10" x14ac:dyDescent="0.25">
      <c r="A83" s="2"/>
      <c r="B83" s="23"/>
      <c r="C83" s="23"/>
      <c r="D83" s="23"/>
      <c r="E83" s="23"/>
      <c r="F83" s="23"/>
    </row>
    <row r="85" spans="1:10" x14ac:dyDescent="0.25">
      <c r="A85" s="21" t="s">
        <v>73</v>
      </c>
      <c r="B85" s="20" t="s">
        <v>4</v>
      </c>
      <c r="C85" s="20" t="s">
        <v>5</v>
      </c>
      <c r="D85" s="20" t="s">
        <v>6</v>
      </c>
      <c r="E85" s="20" t="s">
        <v>7</v>
      </c>
      <c r="F85" s="20" t="s">
        <v>8</v>
      </c>
    </row>
    <row r="86" spans="1:10" x14ac:dyDescent="0.25">
      <c r="A86" s="2" t="s">
        <v>64</v>
      </c>
      <c r="B86" s="23">
        <f ca="1">COUNTIFS(Results[AOIs],"*Benefit Misinformation*",Results[Reviewed Date],"&gt;="&amp;EOMONTH(TODAY(),-3)+1,Results[Reviewed Date],"&lt;="&amp;EOMONTH(TODAY(),0),Results[Determination],"Founded")</f>
        <v>26</v>
      </c>
      <c r="C86" s="23">
        <f ca="1">COUNTIFS(Results[AOIs],"*Benefit Misinformation*",Results[Reviewed Date],"&gt;="&amp;EOMONTH(TODAY(),-3)+1,Results[Reviewed Date],"&lt;="&amp;EOMONTH(TODAY(),0),Results[Determination],"Partially Founded")</f>
        <v>6</v>
      </c>
      <c r="D86" s="23">
        <f ca="1">COUNTIFS(Results[AOIs],"*Benefit Misinformation*",Results[Reviewed Date],"&gt;="&amp;EOMONTH(TODAY(),-3)+1,Results[Reviewed Date],"&lt;="&amp;EOMONTH(TODAY(),0),Results[Determination],"Unfounded")</f>
        <v>0</v>
      </c>
      <c r="E86" s="23">
        <f ca="1">COUNTIFS(Results[AOIs],"*Benefit Misinformation*",Results[Reviewed Date],"&gt;="&amp;EOMONTH(TODAY(),-3)+1,Results[Reviewed Date],"&lt;="&amp;EOMONTH(TODAY(),0),Results[Determination],"Unfounded, coaching opportunities present")</f>
        <v>6</v>
      </c>
      <c r="F86" s="23">
        <f ca="1">SUM(B86:E86)</f>
        <v>38</v>
      </c>
    </row>
    <row r="87" spans="1:10" x14ac:dyDescent="0.25">
      <c r="A87" s="2" t="s">
        <v>65</v>
      </c>
      <c r="B87" s="23">
        <f ca="1">COUNTIFS(Results[AOIs],"*Providers - Medical*",Results[Reviewed Date],"&gt;="&amp;EOMONTH(TODAY(),-3)+1,Results[Reviewed Date],"&lt;="&amp;EOMONTH(TODAY(),0),Results[Determination],"Founded")</f>
        <v>15</v>
      </c>
      <c r="C87" s="23">
        <f ca="1">COUNTIFS(Results[AOIs],"*Providers - Medical*",Results[Reviewed Date],"&gt;="&amp;EOMONTH(TODAY(),-3)+1,Results[Reviewed Date],"&lt;="&amp;EOMONTH(TODAY(),0),Results[Determination],"Partially Founded")</f>
        <v>6</v>
      </c>
      <c r="D87" s="23">
        <f ca="1">COUNTIFS(Results[AOIs],"*Providers - Medical*",Results[Reviewed Date],"&gt;="&amp;EOMONTH(TODAY(),-3)+1,Results[Reviewed Date],"&lt;="&amp;EOMONTH(TODAY(),0),Results[Determination],"Unfounded")</f>
        <v>1</v>
      </c>
      <c r="E87" s="23">
        <f ca="1">COUNTIFS(Results[AOIs],"*Providers - Medical*",Results[Reviewed Date],"&gt;="&amp;EOMONTH(TODAY(),-3)+1,Results[Reviewed Date],"&lt;="&amp;EOMONTH(TODAY(),0),Results[Determination],"Unfounded, coaching opportunities present")</f>
        <v>0</v>
      </c>
      <c r="F87" s="23">
        <f ca="1">SUM(B87:E87)</f>
        <v>22</v>
      </c>
    </row>
    <row r="88" spans="1:10" x14ac:dyDescent="0.25">
      <c r="A88" s="2" t="s">
        <v>69</v>
      </c>
      <c r="B88" s="23">
        <f ca="1">COUNTIFS(Results[AOIs],"*Drugs - Cost or Coverage*",Results[Reviewed Date],"&gt;="&amp;EOMONTH(TODAY(),-3)+1,Results[Reviewed Date],"&lt;="&amp;EOMONTH(TODAY(),0),Results[Determination],"Founded")</f>
        <v>14</v>
      </c>
      <c r="C88" s="23">
        <f ca="1">COUNTIFS(Results[AOIs],"*Drugs - Cost or Coverage*",Results[Reviewed Date],"&gt;="&amp;EOMONTH(TODAY(),-3)+1,Results[Reviewed Date],"&lt;="&amp;EOMONTH(TODAY(),0),Results[Determination],"Partially Founded")</f>
        <v>3</v>
      </c>
      <c r="D88" s="23">
        <f ca="1">COUNTIFS(Results[AOIs],"*Drugs - Cost or Coverage*",Results[Reviewed Date],"&gt;="&amp;EOMONTH(TODAY(),-3)+1,Results[Reviewed Date],"&lt;="&amp;EOMONTH(TODAY(),0),Results[Determination],"Unfounded")</f>
        <v>0</v>
      </c>
      <c r="E88" s="23">
        <f ca="1">COUNTIFS(Results[AOIs],"*Drugs - Cost or Coverage*",Results[Reviewed Date],"&gt;="&amp;EOMONTH(TODAY(),-3)+1,Results[Reviewed Date],"&lt;="&amp;EOMONTH(TODAY(),0),Results[Determination],"Unfounded, coaching opportunities present")</f>
        <v>4</v>
      </c>
      <c r="F88" s="23">
        <f ca="1">SUM(B88:E88)</f>
        <v>21</v>
      </c>
    </row>
    <row r="89" spans="1:10" x14ac:dyDescent="0.25">
      <c r="A89" s="2" t="s">
        <v>68</v>
      </c>
      <c r="B89" s="23">
        <f ca="1">COUNTIFS(Results[AOIs],"*Providers - Ancillary*",Results[Reviewed Date],"&gt;="&amp;EOMONTH(TODAY(),-3)+1,Results[Reviewed Date],"&lt;="&amp;EOMONTH(TODAY(),0),Results[Determination],"Founded")</f>
        <v>14</v>
      </c>
      <c r="C89" s="23">
        <f ca="1">COUNTIFS(Results[AOIs],"*Providers - Ancillary*",Results[Reviewed Date],"&gt;="&amp;EOMONTH(TODAY(),-3)+1,Results[Reviewed Date],"&lt;="&amp;EOMONTH(TODAY(),0),Results[Determination],"Partially Founded")</f>
        <v>4</v>
      </c>
      <c r="D89" s="23">
        <f ca="1">COUNTIFS(Results[AOIs],"*Providers - Ancillary*",Results[Reviewed Date],"&gt;="&amp;EOMONTH(TODAY(),-3)+1,Results[Reviewed Date],"&lt;="&amp;EOMONTH(TODAY(),0),Results[Determination],"Unfounded")</f>
        <v>0</v>
      </c>
      <c r="E89" s="23">
        <f ca="1">COUNTIFS(Results[AOIs],"*Providers - Ancillary*",Results[Reviewed Date],"&gt;="&amp;EOMONTH(TODAY(),-3)+1,Results[Reviewed Date],"&lt;="&amp;EOMONTH(TODAY(),0),Results[Determination],"Unfounded, coaching opportunities present")</f>
        <v>1</v>
      </c>
      <c r="F89" s="23">
        <f ca="1">SUM(B89:E89)</f>
        <v>19</v>
      </c>
    </row>
    <row r="90" spans="1:10" x14ac:dyDescent="0.25">
      <c r="A90" s="2" t="s">
        <v>67</v>
      </c>
      <c r="B90" s="23">
        <f ca="1">COUNTIFS(Results[AOIs],"*Enrollment Consent*",Results[Reviewed Date],"&gt;="&amp;EOMONTH(TODAY(),-3)+1,Results[Reviewed Date],"&lt;="&amp;EOMONTH(TODAY(),0),Results[Determination],"Founded")</f>
        <v>7</v>
      </c>
      <c r="C90" s="23">
        <f ca="1">COUNTIFS(Results[AOIs],"*Enrollment Consent*",Results[Reviewed Date],"&gt;="&amp;EOMONTH(TODAY(),-3)+1,Results[Reviewed Date],"&lt;="&amp;EOMONTH(TODAY(),0),Results[Determination],"Partially Founded")</f>
        <v>1</v>
      </c>
      <c r="D90" s="23">
        <f ca="1">COUNTIFS(Results[AOIs],"*Enrollment Consent*",Results[Reviewed Date],"&gt;="&amp;EOMONTH(TODAY(),-3)+1,Results[Reviewed Date],"&lt;="&amp;EOMONTH(TODAY(),0),Results[Determination],"Unfounded")</f>
        <v>2</v>
      </c>
      <c r="E90" s="23">
        <f ca="1">COUNTIFS(Results[AOIs],"*Enrollment Consent*",Results[Reviewed Date],"&gt;="&amp;EOMONTH(TODAY(),-3)+1,Results[Reviewed Date],"&lt;="&amp;EOMONTH(TODAY(),0),Results[Determination],"Unfounded, coaching opportunities present")</f>
        <v>4</v>
      </c>
      <c r="F90" s="23">
        <f ca="1">SUM(B90:E90)</f>
        <v>14</v>
      </c>
    </row>
    <row r="91" spans="1:10" x14ac:dyDescent="0.25">
      <c r="A91" s="2" t="s">
        <v>71</v>
      </c>
      <c r="B91" s="23">
        <f ca="1">COUNTIFS(Results[AOIs],"*SSBCI Benefits*",Results[Reviewed Date],"&gt;="&amp;EOMONTH(TODAY(),-3)+1,Results[Reviewed Date],"&lt;="&amp;EOMONTH(TODAY(),0),Results[Determination],"Founded")</f>
        <v>5</v>
      </c>
      <c r="C91" s="23">
        <f ca="1">COUNTIFS(Results[AOIs],"*SSBCI Benefits*",Results[Reviewed Date],"&gt;="&amp;EOMONTH(TODAY(),-3)+1,Results[Reviewed Date],"&lt;="&amp;EOMONTH(TODAY(),0),Results[Determination],"Partially Founded")</f>
        <v>3</v>
      </c>
      <c r="D91" s="23">
        <f ca="1">COUNTIFS(Results[AOIs],"*SSBCI Benefits*",Results[Reviewed Date],"&gt;="&amp;EOMONTH(TODAY(),-3)+1,Results[Reviewed Date],"&lt;="&amp;EOMONTH(TODAY(),0),Results[Determination],"Unfounded")</f>
        <v>0</v>
      </c>
      <c r="E91" s="23">
        <f ca="1">COUNTIFS(Results[AOIs],"*SSBCI Benefits*",Results[Reviewed Date],"&gt;="&amp;EOMONTH(TODAY(),-3)+1,Results[Reviewed Date],"&lt;="&amp;EOMONTH(TODAY(),0),Results[Determination],"Unfounded, coaching opportunities present")</f>
        <v>3</v>
      </c>
      <c r="F91" s="23">
        <f ca="1">SUM(B91:E91)</f>
        <v>11</v>
      </c>
    </row>
    <row r="92" spans="1:10" x14ac:dyDescent="0.25">
      <c r="A92" s="2" t="s">
        <v>66</v>
      </c>
      <c r="B92" s="23">
        <f ca="1">COUNTIFS(Results[AOIs],"*Agent Behavior*",Results[Reviewed Date],"&gt;="&amp;EOMONTH(TODAY(),-3)+1,Results[Reviewed Date],"&lt;="&amp;EOMONTH(TODAY(),0),Results[Determination],"Founded")</f>
        <v>4</v>
      </c>
      <c r="C92" s="23">
        <f ca="1">COUNTIFS(Results[AOIs],"*Agent Behavior*",Results[Reviewed Date],"&gt;="&amp;EOMONTH(TODAY(),-3)+1,Results[Reviewed Date],"&lt;="&amp;EOMONTH(TODAY(),0),Results[Determination],"Partially Founded")</f>
        <v>0</v>
      </c>
      <c r="D92" s="23">
        <f ca="1">COUNTIFS(Results[AOIs],"*Agent Behavior*",Results[Reviewed Date],"&gt;="&amp;EOMONTH(TODAY(),-3)+1,Results[Reviewed Date],"&lt;="&amp;EOMONTH(TODAY(),0),Results[Determination],"Unfounded")</f>
        <v>0</v>
      </c>
      <c r="E92" s="23">
        <f ca="1">COUNTIFS(Results[AOIs],"*Agent Behavior*",Results[Reviewed Date],"&gt;="&amp;EOMONTH(TODAY(),-3)+1,Results[Reviewed Date],"&lt;="&amp;EOMONTH(TODAY(),0),Results[Determination],"Unfounded, coaching opportunities present")</f>
        <v>2</v>
      </c>
      <c r="F92" s="23">
        <f ca="1">SUM(B92:E92)</f>
        <v>6</v>
      </c>
    </row>
    <row r="93" spans="1:10" x14ac:dyDescent="0.25">
      <c r="A93" s="2" t="s">
        <v>70</v>
      </c>
      <c r="B93" s="23">
        <f ca="1">COUNTIFS(Results[AOIs],"*Medicaid Coverage*",Results[Reviewed Date],"&gt;="&amp;EOMONTH(TODAY(),-3)+1,Results[Reviewed Date],"&lt;="&amp;EOMONTH(TODAY(),0),Results[Determination],"Founded")</f>
        <v>4</v>
      </c>
      <c r="C93" s="23">
        <f ca="1">COUNTIFS(Results[AOIs],"*Medicaid Coverage*",Results[Reviewed Date],"&gt;="&amp;EOMONTH(TODAY(),-3)+1,Results[Reviewed Date],"&lt;="&amp;EOMONTH(TODAY(),0),Results[Determination],"Partially Founded")</f>
        <v>1</v>
      </c>
      <c r="D93" s="23">
        <f ca="1">COUNTIFS(Results[AOIs],"*Medicaid Coverage*",Results[Reviewed Date],"&gt;="&amp;EOMONTH(TODAY(),-3)+1,Results[Reviewed Date],"&lt;="&amp;EOMONTH(TODAY(),0),Results[Determination],"Unfounded")</f>
        <v>0</v>
      </c>
      <c r="E93" s="23">
        <f ca="1">COUNTIFS(Results[AOIs],"*Medicaid Coverage*",Results[Reviewed Date],"&gt;="&amp;EOMONTH(TODAY(),-3)+1,Results[Reviewed Date],"&lt;="&amp;EOMONTH(TODAY(),0),Results[Determination],"Unfounded, coaching opportunities present")</f>
        <v>1</v>
      </c>
      <c r="F93" s="23">
        <f ca="1">SUM(B93:E93)</f>
        <v>6</v>
      </c>
    </row>
    <row r="94" spans="1:10" x14ac:dyDescent="0.25">
      <c r="A94" s="2" t="s">
        <v>72</v>
      </c>
      <c r="B94" s="23">
        <f ca="1">COUNTIFS(Results[AOIs],"*Plan Eligibility*",Results[Reviewed Date],"&gt;="&amp;EOMONTH(TODAY(),-3)+1,Results[Reviewed Date],"&lt;="&amp;EOMONTH(TODAY(),0),Results[Determination],"Founded")</f>
        <v>1</v>
      </c>
      <c r="C94" s="23">
        <f ca="1">COUNTIFS(Results[AOIs],"*Plan Eligibility*",Results[Reviewed Date],"&gt;="&amp;EOMONTH(TODAY(),-3)+1,Results[Reviewed Date],"&lt;="&amp;EOMONTH(TODAY(),0),Results[Determination],"Partially Founded")</f>
        <v>2</v>
      </c>
      <c r="D94" s="23">
        <f ca="1">COUNTIFS(Results[AOIs],"*Plan Eligibility*",Results[Reviewed Date],"&gt;="&amp;EOMONTH(TODAY(),-3)+1,Results[Reviewed Date],"&lt;="&amp;EOMONTH(TODAY(),0),Results[Determination],"Unfounded")</f>
        <v>0</v>
      </c>
      <c r="E94" s="23">
        <f ca="1">COUNTIFS(Results[AOIs],"*Plan Eligibility*",Results[Reviewed Date],"&gt;="&amp;EOMONTH(TODAY(),-3)+1,Results[Reviewed Date],"&lt;="&amp;EOMONTH(TODAY(),0),Results[Determination],"Unfounded, coaching opportunities present")</f>
        <v>0</v>
      </c>
      <c r="F94" s="23">
        <f ca="1">SUM(B94:E94)</f>
        <v>3</v>
      </c>
    </row>
    <row r="95" spans="1:10" x14ac:dyDescent="0.25">
      <c r="A95" s="2" t="s">
        <v>8</v>
      </c>
      <c r="B95" s="23">
        <f ca="1">SUBTOTAL(109,Table14[Founded])</f>
        <v>90</v>
      </c>
      <c r="C95" s="23">
        <f ca="1">SUBTOTAL(109,Table14[Partially Founded])</f>
        <v>26</v>
      </c>
      <c r="D95" s="23">
        <f ca="1">SUBTOTAL(109,Table14[Unfounded])</f>
        <v>3</v>
      </c>
      <c r="E95" s="23">
        <f ca="1">SUBTOTAL(109,Table14[Unfounded, coaching opportunities present])</f>
        <v>21</v>
      </c>
      <c r="F95" s="23">
        <f ca="1">SUBTOTAL(109,Table14[Total])</f>
        <v>140</v>
      </c>
    </row>
    <row r="96" spans="1:10" x14ac:dyDescent="0.25">
      <c r="A96" s="2"/>
      <c r="B96" s="23"/>
      <c r="C96" s="23"/>
      <c r="D96" s="23"/>
      <c r="E96" s="23"/>
      <c r="F96" s="23"/>
      <c r="J96" s="2"/>
    </row>
  </sheetData>
  <mergeCells count="1">
    <mergeCell ref="A1:G1"/>
  </mergeCells>
  <phoneticPr fontId="5" type="noConversion"/>
  <conditionalFormatting sqref="A3:A48">
    <cfRule type="expression" dxfId="6" priority="46" stopIfTrue="1">
      <formula>$G3&gt;0</formula>
    </cfRule>
    <cfRule type="expression" dxfId="5" priority="47" stopIfTrue="1">
      <formula>$D3&gt;0</formula>
    </cfRule>
    <cfRule type="expression" dxfId="4" priority="48" stopIfTrue="1">
      <formula>$E3&gt;0</formula>
    </cfRule>
    <cfRule type="expression" dxfId="3" priority="49" stopIfTrue="1">
      <formula>$F3&gt;0</formula>
    </cfRule>
    <cfRule type="duplicateValues" dxfId="2" priority="50"/>
    <cfRule type="duplicateValues" dxfId="1" priority="51"/>
  </conditionalFormatting>
  <pageMargins left="0.7" right="0.7" top="0.75" bottom="0.75" header="0.3" footer="0.3"/>
  <tableParts count="5">
    <tablePart r:id="rId1"/>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B3B04-5EA9-4059-9E68-C26138A3F3BF}">
  <dimension ref="A1:Q56"/>
  <sheetViews>
    <sheetView tabSelected="1" topLeftCell="A42" workbookViewId="0">
      <selection activeCell="A7" sqref="A2:XFD7"/>
    </sheetView>
  </sheetViews>
  <sheetFormatPr defaultRowHeight="15" x14ac:dyDescent="0.25"/>
  <cols>
    <col min="1" max="1" width="21.28515625" style="1" customWidth="1"/>
    <col min="2" max="2" width="13.140625" style="1" bestFit="1" customWidth="1"/>
    <col min="3" max="3" width="52.28515625" style="1" bestFit="1" customWidth="1"/>
    <col min="4" max="4" width="20.5703125" style="1" bestFit="1" customWidth="1"/>
    <col min="5" max="5" width="19.85546875" style="1" bestFit="1" customWidth="1"/>
    <col min="6" max="7" width="19.85546875" style="1" customWidth="1"/>
    <col min="8" max="9" width="22.5703125" style="1" customWidth="1"/>
    <col min="10" max="11" width="58.7109375" style="1" customWidth="1"/>
    <col min="12" max="13" width="19.28515625" style="1" customWidth="1"/>
    <col min="14" max="14" width="66.7109375" style="1" customWidth="1"/>
    <col min="15" max="15" width="25.5703125" style="1" customWidth="1"/>
    <col min="16" max="16" width="9.140625" style="1"/>
    <col min="17" max="17" width="9.42578125" style="1" bestFit="1" customWidth="1"/>
    <col min="18" max="16384" width="9.140625" style="1"/>
  </cols>
  <sheetData>
    <row r="1" spans="1:17" ht="30" x14ac:dyDescent="0.25">
      <c r="A1" s="1" t="s">
        <v>1</v>
      </c>
      <c r="B1" s="1" t="s">
        <v>3</v>
      </c>
      <c r="C1" s="1" t="s">
        <v>74</v>
      </c>
      <c r="D1" s="1" t="s">
        <v>75</v>
      </c>
      <c r="E1" s="1" t="s">
        <v>76</v>
      </c>
      <c r="F1" s="1" t="s">
        <v>77</v>
      </c>
      <c r="G1" s="1" t="s">
        <v>78</v>
      </c>
      <c r="H1" s="1" t="s">
        <v>79</v>
      </c>
      <c r="I1" s="1" t="s">
        <v>80</v>
      </c>
      <c r="J1" s="1" t="s">
        <v>81</v>
      </c>
      <c r="K1" s="1" t="s">
        <v>63</v>
      </c>
      <c r="L1" s="1" t="s">
        <v>82</v>
      </c>
      <c r="M1" s="1" t="s">
        <v>83</v>
      </c>
      <c r="N1" s="1" t="s">
        <v>84</v>
      </c>
      <c r="O1" s="1" t="s">
        <v>85</v>
      </c>
      <c r="P1" s="1" t="s">
        <v>86</v>
      </c>
      <c r="Q1" s="1" t="s">
        <v>87</v>
      </c>
    </row>
    <row r="2" spans="1:17" ht="255" x14ac:dyDescent="0.25">
      <c r="A2" s="1" t="s">
        <v>12</v>
      </c>
      <c r="B2" s="1" t="s">
        <v>13</v>
      </c>
      <c r="C2" s="11" t="s">
        <v>133</v>
      </c>
      <c r="D2" s="10">
        <v>45992</v>
      </c>
      <c r="E2" s="10">
        <v>46035</v>
      </c>
      <c r="F2" s="10"/>
      <c r="G2" s="10">
        <v>46048.428356481483</v>
      </c>
      <c r="H2" s="10" t="s">
        <v>16</v>
      </c>
      <c r="I2" s="1" t="s">
        <v>60</v>
      </c>
      <c r="J2" s="1" t="s">
        <v>134</v>
      </c>
      <c r="K2" s="1" t="s">
        <v>135</v>
      </c>
      <c r="L2" s="1" t="s">
        <v>4</v>
      </c>
      <c r="M2" s="1" t="s">
        <v>136</v>
      </c>
      <c r="N2" s="1" t="s">
        <v>137</v>
      </c>
      <c r="O2" s="11" t="s">
        <v>138</v>
      </c>
    </row>
    <row r="3" spans="1:17" ht="240" x14ac:dyDescent="0.25">
      <c r="A3" s="1" t="s">
        <v>42</v>
      </c>
      <c r="B3" s="1" t="s">
        <v>11</v>
      </c>
      <c r="C3" s="11" t="s">
        <v>139</v>
      </c>
      <c r="D3" s="10">
        <v>45990</v>
      </c>
      <c r="E3" s="10">
        <v>46045</v>
      </c>
      <c r="F3" s="10"/>
      <c r="G3" s="10">
        <v>46048.642592592594</v>
      </c>
      <c r="H3" s="10" t="s">
        <v>16</v>
      </c>
      <c r="I3" s="1" t="s">
        <v>55</v>
      </c>
      <c r="J3" s="1" t="s">
        <v>140</v>
      </c>
      <c r="K3" s="1" t="s">
        <v>141</v>
      </c>
      <c r="L3" s="1" t="s">
        <v>4</v>
      </c>
      <c r="M3" s="1" t="s">
        <v>142</v>
      </c>
      <c r="N3" s="1" t="s">
        <v>143</v>
      </c>
      <c r="O3" s="11" t="s">
        <v>144</v>
      </c>
    </row>
    <row r="4" spans="1:17" ht="255" x14ac:dyDescent="0.25">
      <c r="A4" s="1" t="s">
        <v>31</v>
      </c>
      <c r="B4" s="1" t="s">
        <v>11</v>
      </c>
      <c r="C4" s="11" t="s">
        <v>145</v>
      </c>
      <c r="D4" s="10">
        <v>45968</v>
      </c>
      <c r="E4" s="10">
        <v>46049</v>
      </c>
      <c r="F4" s="10"/>
      <c r="G4" s="10">
        <v>46055.653287037036</v>
      </c>
      <c r="H4" s="10" t="s">
        <v>16</v>
      </c>
      <c r="I4" s="1" t="s">
        <v>56</v>
      </c>
      <c r="J4" s="1" t="s">
        <v>146</v>
      </c>
      <c r="K4" s="1" t="s">
        <v>135</v>
      </c>
      <c r="L4" s="1" t="s">
        <v>5</v>
      </c>
      <c r="M4" s="1" t="s">
        <v>135</v>
      </c>
      <c r="N4" s="1" t="s">
        <v>147</v>
      </c>
      <c r="O4" s="11" t="s">
        <v>148</v>
      </c>
    </row>
    <row r="5" spans="1:17" ht="409.5" x14ac:dyDescent="0.25">
      <c r="A5" s="1" t="s">
        <v>24</v>
      </c>
      <c r="B5" s="1" t="s">
        <v>90</v>
      </c>
      <c r="C5" s="11" t="s">
        <v>149</v>
      </c>
      <c r="D5" s="10">
        <v>46029</v>
      </c>
      <c r="E5" s="10">
        <v>46050</v>
      </c>
      <c r="F5" s="10"/>
      <c r="G5" s="10">
        <v>46058.661238425928</v>
      </c>
      <c r="H5" s="10" t="s">
        <v>16</v>
      </c>
      <c r="I5" s="1" t="s">
        <v>54</v>
      </c>
      <c r="J5" s="1" t="s">
        <v>150</v>
      </c>
      <c r="K5" s="1" t="s">
        <v>151</v>
      </c>
      <c r="L5" s="1" t="s">
        <v>5</v>
      </c>
      <c r="M5" s="1" t="s">
        <v>152</v>
      </c>
      <c r="N5" s="1" t="s">
        <v>153</v>
      </c>
      <c r="O5" s="11" t="s">
        <v>154</v>
      </c>
    </row>
    <row r="6" spans="1:17" ht="20.25" customHeight="1" x14ac:dyDescent="0.25">
      <c r="A6" s="1" t="s">
        <v>46</v>
      </c>
      <c r="B6" s="1" t="s">
        <v>13</v>
      </c>
      <c r="C6" s="12" t="s">
        <v>155</v>
      </c>
      <c r="D6" s="10">
        <v>46043</v>
      </c>
      <c r="E6" s="10">
        <v>46057</v>
      </c>
      <c r="F6" s="10"/>
      <c r="G6" s="10">
        <v>46059.676319444443</v>
      </c>
      <c r="H6" s="10" t="s">
        <v>16</v>
      </c>
      <c r="I6" s="1" t="s">
        <v>59</v>
      </c>
      <c r="J6" s="1" t="s">
        <v>156</v>
      </c>
      <c r="K6" s="1" t="s">
        <v>135</v>
      </c>
      <c r="L6" s="1" t="s">
        <v>4</v>
      </c>
      <c r="M6" s="1" t="s">
        <v>157</v>
      </c>
      <c r="N6" s="1" t="s">
        <v>158</v>
      </c>
      <c r="O6" s="11" t="s">
        <v>159</v>
      </c>
    </row>
    <row r="7" spans="1:17" ht="20.25" customHeight="1" x14ac:dyDescent="0.25">
      <c r="A7" s="1" t="s">
        <v>132</v>
      </c>
      <c r="B7" s="1" t="s">
        <v>11</v>
      </c>
      <c r="C7" s="11" t="s">
        <v>160</v>
      </c>
      <c r="D7" s="10">
        <v>46029</v>
      </c>
      <c r="E7" s="10">
        <v>46050</v>
      </c>
      <c r="F7" s="10"/>
      <c r="G7" s="10">
        <v>46063.49591435185</v>
      </c>
      <c r="H7" s="10" t="s">
        <v>16</v>
      </c>
      <c r="I7" s="1" t="s">
        <v>59</v>
      </c>
      <c r="J7" s="1" t="s">
        <v>161</v>
      </c>
      <c r="K7" s="1" t="s">
        <v>162</v>
      </c>
      <c r="L7" s="1" t="s">
        <v>6</v>
      </c>
      <c r="M7" s="1" t="s">
        <v>162</v>
      </c>
      <c r="N7" s="1" t="s">
        <v>163</v>
      </c>
      <c r="O7" s="11" t="s">
        <v>164</v>
      </c>
    </row>
    <row r="8" spans="1:17" ht="20.25" customHeight="1" x14ac:dyDescent="0.25">
      <c r="A8" s="1" t="s">
        <v>23</v>
      </c>
      <c r="B8" s="1" t="s">
        <v>13</v>
      </c>
      <c r="C8" s="11" t="s">
        <v>165</v>
      </c>
      <c r="D8" s="10">
        <v>45980</v>
      </c>
      <c r="E8" s="10">
        <v>46059</v>
      </c>
      <c r="F8" s="10"/>
      <c r="G8" s="10">
        <v>46064.489837962959</v>
      </c>
      <c r="H8" s="10" t="s">
        <v>16</v>
      </c>
      <c r="I8" s="1" t="s">
        <v>58</v>
      </c>
      <c r="J8" s="1" t="s">
        <v>166</v>
      </c>
      <c r="K8" s="1" t="s">
        <v>151</v>
      </c>
      <c r="L8" s="1" t="s">
        <v>4</v>
      </c>
      <c r="M8" s="1" t="s">
        <v>167</v>
      </c>
      <c r="N8" s="1" t="s">
        <v>168</v>
      </c>
      <c r="O8" s="11" t="s">
        <v>169</v>
      </c>
    </row>
    <row r="9" spans="1:17" ht="20.25" customHeight="1" x14ac:dyDescent="0.25">
      <c r="A9" s="1" t="s">
        <v>15</v>
      </c>
      <c r="B9" s="1" t="s">
        <v>19</v>
      </c>
      <c r="C9" s="11" t="s">
        <v>170</v>
      </c>
      <c r="D9" s="10">
        <v>46050</v>
      </c>
      <c r="E9" s="10">
        <v>46050</v>
      </c>
      <c r="F9" s="10"/>
      <c r="G9" s="10">
        <v>46064.693472222221</v>
      </c>
      <c r="H9" s="10" t="s">
        <v>16</v>
      </c>
      <c r="I9" s="1" t="s">
        <v>54</v>
      </c>
      <c r="J9" s="1" t="s">
        <v>171</v>
      </c>
      <c r="K9" s="1" t="s">
        <v>172</v>
      </c>
      <c r="L9" s="1" t="s">
        <v>6</v>
      </c>
      <c r="M9" s="1" t="s">
        <v>172</v>
      </c>
      <c r="N9" s="1" t="s">
        <v>173</v>
      </c>
      <c r="O9" s="11" t="s">
        <v>174</v>
      </c>
    </row>
    <row r="10" spans="1:17" ht="20.25" customHeight="1" x14ac:dyDescent="0.25">
      <c r="A10" s="1" t="s">
        <v>30</v>
      </c>
      <c r="B10" s="1" t="s">
        <v>11</v>
      </c>
      <c r="C10" s="11" t="s">
        <v>175</v>
      </c>
      <c r="D10" s="10">
        <v>46056</v>
      </c>
      <c r="E10" s="10">
        <v>46070</v>
      </c>
      <c r="F10" s="10"/>
      <c r="G10" s="10">
        <v>46073.657407407409</v>
      </c>
      <c r="H10" s="10" t="s">
        <v>16</v>
      </c>
      <c r="I10" s="1" t="s">
        <v>61</v>
      </c>
      <c r="J10" s="1" t="s">
        <v>176</v>
      </c>
      <c r="K10" s="1" t="s">
        <v>177</v>
      </c>
      <c r="L10" s="1" t="s">
        <v>4</v>
      </c>
      <c r="M10" s="1" t="s">
        <v>178</v>
      </c>
      <c r="N10" s="1" t="s">
        <v>179</v>
      </c>
      <c r="O10" s="11" t="s">
        <v>180</v>
      </c>
    </row>
    <row r="11" spans="1:17" ht="20.25" customHeight="1" x14ac:dyDescent="0.25">
      <c r="A11" s="1" t="s">
        <v>132</v>
      </c>
      <c r="B11" s="1" t="s">
        <v>11</v>
      </c>
      <c r="C11" s="11" t="s">
        <v>175</v>
      </c>
      <c r="D11" s="10">
        <v>46056</v>
      </c>
      <c r="E11" s="10">
        <v>46070</v>
      </c>
      <c r="F11" s="10"/>
      <c r="G11" s="10">
        <v>46073.657407407409</v>
      </c>
      <c r="H11" s="10" t="s">
        <v>16</v>
      </c>
      <c r="I11" s="1" t="s">
        <v>61</v>
      </c>
      <c r="J11" s="1" t="s">
        <v>181</v>
      </c>
      <c r="K11" s="1" t="s">
        <v>177</v>
      </c>
      <c r="L11" s="1" t="s">
        <v>4</v>
      </c>
      <c r="M11" s="1" t="s">
        <v>178</v>
      </c>
      <c r="N11" s="1" t="s">
        <v>179</v>
      </c>
      <c r="O11" s="11" t="s">
        <v>180</v>
      </c>
    </row>
    <row r="12" spans="1:17" ht="20.25" customHeight="1" x14ac:dyDescent="0.25">
      <c r="A12" s="1" t="s">
        <v>17</v>
      </c>
      <c r="B12" s="1" t="s">
        <v>13</v>
      </c>
      <c r="C12" s="11" t="s">
        <v>182</v>
      </c>
      <c r="D12" s="10">
        <v>46049</v>
      </c>
      <c r="E12" s="10">
        <v>46078</v>
      </c>
      <c r="F12" s="10"/>
      <c r="G12" s="10">
        <v>46080.481585648151</v>
      </c>
      <c r="H12" s="10" t="s">
        <v>16</v>
      </c>
      <c r="I12" s="1" t="s">
        <v>56</v>
      </c>
      <c r="J12" s="1" t="s">
        <v>183</v>
      </c>
      <c r="K12" s="1" t="s">
        <v>184</v>
      </c>
      <c r="L12" s="1" t="s">
        <v>4</v>
      </c>
      <c r="M12" s="1" t="s">
        <v>185</v>
      </c>
      <c r="N12" s="1" t="s">
        <v>186</v>
      </c>
      <c r="O12" s="11" t="s">
        <v>187</v>
      </c>
    </row>
    <row r="13" spans="1:17" ht="20.25" customHeight="1" x14ac:dyDescent="0.25">
      <c r="A13" s="1" t="s">
        <v>15</v>
      </c>
      <c r="B13" s="1" t="s">
        <v>19</v>
      </c>
      <c r="C13" s="11" t="s">
        <v>188</v>
      </c>
      <c r="D13" s="10">
        <v>46066</v>
      </c>
      <c r="E13" s="10">
        <v>46080</v>
      </c>
      <c r="F13" s="10"/>
      <c r="G13" s="10">
        <v>46083.346990740742</v>
      </c>
      <c r="H13" s="10" t="s">
        <v>16</v>
      </c>
      <c r="I13" s="1" t="s">
        <v>56</v>
      </c>
      <c r="J13" s="1" t="s">
        <v>189</v>
      </c>
      <c r="K13" s="1" t="s">
        <v>190</v>
      </c>
      <c r="L13" s="1" t="s">
        <v>6</v>
      </c>
      <c r="M13" s="1" t="s">
        <v>191</v>
      </c>
      <c r="N13" s="1" t="s">
        <v>192</v>
      </c>
      <c r="O13" s="11" t="s">
        <v>193</v>
      </c>
    </row>
    <row r="14" spans="1:17" ht="20.25" customHeight="1" x14ac:dyDescent="0.25">
      <c r="A14" s="1" t="s">
        <v>132</v>
      </c>
      <c r="B14" s="1" t="s">
        <v>11</v>
      </c>
      <c r="C14" s="11" t="s">
        <v>194</v>
      </c>
      <c r="D14" s="10">
        <v>46071</v>
      </c>
      <c r="E14" s="10">
        <v>46085</v>
      </c>
      <c r="F14" s="10"/>
      <c r="G14" s="10">
        <v>46085.645636574074</v>
      </c>
      <c r="H14" s="10" t="s">
        <v>16</v>
      </c>
      <c r="I14" s="1" t="s">
        <v>56</v>
      </c>
      <c r="J14" s="1" t="s">
        <v>195</v>
      </c>
      <c r="K14" s="1" t="s">
        <v>177</v>
      </c>
      <c r="L14" s="1" t="s">
        <v>4</v>
      </c>
      <c r="M14" s="1" t="s">
        <v>196</v>
      </c>
      <c r="N14" s="1" t="s">
        <v>197</v>
      </c>
      <c r="O14" s="11" t="s">
        <v>198</v>
      </c>
      <c r="P14" s="1" t="s">
        <v>199</v>
      </c>
      <c r="Q14" s="10">
        <v>46087</v>
      </c>
    </row>
    <row r="15" spans="1:17" ht="20.25" customHeight="1" x14ac:dyDescent="0.25">
      <c r="A15" s="1" t="s">
        <v>30</v>
      </c>
      <c r="B15" s="1" t="s">
        <v>11</v>
      </c>
      <c r="C15" s="12" t="s">
        <v>200</v>
      </c>
      <c r="D15" s="10">
        <v>46035</v>
      </c>
      <c r="E15" s="10">
        <v>46084</v>
      </c>
      <c r="F15" s="10"/>
      <c r="G15" s="10">
        <v>46090.554467592592</v>
      </c>
      <c r="H15" s="10" t="s">
        <v>16</v>
      </c>
      <c r="I15" s="1" t="s">
        <v>56</v>
      </c>
      <c r="J15" s="1" t="s">
        <v>201</v>
      </c>
      <c r="K15" s="1" t="s">
        <v>202</v>
      </c>
      <c r="L15" s="1" t="s">
        <v>4</v>
      </c>
      <c r="M15" s="1" t="s">
        <v>203</v>
      </c>
      <c r="N15" s="1" t="s">
        <v>204</v>
      </c>
      <c r="O15" s="11" t="s">
        <v>205</v>
      </c>
    </row>
    <row r="16" spans="1:17" ht="20.25" customHeight="1" x14ac:dyDescent="0.25">
      <c r="A16" s="1" t="s">
        <v>26</v>
      </c>
      <c r="B16" s="1" t="s">
        <v>21</v>
      </c>
      <c r="C16" s="14" t="s">
        <v>206</v>
      </c>
      <c r="D16" s="10">
        <v>46080</v>
      </c>
      <c r="E16" s="10">
        <v>46094</v>
      </c>
      <c r="F16" s="10"/>
      <c r="G16" s="10">
        <v>46094.639652777776</v>
      </c>
      <c r="H16" s="10" t="s">
        <v>16</v>
      </c>
      <c r="I16" s="1" t="s">
        <v>58</v>
      </c>
      <c r="J16" s="1" t="s">
        <v>207</v>
      </c>
      <c r="K16" s="1" t="s">
        <v>178</v>
      </c>
      <c r="L16" s="1" t="s">
        <v>4</v>
      </c>
      <c r="M16" s="1" t="s">
        <v>178</v>
      </c>
      <c r="N16" s="1" t="s">
        <v>208</v>
      </c>
      <c r="O16" s="14" t="s">
        <v>209</v>
      </c>
    </row>
    <row r="17" spans="1:17" ht="20.25" customHeight="1" x14ac:dyDescent="0.25">
      <c r="A17" s="1" t="s">
        <v>22</v>
      </c>
      <c r="B17" s="1" t="s">
        <v>21</v>
      </c>
      <c r="C17" s="14" t="s">
        <v>210</v>
      </c>
      <c r="D17" s="10">
        <v>46084</v>
      </c>
      <c r="E17" s="10">
        <v>46100</v>
      </c>
      <c r="F17" s="10"/>
      <c r="G17" s="10">
        <v>46101.342002314814</v>
      </c>
      <c r="H17" s="10" t="s">
        <v>16</v>
      </c>
      <c r="I17" s="1" t="s">
        <v>56</v>
      </c>
      <c r="J17" s="1" t="s">
        <v>211</v>
      </c>
      <c r="K17" s="1" t="s">
        <v>212</v>
      </c>
      <c r="L17" s="1" t="s">
        <v>4</v>
      </c>
      <c r="M17" s="1" t="s">
        <v>212</v>
      </c>
      <c r="N17" s="1" t="s">
        <v>213</v>
      </c>
      <c r="O17" s="14" t="s">
        <v>214</v>
      </c>
    </row>
    <row r="18" spans="1:17" ht="20.25" customHeight="1" x14ac:dyDescent="0.25">
      <c r="A18" s="1" t="s">
        <v>17</v>
      </c>
      <c r="B18" s="1" t="s">
        <v>13</v>
      </c>
      <c r="C18" s="14" t="s">
        <v>215</v>
      </c>
      <c r="D18" s="10">
        <v>46079</v>
      </c>
      <c r="E18" s="10">
        <v>46100</v>
      </c>
      <c r="F18" s="10"/>
      <c r="G18" s="10">
        <v>46101.408865740741</v>
      </c>
      <c r="H18" s="10" t="s">
        <v>16</v>
      </c>
      <c r="I18" s="1" t="s">
        <v>56</v>
      </c>
      <c r="J18" s="1" t="s">
        <v>216</v>
      </c>
      <c r="K18" s="1" t="s">
        <v>135</v>
      </c>
      <c r="L18" s="1" t="s">
        <v>4</v>
      </c>
      <c r="M18" s="1" t="s">
        <v>157</v>
      </c>
      <c r="N18" s="1" t="s">
        <v>217</v>
      </c>
      <c r="O18" s="14" t="s">
        <v>218</v>
      </c>
    </row>
    <row r="19" spans="1:17" ht="20.25" customHeight="1" x14ac:dyDescent="0.25">
      <c r="A19" s="1" t="s">
        <v>26</v>
      </c>
      <c r="B19" s="1" t="s">
        <v>21</v>
      </c>
      <c r="C19" s="15" t="s">
        <v>219</v>
      </c>
      <c r="D19" s="10">
        <v>45981</v>
      </c>
      <c r="E19" s="10">
        <v>46106</v>
      </c>
      <c r="F19" s="10"/>
      <c r="G19" s="10">
        <v>46111.475636574076</v>
      </c>
      <c r="H19" s="10" t="s">
        <v>52</v>
      </c>
      <c r="I19" s="1" t="s">
        <v>56</v>
      </c>
      <c r="J19" s="1" t="s">
        <v>220</v>
      </c>
      <c r="K19" s="1" t="s">
        <v>221</v>
      </c>
      <c r="L19" s="1" t="s">
        <v>5</v>
      </c>
      <c r="M19" s="1" t="s">
        <v>222</v>
      </c>
      <c r="N19" s="1" t="s">
        <v>223</v>
      </c>
      <c r="O19" s="14" t="s">
        <v>224</v>
      </c>
    </row>
    <row r="20" spans="1:17" ht="20.25" customHeight="1" x14ac:dyDescent="0.25">
      <c r="A20" s="1" t="s">
        <v>14</v>
      </c>
      <c r="B20" s="1" t="s">
        <v>13</v>
      </c>
      <c r="C20" s="15" t="s">
        <v>225</v>
      </c>
      <c r="D20" s="10">
        <v>46044</v>
      </c>
      <c r="E20" s="10">
        <v>46108</v>
      </c>
      <c r="F20" s="10"/>
      <c r="G20" s="10">
        <v>46111.663981481484</v>
      </c>
      <c r="H20" s="10" t="s">
        <v>53</v>
      </c>
      <c r="I20" s="1" t="s">
        <v>56</v>
      </c>
      <c r="J20" s="1" t="s">
        <v>226</v>
      </c>
      <c r="K20" s="1" t="s">
        <v>190</v>
      </c>
      <c r="L20" s="1" t="s">
        <v>5</v>
      </c>
      <c r="M20" s="1" t="s">
        <v>227</v>
      </c>
      <c r="N20" s="1" t="s">
        <v>228</v>
      </c>
      <c r="O20" s="14" t="s">
        <v>229</v>
      </c>
      <c r="P20" s="1" t="s">
        <v>199</v>
      </c>
      <c r="Q20" s="10">
        <v>46112</v>
      </c>
    </row>
    <row r="21" spans="1:17" ht="20.25" customHeight="1" x14ac:dyDescent="0.25">
      <c r="A21" s="1" t="s">
        <v>132</v>
      </c>
      <c r="B21" s="1" t="s">
        <v>11</v>
      </c>
      <c r="C21" s="15" t="s">
        <v>230</v>
      </c>
      <c r="D21" s="10">
        <v>46028</v>
      </c>
      <c r="E21" s="10">
        <v>46108</v>
      </c>
      <c r="F21" s="10"/>
      <c r="G21" s="10">
        <v>46112.518043981479</v>
      </c>
      <c r="H21" s="10" t="s">
        <v>52</v>
      </c>
      <c r="I21" s="1" t="s">
        <v>56</v>
      </c>
      <c r="J21" s="1" t="s">
        <v>231</v>
      </c>
      <c r="K21" s="1" t="s">
        <v>232</v>
      </c>
      <c r="L21" s="1" t="s">
        <v>5</v>
      </c>
      <c r="M21" s="1" t="s">
        <v>233</v>
      </c>
      <c r="N21" s="1" t="s">
        <v>234</v>
      </c>
      <c r="O21" s="14" t="s">
        <v>235</v>
      </c>
    </row>
    <row r="22" spans="1:17" ht="20.25" customHeight="1" x14ac:dyDescent="0.25">
      <c r="A22" s="1" t="s">
        <v>25</v>
      </c>
      <c r="B22" s="1" t="s">
        <v>21</v>
      </c>
      <c r="C22" s="15" t="s">
        <v>236</v>
      </c>
      <c r="D22" s="10">
        <v>46059</v>
      </c>
      <c r="E22" s="10">
        <v>46094</v>
      </c>
      <c r="F22" s="10">
        <v>46113</v>
      </c>
      <c r="G22" s="10">
        <v>46112.569236111114</v>
      </c>
      <c r="H22" s="10" t="s">
        <v>53</v>
      </c>
      <c r="I22" s="1" t="s">
        <v>54</v>
      </c>
      <c r="J22" s="1" t="s">
        <v>237</v>
      </c>
      <c r="K22" s="1" t="s">
        <v>162</v>
      </c>
      <c r="L22" s="1" t="s">
        <v>4</v>
      </c>
      <c r="M22" s="1" t="s">
        <v>238</v>
      </c>
      <c r="N22" s="1" t="s">
        <v>239</v>
      </c>
      <c r="O22" s="14" t="s">
        <v>240</v>
      </c>
    </row>
    <row r="23" spans="1:17" ht="20.25" customHeight="1" x14ac:dyDescent="0.25">
      <c r="A23" s="1" t="s">
        <v>32</v>
      </c>
      <c r="B23" s="1" t="s">
        <v>21</v>
      </c>
      <c r="C23" s="15" t="s">
        <v>241</v>
      </c>
      <c r="D23" s="10">
        <v>46105</v>
      </c>
      <c r="E23" s="10">
        <v>46113</v>
      </c>
      <c r="F23" s="10">
        <v>46115</v>
      </c>
      <c r="G23" s="10">
        <v>46113.686678240738</v>
      </c>
      <c r="H23" s="10" t="s">
        <v>16</v>
      </c>
      <c r="I23" s="1" t="s">
        <v>62</v>
      </c>
      <c r="J23" s="1" t="s">
        <v>242</v>
      </c>
      <c r="K23" s="1" t="s">
        <v>178</v>
      </c>
      <c r="L23" s="1" t="s">
        <v>4</v>
      </c>
      <c r="M23" s="1" t="s">
        <v>243</v>
      </c>
      <c r="N23" s="1" t="s">
        <v>244</v>
      </c>
      <c r="O23" s="14" t="s">
        <v>245</v>
      </c>
    </row>
    <row r="24" spans="1:17" ht="20.25" customHeight="1" x14ac:dyDescent="0.25">
      <c r="A24" s="1" t="s">
        <v>36</v>
      </c>
      <c r="B24" s="1" t="s">
        <v>13</v>
      </c>
      <c r="C24" s="15" t="s">
        <v>246</v>
      </c>
      <c r="D24" s="10">
        <v>46093</v>
      </c>
      <c r="E24" s="10">
        <v>46107</v>
      </c>
      <c r="F24" s="10">
        <v>46119</v>
      </c>
      <c r="G24" s="10">
        <v>46114</v>
      </c>
      <c r="H24" s="10" t="s">
        <v>16</v>
      </c>
      <c r="I24" s="1" t="s">
        <v>58</v>
      </c>
      <c r="J24" s="1" t="s">
        <v>247</v>
      </c>
      <c r="K24" s="1" t="s">
        <v>248</v>
      </c>
      <c r="L24" s="1" t="s">
        <v>7</v>
      </c>
      <c r="M24" s="1" t="s">
        <v>249</v>
      </c>
      <c r="N24" s="1" t="s">
        <v>250</v>
      </c>
      <c r="O24" s="14" t="s">
        <v>251</v>
      </c>
    </row>
    <row r="25" spans="1:17" ht="20.25" customHeight="1" x14ac:dyDescent="0.25">
      <c r="A25" s="1" t="s">
        <v>14</v>
      </c>
      <c r="B25" s="1" t="s">
        <v>13</v>
      </c>
      <c r="C25" s="1" t="s">
        <v>252</v>
      </c>
      <c r="D25" s="10">
        <v>45957</v>
      </c>
      <c r="E25" s="10">
        <v>46121</v>
      </c>
      <c r="F25" s="10">
        <v>46125</v>
      </c>
      <c r="G25" s="10">
        <v>46122</v>
      </c>
      <c r="H25" s="10" t="s">
        <v>52</v>
      </c>
      <c r="I25" s="1" t="s">
        <v>60</v>
      </c>
      <c r="J25" s="1" t="s">
        <v>253</v>
      </c>
      <c r="K25" s="1" t="s">
        <v>254</v>
      </c>
      <c r="L25" s="1" t="s">
        <v>4</v>
      </c>
      <c r="M25" s="1" t="s">
        <v>255</v>
      </c>
      <c r="N25" s="1" t="s">
        <v>256</v>
      </c>
      <c r="Q25" s="10">
        <v>46112</v>
      </c>
    </row>
    <row r="26" spans="1:17" ht="84.75" customHeight="1" x14ac:dyDescent="0.25">
      <c r="A26" s="1" t="s">
        <v>24</v>
      </c>
      <c r="B26" s="1" t="s">
        <v>11</v>
      </c>
      <c r="C26" s="1" t="s">
        <v>257</v>
      </c>
      <c r="D26" s="10">
        <v>46316</v>
      </c>
      <c r="E26" s="10">
        <v>46121</v>
      </c>
      <c r="F26" s="10">
        <v>46125</v>
      </c>
      <c r="G26" s="10">
        <v>46122</v>
      </c>
      <c r="H26" s="10" t="s">
        <v>52</v>
      </c>
      <c r="I26" s="1" t="s">
        <v>60</v>
      </c>
      <c r="J26" s="1" t="s">
        <v>253</v>
      </c>
      <c r="K26" s="1" t="s">
        <v>258</v>
      </c>
      <c r="L26" s="1" t="s">
        <v>4</v>
      </c>
      <c r="M26" s="1" t="s">
        <v>258</v>
      </c>
      <c r="N26" s="1" t="s">
        <v>259</v>
      </c>
    </row>
    <row r="27" spans="1:17" ht="20.25" customHeight="1" x14ac:dyDescent="0.25">
      <c r="A27" s="1" t="s">
        <v>31</v>
      </c>
      <c r="B27" s="1" t="s">
        <v>11</v>
      </c>
      <c r="C27" s="1" t="s">
        <v>260</v>
      </c>
      <c r="D27" s="10">
        <v>46052</v>
      </c>
      <c r="E27" s="10">
        <v>46077</v>
      </c>
      <c r="F27" s="10">
        <v>46121</v>
      </c>
      <c r="G27" s="10">
        <v>46113</v>
      </c>
      <c r="H27" s="10" t="s">
        <v>53</v>
      </c>
      <c r="I27" s="1" t="s">
        <v>56</v>
      </c>
      <c r="J27" s="17" t="s">
        <v>261</v>
      </c>
      <c r="K27" s="1" t="s">
        <v>262</v>
      </c>
      <c r="L27" s="1" t="s">
        <v>5</v>
      </c>
      <c r="M27" s="1" t="s">
        <v>178</v>
      </c>
      <c r="N27" s="1" t="s">
        <v>263</v>
      </c>
      <c r="Q27" s="10">
        <v>46121</v>
      </c>
    </row>
    <row r="28" spans="1:17" ht="20.25" customHeight="1" x14ac:dyDescent="0.25">
      <c r="A28" s="1" t="s">
        <v>132</v>
      </c>
      <c r="B28" s="1" t="s">
        <v>11</v>
      </c>
      <c r="C28" s="1" t="s">
        <v>264</v>
      </c>
      <c r="D28" s="10">
        <v>45997</v>
      </c>
      <c r="E28" s="10">
        <v>46065</v>
      </c>
      <c r="F28" s="10">
        <v>46121</v>
      </c>
      <c r="G28" s="10">
        <v>46113</v>
      </c>
      <c r="H28" s="10" t="s">
        <v>52</v>
      </c>
      <c r="I28" s="1" t="s">
        <v>56</v>
      </c>
      <c r="J28" s="17" t="s">
        <v>265</v>
      </c>
      <c r="K28" s="1" t="s">
        <v>142</v>
      </c>
      <c r="L28" s="1" t="s">
        <v>4</v>
      </c>
      <c r="M28" s="1" t="s">
        <v>142</v>
      </c>
      <c r="N28" s="17" t="s">
        <v>266</v>
      </c>
      <c r="P28" s="1" t="s">
        <v>199</v>
      </c>
    </row>
    <row r="29" spans="1:17" ht="59.25" customHeight="1" x14ac:dyDescent="0.25">
      <c r="A29" s="1" t="s">
        <v>132</v>
      </c>
      <c r="B29" s="1" t="s">
        <v>11</v>
      </c>
      <c r="C29" s="1" t="s">
        <v>267</v>
      </c>
      <c r="D29" s="10">
        <v>46080</v>
      </c>
      <c r="E29" s="10">
        <v>46087</v>
      </c>
      <c r="F29" s="10"/>
      <c r="G29" s="10">
        <v>46118</v>
      </c>
      <c r="H29" s="10" t="s">
        <v>52</v>
      </c>
      <c r="I29" s="1" t="s">
        <v>59</v>
      </c>
      <c r="J29" s="22" t="s">
        <v>268</v>
      </c>
      <c r="K29" s="1" t="s">
        <v>162</v>
      </c>
      <c r="L29" s="1" t="s">
        <v>7</v>
      </c>
      <c r="M29" s="1" t="s">
        <v>269</v>
      </c>
      <c r="N29" s="1" t="s">
        <v>270</v>
      </c>
      <c r="P29" s="1" t="s">
        <v>199</v>
      </c>
      <c r="Q29" s="10">
        <v>46122</v>
      </c>
    </row>
    <row r="30" spans="1:17" ht="20.25" customHeight="1" x14ac:dyDescent="0.25">
      <c r="A30" s="1" t="s">
        <v>14</v>
      </c>
      <c r="B30" s="1" t="s">
        <v>13</v>
      </c>
      <c r="C30" s="1" t="s">
        <v>271</v>
      </c>
      <c r="D30" s="10">
        <v>45957</v>
      </c>
      <c r="E30" s="10">
        <v>46121</v>
      </c>
      <c r="F30" s="10"/>
      <c r="G30" s="10">
        <v>46121</v>
      </c>
      <c r="H30" s="10" t="s">
        <v>52</v>
      </c>
      <c r="I30" s="1" t="s">
        <v>60</v>
      </c>
      <c r="J30" s="1" t="s">
        <v>272</v>
      </c>
      <c r="K30" s="1" t="s">
        <v>254</v>
      </c>
      <c r="L30" s="1" t="s">
        <v>4</v>
      </c>
      <c r="M30" s="1" t="s">
        <v>255</v>
      </c>
      <c r="N30" s="1" t="s">
        <v>256</v>
      </c>
    </row>
    <row r="31" spans="1:17" ht="20.25" customHeight="1" x14ac:dyDescent="0.25">
      <c r="A31" s="1" t="s">
        <v>24</v>
      </c>
      <c r="B31" s="1" t="s">
        <v>11</v>
      </c>
      <c r="C31" s="1" t="s">
        <v>273</v>
      </c>
      <c r="D31" s="10">
        <v>45951</v>
      </c>
      <c r="E31" s="10">
        <v>46121</v>
      </c>
      <c r="F31" s="10"/>
      <c r="G31" s="10">
        <v>46121</v>
      </c>
      <c r="H31" s="10" t="s">
        <v>52</v>
      </c>
      <c r="I31" s="1" t="s">
        <v>60</v>
      </c>
      <c r="J31" s="1" t="s">
        <v>272</v>
      </c>
      <c r="K31" s="1" t="s">
        <v>258</v>
      </c>
      <c r="L31" s="1" t="s">
        <v>4</v>
      </c>
      <c r="M31" s="1" t="s">
        <v>258</v>
      </c>
      <c r="N31" s="1" t="s">
        <v>259</v>
      </c>
    </row>
    <row r="32" spans="1:17" ht="20.25" customHeight="1" x14ac:dyDescent="0.25">
      <c r="A32" s="1" t="s">
        <v>29</v>
      </c>
      <c r="B32" s="1" t="s">
        <v>13</v>
      </c>
      <c r="C32" s="1" t="s">
        <v>274</v>
      </c>
      <c r="D32" s="10">
        <v>46080</v>
      </c>
      <c r="E32" s="10">
        <v>46097</v>
      </c>
      <c r="F32" s="10"/>
      <c r="G32" s="10">
        <v>46126</v>
      </c>
      <c r="H32" s="10" t="s">
        <v>52</v>
      </c>
      <c r="I32" s="1" t="s">
        <v>59</v>
      </c>
      <c r="J32" s="1" t="s">
        <v>275</v>
      </c>
      <c r="K32" s="1" t="s">
        <v>276</v>
      </c>
      <c r="L32" s="1" t="s">
        <v>7</v>
      </c>
      <c r="M32" s="1" t="s">
        <v>277</v>
      </c>
      <c r="N32" s="1" t="s">
        <v>278</v>
      </c>
    </row>
    <row r="33" spans="1:17" ht="45.75" customHeight="1" x14ac:dyDescent="0.25">
      <c r="A33" s="1" t="s">
        <v>20</v>
      </c>
      <c r="B33" s="1" t="s">
        <v>21</v>
      </c>
      <c r="C33" s="1" t="s">
        <v>279</v>
      </c>
      <c r="D33" s="10">
        <v>46113</v>
      </c>
      <c r="E33" s="10">
        <v>46119</v>
      </c>
      <c r="F33" s="10">
        <v>46129</v>
      </c>
      <c r="G33" s="10">
        <v>46126</v>
      </c>
      <c r="H33" s="10" t="s">
        <v>16</v>
      </c>
      <c r="I33" s="1" t="s">
        <v>56</v>
      </c>
      <c r="J33" s="1" t="s">
        <v>280</v>
      </c>
      <c r="K33" s="1" t="s">
        <v>177</v>
      </c>
      <c r="L33" s="1" t="s">
        <v>4</v>
      </c>
      <c r="M33" s="1" t="s">
        <v>281</v>
      </c>
      <c r="N33" s="1" t="s">
        <v>282</v>
      </c>
      <c r="O33" s="1" t="s">
        <v>283</v>
      </c>
    </row>
    <row r="34" spans="1:17" ht="145.5" customHeight="1" x14ac:dyDescent="0.25">
      <c r="A34" s="1" t="s">
        <v>284</v>
      </c>
      <c r="B34" s="1" t="s">
        <v>21</v>
      </c>
      <c r="C34" s="15" t="s">
        <v>285</v>
      </c>
      <c r="D34" s="10">
        <v>46108</v>
      </c>
      <c r="E34" s="10">
        <v>46118</v>
      </c>
      <c r="F34" s="10">
        <v>46133</v>
      </c>
      <c r="G34" s="10">
        <v>46128</v>
      </c>
      <c r="H34" s="10" t="s">
        <v>52</v>
      </c>
      <c r="I34" s="1" t="s">
        <v>59</v>
      </c>
      <c r="J34" s="1" t="s">
        <v>286</v>
      </c>
      <c r="K34" s="1" t="s">
        <v>142</v>
      </c>
      <c r="L34" s="1" t="s">
        <v>4</v>
      </c>
      <c r="M34" s="1" t="s">
        <v>249</v>
      </c>
      <c r="N34" s="1" t="s">
        <v>287</v>
      </c>
      <c r="O34" s="1" t="s">
        <v>288</v>
      </c>
    </row>
    <row r="35" spans="1:17" ht="141" customHeight="1" x14ac:dyDescent="0.25">
      <c r="A35" s="1" t="s">
        <v>132</v>
      </c>
      <c r="B35" s="1" t="s">
        <v>11</v>
      </c>
      <c r="C35" s="1" t="s">
        <v>289</v>
      </c>
      <c r="D35" s="10">
        <v>45978</v>
      </c>
      <c r="E35" s="10">
        <v>46128</v>
      </c>
      <c r="F35" s="10">
        <v>46134</v>
      </c>
      <c r="G35" s="10">
        <v>46132</v>
      </c>
      <c r="H35" s="10" t="s">
        <v>52</v>
      </c>
      <c r="I35" s="1" t="s">
        <v>56</v>
      </c>
      <c r="J35" s="1" t="s">
        <v>290</v>
      </c>
      <c r="K35" s="1" t="s">
        <v>291</v>
      </c>
      <c r="L35" s="1" t="s">
        <v>4</v>
      </c>
      <c r="M35" s="1" t="s">
        <v>292</v>
      </c>
      <c r="N35" s="1" t="s">
        <v>293</v>
      </c>
      <c r="O35" s="1" t="s">
        <v>294</v>
      </c>
      <c r="P35" s="1" t="s">
        <v>199</v>
      </c>
      <c r="Q35" s="10">
        <v>46135</v>
      </c>
    </row>
    <row r="36" spans="1:17" ht="285" x14ac:dyDescent="0.25">
      <c r="A36" s="1" t="s">
        <v>22</v>
      </c>
      <c r="B36" s="1" t="s">
        <v>21</v>
      </c>
      <c r="C36" s="1" t="s">
        <v>295</v>
      </c>
      <c r="D36" s="10">
        <v>46050</v>
      </c>
      <c r="E36" s="10">
        <v>46129</v>
      </c>
      <c r="F36" s="10">
        <v>46136</v>
      </c>
      <c r="G36" s="10">
        <v>46133</v>
      </c>
      <c r="H36" s="10" t="s">
        <v>52</v>
      </c>
      <c r="I36" s="1" t="s">
        <v>56</v>
      </c>
      <c r="J36" s="1" t="s">
        <v>296</v>
      </c>
      <c r="K36" s="1" t="s">
        <v>142</v>
      </c>
      <c r="L36" s="1" t="s">
        <v>4</v>
      </c>
      <c r="M36" s="1" t="s">
        <v>142</v>
      </c>
      <c r="N36" s="1" t="s">
        <v>297</v>
      </c>
      <c r="O36" s="1" t="s">
        <v>294</v>
      </c>
    </row>
    <row r="37" spans="1:17" ht="204.75" x14ac:dyDescent="0.25">
      <c r="A37" s="1" t="s">
        <v>26</v>
      </c>
      <c r="B37" s="1" t="s">
        <v>21</v>
      </c>
      <c r="C37" s="15" t="s">
        <v>298</v>
      </c>
      <c r="D37" s="10">
        <v>46063</v>
      </c>
      <c r="E37" s="10">
        <v>46106</v>
      </c>
      <c r="F37" s="10"/>
      <c r="G37" s="10">
        <v>46136</v>
      </c>
      <c r="H37" s="10" t="s">
        <v>52</v>
      </c>
      <c r="I37" s="10" t="s">
        <v>56</v>
      </c>
      <c r="J37" s="17" t="s">
        <v>299</v>
      </c>
      <c r="K37" s="1" t="s">
        <v>300</v>
      </c>
      <c r="L37" s="1" t="s">
        <v>7</v>
      </c>
      <c r="M37" s="1" t="s">
        <v>301</v>
      </c>
      <c r="N37" s="1" t="s">
        <v>302</v>
      </c>
    </row>
    <row r="38" spans="1:17" ht="409.5" x14ac:dyDescent="0.25">
      <c r="A38" s="1" t="s">
        <v>17</v>
      </c>
      <c r="B38" s="1" t="s">
        <v>13</v>
      </c>
      <c r="C38" s="1" t="s">
        <v>303</v>
      </c>
      <c r="D38" s="10">
        <v>46091</v>
      </c>
      <c r="E38" s="10">
        <v>46136</v>
      </c>
      <c r="F38" s="10">
        <v>46143</v>
      </c>
      <c r="G38" s="10">
        <v>46140</v>
      </c>
      <c r="H38" s="10" t="s">
        <v>53</v>
      </c>
      <c r="I38" s="1" t="s">
        <v>55</v>
      </c>
      <c r="J38" s="17" t="s">
        <v>304</v>
      </c>
      <c r="K38" s="1" t="s">
        <v>177</v>
      </c>
      <c r="L38" s="1" t="s">
        <v>4</v>
      </c>
      <c r="M38" s="1" t="s">
        <v>254</v>
      </c>
      <c r="N38" s="1" t="s">
        <v>305</v>
      </c>
      <c r="O38" s="1" t="s">
        <v>306</v>
      </c>
    </row>
    <row r="39" spans="1:17" ht="210" x14ac:dyDescent="0.25">
      <c r="A39" s="1" t="s">
        <v>18</v>
      </c>
      <c r="B39" s="1" t="s">
        <v>13</v>
      </c>
      <c r="C39" s="1" t="s">
        <v>307</v>
      </c>
      <c r="D39" s="10">
        <v>46106</v>
      </c>
      <c r="E39" s="10">
        <v>46139</v>
      </c>
      <c r="F39" s="10">
        <v>46145</v>
      </c>
      <c r="G39" s="10">
        <v>46145</v>
      </c>
      <c r="H39" s="10" t="s">
        <v>52</v>
      </c>
      <c r="I39" s="1" t="s">
        <v>59</v>
      </c>
      <c r="J39" s="17" t="s">
        <v>308</v>
      </c>
      <c r="K39" s="1" t="s">
        <v>309</v>
      </c>
      <c r="L39" s="1" t="s">
        <v>6</v>
      </c>
      <c r="M39" s="1" t="s">
        <v>162</v>
      </c>
      <c r="N39" s="1" t="s">
        <v>310</v>
      </c>
      <c r="O39" s="1" t="s">
        <v>311</v>
      </c>
    </row>
    <row r="40" spans="1:17" ht="330" x14ac:dyDescent="0.25">
      <c r="A40" s="1" t="s">
        <v>23</v>
      </c>
      <c r="B40" s="1" t="s">
        <v>13</v>
      </c>
      <c r="C40" s="1" t="s">
        <v>312</v>
      </c>
      <c r="D40" s="10">
        <v>46079</v>
      </c>
      <c r="E40" s="10">
        <v>46119</v>
      </c>
      <c r="F40" s="10">
        <v>46150</v>
      </c>
      <c r="G40" s="10">
        <v>46145</v>
      </c>
      <c r="H40" s="10" t="s">
        <v>16</v>
      </c>
      <c r="I40" s="1" t="s">
        <v>54</v>
      </c>
      <c r="J40" s="17" t="s">
        <v>313</v>
      </c>
      <c r="K40" s="1" t="s">
        <v>314</v>
      </c>
      <c r="L40" s="1" t="s">
        <v>7</v>
      </c>
      <c r="M40" s="1" t="s">
        <v>184</v>
      </c>
      <c r="N40" s="1" t="s">
        <v>315</v>
      </c>
      <c r="O40" s="1" t="s">
        <v>316</v>
      </c>
    </row>
    <row r="41" spans="1:17" ht="409.5" x14ac:dyDescent="0.25">
      <c r="A41" s="1" t="s">
        <v>18</v>
      </c>
      <c r="B41" s="1" t="s">
        <v>13</v>
      </c>
      <c r="C41" s="1" t="s">
        <v>317</v>
      </c>
      <c r="D41" s="10">
        <v>46128</v>
      </c>
      <c r="E41" s="10">
        <v>46146</v>
      </c>
      <c r="F41" s="10">
        <v>46147</v>
      </c>
      <c r="G41" s="10">
        <v>46147</v>
      </c>
      <c r="H41" s="10" t="s">
        <v>16</v>
      </c>
      <c r="I41" s="1" t="s">
        <v>59</v>
      </c>
      <c r="J41" s="17" t="s">
        <v>318</v>
      </c>
      <c r="K41" s="1" t="s">
        <v>319</v>
      </c>
      <c r="L41" s="1" t="s">
        <v>4</v>
      </c>
      <c r="M41" s="1" t="s">
        <v>262</v>
      </c>
      <c r="N41" s="1" t="s">
        <v>320</v>
      </c>
      <c r="O41" s="1" t="s">
        <v>321</v>
      </c>
      <c r="P41" s="1" t="s">
        <v>199</v>
      </c>
      <c r="Q41" s="10">
        <v>46148</v>
      </c>
    </row>
    <row r="42" spans="1:17" ht="409.5" x14ac:dyDescent="0.25">
      <c r="A42" s="1" t="s">
        <v>322</v>
      </c>
      <c r="B42" s="1" t="s">
        <v>11</v>
      </c>
      <c r="C42" s="1" t="s">
        <v>323</v>
      </c>
      <c r="D42" s="10">
        <v>46107</v>
      </c>
      <c r="E42" s="10">
        <v>46125</v>
      </c>
      <c r="F42" s="10">
        <v>46149</v>
      </c>
      <c r="G42" s="10">
        <v>46147</v>
      </c>
      <c r="H42" s="10" t="s">
        <v>16</v>
      </c>
      <c r="I42" s="1" t="s">
        <v>58</v>
      </c>
      <c r="J42" s="17" t="s">
        <v>324</v>
      </c>
      <c r="K42" s="1" t="s">
        <v>325</v>
      </c>
      <c r="L42" s="1" t="s">
        <v>4</v>
      </c>
      <c r="M42" s="1" t="s">
        <v>221</v>
      </c>
      <c r="N42" s="1" t="s">
        <v>326</v>
      </c>
      <c r="O42" s="1" t="s">
        <v>327</v>
      </c>
    </row>
    <row r="43" spans="1:17" ht="300" x14ac:dyDescent="0.25">
      <c r="A43" s="1" t="s">
        <v>20</v>
      </c>
      <c r="B43" s="1" t="s">
        <v>21</v>
      </c>
      <c r="C43" s="1" t="s">
        <v>328</v>
      </c>
      <c r="D43" s="10">
        <v>46104</v>
      </c>
      <c r="E43" s="10">
        <v>46133</v>
      </c>
      <c r="F43" s="10">
        <v>46150</v>
      </c>
      <c r="G43" s="10">
        <v>46147</v>
      </c>
      <c r="H43" s="10" t="s">
        <v>16</v>
      </c>
      <c r="I43" s="1" t="s">
        <v>54</v>
      </c>
      <c r="J43" s="17" t="s">
        <v>329</v>
      </c>
      <c r="K43" s="1" t="s">
        <v>177</v>
      </c>
      <c r="L43" s="1" t="s">
        <v>4</v>
      </c>
      <c r="M43" s="1" t="s">
        <v>221</v>
      </c>
      <c r="N43" s="1" t="s">
        <v>330</v>
      </c>
      <c r="O43" s="1" t="s">
        <v>331</v>
      </c>
    </row>
    <row r="44" spans="1:17" ht="225" x14ac:dyDescent="0.25">
      <c r="A44" s="1" t="s">
        <v>12</v>
      </c>
      <c r="B44" s="1" t="s">
        <v>13</v>
      </c>
      <c r="C44" s="1" t="s">
        <v>332</v>
      </c>
      <c r="D44" s="10">
        <v>46070</v>
      </c>
      <c r="E44" s="10">
        <v>46135</v>
      </c>
      <c r="F44" s="10">
        <v>46150</v>
      </c>
      <c r="G44" s="10">
        <v>46147</v>
      </c>
      <c r="H44" s="10" t="s">
        <v>16</v>
      </c>
      <c r="I44" s="1" t="s">
        <v>61</v>
      </c>
      <c r="J44" s="17" t="s">
        <v>333</v>
      </c>
      <c r="K44" s="1" t="s">
        <v>162</v>
      </c>
      <c r="L44" s="1" t="s">
        <v>7</v>
      </c>
      <c r="M44" s="1" t="s">
        <v>334</v>
      </c>
      <c r="N44" s="1" t="s">
        <v>335</v>
      </c>
      <c r="O44" s="1" t="s">
        <v>336</v>
      </c>
      <c r="P44" s="1" t="s">
        <v>199</v>
      </c>
      <c r="Q44" s="10">
        <v>46148</v>
      </c>
    </row>
    <row r="45" spans="1:17" ht="225" x14ac:dyDescent="0.25">
      <c r="A45" s="1" t="s">
        <v>12</v>
      </c>
      <c r="B45" s="1" t="s">
        <v>13</v>
      </c>
      <c r="C45" s="1" t="s">
        <v>337</v>
      </c>
      <c r="D45" s="10">
        <v>46078</v>
      </c>
      <c r="E45" s="10">
        <v>46139</v>
      </c>
      <c r="F45" s="10">
        <v>46150</v>
      </c>
      <c r="G45" s="10">
        <v>46148</v>
      </c>
      <c r="H45" s="10" t="s">
        <v>16</v>
      </c>
      <c r="I45" s="1" t="s">
        <v>58</v>
      </c>
      <c r="J45" s="17" t="s">
        <v>338</v>
      </c>
      <c r="K45" s="1" t="s">
        <v>178</v>
      </c>
      <c r="L45" s="1" t="s">
        <v>4</v>
      </c>
      <c r="M45" s="1" t="s">
        <v>178</v>
      </c>
      <c r="N45" s="1" t="s">
        <v>339</v>
      </c>
      <c r="O45" s="1" t="s">
        <v>340</v>
      </c>
      <c r="P45" s="1" t="s">
        <v>199</v>
      </c>
      <c r="Q45" s="10">
        <v>46148</v>
      </c>
    </row>
    <row r="46" spans="1:17" ht="135" x14ac:dyDescent="0.25">
      <c r="A46" s="1" t="s">
        <v>14</v>
      </c>
      <c r="B46" s="1" t="s">
        <v>13</v>
      </c>
      <c r="C46" s="1" t="s">
        <v>341</v>
      </c>
      <c r="D46" s="10">
        <v>46121</v>
      </c>
      <c r="E46" s="10">
        <v>46146</v>
      </c>
      <c r="F46" s="10">
        <v>46150</v>
      </c>
      <c r="G46" s="10">
        <v>46148</v>
      </c>
      <c r="H46" s="10" t="s">
        <v>16</v>
      </c>
      <c r="I46" s="1" t="s">
        <v>59</v>
      </c>
      <c r="J46" s="17" t="s">
        <v>342</v>
      </c>
      <c r="K46" s="1" t="s">
        <v>248</v>
      </c>
      <c r="L46" s="1" t="s">
        <v>4</v>
      </c>
      <c r="M46" s="1" t="s">
        <v>248</v>
      </c>
      <c r="N46" s="1" t="s">
        <v>343</v>
      </c>
      <c r="O46" s="1" t="s">
        <v>344</v>
      </c>
    </row>
    <row r="47" spans="1:17" ht="409.5" x14ac:dyDescent="0.25">
      <c r="A47" s="1" t="s">
        <v>17</v>
      </c>
      <c r="B47" s="1" t="s">
        <v>13</v>
      </c>
      <c r="C47" s="1" t="s">
        <v>345</v>
      </c>
      <c r="D47" s="10">
        <v>46051</v>
      </c>
      <c r="E47" s="10">
        <v>46139</v>
      </c>
      <c r="F47" s="10">
        <v>46150</v>
      </c>
      <c r="G47" s="10">
        <v>46148</v>
      </c>
      <c r="H47" s="10" t="s">
        <v>16</v>
      </c>
      <c r="I47" s="1" t="s">
        <v>58</v>
      </c>
      <c r="J47" s="17" t="s">
        <v>346</v>
      </c>
      <c r="K47" s="1" t="s">
        <v>347</v>
      </c>
      <c r="L47" s="1" t="s">
        <v>4</v>
      </c>
      <c r="M47" s="1" t="s">
        <v>348</v>
      </c>
      <c r="N47" s="1" t="s">
        <v>349</v>
      </c>
      <c r="O47" s="1" t="s">
        <v>350</v>
      </c>
    </row>
    <row r="48" spans="1:17" ht="330" x14ac:dyDescent="0.25">
      <c r="A48" s="1" t="s">
        <v>12</v>
      </c>
      <c r="B48" s="1" t="s">
        <v>13</v>
      </c>
      <c r="C48" s="1" t="s">
        <v>351</v>
      </c>
      <c r="D48" s="10">
        <v>46106</v>
      </c>
      <c r="E48" s="10">
        <v>46142</v>
      </c>
      <c r="F48" s="10">
        <v>46150</v>
      </c>
      <c r="G48" s="10">
        <v>46148</v>
      </c>
      <c r="H48" s="10" t="s">
        <v>16</v>
      </c>
      <c r="I48" s="1" t="s">
        <v>62</v>
      </c>
      <c r="J48" s="17" t="s">
        <v>352</v>
      </c>
      <c r="K48" s="1" t="s">
        <v>177</v>
      </c>
      <c r="L48" s="1" t="s">
        <v>4</v>
      </c>
      <c r="M48" s="1" t="s">
        <v>221</v>
      </c>
      <c r="N48" s="1" t="s">
        <v>353</v>
      </c>
      <c r="O48" s="1" t="s">
        <v>354</v>
      </c>
    </row>
    <row r="49" spans="1:17" ht="165" x14ac:dyDescent="0.25">
      <c r="A49" s="1" t="s">
        <v>20</v>
      </c>
      <c r="B49" s="1" t="s">
        <v>21</v>
      </c>
      <c r="C49" s="1" t="s">
        <v>355</v>
      </c>
      <c r="D49" s="10">
        <v>46065</v>
      </c>
      <c r="E49" s="10">
        <v>46147</v>
      </c>
      <c r="F49" s="10">
        <v>46153</v>
      </c>
      <c r="G49" s="10">
        <v>46148</v>
      </c>
      <c r="H49" s="10" t="s">
        <v>52</v>
      </c>
      <c r="I49" s="10" t="s">
        <v>56</v>
      </c>
      <c r="J49" s="17" t="s">
        <v>356</v>
      </c>
      <c r="K49" s="1" t="s">
        <v>177</v>
      </c>
      <c r="L49" s="1" t="s">
        <v>5</v>
      </c>
      <c r="M49" s="1" t="s">
        <v>178</v>
      </c>
      <c r="N49" s="1" t="s">
        <v>357</v>
      </c>
      <c r="O49" s="1" t="s">
        <v>358</v>
      </c>
    </row>
    <row r="50" spans="1:17" ht="90" x14ac:dyDescent="0.25">
      <c r="A50" s="1" t="s">
        <v>15</v>
      </c>
      <c r="B50" s="1" t="s">
        <v>19</v>
      </c>
      <c r="C50" s="1" t="s">
        <v>359</v>
      </c>
      <c r="D50" s="10">
        <v>46146</v>
      </c>
      <c r="E50" s="10">
        <v>46146</v>
      </c>
      <c r="F50" s="10">
        <v>46149</v>
      </c>
      <c r="G50" s="10">
        <v>46148</v>
      </c>
      <c r="H50" s="10" t="s">
        <v>16</v>
      </c>
      <c r="I50" s="10" t="s">
        <v>57</v>
      </c>
      <c r="J50" s="17" t="s">
        <v>360</v>
      </c>
      <c r="K50" s="1" t="s">
        <v>172</v>
      </c>
      <c r="L50" s="1" t="s">
        <v>4</v>
      </c>
      <c r="M50" s="1" t="s">
        <v>172</v>
      </c>
      <c r="N50" s="1" t="s">
        <v>361</v>
      </c>
      <c r="O50" s="1" t="s">
        <v>362</v>
      </c>
      <c r="P50" s="1" t="s">
        <v>199</v>
      </c>
      <c r="Q50" s="10">
        <v>46150</v>
      </c>
    </row>
    <row r="51" spans="1:17" ht="225" x14ac:dyDescent="0.25">
      <c r="A51" s="1" t="s">
        <v>15</v>
      </c>
      <c r="B51" s="1" t="s">
        <v>19</v>
      </c>
      <c r="C51" s="1" t="s">
        <v>363</v>
      </c>
      <c r="D51" s="10">
        <v>46114</v>
      </c>
      <c r="E51" s="10">
        <v>46121</v>
      </c>
      <c r="F51" s="10">
        <v>46150</v>
      </c>
      <c r="G51" s="10">
        <v>46149</v>
      </c>
      <c r="H51" s="10" t="s">
        <v>16</v>
      </c>
      <c r="I51" s="2" t="s">
        <v>54</v>
      </c>
      <c r="J51" s="17" t="s">
        <v>364</v>
      </c>
      <c r="K51" s="1" t="s">
        <v>172</v>
      </c>
      <c r="L51" s="1" t="s">
        <v>4</v>
      </c>
      <c r="M51" s="1" t="s">
        <v>172</v>
      </c>
      <c r="N51" s="1" t="s">
        <v>365</v>
      </c>
      <c r="O51" s="1" t="s">
        <v>366</v>
      </c>
      <c r="P51" s="1" t="s">
        <v>199</v>
      </c>
      <c r="Q51" s="10">
        <v>46150</v>
      </c>
    </row>
    <row r="52" spans="1:17" ht="375" x14ac:dyDescent="0.25">
      <c r="A52" s="1" t="s">
        <v>132</v>
      </c>
      <c r="B52" s="1" t="s">
        <v>11</v>
      </c>
      <c r="C52" s="1" t="s">
        <v>367</v>
      </c>
      <c r="D52" s="10">
        <v>46115</v>
      </c>
      <c r="E52" s="10">
        <v>46148</v>
      </c>
      <c r="F52" s="10">
        <v>46153</v>
      </c>
      <c r="G52" s="10">
        <v>46150</v>
      </c>
      <c r="H52" s="10" t="s">
        <v>16</v>
      </c>
      <c r="I52" s="10" t="s">
        <v>62</v>
      </c>
      <c r="J52" s="17" t="s">
        <v>368</v>
      </c>
      <c r="K52" s="1" t="s">
        <v>369</v>
      </c>
      <c r="L52" s="1" t="s">
        <v>5</v>
      </c>
      <c r="M52" s="1" t="s">
        <v>370</v>
      </c>
      <c r="N52" s="1" t="s">
        <v>371</v>
      </c>
      <c r="O52" s="1" t="s">
        <v>372</v>
      </c>
    </row>
    <row r="53" spans="1:17" ht="360" x14ac:dyDescent="0.25">
      <c r="A53" s="1" t="s">
        <v>32</v>
      </c>
      <c r="B53" s="1" t="s">
        <v>21</v>
      </c>
      <c r="C53" s="1" t="s">
        <v>373</v>
      </c>
      <c r="D53" s="10">
        <v>46111</v>
      </c>
      <c r="E53" s="10">
        <v>46149</v>
      </c>
      <c r="F53" s="10">
        <v>46155</v>
      </c>
      <c r="G53" s="10">
        <v>46153</v>
      </c>
      <c r="H53" s="10" t="s">
        <v>16</v>
      </c>
      <c r="I53" s="10" t="s">
        <v>62</v>
      </c>
      <c r="J53" s="17" t="s">
        <v>374</v>
      </c>
      <c r="K53" s="17" t="s">
        <v>375</v>
      </c>
      <c r="L53" s="1" t="s">
        <v>4</v>
      </c>
      <c r="M53" s="1" t="s">
        <v>376</v>
      </c>
      <c r="N53" s="1" t="s">
        <v>377</v>
      </c>
      <c r="O53" s="1" t="s">
        <v>378</v>
      </c>
    </row>
    <row r="54" spans="1:17" ht="195" x14ac:dyDescent="0.25">
      <c r="A54" s="1" t="s">
        <v>47</v>
      </c>
      <c r="B54" s="1" t="s">
        <v>21</v>
      </c>
      <c r="C54" s="1" t="s">
        <v>379</v>
      </c>
      <c r="D54" s="10">
        <v>46134</v>
      </c>
      <c r="E54" s="10">
        <v>46153</v>
      </c>
      <c r="F54" s="10">
        <v>46156</v>
      </c>
      <c r="G54" s="10">
        <v>46154</v>
      </c>
      <c r="H54" s="10" t="s">
        <v>16</v>
      </c>
      <c r="I54" s="10" t="s">
        <v>54</v>
      </c>
      <c r="J54" s="17" t="s">
        <v>380</v>
      </c>
      <c r="K54" s="17" t="s">
        <v>381</v>
      </c>
      <c r="L54" s="1" t="s">
        <v>5</v>
      </c>
      <c r="M54" s="1" t="s">
        <v>381</v>
      </c>
      <c r="N54" s="1" t="s">
        <v>382</v>
      </c>
      <c r="O54" s="1" t="s">
        <v>383</v>
      </c>
    </row>
    <row r="55" spans="1:17" ht="375" x14ac:dyDescent="0.25">
      <c r="A55" s="1" t="s">
        <v>26</v>
      </c>
      <c r="B55" s="1" t="s">
        <v>21</v>
      </c>
      <c r="C55" s="1" t="s">
        <v>384</v>
      </c>
      <c r="D55" s="10">
        <v>46134</v>
      </c>
      <c r="E55" s="10">
        <v>46144</v>
      </c>
      <c r="F55" s="10">
        <v>46156</v>
      </c>
      <c r="G55" s="10">
        <v>46155</v>
      </c>
      <c r="H55" s="10" t="s">
        <v>52</v>
      </c>
      <c r="I55" s="10" t="s">
        <v>59</v>
      </c>
      <c r="J55" s="17" t="s">
        <v>385</v>
      </c>
      <c r="K55" s="17" t="s">
        <v>386</v>
      </c>
      <c r="L55" s="1" t="s">
        <v>4</v>
      </c>
      <c r="M55" s="1" t="s">
        <v>387</v>
      </c>
      <c r="N55" s="1" t="s">
        <v>388</v>
      </c>
      <c r="O55" s="1" t="s">
        <v>389</v>
      </c>
    </row>
    <row r="56" spans="1:17" ht="409.5" x14ac:dyDescent="0.25">
      <c r="A56" s="1" t="s">
        <v>284</v>
      </c>
      <c r="B56" s="1" t="s">
        <v>21</v>
      </c>
      <c r="C56" s="1" t="s">
        <v>14282</v>
      </c>
      <c r="D56" s="10">
        <v>46142</v>
      </c>
      <c r="E56" s="10">
        <v>46153</v>
      </c>
      <c r="F56" s="10">
        <v>46156</v>
      </c>
      <c r="G56" s="10">
        <v>46155</v>
      </c>
      <c r="H56" s="10" t="s">
        <v>53</v>
      </c>
      <c r="I56" s="10" t="s">
        <v>54</v>
      </c>
      <c r="J56" s="24" t="s">
        <v>14283</v>
      </c>
      <c r="K56" s="17" t="s">
        <v>14284</v>
      </c>
      <c r="L56" s="1" t="s">
        <v>4</v>
      </c>
      <c r="M56" s="1" t="s">
        <v>14285</v>
      </c>
      <c r="N56" s="1" t="s">
        <v>14286</v>
      </c>
      <c r="O56" s="1" t="s">
        <v>14287</v>
      </c>
    </row>
  </sheetData>
  <phoneticPr fontId="5" type="noConversion"/>
  <dataValidations count="1">
    <dataValidation type="list" allowBlank="1" showInputMessage="1" showErrorMessage="1" sqref="O25:O1048576 P1:P56" xr:uid="{1C0C86E2-D43D-4A4A-8F56-CFE2859BBED5}">
      <formula1>"Yes,No"</formula1>
    </dataValidation>
  </dataValidations>
  <hyperlinks>
    <hyperlink ref="C6" r:id="rId1" xr:uid="{D352731D-F0BE-45EF-BF02-2BD70D00F3EB}"/>
    <hyperlink ref="C15" r:id="rId2" xr:uid="{DD2D38EB-97B4-4DBC-AF88-F07C2997F70A}"/>
    <hyperlink ref="C19" r:id="rId3" xr:uid="{E0247E3B-E37D-44B9-A0D1-E93698F48E49}"/>
    <hyperlink ref="C34" r:id="rId4" xr:uid="{54E09C61-7FEA-46C8-99A6-224301E63755}"/>
    <hyperlink ref="C37" r:id="rId5" xr:uid="{29107B79-6F0B-4DC9-8BF3-08AAD981D49D}"/>
  </hyperlinks>
  <pageMargins left="0.7" right="0.7" top="0.75" bottom="0.75" header="0.3" footer="0.3"/>
  <legacyDrawing r:id="rId6"/>
  <tableParts count="1">
    <tablePart r:id="rId7"/>
  </tableParts>
  <extLst>
    <ext xmlns:x14="http://schemas.microsoft.com/office/spreadsheetml/2009/9/main" uri="{CCE6A557-97BC-4b89-ADB6-D9C93CAAB3DF}">
      <x14:dataValidations xmlns:xm="http://schemas.microsoft.com/office/excel/2006/main" count="1">
        <x14:dataValidation type="list" allowBlank="1" showInputMessage="1" showErrorMessage="1" xr:uid="{3F3F793E-149C-4864-8A62-2E71C5827571}">
          <x14:formula1>
            <xm:f>Sheet1!$A:$A</xm:f>
          </x14:formula1>
          <xm:sqref>L1:L1048576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7F9B8-A2E8-47CE-A825-B8C13F584757}">
  <dimension ref="A2:A5"/>
  <sheetViews>
    <sheetView workbookViewId="0">
      <selection sqref="A1:XFD1"/>
    </sheetView>
  </sheetViews>
  <sheetFormatPr defaultRowHeight="15" x14ac:dyDescent="0.25"/>
  <sheetData>
    <row r="2" spans="1:1" x14ac:dyDescent="0.25">
      <c r="A2" t="s">
        <v>4</v>
      </c>
    </row>
    <row r="3" spans="1:1" x14ac:dyDescent="0.25">
      <c r="A3" t="s">
        <v>6</v>
      </c>
    </row>
    <row r="4" spans="1:1" x14ac:dyDescent="0.25">
      <c r="A4" t="s">
        <v>106</v>
      </c>
    </row>
    <row r="5" spans="1:1" x14ac:dyDescent="0.25">
      <c r="A5" t="s">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FF565-F8B0-4E32-8013-C7A066746DE4}">
  <dimension ref="A1:F36"/>
  <sheetViews>
    <sheetView workbookViewId="0">
      <selection activeCell="E8" sqref="E8"/>
    </sheetView>
  </sheetViews>
  <sheetFormatPr defaultRowHeight="15" x14ac:dyDescent="0.25"/>
  <cols>
    <col min="1" max="1" width="22.85546875" bestFit="1" customWidth="1"/>
    <col min="2" max="2" width="16.140625" bestFit="1" customWidth="1"/>
    <col min="3" max="3" width="33.28515625" bestFit="1" customWidth="1"/>
    <col min="5" max="5" width="16.140625" bestFit="1" customWidth="1"/>
    <col min="6" max="6" width="31" customWidth="1"/>
  </cols>
  <sheetData>
    <row r="1" spans="1:6" x14ac:dyDescent="0.25">
      <c r="A1" s="3" t="s">
        <v>390</v>
      </c>
      <c r="B1" s="3" t="s">
        <v>391</v>
      </c>
      <c r="C1" s="3" t="s">
        <v>392</v>
      </c>
      <c r="E1" t="s">
        <v>3</v>
      </c>
      <c r="F1" t="s">
        <v>393</v>
      </c>
    </row>
    <row r="2" spans="1:6" x14ac:dyDescent="0.25">
      <c r="A2" s="3" t="s">
        <v>10</v>
      </c>
      <c r="B2" s="3" t="s">
        <v>11</v>
      </c>
      <c r="C2" s="4" t="s">
        <v>394</v>
      </c>
      <c r="E2" s="2" t="s">
        <v>21</v>
      </c>
      <c r="F2" t="s">
        <v>395</v>
      </c>
    </row>
    <row r="3" spans="1:6" x14ac:dyDescent="0.25">
      <c r="A3" s="3" t="s">
        <v>30</v>
      </c>
      <c r="B3" s="3" t="s">
        <v>11</v>
      </c>
      <c r="C3" s="4" t="s">
        <v>394</v>
      </c>
      <c r="E3" s="2" t="s">
        <v>90</v>
      </c>
      <c r="F3" t="s">
        <v>396</v>
      </c>
    </row>
    <row r="4" spans="1:6" x14ac:dyDescent="0.25">
      <c r="A4" s="3" t="s">
        <v>12</v>
      </c>
      <c r="B4" s="3" t="s">
        <v>13</v>
      </c>
      <c r="C4" s="4" t="s">
        <v>397</v>
      </c>
      <c r="E4" s="2" t="s">
        <v>11</v>
      </c>
      <c r="F4" t="s">
        <v>394</v>
      </c>
    </row>
    <row r="5" spans="1:6" x14ac:dyDescent="0.25">
      <c r="A5" s="3" t="s">
        <v>23</v>
      </c>
      <c r="B5" s="3" t="s">
        <v>13</v>
      </c>
      <c r="C5" s="4" t="s">
        <v>397</v>
      </c>
      <c r="E5" s="2" t="s">
        <v>19</v>
      </c>
      <c r="F5" t="s">
        <v>398</v>
      </c>
    </row>
    <row r="6" spans="1:6" x14ac:dyDescent="0.25">
      <c r="A6" s="3" t="s">
        <v>17</v>
      </c>
      <c r="B6" s="3" t="s">
        <v>13</v>
      </c>
      <c r="C6" s="4" t="s">
        <v>397</v>
      </c>
      <c r="E6" s="2" t="s">
        <v>13</v>
      </c>
      <c r="F6" t="s">
        <v>397</v>
      </c>
    </row>
    <row r="7" spans="1:6" x14ac:dyDescent="0.25">
      <c r="A7" s="3" t="s">
        <v>42</v>
      </c>
      <c r="B7" s="3" t="s">
        <v>11</v>
      </c>
      <c r="C7" s="4" t="s">
        <v>394</v>
      </c>
      <c r="E7" s="2" t="s">
        <v>91</v>
      </c>
      <c r="F7" t="s">
        <v>394</v>
      </c>
    </row>
    <row r="8" spans="1:6" x14ac:dyDescent="0.25">
      <c r="A8" s="3" t="s">
        <v>46</v>
      </c>
      <c r="B8" s="3" t="s">
        <v>13</v>
      </c>
      <c r="C8" s="4" t="s">
        <v>397</v>
      </c>
    </row>
    <row r="9" spans="1:6" x14ac:dyDescent="0.25">
      <c r="A9" s="3" t="s">
        <v>31</v>
      </c>
      <c r="B9" s="3" t="s">
        <v>11</v>
      </c>
      <c r="C9" s="4" t="s">
        <v>394</v>
      </c>
    </row>
    <row r="10" spans="1:6" x14ac:dyDescent="0.25">
      <c r="A10" s="3" t="s">
        <v>24</v>
      </c>
      <c r="B10" s="3" t="s">
        <v>11</v>
      </c>
      <c r="C10" s="4" t="s">
        <v>394</v>
      </c>
    </row>
    <row r="11" spans="1:6" x14ac:dyDescent="0.25">
      <c r="A11" s="3" t="s">
        <v>15</v>
      </c>
      <c r="B11" s="3" t="s">
        <v>19</v>
      </c>
      <c r="C11" s="4" t="s">
        <v>398</v>
      </c>
    </row>
    <row r="12" spans="1:6" x14ac:dyDescent="0.25">
      <c r="A12" s="3" t="s">
        <v>25</v>
      </c>
      <c r="B12" s="3" t="s">
        <v>21</v>
      </c>
      <c r="C12" s="4" t="s">
        <v>395</v>
      </c>
    </row>
    <row r="13" spans="1:6" x14ac:dyDescent="0.25">
      <c r="A13" s="3" t="s">
        <v>27</v>
      </c>
      <c r="B13" s="3" t="s">
        <v>19</v>
      </c>
      <c r="C13" s="4" t="s">
        <v>398</v>
      </c>
    </row>
    <row r="14" spans="1:6" x14ac:dyDescent="0.25">
      <c r="A14" s="3" t="s">
        <v>28</v>
      </c>
      <c r="B14" s="3" t="s">
        <v>11</v>
      </c>
      <c r="C14" s="4" t="s">
        <v>394</v>
      </c>
    </row>
    <row r="15" spans="1:6" x14ac:dyDescent="0.25">
      <c r="A15" s="3" t="s">
        <v>29</v>
      </c>
      <c r="B15" s="3" t="s">
        <v>13</v>
      </c>
      <c r="C15" s="4" t="s">
        <v>397</v>
      </c>
    </row>
    <row r="16" spans="1:6" x14ac:dyDescent="0.25">
      <c r="A16" s="3" t="s">
        <v>33</v>
      </c>
      <c r="B16" s="3" t="s">
        <v>21</v>
      </c>
      <c r="C16" s="4" t="s">
        <v>395</v>
      </c>
    </row>
    <row r="17" spans="1:3" x14ac:dyDescent="0.25">
      <c r="A17" s="3" t="s">
        <v>34</v>
      </c>
      <c r="B17" s="3" t="s">
        <v>21</v>
      </c>
      <c r="C17" s="4" t="s">
        <v>395</v>
      </c>
    </row>
    <row r="18" spans="1:3" x14ac:dyDescent="0.25">
      <c r="A18" s="3" t="s">
        <v>35</v>
      </c>
      <c r="B18" s="3" t="s">
        <v>11</v>
      </c>
      <c r="C18" s="4" t="s">
        <v>394</v>
      </c>
    </row>
    <row r="19" spans="1:3" x14ac:dyDescent="0.25">
      <c r="A19" s="3" t="s">
        <v>14</v>
      </c>
      <c r="B19" s="3" t="s">
        <v>13</v>
      </c>
      <c r="C19" s="4" t="s">
        <v>397</v>
      </c>
    </row>
    <row r="20" spans="1:3" x14ac:dyDescent="0.25">
      <c r="A20" s="3" t="s">
        <v>18</v>
      </c>
      <c r="B20" s="3" t="s">
        <v>13</v>
      </c>
      <c r="C20" s="4" t="s">
        <v>397</v>
      </c>
    </row>
    <row r="21" spans="1:3" x14ac:dyDescent="0.25">
      <c r="A21" s="3" t="s">
        <v>37</v>
      </c>
      <c r="B21" s="3" t="s">
        <v>13</v>
      </c>
      <c r="C21" s="4" t="s">
        <v>397</v>
      </c>
    </row>
    <row r="22" spans="1:3" x14ac:dyDescent="0.25">
      <c r="A22" s="3" t="s">
        <v>38</v>
      </c>
      <c r="B22" s="3" t="s">
        <v>19</v>
      </c>
      <c r="C22" s="4" t="s">
        <v>398</v>
      </c>
    </row>
    <row r="23" spans="1:3" x14ac:dyDescent="0.25">
      <c r="A23" s="3" t="s">
        <v>39</v>
      </c>
      <c r="B23" s="3"/>
      <c r="C23" s="4"/>
    </row>
    <row r="24" spans="1:3" x14ac:dyDescent="0.25">
      <c r="A24" s="3" t="s">
        <v>40</v>
      </c>
      <c r="B24" s="3" t="s">
        <v>11</v>
      </c>
      <c r="C24" s="4" t="s">
        <v>394</v>
      </c>
    </row>
    <row r="25" spans="1:3" x14ac:dyDescent="0.25">
      <c r="A25" s="3" t="s">
        <v>41</v>
      </c>
      <c r="B25" s="3" t="s">
        <v>19</v>
      </c>
      <c r="C25" s="4" t="s">
        <v>398</v>
      </c>
    </row>
    <row r="26" spans="1:3" x14ac:dyDescent="0.25">
      <c r="A26" s="3" t="s">
        <v>22</v>
      </c>
      <c r="B26" s="3" t="s">
        <v>21</v>
      </c>
      <c r="C26" s="4" t="s">
        <v>395</v>
      </c>
    </row>
    <row r="27" spans="1:3" x14ac:dyDescent="0.25">
      <c r="A27" s="3" t="s">
        <v>43</v>
      </c>
      <c r="B27" s="3" t="s">
        <v>21</v>
      </c>
      <c r="C27" s="4" t="s">
        <v>395</v>
      </c>
    </row>
    <row r="28" spans="1:3" x14ac:dyDescent="0.25">
      <c r="A28" s="3" t="s">
        <v>44</v>
      </c>
      <c r="B28" s="3" t="s">
        <v>19</v>
      </c>
      <c r="C28" s="4" t="s">
        <v>398</v>
      </c>
    </row>
    <row r="29" spans="1:3" x14ac:dyDescent="0.25">
      <c r="A29" s="3" t="s">
        <v>45</v>
      </c>
      <c r="B29" s="3" t="s">
        <v>13</v>
      </c>
      <c r="C29" s="4" t="s">
        <v>397</v>
      </c>
    </row>
    <row r="30" spans="1:3" x14ac:dyDescent="0.25">
      <c r="A30" s="3" t="s">
        <v>47</v>
      </c>
      <c r="B30" s="3" t="s">
        <v>21</v>
      </c>
      <c r="C30" s="4" t="s">
        <v>395</v>
      </c>
    </row>
    <row r="31" spans="1:3" x14ac:dyDescent="0.25">
      <c r="A31" s="3" t="s">
        <v>48</v>
      </c>
      <c r="B31" s="3" t="s">
        <v>11</v>
      </c>
      <c r="C31" s="4" t="s">
        <v>394</v>
      </c>
    </row>
    <row r="32" spans="1:3" x14ac:dyDescent="0.25">
      <c r="A32" s="3" t="s">
        <v>26</v>
      </c>
      <c r="B32" s="3" t="s">
        <v>21</v>
      </c>
      <c r="C32" s="4" t="s">
        <v>395</v>
      </c>
    </row>
    <row r="33" spans="1:3" x14ac:dyDescent="0.25">
      <c r="A33" s="3" t="s">
        <v>49</v>
      </c>
      <c r="B33" s="3" t="s">
        <v>19</v>
      </c>
      <c r="C33" s="4" t="s">
        <v>398</v>
      </c>
    </row>
    <row r="34" spans="1:3" x14ac:dyDescent="0.25">
      <c r="A34" s="3" t="s">
        <v>32</v>
      </c>
      <c r="B34" s="3" t="s">
        <v>21</v>
      </c>
      <c r="C34" s="4" t="s">
        <v>395</v>
      </c>
    </row>
    <row r="35" spans="1:3" x14ac:dyDescent="0.25">
      <c r="A35" s="3" t="s">
        <v>20</v>
      </c>
      <c r="B35" s="3" t="s">
        <v>21</v>
      </c>
      <c r="C35" s="4" t="s">
        <v>395</v>
      </c>
    </row>
    <row r="36" spans="1:3" x14ac:dyDescent="0.25">
      <c r="A36" s="3" t="s">
        <v>36</v>
      </c>
      <c r="B36" s="3" t="s">
        <v>13</v>
      </c>
      <c r="C36" s="4" t="s">
        <v>397</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0FB68-092E-4882-B2F3-BA0D723CC98E}">
  <dimension ref="A1:N6749"/>
  <sheetViews>
    <sheetView topLeftCell="F2" workbookViewId="0">
      <selection activeCell="H13" sqref="H13"/>
    </sheetView>
  </sheetViews>
  <sheetFormatPr defaultRowHeight="15" x14ac:dyDescent="0.25"/>
  <cols>
    <col min="1" max="1" width="11" customWidth="1"/>
    <col min="2" max="2" width="12.85546875" customWidth="1"/>
    <col min="3" max="3" width="12.5703125" customWidth="1"/>
    <col min="5" max="5" width="16" customWidth="1"/>
    <col min="6" max="8" width="22.42578125" customWidth="1"/>
    <col min="9" max="9" width="29" customWidth="1"/>
    <col min="10" max="10" width="18.140625" customWidth="1"/>
    <col min="11" max="11" width="15.5703125" customWidth="1"/>
    <col min="12" max="12" width="14.140625" customWidth="1"/>
    <col min="13" max="13" width="15" customWidth="1"/>
    <col min="14" max="14" width="14.5703125" customWidth="1"/>
  </cols>
  <sheetData>
    <row r="1" spans="1:14" x14ac:dyDescent="0.25">
      <c r="A1" t="s">
        <v>399</v>
      </c>
      <c r="B1" t="s">
        <v>400</v>
      </c>
      <c r="C1" t="s">
        <v>401</v>
      </c>
      <c r="D1" t="s">
        <v>402</v>
      </c>
      <c r="E1" t="s">
        <v>403</v>
      </c>
      <c r="F1" t="s">
        <v>404</v>
      </c>
      <c r="G1" t="s">
        <v>1</v>
      </c>
      <c r="H1" t="s">
        <v>405</v>
      </c>
      <c r="I1" t="s">
        <v>406</v>
      </c>
      <c r="J1" t="s">
        <v>407</v>
      </c>
      <c r="K1" t="s">
        <v>408</v>
      </c>
      <c r="L1" t="s">
        <v>409</v>
      </c>
      <c r="M1" t="s">
        <v>410</v>
      </c>
      <c r="N1" t="s">
        <v>411</v>
      </c>
    </row>
    <row r="2" spans="1:14" x14ac:dyDescent="0.25">
      <c r="A2">
        <v>57354596</v>
      </c>
      <c r="B2" t="s">
        <v>412</v>
      </c>
      <c r="C2" t="s">
        <v>413</v>
      </c>
      <c r="D2" t="s">
        <v>414</v>
      </c>
      <c r="E2" t="s">
        <v>415</v>
      </c>
      <c r="F2" t="s">
        <v>416</v>
      </c>
      <c r="G2" t="s">
        <v>417</v>
      </c>
      <c r="I2" t="s">
        <v>26</v>
      </c>
      <c r="J2" s="13">
        <v>45951</v>
      </c>
      <c r="K2" s="13">
        <v>46023</v>
      </c>
      <c r="L2" t="s">
        <v>418</v>
      </c>
      <c r="M2" t="s">
        <v>419</v>
      </c>
      <c r="N2">
        <v>64287864</v>
      </c>
    </row>
    <row r="3" spans="1:14" x14ac:dyDescent="0.25">
      <c r="A3">
        <v>57239687</v>
      </c>
      <c r="B3" t="s">
        <v>420</v>
      </c>
      <c r="C3" t="s">
        <v>421</v>
      </c>
      <c r="D3" t="s">
        <v>422</v>
      </c>
      <c r="E3">
        <v>4196318941</v>
      </c>
      <c r="F3" t="s">
        <v>423</v>
      </c>
      <c r="G3" t="s">
        <v>424</v>
      </c>
      <c r="I3" t="s">
        <v>46</v>
      </c>
      <c r="J3" s="13">
        <v>45945</v>
      </c>
      <c r="K3" s="13">
        <v>46023</v>
      </c>
      <c r="L3" t="s">
        <v>418</v>
      </c>
      <c r="M3" t="s">
        <v>59</v>
      </c>
      <c r="N3">
        <v>64499654</v>
      </c>
    </row>
    <row r="4" spans="1:14" x14ac:dyDescent="0.25">
      <c r="A4">
        <v>57239754</v>
      </c>
      <c r="B4" t="s">
        <v>425</v>
      </c>
      <c r="C4" t="s">
        <v>426</v>
      </c>
      <c r="D4" t="s">
        <v>427</v>
      </c>
      <c r="F4" t="s">
        <v>423</v>
      </c>
      <c r="G4" t="s">
        <v>424</v>
      </c>
      <c r="I4" t="s">
        <v>46</v>
      </c>
      <c r="J4" s="13">
        <v>45945</v>
      </c>
      <c r="K4" s="13">
        <v>46023</v>
      </c>
      <c r="L4" t="s">
        <v>418</v>
      </c>
      <c r="M4" t="s">
        <v>59</v>
      </c>
      <c r="N4">
        <v>64500172</v>
      </c>
    </row>
    <row r="5" spans="1:14" x14ac:dyDescent="0.25">
      <c r="A5">
        <v>57240382</v>
      </c>
      <c r="B5" t="s">
        <v>428</v>
      </c>
      <c r="C5" t="s">
        <v>429</v>
      </c>
      <c r="D5" t="s">
        <v>430</v>
      </c>
      <c r="F5" t="s">
        <v>423</v>
      </c>
      <c r="G5" t="s">
        <v>424</v>
      </c>
      <c r="I5" t="s">
        <v>46</v>
      </c>
      <c r="J5" s="13">
        <v>45945</v>
      </c>
      <c r="K5" s="13">
        <v>46023</v>
      </c>
      <c r="L5" t="s">
        <v>418</v>
      </c>
      <c r="M5" t="s">
        <v>59</v>
      </c>
      <c r="N5">
        <v>64696074</v>
      </c>
    </row>
    <row r="6" spans="1:14" x14ac:dyDescent="0.25">
      <c r="A6">
        <v>57252177</v>
      </c>
      <c r="B6" t="s">
        <v>431</v>
      </c>
      <c r="C6" t="s">
        <v>432</v>
      </c>
      <c r="D6" t="s">
        <v>433</v>
      </c>
      <c r="E6">
        <v>5738812088</v>
      </c>
      <c r="F6" t="s">
        <v>423</v>
      </c>
      <c r="G6" t="s">
        <v>424</v>
      </c>
      <c r="I6" t="s">
        <v>46</v>
      </c>
      <c r="J6" s="13">
        <v>45945</v>
      </c>
      <c r="K6" s="13">
        <v>46023</v>
      </c>
      <c r="L6" t="s">
        <v>434</v>
      </c>
      <c r="M6" t="s">
        <v>61</v>
      </c>
      <c r="N6">
        <v>64723174</v>
      </c>
    </row>
    <row r="7" spans="1:14" x14ac:dyDescent="0.25">
      <c r="A7">
        <v>57431596</v>
      </c>
      <c r="B7" t="s">
        <v>435</v>
      </c>
      <c r="C7" t="s">
        <v>436</v>
      </c>
      <c r="D7" t="s">
        <v>437</v>
      </c>
      <c r="E7">
        <v>3172895565</v>
      </c>
      <c r="F7" t="s">
        <v>438</v>
      </c>
      <c r="G7" t="s">
        <v>439</v>
      </c>
      <c r="I7" t="s">
        <v>38</v>
      </c>
      <c r="J7" s="13">
        <v>45953</v>
      </c>
      <c r="K7" s="13">
        <v>46023</v>
      </c>
      <c r="L7" t="s">
        <v>440</v>
      </c>
      <c r="M7" t="s">
        <v>58</v>
      </c>
      <c r="N7">
        <v>65270924</v>
      </c>
    </row>
    <row r="8" spans="1:14" x14ac:dyDescent="0.25">
      <c r="A8">
        <v>57315393</v>
      </c>
      <c r="B8" t="s">
        <v>441</v>
      </c>
      <c r="C8" t="s">
        <v>442</v>
      </c>
      <c r="D8" t="s">
        <v>443</v>
      </c>
      <c r="E8">
        <v>2817140411</v>
      </c>
      <c r="F8" t="s">
        <v>416</v>
      </c>
      <c r="G8" t="s">
        <v>417</v>
      </c>
      <c r="I8" t="s">
        <v>26</v>
      </c>
      <c r="J8" s="13">
        <v>45948</v>
      </c>
      <c r="K8" s="13">
        <v>46023</v>
      </c>
      <c r="L8" t="s">
        <v>444</v>
      </c>
      <c r="M8" t="s">
        <v>59</v>
      </c>
      <c r="N8">
        <v>65289001</v>
      </c>
    </row>
    <row r="9" spans="1:14" x14ac:dyDescent="0.25">
      <c r="A9">
        <v>57353195</v>
      </c>
      <c r="B9" t="s">
        <v>445</v>
      </c>
      <c r="C9" t="s">
        <v>446</v>
      </c>
      <c r="D9" t="s">
        <v>447</v>
      </c>
      <c r="E9">
        <v>2512293614</v>
      </c>
      <c r="F9" t="s">
        <v>448</v>
      </c>
      <c r="G9" t="s">
        <v>449</v>
      </c>
      <c r="I9" t="s">
        <v>31</v>
      </c>
      <c r="J9" s="13">
        <v>45951</v>
      </c>
      <c r="K9" s="13">
        <v>46023</v>
      </c>
      <c r="L9" t="s">
        <v>450</v>
      </c>
      <c r="M9" t="s">
        <v>59</v>
      </c>
      <c r="N9">
        <v>65290304</v>
      </c>
    </row>
    <row r="10" spans="1:14" x14ac:dyDescent="0.25">
      <c r="A10">
        <v>57256033</v>
      </c>
      <c r="B10" t="s">
        <v>451</v>
      </c>
      <c r="C10" t="s">
        <v>452</v>
      </c>
      <c r="D10" t="s">
        <v>453</v>
      </c>
      <c r="E10">
        <v>4346606460</v>
      </c>
      <c r="F10" t="s">
        <v>416</v>
      </c>
      <c r="G10" t="s">
        <v>417</v>
      </c>
      <c r="I10" t="s">
        <v>26</v>
      </c>
      <c r="J10" s="13">
        <v>45945</v>
      </c>
      <c r="K10" s="13">
        <v>46023</v>
      </c>
      <c r="L10" t="s">
        <v>454</v>
      </c>
      <c r="M10" t="s">
        <v>58</v>
      </c>
      <c r="N10">
        <v>65412104</v>
      </c>
    </row>
    <row r="11" spans="1:14" x14ac:dyDescent="0.25">
      <c r="A11">
        <v>57296005</v>
      </c>
      <c r="B11" t="s">
        <v>455</v>
      </c>
      <c r="C11" t="s">
        <v>456</v>
      </c>
      <c r="D11" t="s">
        <v>457</v>
      </c>
      <c r="E11">
        <v>9364332247</v>
      </c>
      <c r="F11" t="s">
        <v>416</v>
      </c>
      <c r="G11" t="s">
        <v>417</v>
      </c>
      <c r="I11" t="s">
        <v>26</v>
      </c>
      <c r="J11" s="13">
        <v>45947</v>
      </c>
      <c r="K11" s="13">
        <v>46023</v>
      </c>
      <c r="L11" t="s">
        <v>444</v>
      </c>
      <c r="M11" t="s">
        <v>55</v>
      </c>
      <c r="N11">
        <v>65416056</v>
      </c>
    </row>
    <row r="12" spans="1:14" x14ac:dyDescent="0.25">
      <c r="A12">
        <v>58072996</v>
      </c>
      <c r="B12" t="s">
        <v>458</v>
      </c>
      <c r="C12" t="s">
        <v>459</v>
      </c>
      <c r="D12" t="s">
        <v>460</v>
      </c>
      <c r="E12" t="s">
        <v>461</v>
      </c>
      <c r="F12" t="s">
        <v>462</v>
      </c>
      <c r="G12" t="s">
        <v>463</v>
      </c>
      <c r="I12" t="s">
        <v>39</v>
      </c>
      <c r="J12" s="13">
        <v>45974</v>
      </c>
      <c r="K12" s="13">
        <v>46023</v>
      </c>
      <c r="L12" t="s">
        <v>454</v>
      </c>
      <c r="M12" t="s">
        <v>58</v>
      </c>
      <c r="N12">
        <v>65437341</v>
      </c>
    </row>
    <row r="13" spans="1:14" x14ac:dyDescent="0.25">
      <c r="A13">
        <v>57273343</v>
      </c>
      <c r="B13" t="s">
        <v>464</v>
      </c>
      <c r="C13" t="s">
        <v>465</v>
      </c>
      <c r="D13" t="s">
        <v>466</v>
      </c>
      <c r="E13">
        <v>5133743239</v>
      </c>
      <c r="F13" t="s">
        <v>416</v>
      </c>
      <c r="G13" t="s">
        <v>417</v>
      </c>
      <c r="I13" t="s">
        <v>26</v>
      </c>
      <c r="J13" s="13">
        <v>45946</v>
      </c>
      <c r="K13" s="13">
        <v>46023</v>
      </c>
      <c r="L13" t="s">
        <v>418</v>
      </c>
      <c r="M13" t="s">
        <v>56</v>
      </c>
      <c r="N13">
        <v>65444963</v>
      </c>
    </row>
    <row r="14" spans="1:14" x14ac:dyDescent="0.25">
      <c r="A14">
        <v>57240767</v>
      </c>
      <c r="B14" t="s">
        <v>467</v>
      </c>
      <c r="C14" t="s">
        <v>468</v>
      </c>
      <c r="D14" t="s">
        <v>469</v>
      </c>
      <c r="E14">
        <v>7736208495</v>
      </c>
      <c r="F14" t="s">
        <v>462</v>
      </c>
      <c r="G14" t="s">
        <v>463</v>
      </c>
      <c r="I14" t="s">
        <v>39</v>
      </c>
      <c r="J14" s="13">
        <v>45945</v>
      </c>
      <c r="K14" s="13">
        <v>46023</v>
      </c>
      <c r="L14" t="s">
        <v>470</v>
      </c>
      <c r="M14" t="s">
        <v>59</v>
      </c>
      <c r="N14">
        <v>65589924</v>
      </c>
    </row>
    <row r="15" spans="1:14" x14ac:dyDescent="0.25">
      <c r="A15">
        <v>57281934</v>
      </c>
      <c r="B15" t="s">
        <v>471</v>
      </c>
      <c r="C15" t="s">
        <v>472</v>
      </c>
      <c r="D15" t="s">
        <v>473</v>
      </c>
      <c r="E15">
        <v>4345441922</v>
      </c>
      <c r="F15" t="s">
        <v>474</v>
      </c>
      <c r="G15" t="s">
        <v>475</v>
      </c>
      <c r="I15" t="s">
        <v>132</v>
      </c>
      <c r="J15" s="13">
        <v>45946</v>
      </c>
      <c r="K15" s="13">
        <v>46023</v>
      </c>
      <c r="L15" t="s">
        <v>454</v>
      </c>
      <c r="M15" t="s">
        <v>58</v>
      </c>
      <c r="N15">
        <v>65842522</v>
      </c>
    </row>
    <row r="16" spans="1:14" x14ac:dyDescent="0.25">
      <c r="A16">
        <v>59727010</v>
      </c>
      <c r="B16" t="s">
        <v>476</v>
      </c>
      <c r="C16" t="s">
        <v>477</v>
      </c>
      <c r="D16" t="s">
        <v>478</v>
      </c>
      <c r="E16">
        <v>9013053321</v>
      </c>
      <c r="F16" t="s">
        <v>448</v>
      </c>
      <c r="G16" t="s">
        <v>449</v>
      </c>
      <c r="I16" t="s">
        <v>31</v>
      </c>
      <c r="J16" s="13">
        <v>46042</v>
      </c>
      <c r="K16" s="13">
        <v>46054</v>
      </c>
      <c r="L16" t="s">
        <v>479</v>
      </c>
      <c r="M16" t="s">
        <v>419</v>
      </c>
      <c r="N16">
        <v>65872806</v>
      </c>
    </row>
    <row r="17" spans="1:14" x14ac:dyDescent="0.25">
      <c r="A17">
        <v>57255191</v>
      </c>
      <c r="B17" t="s">
        <v>480</v>
      </c>
      <c r="C17" t="s">
        <v>481</v>
      </c>
      <c r="D17" t="s">
        <v>482</v>
      </c>
      <c r="E17">
        <v>7022414412</v>
      </c>
      <c r="F17" t="s">
        <v>423</v>
      </c>
      <c r="G17" t="s">
        <v>424</v>
      </c>
      <c r="I17" t="s">
        <v>46</v>
      </c>
      <c r="J17" s="13">
        <v>45945</v>
      </c>
      <c r="K17" s="13">
        <v>46023</v>
      </c>
      <c r="L17" t="s">
        <v>483</v>
      </c>
      <c r="M17" t="s">
        <v>61</v>
      </c>
      <c r="N17">
        <v>65881430</v>
      </c>
    </row>
    <row r="18" spans="1:14" x14ac:dyDescent="0.25">
      <c r="A18">
        <v>57255237</v>
      </c>
      <c r="B18" t="s">
        <v>484</v>
      </c>
      <c r="C18" t="s">
        <v>485</v>
      </c>
      <c r="D18" t="s">
        <v>486</v>
      </c>
      <c r="F18" t="s">
        <v>423</v>
      </c>
      <c r="G18" t="s">
        <v>424</v>
      </c>
      <c r="I18" t="s">
        <v>46</v>
      </c>
      <c r="J18" s="13">
        <v>45945</v>
      </c>
      <c r="K18" s="13">
        <v>46023</v>
      </c>
      <c r="L18" t="s">
        <v>483</v>
      </c>
      <c r="M18" t="s">
        <v>61</v>
      </c>
      <c r="N18">
        <v>65881735</v>
      </c>
    </row>
    <row r="19" spans="1:14" x14ac:dyDescent="0.25">
      <c r="A19">
        <v>58048138</v>
      </c>
      <c r="B19" t="s">
        <v>487</v>
      </c>
      <c r="C19" t="s">
        <v>488</v>
      </c>
      <c r="D19" t="s">
        <v>489</v>
      </c>
      <c r="E19">
        <v>9542180859</v>
      </c>
      <c r="F19" t="s">
        <v>474</v>
      </c>
      <c r="G19" t="s">
        <v>475</v>
      </c>
      <c r="I19" t="s">
        <v>132</v>
      </c>
      <c r="J19" s="13">
        <v>45973</v>
      </c>
      <c r="K19" s="13">
        <v>46023</v>
      </c>
      <c r="L19" t="s">
        <v>490</v>
      </c>
      <c r="M19" t="s">
        <v>59</v>
      </c>
      <c r="N19">
        <v>65959738</v>
      </c>
    </row>
    <row r="20" spans="1:14" x14ac:dyDescent="0.25">
      <c r="A20">
        <v>57405135</v>
      </c>
      <c r="B20" t="s">
        <v>491</v>
      </c>
      <c r="C20" t="s">
        <v>492</v>
      </c>
      <c r="D20" t="s">
        <v>493</v>
      </c>
      <c r="E20">
        <v>9044158390</v>
      </c>
      <c r="F20" t="s">
        <v>494</v>
      </c>
      <c r="G20" t="s">
        <v>495</v>
      </c>
      <c r="I20" t="s">
        <v>496</v>
      </c>
      <c r="J20" s="13">
        <v>45945</v>
      </c>
      <c r="K20" s="13">
        <v>46023</v>
      </c>
      <c r="L20" t="s">
        <v>497</v>
      </c>
      <c r="M20" t="s">
        <v>56</v>
      </c>
      <c r="N20">
        <v>66001454</v>
      </c>
    </row>
    <row r="21" spans="1:14" x14ac:dyDescent="0.25">
      <c r="A21">
        <v>57236198</v>
      </c>
      <c r="B21" t="s">
        <v>498</v>
      </c>
      <c r="C21" t="s">
        <v>499</v>
      </c>
      <c r="D21" t="s">
        <v>500</v>
      </c>
      <c r="E21">
        <v>4234264170</v>
      </c>
      <c r="F21" t="s">
        <v>423</v>
      </c>
      <c r="G21" t="s">
        <v>424</v>
      </c>
      <c r="I21" t="s">
        <v>46</v>
      </c>
      <c r="J21" s="13">
        <v>45945</v>
      </c>
      <c r="K21" s="13">
        <v>46023</v>
      </c>
      <c r="L21" t="s">
        <v>479</v>
      </c>
      <c r="M21" t="s">
        <v>59</v>
      </c>
      <c r="N21">
        <v>66154368</v>
      </c>
    </row>
    <row r="22" spans="1:14" x14ac:dyDescent="0.25">
      <c r="A22">
        <v>57236240</v>
      </c>
      <c r="B22" t="s">
        <v>501</v>
      </c>
      <c r="C22" t="s">
        <v>502</v>
      </c>
      <c r="D22" t="s">
        <v>503</v>
      </c>
      <c r="E22" t="s">
        <v>504</v>
      </c>
      <c r="F22" t="s">
        <v>423</v>
      </c>
      <c r="G22" t="s">
        <v>424</v>
      </c>
      <c r="I22" t="s">
        <v>46</v>
      </c>
      <c r="J22" s="13">
        <v>45945</v>
      </c>
      <c r="K22" s="13">
        <v>46023</v>
      </c>
      <c r="L22" t="s">
        <v>479</v>
      </c>
      <c r="M22" t="s">
        <v>59</v>
      </c>
      <c r="N22">
        <v>66155780</v>
      </c>
    </row>
    <row r="23" spans="1:14" x14ac:dyDescent="0.25">
      <c r="A23">
        <v>60666031</v>
      </c>
      <c r="B23" t="s">
        <v>505</v>
      </c>
      <c r="C23" t="s">
        <v>506</v>
      </c>
      <c r="D23" t="s">
        <v>507</v>
      </c>
      <c r="E23">
        <v>5403762795</v>
      </c>
      <c r="F23" t="s">
        <v>474</v>
      </c>
      <c r="G23" t="s">
        <v>475</v>
      </c>
      <c r="I23" t="s">
        <v>132</v>
      </c>
      <c r="J23" s="13">
        <v>46071</v>
      </c>
      <c r="K23" s="13">
        <v>46082</v>
      </c>
      <c r="L23" t="s">
        <v>454</v>
      </c>
      <c r="M23" t="s">
        <v>419</v>
      </c>
      <c r="N23">
        <v>66288323</v>
      </c>
    </row>
    <row r="24" spans="1:14" x14ac:dyDescent="0.25">
      <c r="A24">
        <v>57405291</v>
      </c>
      <c r="B24" t="s">
        <v>508</v>
      </c>
      <c r="C24" t="s">
        <v>509</v>
      </c>
      <c r="D24" t="s">
        <v>510</v>
      </c>
      <c r="E24">
        <v>9793477404</v>
      </c>
      <c r="F24" t="s">
        <v>494</v>
      </c>
      <c r="G24" t="s">
        <v>495</v>
      </c>
      <c r="I24" t="s">
        <v>496</v>
      </c>
      <c r="J24" s="13">
        <v>45946</v>
      </c>
      <c r="K24" s="13">
        <v>46023</v>
      </c>
      <c r="L24" t="s">
        <v>444</v>
      </c>
      <c r="M24" t="s">
        <v>61</v>
      </c>
      <c r="N24">
        <v>66299034</v>
      </c>
    </row>
    <row r="25" spans="1:14" x14ac:dyDescent="0.25">
      <c r="A25">
        <v>57251285</v>
      </c>
      <c r="B25" t="s">
        <v>511</v>
      </c>
      <c r="C25" t="s">
        <v>512</v>
      </c>
      <c r="D25" t="s">
        <v>513</v>
      </c>
      <c r="E25">
        <v>5743181373</v>
      </c>
      <c r="F25" t="s">
        <v>416</v>
      </c>
      <c r="G25" t="s">
        <v>417</v>
      </c>
      <c r="I25" t="s">
        <v>26</v>
      </c>
      <c r="J25" s="13">
        <v>45945</v>
      </c>
      <c r="K25" s="13">
        <v>46023</v>
      </c>
      <c r="L25" t="s">
        <v>440</v>
      </c>
      <c r="M25" t="s">
        <v>56</v>
      </c>
      <c r="N25">
        <v>66332278</v>
      </c>
    </row>
    <row r="26" spans="1:14" x14ac:dyDescent="0.25">
      <c r="A26">
        <v>57241647</v>
      </c>
      <c r="B26" t="s">
        <v>514</v>
      </c>
      <c r="C26" t="s">
        <v>515</v>
      </c>
      <c r="D26" t="s">
        <v>516</v>
      </c>
      <c r="E26">
        <v>7652420365</v>
      </c>
      <c r="F26" t="s">
        <v>474</v>
      </c>
      <c r="G26" t="s">
        <v>475</v>
      </c>
      <c r="I26" t="s">
        <v>132</v>
      </c>
      <c r="J26" s="13">
        <v>45945</v>
      </c>
      <c r="K26" s="13">
        <v>46023</v>
      </c>
      <c r="L26" t="s">
        <v>440</v>
      </c>
      <c r="M26" t="s">
        <v>419</v>
      </c>
      <c r="N26">
        <v>66341822</v>
      </c>
    </row>
    <row r="27" spans="1:14" x14ac:dyDescent="0.25">
      <c r="A27">
        <v>57254096</v>
      </c>
      <c r="B27" t="s">
        <v>517</v>
      </c>
      <c r="C27" t="s">
        <v>518</v>
      </c>
      <c r="D27" t="s">
        <v>519</v>
      </c>
      <c r="E27">
        <v>4173170729</v>
      </c>
      <c r="F27" t="s">
        <v>462</v>
      </c>
      <c r="G27" t="s">
        <v>463</v>
      </c>
      <c r="I27" t="s">
        <v>39</v>
      </c>
      <c r="J27" s="13">
        <v>45945</v>
      </c>
      <c r="K27" s="13">
        <v>46023</v>
      </c>
      <c r="L27" t="s">
        <v>520</v>
      </c>
      <c r="M27" t="s">
        <v>59</v>
      </c>
      <c r="N27">
        <v>66356561</v>
      </c>
    </row>
    <row r="28" spans="1:14" x14ac:dyDescent="0.25">
      <c r="A28">
        <v>59598620</v>
      </c>
      <c r="B28" t="s">
        <v>521</v>
      </c>
      <c r="C28" t="s">
        <v>522</v>
      </c>
      <c r="D28" t="s">
        <v>523</v>
      </c>
      <c r="E28">
        <v>8176294291</v>
      </c>
      <c r="F28" t="s">
        <v>448</v>
      </c>
      <c r="G28" t="s">
        <v>449</v>
      </c>
      <c r="I28" t="s">
        <v>31</v>
      </c>
      <c r="J28" s="13">
        <v>46037</v>
      </c>
      <c r="K28" s="13">
        <v>46054</v>
      </c>
      <c r="L28" t="s">
        <v>444</v>
      </c>
      <c r="M28" t="s">
        <v>58</v>
      </c>
      <c r="N28">
        <v>66423155</v>
      </c>
    </row>
    <row r="29" spans="1:14" x14ac:dyDescent="0.25">
      <c r="A29">
        <v>57253344</v>
      </c>
      <c r="B29" t="s">
        <v>524</v>
      </c>
      <c r="C29" t="s">
        <v>525</v>
      </c>
      <c r="D29" t="s">
        <v>526</v>
      </c>
      <c r="E29">
        <v>7312250925</v>
      </c>
      <c r="F29" t="s">
        <v>416</v>
      </c>
      <c r="G29" t="s">
        <v>417</v>
      </c>
      <c r="I29" t="s">
        <v>26</v>
      </c>
      <c r="J29" s="13">
        <v>45945</v>
      </c>
      <c r="K29" s="13">
        <v>46023</v>
      </c>
      <c r="L29" t="s">
        <v>479</v>
      </c>
      <c r="M29" t="s">
        <v>58</v>
      </c>
      <c r="N29">
        <v>66461119</v>
      </c>
    </row>
    <row r="30" spans="1:14" x14ac:dyDescent="0.25">
      <c r="A30">
        <v>57280543</v>
      </c>
      <c r="B30" t="s">
        <v>527</v>
      </c>
      <c r="C30" t="s">
        <v>528</v>
      </c>
      <c r="D30" t="s">
        <v>529</v>
      </c>
      <c r="E30">
        <v>2392719322</v>
      </c>
      <c r="F30" t="s">
        <v>462</v>
      </c>
      <c r="G30" t="s">
        <v>463</v>
      </c>
      <c r="I30" t="s">
        <v>39</v>
      </c>
      <c r="J30" s="13">
        <v>45992</v>
      </c>
      <c r="K30" s="13">
        <v>46023</v>
      </c>
      <c r="L30" t="s">
        <v>497</v>
      </c>
      <c r="M30" t="s">
        <v>56</v>
      </c>
      <c r="N30">
        <v>66570230</v>
      </c>
    </row>
    <row r="31" spans="1:14" x14ac:dyDescent="0.25">
      <c r="A31">
        <v>57238768</v>
      </c>
      <c r="B31" t="s">
        <v>530</v>
      </c>
      <c r="C31" t="s">
        <v>531</v>
      </c>
      <c r="D31" t="s">
        <v>532</v>
      </c>
      <c r="E31">
        <v>8438614287</v>
      </c>
      <c r="F31" t="s">
        <v>474</v>
      </c>
      <c r="G31" t="s">
        <v>475</v>
      </c>
      <c r="I31" t="s">
        <v>132</v>
      </c>
      <c r="J31" s="13">
        <v>45945</v>
      </c>
      <c r="K31" s="13">
        <v>46023</v>
      </c>
      <c r="L31" t="s">
        <v>533</v>
      </c>
      <c r="M31" t="s">
        <v>56</v>
      </c>
      <c r="N31">
        <v>66624190</v>
      </c>
    </row>
    <row r="32" spans="1:14" x14ac:dyDescent="0.25">
      <c r="A32">
        <v>63634463</v>
      </c>
      <c r="B32" t="s">
        <v>534</v>
      </c>
      <c r="C32" t="s">
        <v>535</v>
      </c>
      <c r="D32" t="s">
        <v>536</v>
      </c>
      <c r="E32">
        <v>9705569257</v>
      </c>
      <c r="F32" t="s">
        <v>537</v>
      </c>
      <c r="G32" t="s">
        <v>538</v>
      </c>
      <c r="I32" t="s">
        <v>49</v>
      </c>
      <c r="J32" s="13">
        <v>46149</v>
      </c>
      <c r="K32" s="13">
        <v>46174</v>
      </c>
      <c r="L32" t="s">
        <v>539</v>
      </c>
      <c r="M32" t="s">
        <v>59</v>
      </c>
      <c r="N32">
        <v>66791902</v>
      </c>
    </row>
    <row r="33" spans="1:14" x14ac:dyDescent="0.25">
      <c r="A33">
        <v>57404728</v>
      </c>
      <c r="B33" t="s">
        <v>540</v>
      </c>
      <c r="C33" t="s">
        <v>541</v>
      </c>
      <c r="D33" t="s">
        <v>542</v>
      </c>
      <c r="E33">
        <v>8328912245</v>
      </c>
      <c r="F33" t="s">
        <v>494</v>
      </c>
      <c r="G33" t="s">
        <v>495</v>
      </c>
      <c r="I33" t="s">
        <v>496</v>
      </c>
      <c r="J33" s="13">
        <v>45952</v>
      </c>
      <c r="K33" s="13">
        <v>46023</v>
      </c>
      <c r="L33" t="s">
        <v>444</v>
      </c>
      <c r="M33" t="s">
        <v>56</v>
      </c>
      <c r="N33">
        <v>66897688</v>
      </c>
    </row>
    <row r="34" spans="1:14" x14ac:dyDescent="0.25">
      <c r="A34">
        <v>57239951</v>
      </c>
      <c r="B34" t="s">
        <v>521</v>
      </c>
      <c r="C34" t="s">
        <v>543</v>
      </c>
      <c r="D34" t="s">
        <v>544</v>
      </c>
      <c r="E34">
        <v>2513037342</v>
      </c>
      <c r="F34" t="s">
        <v>448</v>
      </c>
      <c r="G34" t="s">
        <v>449</v>
      </c>
      <c r="I34" t="s">
        <v>31</v>
      </c>
      <c r="J34" s="13">
        <v>45945</v>
      </c>
      <c r="K34" s="13">
        <v>46023</v>
      </c>
      <c r="L34" t="s">
        <v>450</v>
      </c>
      <c r="M34" t="s">
        <v>59</v>
      </c>
      <c r="N34">
        <v>67030675</v>
      </c>
    </row>
    <row r="35" spans="1:14" x14ac:dyDescent="0.25">
      <c r="A35">
        <v>57260115</v>
      </c>
      <c r="B35" t="s">
        <v>545</v>
      </c>
      <c r="C35" t="s">
        <v>546</v>
      </c>
      <c r="D35" t="s">
        <v>547</v>
      </c>
      <c r="E35">
        <v>3348658588</v>
      </c>
      <c r="F35" t="s">
        <v>448</v>
      </c>
      <c r="G35" t="s">
        <v>449</v>
      </c>
      <c r="I35" t="s">
        <v>31</v>
      </c>
      <c r="J35" s="13">
        <v>45946</v>
      </c>
      <c r="K35" s="13">
        <v>46023</v>
      </c>
      <c r="L35" t="s">
        <v>450</v>
      </c>
      <c r="M35" t="s">
        <v>59</v>
      </c>
      <c r="N35">
        <v>67212775</v>
      </c>
    </row>
    <row r="36" spans="1:14" x14ac:dyDescent="0.25">
      <c r="A36">
        <v>57426107</v>
      </c>
      <c r="B36" t="s">
        <v>548</v>
      </c>
      <c r="C36" t="s">
        <v>549</v>
      </c>
      <c r="D36" t="s">
        <v>550</v>
      </c>
      <c r="E36">
        <v>4792143118</v>
      </c>
      <c r="F36" t="s">
        <v>551</v>
      </c>
      <c r="G36" t="s">
        <v>552</v>
      </c>
      <c r="I36" t="s">
        <v>42</v>
      </c>
      <c r="J36" s="13">
        <v>45953</v>
      </c>
      <c r="K36" s="13">
        <v>46023</v>
      </c>
      <c r="L36" t="s">
        <v>553</v>
      </c>
      <c r="M36" t="s">
        <v>56</v>
      </c>
      <c r="N36">
        <v>67227010</v>
      </c>
    </row>
    <row r="37" spans="1:14" x14ac:dyDescent="0.25">
      <c r="A37">
        <v>57844265</v>
      </c>
      <c r="B37" t="s">
        <v>554</v>
      </c>
      <c r="C37" t="s">
        <v>555</v>
      </c>
      <c r="D37" t="s">
        <v>556</v>
      </c>
      <c r="E37">
        <v>9039180849</v>
      </c>
      <c r="F37" t="s">
        <v>423</v>
      </c>
      <c r="G37" t="s">
        <v>424</v>
      </c>
      <c r="I37" t="s">
        <v>46</v>
      </c>
      <c r="J37" s="13">
        <v>45965</v>
      </c>
      <c r="K37" s="13">
        <v>46023</v>
      </c>
      <c r="L37" t="s">
        <v>444</v>
      </c>
      <c r="M37" t="s">
        <v>58</v>
      </c>
      <c r="N37">
        <v>67256792</v>
      </c>
    </row>
    <row r="38" spans="1:14" x14ac:dyDescent="0.25">
      <c r="A38">
        <v>57254904</v>
      </c>
      <c r="B38" t="s">
        <v>557</v>
      </c>
      <c r="C38" t="s">
        <v>558</v>
      </c>
      <c r="D38" t="s">
        <v>559</v>
      </c>
      <c r="E38">
        <v>9015698316</v>
      </c>
      <c r="F38" t="s">
        <v>416</v>
      </c>
      <c r="G38" t="s">
        <v>417</v>
      </c>
      <c r="I38" t="s">
        <v>26</v>
      </c>
      <c r="J38" s="13">
        <v>45945</v>
      </c>
      <c r="K38" s="13">
        <v>46023</v>
      </c>
      <c r="L38" t="s">
        <v>479</v>
      </c>
      <c r="M38" t="s">
        <v>56</v>
      </c>
      <c r="N38">
        <v>67633997</v>
      </c>
    </row>
    <row r="39" spans="1:14" x14ac:dyDescent="0.25">
      <c r="A39">
        <v>57239232</v>
      </c>
      <c r="B39" t="s">
        <v>560</v>
      </c>
      <c r="C39" t="s">
        <v>561</v>
      </c>
      <c r="D39" t="s">
        <v>562</v>
      </c>
      <c r="E39">
        <v>8167777797</v>
      </c>
      <c r="F39" t="s">
        <v>462</v>
      </c>
      <c r="G39" t="s">
        <v>463</v>
      </c>
      <c r="I39" t="s">
        <v>39</v>
      </c>
      <c r="J39" s="13">
        <v>45945</v>
      </c>
      <c r="K39" s="13">
        <v>46023</v>
      </c>
      <c r="L39" t="s">
        <v>434</v>
      </c>
      <c r="M39" t="s">
        <v>59</v>
      </c>
      <c r="N39">
        <v>67655763</v>
      </c>
    </row>
    <row r="40" spans="1:14" x14ac:dyDescent="0.25">
      <c r="A40">
        <v>57339715</v>
      </c>
      <c r="B40" t="s">
        <v>563</v>
      </c>
      <c r="C40" t="s">
        <v>564</v>
      </c>
      <c r="D40" t="s">
        <v>565</v>
      </c>
      <c r="E40">
        <v>4046100012</v>
      </c>
      <c r="F40" t="s">
        <v>551</v>
      </c>
      <c r="G40" t="s">
        <v>552</v>
      </c>
      <c r="I40" t="s">
        <v>42</v>
      </c>
      <c r="J40" s="13">
        <v>45950</v>
      </c>
      <c r="K40" s="13">
        <v>46023</v>
      </c>
      <c r="L40" t="s">
        <v>497</v>
      </c>
      <c r="M40" t="s">
        <v>56</v>
      </c>
      <c r="N40">
        <v>67673706</v>
      </c>
    </row>
    <row r="41" spans="1:14" x14ac:dyDescent="0.25">
      <c r="A41">
        <v>57982940</v>
      </c>
      <c r="B41" t="s">
        <v>566</v>
      </c>
      <c r="C41" t="s">
        <v>567</v>
      </c>
      <c r="D41" t="s">
        <v>568</v>
      </c>
      <c r="E41">
        <v>3036414429</v>
      </c>
      <c r="F41" t="s">
        <v>569</v>
      </c>
      <c r="G41" t="s">
        <v>570</v>
      </c>
      <c r="I41" t="s">
        <v>34</v>
      </c>
      <c r="J41" s="13">
        <v>45971</v>
      </c>
      <c r="K41" s="13">
        <v>46023</v>
      </c>
      <c r="L41" t="s">
        <v>533</v>
      </c>
      <c r="M41" t="s">
        <v>61</v>
      </c>
      <c r="N41">
        <v>67679443</v>
      </c>
    </row>
    <row r="42" spans="1:14" x14ac:dyDescent="0.25">
      <c r="A42">
        <v>57254095</v>
      </c>
      <c r="B42" t="s">
        <v>571</v>
      </c>
      <c r="C42" t="s">
        <v>572</v>
      </c>
      <c r="D42" t="s">
        <v>573</v>
      </c>
      <c r="E42">
        <v>8123183132</v>
      </c>
      <c r="F42" t="s">
        <v>574</v>
      </c>
      <c r="G42" t="s">
        <v>575</v>
      </c>
      <c r="I42" t="s">
        <v>14</v>
      </c>
      <c r="J42" s="13">
        <v>45945</v>
      </c>
      <c r="K42" s="13">
        <v>46023</v>
      </c>
      <c r="L42" t="s">
        <v>440</v>
      </c>
      <c r="M42" t="s">
        <v>58</v>
      </c>
      <c r="N42">
        <v>67738940</v>
      </c>
    </row>
    <row r="43" spans="1:14" x14ac:dyDescent="0.25">
      <c r="A43">
        <v>57443838</v>
      </c>
      <c r="B43" t="s">
        <v>449</v>
      </c>
      <c r="C43" t="s">
        <v>576</v>
      </c>
      <c r="D43" t="s">
        <v>577</v>
      </c>
      <c r="E43">
        <v>9046892838</v>
      </c>
      <c r="F43" t="s">
        <v>578</v>
      </c>
      <c r="G43" t="s">
        <v>579</v>
      </c>
      <c r="I43" t="s">
        <v>15</v>
      </c>
      <c r="J43" s="13">
        <v>45954</v>
      </c>
      <c r="K43" s="13">
        <v>46023</v>
      </c>
      <c r="L43" t="s">
        <v>497</v>
      </c>
      <c r="M43" t="s">
        <v>56</v>
      </c>
      <c r="N43">
        <v>67800802</v>
      </c>
    </row>
    <row r="44" spans="1:14" x14ac:dyDescent="0.25">
      <c r="A44">
        <v>57273273</v>
      </c>
      <c r="B44" t="s">
        <v>580</v>
      </c>
      <c r="C44" t="s">
        <v>581</v>
      </c>
      <c r="D44" t="s">
        <v>582</v>
      </c>
      <c r="E44">
        <v>8123443733</v>
      </c>
      <c r="F44" t="s">
        <v>569</v>
      </c>
      <c r="G44" t="s">
        <v>570</v>
      </c>
      <c r="I44" t="s">
        <v>34</v>
      </c>
      <c r="J44" s="13">
        <v>45946</v>
      </c>
      <c r="K44" s="13">
        <v>46023</v>
      </c>
      <c r="L44" t="s">
        <v>440</v>
      </c>
      <c r="M44" t="s">
        <v>58</v>
      </c>
      <c r="N44">
        <v>67908054</v>
      </c>
    </row>
    <row r="45" spans="1:14" x14ac:dyDescent="0.25">
      <c r="A45">
        <v>57248645</v>
      </c>
      <c r="B45" t="s">
        <v>583</v>
      </c>
      <c r="C45" t="s">
        <v>584</v>
      </c>
      <c r="D45" t="s">
        <v>585</v>
      </c>
      <c r="E45">
        <v>5738573170</v>
      </c>
      <c r="F45" t="s">
        <v>423</v>
      </c>
      <c r="G45" t="s">
        <v>424</v>
      </c>
      <c r="I45" t="s">
        <v>46</v>
      </c>
      <c r="J45" s="13">
        <v>45945</v>
      </c>
      <c r="K45" s="13">
        <v>46023</v>
      </c>
      <c r="L45" t="s">
        <v>434</v>
      </c>
      <c r="M45" t="s">
        <v>56</v>
      </c>
      <c r="N45">
        <v>67914791</v>
      </c>
    </row>
    <row r="46" spans="1:14" x14ac:dyDescent="0.25">
      <c r="A46">
        <v>57295435</v>
      </c>
      <c r="B46" t="s">
        <v>586</v>
      </c>
      <c r="C46" t="s">
        <v>587</v>
      </c>
      <c r="D46" t="s">
        <v>588</v>
      </c>
      <c r="E46">
        <v>8645181818</v>
      </c>
      <c r="F46" t="s">
        <v>462</v>
      </c>
      <c r="G46" t="s">
        <v>463</v>
      </c>
      <c r="I46" t="s">
        <v>39</v>
      </c>
      <c r="J46" s="13">
        <v>45947</v>
      </c>
      <c r="K46" s="13">
        <v>46023</v>
      </c>
      <c r="L46" t="s">
        <v>533</v>
      </c>
      <c r="M46" t="s">
        <v>56</v>
      </c>
      <c r="N46">
        <v>67964148</v>
      </c>
    </row>
    <row r="47" spans="1:14" x14ac:dyDescent="0.25">
      <c r="A47">
        <v>57252444</v>
      </c>
      <c r="B47" t="s">
        <v>589</v>
      </c>
      <c r="C47" t="s">
        <v>590</v>
      </c>
      <c r="D47" t="s">
        <v>591</v>
      </c>
      <c r="E47">
        <v>3179195655</v>
      </c>
      <c r="F47" t="s">
        <v>592</v>
      </c>
      <c r="G47" t="s">
        <v>593</v>
      </c>
      <c r="I47" t="s">
        <v>115</v>
      </c>
      <c r="J47" s="13">
        <v>45945</v>
      </c>
      <c r="K47" s="13">
        <v>46023</v>
      </c>
      <c r="L47" t="s">
        <v>440</v>
      </c>
      <c r="M47" t="s">
        <v>59</v>
      </c>
      <c r="N47">
        <v>67999392</v>
      </c>
    </row>
    <row r="48" spans="1:14" x14ac:dyDescent="0.25">
      <c r="A48">
        <v>57260646</v>
      </c>
      <c r="B48" t="s">
        <v>594</v>
      </c>
      <c r="C48" t="s">
        <v>595</v>
      </c>
      <c r="D48" t="s">
        <v>596</v>
      </c>
      <c r="E48">
        <v>8325046433</v>
      </c>
      <c r="F48" t="s">
        <v>574</v>
      </c>
      <c r="G48" t="s">
        <v>575</v>
      </c>
      <c r="I48" t="s">
        <v>14</v>
      </c>
      <c r="J48" s="13">
        <v>45946</v>
      </c>
      <c r="K48" s="13">
        <v>46023</v>
      </c>
      <c r="L48" t="s">
        <v>444</v>
      </c>
      <c r="M48" t="s">
        <v>58</v>
      </c>
      <c r="N48">
        <v>68633106</v>
      </c>
    </row>
    <row r="49" spans="1:14" x14ac:dyDescent="0.25">
      <c r="A49">
        <v>57252863</v>
      </c>
      <c r="B49" t="s">
        <v>597</v>
      </c>
      <c r="C49" t="s">
        <v>598</v>
      </c>
      <c r="D49" t="s">
        <v>599</v>
      </c>
      <c r="E49">
        <v>2602586635</v>
      </c>
      <c r="F49" t="s">
        <v>423</v>
      </c>
      <c r="G49" t="s">
        <v>424</v>
      </c>
      <c r="I49" t="s">
        <v>46</v>
      </c>
      <c r="J49" s="13">
        <v>45945</v>
      </c>
      <c r="K49" s="13">
        <v>46023</v>
      </c>
      <c r="L49" t="s">
        <v>440</v>
      </c>
      <c r="M49" t="s">
        <v>419</v>
      </c>
      <c r="N49">
        <v>68643363</v>
      </c>
    </row>
    <row r="50" spans="1:14" x14ac:dyDescent="0.25">
      <c r="A50">
        <v>57251799</v>
      </c>
      <c r="B50" t="s">
        <v>600</v>
      </c>
      <c r="C50" t="s">
        <v>601</v>
      </c>
      <c r="D50" t="s">
        <v>602</v>
      </c>
      <c r="F50" t="s">
        <v>569</v>
      </c>
      <c r="G50" t="s">
        <v>570</v>
      </c>
      <c r="I50" t="s">
        <v>34</v>
      </c>
      <c r="J50" s="13">
        <v>45945</v>
      </c>
      <c r="K50" s="13">
        <v>46023</v>
      </c>
      <c r="L50" t="s">
        <v>603</v>
      </c>
      <c r="M50" t="s">
        <v>59</v>
      </c>
      <c r="N50">
        <v>68665681</v>
      </c>
    </row>
    <row r="51" spans="1:14" x14ac:dyDescent="0.25">
      <c r="A51">
        <v>58064154</v>
      </c>
      <c r="B51" t="s">
        <v>604</v>
      </c>
      <c r="C51" t="s">
        <v>522</v>
      </c>
      <c r="D51" t="s">
        <v>605</v>
      </c>
      <c r="E51">
        <v>9199248660</v>
      </c>
      <c r="F51" t="s">
        <v>416</v>
      </c>
      <c r="G51" t="s">
        <v>417</v>
      </c>
      <c r="I51" t="s">
        <v>26</v>
      </c>
      <c r="J51" s="13">
        <v>45974</v>
      </c>
      <c r="K51" s="13">
        <v>46023</v>
      </c>
      <c r="L51" t="s">
        <v>603</v>
      </c>
      <c r="M51" t="s">
        <v>60</v>
      </c>
      <c r="N51">
        <v>68852026</v>
      </c>
    </row>
    <row r="52" spans="1:14" x14ac:dyDescent="0.25">
      <c r="A52">
        <v>57387235</v>
      </c>
      <c r="B52" t="s">
        <v>606</v>
      </c>
      <c r="C52" t="s">
        <v>607</v>
      </c>
      <c r="D52" t="s">
        <v>608</v>
      </c>
      <c r="E52">
        <v>4798661293</v>
      </c>
      <c r="F52" t="s">
        <v>578</v>
      </c>
      <c r="G52" t="s">
        <v>579</v>
      </c>
      <c r="I52" t="s">
        <v>15</v>
      </c>
      <c r="J52" s="13">
        <v>45952</v>
      </c>
      <c r="K52" s="13">
        <v>46023</v>
      </c>
      <c r="L52" t="s">
        <v>553</v>
      </c>
      <c r="M52" t="s">
        <v>60</v>
      </c>
      <c r="N52">
        <v>68854642</v>
      </c>
    </row>
    <row r="53" spans="1:14" x14ac:dyDescent="0.25">
      <c r="A53">
        <v>58196195</v>
      </c>
      <c r="B53" t="s">
        <v>609</v>
      </c>
      <c r="C53" t="s">
        <v>610</v>
      </c>
      <c r="D53" t="s">
        <v>611</v>
      </c>
      <c r="E53">
        <v>3184389501</v>
      </c>
      <c r="F53" t="s">
        <v>569</v>
      </c>
      <c r="G53" t="s">
        <v>570</v>
      </c>
      <c r="I53" t="s">
        <v>34</v>
      </c>
      <c r="J53" s="13">
        <v>45979</v>
      </c>
      <c r="K53" s="13">
        <v>46023</v>
      </c>
      <c r="L53" t="s">
        <v>612</v>
      </c>
      <c r="M53" t="s">
        <v>56</v>
      </c>
      <c r="N53">
        <v>68890697</v>
      </c>
    </row>
    <row r="54" spans="1:14" x14ac:dyDescent="0.25">
      <c r="A54">
        <v>57251571</v>
      </c>
      <c r="B54" t="s">
        <v>613</v>
      </c>
      <c r="C54" t="s">
        <v>506</v>
      </c>
      <c r="D54" t="s">
        <v>614</v>
      </c>
      <c r="E54">
        <v>8632661348</v>
      </c>
      <c r="F54" t="s">
        <v>615</v>
      </c>
      <c r="G54" t="s">
        <v>616</v>
      </c>
      <c r="I54" t="s">
        <v>617</v>
      </c>
      <c r="J54" s="13">
        <v>45945</v>
      </c>
      <c r="K54" s="13">
        <v>46023</v>
      </c>
      <c r="L54" t="s">
        <v>497</v>
      </c>
      <c r="M54" t="s">
        <v>58</v>
      </c>
      <c r="N54">
        <v>68903389</v>
      </c>
    </row>
    <row r="55" spans="1:14" x14ac:dyDescent="0.25">
      <c r="A55">
        <v>57291876</v>
      </c>
      <c r="B55" t="s">
        <v>618</v>
      </c>
      <c r="C55" t="s">
        <v>619</v>
      </c>
      <c r="D55" t="s">
        <v>620</v>
      </c>
      <c r="E55">
        <v>9123230559</v>
      </c>
      <c r="F55" t="s">
        <v>574</v>
      </c>
      <c r="G55" t="s">
        <v>575</v>
      </c>
      <c r="I55" t="s">
        <v>14</v>
      </c>
      <c r="J55" s="13">
        <v>45946</v>
      </c>
      <c r="K55" s="13">
        <v>46023</v>
      </c>
      <c r="L55" t="s">
        <v>621</v>
      </c>
      <c r="M55" t="s">
        <v>59</v>
      </c>
      <c r="N55">
        <v>68926149</v>
      </c>
    </row>
    <row r="56" spans="1:14" x14ac:dyDescent="0.25">
      <c r="A56">
        <v>57279375</v>
      </c>
      <c r="B56" t="s">
        <v>622</v>
      </c>
      <c r="C56" t="s">
        <v>623</v>
      </c>
      <c r="D56" t="s">
        <v>624</v>
      </c>
      <c r="E56">
        <v>4709655319</v>
      </c>
      <c r="F56" t="s">
        <v>551</v>
      </c>
      <c r="G56" t="s">
        <v>552</v>
      </c>
      <c r="I56" t="s">
        <v>42</v>
      </c>
      <c r="J56" s="13">
        <v>45946</v>
      </c>
      <c r="K56" s="13">
        <v>46023</v>
      </c>
      <c r="L56" t="s">
        <v>621</v>
      </c>
      <c r="M56" t="s">
        <v>60</v>
      </c>
      <c r="N56">
        <v>68997956</v>
      </c>
    </row>
    <row r="57" spans="1:14" x14ac:dyDescent="0.25">
      <c r="A57">
        <v>57467576</v>
      </c>
      <c r="B57" t="s">
        <v>625</v>
      </c>
      <c r="C57" t="s">
        <v>626</v>
      </c>
      <c r="D57" t="s">
        <v>627</v>
      </c>
      <c r="E57">
        <v>4792128262</v>
      </c>
      <c r="F57" t="s">
        <v>628</v>
      </c>
      <c r="G57" t="s">
        <v>629</v>
      </c>
      <c r="I57" t="s">
        <v>24</v>
      </c>
      <c r="J57" s="13">
        <v>45955</v>
      </c>
      <c r="K57" s="13">
        <v>46023</v>
      </c>
      <c r="L57" t="s">
        <v>553</v>
      </c>
      <c r="M57" t="s">
        <v>58</v>
      </c>
      <c r="N57">
        <v>69027370</v>
      </c>
    </row>
    <row r="58" spans="1:14" x14ac:dyDescent="0.25">
      <c r="A58">
        <v>57238171</v>
      </c>
      <c r="B58" t="s">
        <v>630</v>
      </c>
      <c r="C58" t="s">
        <v>631</v>
      </c>
      <c r="D58" t="s">
        <v>632</v>
      </c>
      <c r="E58">
        <v>6364619030</v>
      </c>
      <c r="F58" t="s">
        <v>474</v>
      </c>
      <c r="G58" t="s">
        <v>475</v>
      </c>
      <c r="I58" t="s">
        <v>132</v>
      </c>
      <c r="J58" s="13">
        <v>45945</v>
      </c>
      <c r="K58" s="13">
        <v>46023</v>
      </c>
      <c r="L58" t="s">
        <v>434</v>
      </c>
      <c r="M58" t="s">
        <v>59</v>
      </c>
      <c r="N58">
        <v>69060908</v>
      </c>
    </row>
    <row r="59" spans="1:14" x14ac:dyDescent="0.25">
      <c r="A59">
        <v>57250098</v>
      </c>
      <c r="B59" t="s">
        <v>633</v>
      </c>
      <c r="C59" t="s">
        <v>634</v>
      </c>
      <c r="D59" t="s">
        <v>635</v>
      </c>
      <c r="E59">
        <v>9542976955</v>
      </c>
      <c r="F59" t="s">
        <v>462</v>
      </c>
      <c r="G59" t="s">
        <v>463</v>
      </c>
      <c r="I59" t="s">
        <v>39</v>
      </c>
      <c r="J59" s="13">
        <v>45945</v>
      </c>
      <c r="K59" s="13">
        <v>46023</v>
      </c>
      <c r="L59" t="s">
        <v>497</v>
      </c>
      <c r="M59" t="s">
        <v>59</v>
      </c>
      <c r="N59">
        <v>69074849</v>
      </c>
    </row>
    <row r="60" spans="1:14" x14ac:dyDescent="0.25">
      <c r="A60">
        <v>57361508</v>
      </c>
      <c r="B60" t="s">
        <v>636</v>
      </c>
      <c r="C60" t="s">
        <v>637</v>
      </c>
      <c r="D60" t="s">
        <v>638</v>
      </c>
      <c r="E60">
        <v>6362324528</v>
      </c>
      <c r="F60" t="s">
        <v>416</v>
      </c>
      <c r="G60" t="s">
        <v>417</v>
      </c>
      <c r="I60" t="s">
        <v>26</v>
      </c>
      <c r="J60" s="13">
        <v>45951</v>
      </c>
      <c r="K60" s="13">
        <v>46023</v>
      </c>
      <c r="L60" t="s">
        <v>434</v>
      </c>
      <c r="M60" t="s">
        <v>59</v>
      </c>
      <c r="N60">
        <v>69078031</v>
      </c>
    </row>
    <row r="61" spans="1:14" x14ac:dyDescent="0.25">
      <c r="A61">
        <v>57275232</v>
      </c>
      <c r="B61" t="s">
        <v>522</v>
      </c>
      <c r="C61" t="s">
        <v>639</v>
      </c>
      <c r="D61" t="s">
        <v>640</v>
      </c>
      <c r="E61">
        <v>9706439652</v>
      </c>
      <c r="F61" t="s">
        <v>416</v>
      </c>
      <c r="G61" t="s">
        <v>417</v>
      </c>
      <c r="I61" t="s">
        <v>26</v>
      </c>
      <c r="J61" s="13">
        <v>45946</v>
      </c>
      <c r="K61" s="13">
        <v>46023</v>
      </c>
      <c r="L61" t="s">
        <v>539</v>
      </c>
      <c r="M61" t="s">
        <v>56</v>
      </c>
      <c r="N61">
        <v>69094697</v>
      </c>
    </row>
    <row r="62" spans="1:14" x14ac:dyDescent="0.25">
      <c r="A62">
        <v>55935103</v>
      </c>
      <c r="B62" t="s">
        <v>609</v>
      </c>
      <c r="C62" t="s">
        <v>641</v>
      </c>
      <c r="D62" t="s">
        <v>642</v>
      </c>
      <c r="E62">
        <v>9412988292</v>
      </c>
      <c r="F62" t="s">
        <v>628</v>
      </c>
      <c r="G62" t="s">
        <v>629</v>
      </c>
      <c r="I62" t="s">
        <v>24</v>
      </c>
      <c r="J62" s="13">
        <v>45945</v>
      </c>
      <c r="K62" s="13">
        <v>46023</v>
      </c>
      <c r="L62" t="s">
        <v>497</v>
      </c>
      <c r="M62" t="s">
        <v>59</v>
      </c>
      <c r="N62">
        <v>69151249</v>
      </c>
    </row>
    <row r="63" spans="1:14" x14ac:dyDescent="0.25">
      <c r="A63">
        <v>57572324</v>
      </c>
      <c r="B63" t="s">
        <v>511</v>
      </c>
      <c r="C63" t="s">
        <v>643</v>
      </c>
      <c r="D63" t="s">
        <v>644</v>
      </c>
      <c r="E63">
        <v>5044057770</v>
      </c>
      <c r="F63" t="s">
        <v>628</v>
      </c>
      <c r="G63" t="s">
        <v>629</v>
      </c>
      <c r="I63" t="s">
        <v>24</v>
      </c>
      <c r="J63" s="13">
        <v>45958</v>
      </c>
      <c r="K63" s="13">
        <v>46023</v>
      </c>
      <c r="L63" t="s">
        <v>612</v>
      </c>
      <c r="M63" t="s">
        <v>58</v>
      </c>
      <c r="N63">
        <v>69189545</v>
      </c>
    </row>
    <row r="64" spans="1:14" x14ac:dyDescent="0.25">
      <c r="A64">
        <v>60595538</v>
      </c>
      <c r="B64" t="s">
        <v>645</v>
      </c>
      <c r="C64" t="s">
        <v>646</v>
      </c>
      <c r="D64" t="s">
        <v>647</v>
      </c>
      <c r="E64" t="s">
        <v>648</v>
      </c>
      <c r="F64" t="s">
        <v>649</v>
      </c>
      <c r="G64" t="s">
        <v>650</v>
      </c>
      <c r="I64" t="s">
        <v>28</v>
      </c>
      <c r="J64" s="13">
        <v>46066</v>
      </c>
      <c r="K64" s="13">
        <v>46082</v>
      </c>
      <c r="L64" t="s">
        <v>621</v>
      </c>
      <c r="M64" t="s">
        <v>60</v>
      </c>
      <c r="N64">
        <v>69223261</v>
      </c>
    </row>
    <row r="65" spans="1:14" x14ac:dyDescent="0.25">
      <c r="A65">
        <v>57372424</v>
      </c>
      <c r="B65" t="s">
        <v>651</v>
      </c>
      <c r="C65" t="s">
        <v>652</v>
      </c>
      <c r="D65" t="s">
        <v>653</v>
      </c>
      <c r="E65">
        <v>5024428441</v>
      </c>
      <c r="F65" t="s">
        <v>551</v>
      </c>
      <c r="G65" t="s">
        <v>552</v>
      </c>
      <c r="I65" t="s">
        <v>42</v>
      </c>
      <c r="J65" s="13">
        <v>45951</v>
      </c>
      <c r="K65" s="13">
        <v>46023</v>
      </c>
      <c r="L65" t="s">
        <v>490</v>
      </c>
      <c r="M65" t="s">
        <v>56</v>
      </c>
      <c r="N65">
        <v>69223411</v>
      </c>
    </row>
    <row r="66" spans="1:14" x14ac:dyDescent="0.25">
      <c r="A66">
        <v>57371625</v>
      </c>
      <c r="B66" t="s">
        <v>654</v>
      </c>
      <c r="C66" t="s">
        <v>655</v>
      </c>
      <c r="D66" t="s">
        <v>656</v>
      </c>
      <c r="E66">
        <v>9122001356</v>
      </c>
      <c r="F66" t="s">
        <v>416</v>
      </c>
      <c r="G66" t="s">
        <v>417</v>
      </c>
      <c r="I66" t="s">
        <v>26</v>
      </c>
      <c r="J66" s="13">
        <v>45951</v>
      </c>
      <c r="K66" s="13">
        <v>46023</v>
      </c>
      <c r="L66" t="s">
        <v>621</v>
      </c>
      <c r="M66" t="s">
        <v>60</v>
      </c>
      <c r="N66">
        <v>69242594</v>
      </c>
    </row>
    <row r="67" spans="1:14" x14ac:dyDescent="0.25">
      <c r="A67">
        <v>57252414</v>
      </c>
      <c r="B67" t="s">
        <v>657</v>
      </c>
      <c r="C67" t="s">
        <v>658</v>
      </c>
      <c r="D67" t="s">
        <v>659</v>
      </c>
      <c r="E67">
        <v>7706564329</v>
      </c>
      <c r="F67" t="s">
        <v>615</v>
      </c>
      <c r="G67" t="s">
        <v>616</v>
      </c>
      <c r="I67" t="s">
        <v>617</v>
      </c>
      <c r="J67" s="13">
        <v>45945</v>
      </c>
      <c r="K67" s="13">
        <v>46023</v>
      </c>
      <c r="L67" t="s">
        <v>621</v>
      </c>
      <c r="M67" t="s">
        <v>59</v>
      </c>
      <c r="N67">
        <v>69245528</v>
      </c>
    </row>
    <row r="68" spans="1:14" x14ac:dyDescent="0.25">
      <c r="A68">
        <v>57285238</v>
      </c>
      <c r="B68" t="s">
        <v>660</v>
      </c>
      <c r="C68" t="s">
        <v>506</v>
      </c>
      <c r="D68" t="s">
        <v>661</v>
      </c>
      <c r="E68">
        <v>2706669099</v>
      </c>
      <c r="F68" t="s">
        <v>551</v>
      </c>
      <c r="G68" t="s">
        <v>552</v>
      </c>
      <c r="I68" t="s">
        <v>42</v>
      </c>
      <c r="J68" s="13">
        <v>45946</v>
      </c>
      <c r="K68" s="13">
        <v>46023</v>
      </c>
      <c r="L68" t="s">
        <v>490</v>
      </c>
      <c r="M68" t="s">
        <v>61</v>
      </c>
      <c r="N68">
        <v>69247951</v>
      </c>
    </row>
    <row r="69" spans="1:14" x14ac:dyDescent="0.25">
      <c r="A69">
        <v>57255291</v>
      </c>
      <c r="B69" t="s">
        <v>633</v>
      </c>
      <c r="C69" t="s">
        <v>662</v>
      </c>
      <c r="D69" t="s">
        <v>663</v>
      </c>
      <c r="E69">
        <v>8707540656</v>
      </c>
      <c r="F69" t="s">
        <v>649</v>
      </c>
      <c r="G69" t="s">
        <v>650</v>
      </c>
      <c r="I69" t="s">
        <v>28</v>
      </c>
      <c r="J69" s="13">
        <v>45945</v>
      </c>
      <c r="K69" s="13">
        <v>46023</v>
      </c>
      <c r="L69" t="s">
        <v>553</v>
      </c>
      <c r="M69" t="s">
        <v>59</v>
      </c>
      <c r="N69">
        <v>69249766</v>
      </c>
    </row>
    <row r="70" spans="1:14" x14ac:dyDescent="0.25">
      <c r="A70">
        <v>57254249</v>
      </c>
      <c r="B70" t="s">
        <v>664</v>
      </c>
      <c r="C70" t="s">
        <v>665</v>
      </c>
      <c r="D70" t="s">
        <v>666</v>
      </c>
      <c r="E70">
        <v>9807459099</v>
      </c>
      <c r="F70" t="s">
        <v>667</v>
      </c>
      <c r="G70" t="s">
        <v>668</v>
      </c>
      <c r="I70" t="s">
        <v>37</v>
      </c>
      <c r="J70" s="13">
        <v>45945</v>
      </c>
      <c r="K70" s="13">
        <v>46023</v>
      </c>
      <c r="L70" t="s">
        <v>603</v>
      </c>
      <c r="M70" t="s">
        <v>59</v>
      </c>
      <c r="N70">
        <v>69276625</v>
      </c>
    </row>
    <row r="71" spans="1:14" x14ac:dyDescent="0.25">
      <c r="A71">
        <v>57375153</v>
      </c>
      <c r="B71" t="s">
        <v>669</v>
      </c>
      <c r="C71" t="s">
        <v>670</v>
      </c>
      <c r="D71" t="s">
        <v>671</v>
      </c>
      <c r="E71">
        <v>6603415399</v>
      </c>
      <c r="F71" t="s">
        <v>628</v>
      </c>
      <c r="G71" t="s">
        <v>629</v>
      </c>
      <c r="I71" t="s">
        <v>24</v>
      </c>
      <c r="J71" s="13">
        <v>45951</v>
      </c>
      <c r="K71" s="13">
        <v>46023</v>
      </c>
      <c r="L71" t="s">
        <v>434</v>
      </c>
      <c r="M71" t="s">
        <v>58</v>
      </c>
      <c r="N71">
        <v>69299651</v>
      </c>
    </row>
    <row r="72" spans="1:14" x14ac:dyDescent="0.25">
      <c r="A72">
        <v>57398931</v>
      </c>
      <c r="B72" t="s">
        <v>672</v>
      </c>
      <c r="C72" t="s">
        <v>673</v>
      </c>
      <c r="D72" t="s">
        <v>674</v>
      </c>
      <c r="E72">
        <v>9203724325</v>
      </c>
      <c r="F72" t="s">
        <v>574</v>
      </c>
      <c r="G72" t="s">
        <v>575</v>
      </c>
      <c r="I72" t="s">
        <v>14</v>
      </c>
      <c r="J72" s="13">
        <v>45952</v>
      </c>
      <c r="K72" s="13">
        <v>46023</v>
      </c>
      <c r="L72" t="s">
        <v>675</v>
      </c>
      <c r="M72" t="s">
        <v>56</v>
      </c>
      <c r="N72">
        <v>69316953</v>
      </c>
    </row>
    <row r="73" spans="1:14" x14ac:dyDescent="0.25">
      <c r="A73">
        <v>58070998</v>
      </c>
      <c r="B73" t="s">
        <v>676</v>
      </c>
      <c r="C73" t="s">
        <v>583</v>
      </c>
      <c r="D73" t="s">
        <v>677</v>
      </c>
      <c r="E73">
        <v>9202795030</v>
      </c>
      <c r="F73" t="s">
        <v>423</v>
      </c>
      <c r="G73" t="s">
        <v>424</v>
      </c>
      <c r="I73" t="s">
        <v>46</v>
      </c>
      <c r="J73" s="13">
        <v>45974</v>
      </c>
      <c r="K73" s="13">
        <v>46023</v>
      </c>
      <c r="L73" t="s">
        <v>675</v>
      </c>
      <c r="M73" t="s">
        <v>56</v>
      </c>
      <c r="N73">
        <v>69354761</v>
      </c>
    </row>
    <row r="74" spans="1:14" x14ac:dyDescent="0.25">
      <c r="A74">
        <v>57266141</v>
      </c>
      <c r="B74" t="s">
        <v>678</v>
      </c>
      <c r="C74" t="s">
        <v>679</v>
      </c>
      <c r="D74" t="s">
        <v>680</v>
      </c>
      <c r="E74">
        <v>2569516661</v>
      </c>
      <c r="F74" t="s">
        <v>448</v>
      </c>
      <c r="G74" t="s">
        <v>449</v>
      </c>
      <c r="I74" t="s">
        <v>31</v>
      </c>
      <c r="J74" s="13">
        <v>45946</v>
      </c>
      <c r="K74" s="13">
        <v>46023</v>
      </c>
      <c r="L74" t="s">
        <v>450</v>
      </c>
      <c r="M74" t="s">
        <v>59</v>
      </c>
      <c r="N74">
        <v>69360500</v>
      </c>
    </row>
    <row r="75" spans="1:14" x14ac:dyDescent="0.25">
      <c r="A75">
        <v>57291058</v>
      </c>
      <c r="B75" t="s">
        <v>681</v>
      </c>
      <c r="C75" t="s">
        <v>682</v>
      </c>
      <c r="D75" t="s">
        <v>683</v>
      </c>
      <c r="E75">
        <v>6206390690</v>
      </c>
      <c r="F75" t="s">
        <v>684</v>
      </c>
      <c r="G75" t="s">
        <v>685</v>
      </c>
      <c r="I75" t="s">
        <v>686</v>
      </c>
      <c r="J75" s="13">
        <v>45946</v>
      </c>
      <c r="K75" s="13">
        <v>46023</v>
      </c>
      <c r="L75" t="s">
        <v>434</v>
      </c>
      <c r="M75" t="s">
        <v>59</v>
      </c>
      <c r="N75">
        <v>69361163</v>
      </c>
    </row>
    <row r="76" spans="1:14" x14ac:dyDescent="0.25">
      <c r="A76">
        <v>57279897</v>
      </c>
      <c r="B76" t="s">
        <v>687</v>
      </c>
      <c r="C76" t="s">
        <v>688</v>
      </c>
      <c r="D76" t="s">
        <v>689</v>
      </c>
      <c r="E76" t="s">
        <v>690</v>
      </c>
      <c r="F76" t="s">
        <v>684</v>
      </c>
      <c r="G76" t="s">
        <v>685</v>
      </c>
      <c r="I76" t="s">
        <v>686</v>
      </c>
      <c r="J76" s="13">
        <v>45946</v>
      </c>
      <c r="K76" s="13">
        <v>46023</v>
      </c>
      <c r="L76" t="s">
        <v>490</v>
      </c>
      <c r="M76" t="s">
        <v>59</v>
      </c>
      <c r="N76">
        <v>69369841</v>
      </c>
    </row>
    <row r="77" spans="1:14" x14ac:dyDescent="0.25">
      <c r="A77">
        <v>57249560</v>
      </c>
      <c r="B77" t="s">
        <v>691</v>
      </c>
      <c r="C77" t="s">
        <v>586</v>
      </c>
      <c r="D77" t="s">
        <v>692</v>
      </c>
      <c r="E77">
        <v>8167477774</v>
      </c>
      <c r="F77" t="s">
        <v>693</v>
      </c>
      <c r="G77" t="s">
        <v>694</v>
      </c>
      <c r="I77" t="s">
        <v>103</v>
      </c>
      <c r="J77" s="13">
        <v>45945</v>
      </c>
      <c r="K77" s="13">
        <v>46023</v>
      </c>
      <c r="L77" t="s">
        <v>434</v>
      </c>
      <c r="M77" t="s">
        <v>56</v>
      </c>
      <c r="N77">
        <v>69407493</v>
      </c>
    </row>
    <row r="78" spans="1:14" x14ac:dyDescent="0.25">
      <c r="A78">
        <v>57939809</v>
      </c>
      <c r="B78" t="s">
        <v>695</v>
      </c>
      <c r="C78" t="s">
        <v>696</v>
      </c>
      <c r="D78" t="s">
        <v>697</v>
      </c>
      <c r="E78">
        <v>4179552250</v>
      </c>
      <c r="F78" t="s">
        <v>462</v>
      </c>
      <c r="G78" t="s">
        <v>463</v>
      </c>
      <c r="I78" t="s">
        <v>39</v>
      </c>
      <c r="J78" s="13">
        <v>45968</v>
      </c>
      <c r="K78" s="13">
        <v>46023</v>
      </c>
      <c r="L78" t="s">
        <v>434</v>
      </c>
      <c r="M78" t="s">
        <v>59</v>
      </c>
      <c r="N78">
        <v>69411746</v>
      </c>
    </row>
    <row r="79" spans="1:14" x14ac:dyDescent="0.25">
      <c r="A79">
        <v>57252529</v>
      </c>
      <c r="B79" t="s">
        <v>498</v>
      </c>
      <c r="C79" t="s">
        <v>698</v>
      </c>
      <c r="D79" t="s">
        <v>699</v>
      </c>
      <c r="E79">
        <v>5737428362</v>
      </c>
      <c r="F79" t="s">
        <v>693</v>
      </c>
      <c r="G79" t="s">
        <v>694</v>
      </c>
      <c r="I79" t="s">
        <v>103</v>
      </c>
      <c r="J79" s="13">
        <v>45945</v>
      </c>
      <c r="K79" s="13">
        <v>46023</v>
      </c>
      <c r="L79" t="s">
        <v>434</v>
      </c>
      <c r="M79" t="s">
        <v>56</v>
      </c>
      <c r="N79">
        <v>69416562</v>
      </c>
    </row>
    <row r="80" spans="1:14" x14ac:dyDescent="0.25">
      <c r="A80">
        <v>57241066</v>
      </c>
      <c r="B80" t="s">
        <v>672</v>
      </c>
      <c r="C80" t="s">
        <v>700</v>
      </c>
      <c r="D80" t="s">
        <v>701</v>
      </c>
      <c r="E80">
        <v>8167191557</v>
      </c>
      <c r="F80" t="s">
        <v>693</v>
      </c>
      <c r="G80" t="s">
        <v>694</v>
      </c>
      <c r="I80" t="s">
        <v>103</v>
      </c>
      <c r="J80" s="13">
        <v>45945</v>
      </c>
      <c r="K80" s="13">
        <v>46023</v>
      </c>
      <c r="L80" t="s">
        <v>434</v>
      </c>
      <c r="M80" t="s">
        <v>59</v>
      </c>
      <c r="N80">
        <v>69426912</v>
      </c>
    </row>
    <row r="81" spans="1:14" x14ac:dyDescent="0.25">
      <c r="A81">
        <v>57932189</v>
      </c>
      <c r="B81" t="s">
        <v>702</v>
      </c>
      <c r="C81" t="s">
        <v>703</v>
      </c>
      <c r="D81" t="s">
        <v>704</v>
      </c>
      <c r="E81">
        <v>2564053947</v>
      </c>
      <c r="F81" t="s">
        <v>705</v>
      </c>
      <c r="G81" t="s">
        <v>706</v>
      </c>
      <c r="I81" t="s">
        <v>12</v>
      </c>
      <c r="J81" s="13">
        <v>45968</v>
      </c>
      <c r="K81" s="13">
        <v>46023</v>
      </c>
      <c r="L81" t="s">
        <v>450</v>
      </c>
      <c r="M81" t="s">
        <v>60</v>
      </c>
      <c r="N81">
        <v>69429371</v>
      </c>
    </row>
    <row r="82" spans="1:14" x14ac:dyDescent="0.25">
      <c r="A82">
        <v>57253418</v>
      </c>
      <c r="B82" t="s">
        <v>521</v>
      </c>
      <c r="C82" t="s">
        <v>707</v>
      </c>
      <c r="D82" t="s">
        <v>708</v>
      </c>
      <c r="E82">
        <v>7066047564</v>
      </c>
      <c r="F82" t="s">
        <v>628</v>
      </c>
      <c r="G82" t="s">
        <v>629</v>
      </c>
      <c r="I82" t="s">
        <v>24</v>
      </c>
      <c r="J82" s="13">
        <v>45945</v>
      </c>
      <c r="K82" s="13">
        <v>46023</v>
      </c>
      <c r="L82" t="s">
        <v>621</v>
      </c>
      <c r="M82" t="s">
        <v>56</v>
      </c>
      <c r="N82">
        <v>69441584</v>
      </c>
    </row>
    <row r="83" spans="1:14" x14ac:dyDescent="0.25">
      <c r="A83">
        <v>57306864</v>
      </c>
      <c r="B83" t="s">
        <v>709</v>
      </c>
      <c r="C83" t="s">
        <v>710</v>
      </c>
      <c r="D83" t="s">
        <v>711</v>
      </c>
      <c r="E83">
        <v>5046767575</v>
      </c>
      <c r="F83" t="s">
        <v>574</v>
      </c>
      <c r="G83" t="s">
        <v>575</v>
      </c>
      <c r="I83" t="s">
        <v>14</v>
      </c>
      <c r="J83" s="13">
        <v>45947</v>
      </c>
      <c r="K83" s="13">
        <v>46023</v>
      </c>
      <c r="L83" t="s">
        <v>612</v>
      </c>
      <c r="M83" t="s">
        <v>58</v>
      </c>
      <c r="N83">
        <v>69443395</v>
      </c>
    </row>
    <row r="84" spans="1:14" x14ac:dyDescent="0.25">
      <c r="A84">
        <v>58579350</v>
      </c>
      <c r="B84" t="s">
        <v>712</v>
      </c>
      <c r="C84" t="s">
        <v>713</v>
      </c>
      <c r="D84" t="s">
        <v>714</v>
      </c>
      <c r="E84">
        <v>8167265280</v>
      </c>
      <c r="F84" t="s">
        <v>649</v>
      </c>
      <c r="G84" t="s">
        <v>650</v>
      </c>
      <c r="I84" t="s">
        <v>28</v>
      </c>
      <c r="J84" s="13">
        <v>45993</v>
      </c>
      <c r="K84" s="13">
        <v>46023</v>
      </c>
      <c r="L84" t="s">
        <v>434</v>
      </c>
      <c r="M84" t="s">
        <v>59</v>
      </c>
      <c r="N84">
        <v>69455711</v>
      </c>
    </row>
    <row r="85" spans="1:14" x14ac:dyDescent="0.25">
      <c r="A85">
        <v>57632413</v>
      </c>
      <c r="B85" t="s">
        <v>715</v>
      </c>
      <c r="C85" t="s">
        <v>716</v>
      </c>
      <c r="D85" t="s">
        <v>717</v>
      </c>
      <c r="E85">
        <v>13607229041</v>
      </c>
      <c r="F85" t="s">
        <v>569</v>
      </c>
      <c r="G85" t="s">
        <v>570</v>
      </c>
      <c r="I85" t="s">
        <v>34</v>
      </c>
      <c r="J85" s="13">
        <v>45959</v>
      </c>
      <c r="K85" s="13">
        <v>46023</v>
      </c>
      <c r="L85" t="s">
        <v>497</v>
      </c>
      <c r="M85" t="s">
        <v>56</v>
      </c>
      <c r="N85">
        <v>69489109</v>
      </c>
    </row>
    <row r="86" spans="1:14" x14ac:dyDescent="0.25">
      <c r="A86">
        <v>57241567</v>
      </c>
      <c r="B86" t="s">
        <v>718</v>
      </c>
      <c r="C86" t="s">
        <v>719</v>
      </c>
      <c r="D86" t="s">
        <v>720</v>
      </c>
      <c r="E86" t="s">
        <v>721</v>
      </c>
      <c r="F86" t="s">
        <v>423</v>
      </c>
      <c r="G86" t="s">
        <v>424</v>
      </c>
      <c r="I86" t="s">
        <v>46</v>
      </c>
      <c r="J86" s="13">
        <v>45945</v>
      </c>
      <c r="K86" s="13">
        <v>46023</v>
      </c>
      <c r="L86" t="s">
        <v>434</v>
      </c>
      <c r="M86" t="s">
        <v>59</v>
      </c>
      <c r="N86">
        <v>69490574</v>
      </c>
    </row>
    <row r="87" spans="1:14" x14ac:dyDescent="0.25">
      <c r="A87">
        <v>57305599</v>
      </c>
      <c r="B87" t="s">
        <v>715</v>
      </c>
      <c r="C87" t="s">
        <v>722</v>
      </c>
      <c r="D87" t="s">
        <v>723</v>
      </c>
      <c r="E87">
        <v>5739324654</v>
      </c>
      <c r="F87" t="s">
        <v>649</v>
      </c>
      <c r="G87" t="s">
        <v>650</v>
      </c>
      <c r="I87" t="s">
        <v>28</v>
      </c>
      <c r="J87" s="13">
        <v>45947</v>
      </c>
      <c r="K87" s="13">
        <v>46023</v>
      </c>
      <c r="L87" t="s">
        <v>434</v>
      </c>
      <c r="M87" t="s">
        <v>56</v>
      </c>
      <c r="N87">
        <v>69520265</v>
      </c>
    </row>
    <row r="88" spans="1:14" x14ac:dyDescent="0.25">
      <c r="A88">
        <v>57240193</v>
      </c>
      <c r="B88" t="s">
        <v>724</v>
      </c>
      <c r="C88" t="s">
        <v>725</v>
      </c>
      <c r="D88" t="s">
        <v>726</v>
      </c>
      <c r="E88">
        <v>3364889504</v>
      </c>
      <c r="F88" t="s">
        <v>474</v>
      </c>
      <c r="G88" t="s">
        <v>475</v>
      </c>
      <c r="I88" t="s">
        <v>132</v>
      </c>
      <c r="J88" s="13">
        <v>45945</v>
      </c>
      <c r="K88" s="13">
        <v>46023</v>
      </c>
      <c r="L88" t="s">
        <v>603</v>
      </c>
      <c r="M88" t="s">
        <v>56</v>
      </c>
      <c r="N88">
        <v>69544159</v>
      </c>
    </row>
    <row r="89" spans="1:14" x14ac:dyDescent="0.25">
      <c r="A89">
        <v>57316779</v>
      </c>
      <c r="B89" t="s">
        <v>727</v>
      </c>
      <c r="C89" t="s">
        <v>728</v>
      </c>
      <c r="D89" t="s">
        <v>729</v>
      </c>
      <c r="E89">
        <v>6783735588</v>
      </c>
      <c r="F89" t="s">
        <v>684</v>
      </c>
      <c r="G89" t="s">
        <v>685</v>
      </c>
      <c r="I89" t="s">
        <v>686</v>
      </c>
      <c r="J89" s="13">
        <v>45948</v>
      </c>
      <c r="K89" s="13">
        <v>46023</v>
      </c>
      <c r="L89" t="s">
        <v>444</v>
      </c>
      <c r="M89" t="s">
        <v>55</v>
      </c>
      <c r="N89">
        <v>69562987</v>
      </c>
    </row>
    <row r="90" spans="1:14" x14ac:dyDescent="0.25">
      <c r="A90">
        <v>57270050</v>
      </c>
      <c r="B90" t="s">
        <v>730</v>
      </c>
      <c r="C90" t="s">
        <v>731</v>
      </c>
      <c r="D90" t="s">
        <v>732</v>
      </c>
      <c r="E90">
        <v>7274100992</v>
      </c>
      <c r="F90" t="s">
        <v>592</v>
      </c>
      <c r="G90" t="s">
        <v>593</v>
      </c>
      <c r="I90" t="s">
        <v>115</v>
      </c>
      <c r="J90" s="13">
        <v>45946</v>
      </c>
      <c r="K90" s="13">
        <v>46023</v>
      </c>
      <c r="L90" t="s">
        <v>497</v>
      </c>
      <c r="M90" t="s">
        <v>59</v>
      </c>
      <c r="N90">
        <v>69564160</v>
      </c>
    </row>
    <row r="91" spans="1:14" x14ac:dyDescent="0.25">
      <c r="A91">
        <v>57417378</v>
      </c>
      <c r="B91" t="s">
        <v>636</v>
      </c>
      <c r="C91" t="s">
        <v>733</v>
      </c>
      <c r="D91" t="s">
        <v>734</v>
      </c>
      <c r="E91">
        <v>8433597615</v>
      </c>
      <c r="F91" t="s">
        <v>615</v>
      </c>
      <c r="G91" t="s">
        <v>616</v>
      </c>
      <c r="I91" t="s">
        <v>617</v>
      </c>
      <c r="J91" s="13">
        <v>45953</v>
      </c>
      <c r="K91" s="13">
        <v>46023</v>
      </c>
      <c r="L91" t="s">
        <v>533</v>
      </c>
      <c r="M91" t="s">
        <v>59</v>
      </c>
      <c r="N91">
        <v>69579532</v>
      </c>
    </row>
    <row r="92" spans="1:14" x14ac:dyDescent="0.25">
      <c r="A92">
        <v>57259674</v>
      </c>
      <c r="B92" t="s">
        <v>636</v>
      </c>
      <c r="C92" t="s">
        <v>735</v>
      </c>
      <c r="D92" t="s">
        <v>736</v>
      </c>
      <c r="E92">
        <v>7044411451</v>
      </c>
      <c r="F92" t="s">
        <v>649</v>
      </c>
      <c r="G92" t="s">
        <v>650</v>
      </c>
      <c r="I92" t="s">
        <v>28</v>
      </c>
      <c r="J92" s="13">
        <v>45946</v>
      </c>
      <c r="K92" s="13">
        <v>46023</v>
      </c>
      <c r="L92" t="s">
        <v>603</v>
      </c>
      <c r="M92" t="s">
        <v>59</v>
      </c>
      <c r="N92">
        <v>69580553</v>
      </c>
    </row>
    <row r="93" spans="1:14" x14ac:dyDescent="0.25">
      <c r="A93">
        <v>57238594</v>
      </c>
      <c r="B93" t="s">
        <v>737</v>
      </c>
      <c r="C93" t="s">
        <v>738</v>
      </c>
      <c r="D93" t="s">
        <v>739</v>
      </c>
      <c r="E93">
        <v>7043013610</v>
      </c>
      <c r="F93" t="s">
        <v>592</v>
      </c>
      <c r="G93" t="s">
        <v>593</v>
      </c>
      <c r="I93" t="s">
        <v>115</v>
      </c>
      <c r="J93" s="13">
        <v>45945</v>
      </c>
      <c r="K93" s="13">
        <v>46023</v>
      </c>
      <c r="L93" t="s">
        <v>603</v>
      </c>
      <c r="M93" t="s">
        <v>59</v>
      </c>
      <c r="N93">
        <v>69586053</v>
      </c>
    </row>
    <row r="94" spans="1:14" x14ac:dyDescent="0.25">
      <c r="A94">
        <v>57941954</v>
      </c>
      <c r="B94" t="s">
        <v>740</v>
      </c>
      <c r="C94" t="s">
        <v>741</v>
      </c>
      <c r="D94" t="s">
        <v>742</v>
      </c>
      <c r="E94">
        <v>2526767053</v>
      </c>
      <c r="F94" t="s">
        <v>592</v>
      </c>
      <c r="G94" t="s">
        <v>593</v>
      </c>
      <c r="I94" t="s">
        <v>115</v>
      </c>
      <c r="J94" s="13">
        <v>45968</v>
      </c>
      <c r="K94" s="13">
        <v>46023</v>
      </c>
      <c r="L94" t="s">
        <v>603</v>
      </c>
      <c r="M94" t="s">
        <v>59</v>
      </c>
      <c r="N94">
        <v>69614326</v>
      </c>
    </row>
    <row r="95" spans="1:14" x14ac:dyDescent="0.25">
      <c r="A95">
        <v>58698769</v>
      </c>
      <c r="B95" t="s">
        <v>743</v>
      </c>
      <c r="C95" t="s">
        <v>744</v>
      </c>
      <c r="D95" t="s">
        <v>745</v>
      </c>
      <c r="E95">
        <v>5017579160</v>
      </c>
      <c r="F95" t="s">
        <v>746</v>
      </c>
      <c r="G95" t="s">
        <v>747</v>
      </c>
      <c r="I95" t="s">
        <v>27</v>
      </c>
      <c r="J95" s="13">
        <v>45996</v>
      </c>
      <c r="K95" s="13">
        <v>46023</v>
      </c>
      <c r="L95" t="s">
        <v>553</v>
      </c>
      <c r="M95" t="s">
        <v>58</v>
      </c>
      <c r="N95">
        <v>69621647</v>
      </c>
    </row>
    <row r="96" spans="1:14" x14ac:dyDescent="0.25">
      <c r="A96">
        <v>57342443</v>
      </c>
      <c r="B96" t="s">
        <v>748</v>
      </c>
      <c r="C96" t="s">
        <v>749</v>
      </c>
      <c r="D96" t="s">
        <v>750</v>
      </c>
      <c r="E96">
        <v>9108804587</v>
      </c>
      <c r="F96" t="s">
        <v>551</v>
      </c>
      <c r="G96" t="s">
        <v>552</v>
      </c>
      <c r="I96" t="s">
        <v>42</v>
      </c>
      <c r="J96" s="13">
        <v>45950</v>
      </c>
      <c r="K96" s="13">
        <v>46023</v>
      </c>
      <c r="L96" t="s">
        <v>603</v>
      </c>
      <c r="M96" t="s">
        <v>56</v>
      </c>
      <c r="N96">
        <v>69645247</v>
      </c>
    </row>
    <row r="97" spans="1:14" x14ac:dyDescent="0.25">
      <c r="A97">
        <v>57252134</v>
      </c>
      <c r="B97" t="s">
        <v>691</v>
      </c>
      <c r="C97" t="s">
        <v>751</v>
      </c>
      <c r="D97" t="s">
        <v>752</v>
      </c>
      <c r="E97">
        <v>3374140815</v>
      </c>
      <c r="F97" t="s">
        <v>649</v>
      </c>
      <c r="G97" t="s">
        <v>650</v>
      </c>
      <c r="I97" t="s">
        <v>28</v>
      </c>
      <c r="J97" s="13">
        <v>45945</v>
      </c>
      <c r="K97" s="13">
        <v>46023</v>
      </c>
      <c r="L97" t="s">
        <v>612</v>
      </c>
      <c r="M97" t="s">
        <v>56</v>
      </c>
      <c r="N97">
        <v>69655012</v>
      </c>
    </row>
    <row r="98" spans="1:14" x14ac:dyDescent="0.25">
      <c r="A98">
        <v>57249896</v>
      </c>
      <c r="B98" t="s">
        <v>753</v>
      </c>
      <c r="C98" t="s">
        <v>754</v>
      </c>
      <c r="D98" t="s">
        <v>755</v>
      </c>
      <c r="E98" t="s">
        <v>756</v>
      </c>
      <c r="F98" t="s">
        <v>416</v>
      </c>
      <c r="G98" t="s">
        <v>417</v>
      </c>
      <c r="I98" t="s">
        <v>26</v>
      </c>
      <c r="J98" s="13">
        <v>45945</v>
      </c>
      <c r="K98" s="13">
        <v>46023</v>
      </c>
      <c r="L98" t="s">
        <v>444</v>
      </c>
      <c r="M98" t="s">
        <v>56</v>
      </c>
      <c r="N98">
        <v>69666213</v>
      </c>
    </row>
    <row r="99" spans="1:14" x14ac:dyDescent="0.25">
      <c r="A99">
        <v>57245017</v>
      </c>
      <c r="B99" t="s">
        <v>757</v>
      </c>
      <c r="C99" t="s">
        <v>758</v>
      </c>
      <c r="D99" t="s">
        <v>759</v>
      </c>
      <c r="E99">
        <v>4792346586</v>
      </c>
      <c r="F99" t="s">
        <v>574</v>
      </c>
      <c r="G99" t="s">
        <v>575</v>
      </c>
      <c r="I99" t="s">
        <v>14</v>
      </c>
      <c r="J99" s="13">
        <v>45945</v>
      </c>
      <c r="K99" s="13">
        <v>46023</v>
      </c>
      <c r="L99" t="s">
        <v>553</v>
      </c>
      <c r="M99" t="s">
        <v>56</v>
      </c>
      <c r="N99">
        <v>69666744</v>
      </c>
    </row>
    <row r="100" spans="1:14" x14ac:dyDescent="0.25">
      <c r="A100">
        <v>59283731</v>
      </c>
      <c r="B100" t="s">
        <v>760</v>
      </c>
      <c r="C100" t="s">
        <v>761</v>
      </c>
      <c r="D100" t="s">
        <v>762</v>
      </c>
      <c r="E100">
        <v>2394468499</v>
      </c>
      <c r="F100" t="s">
        <v>551</v>
      </c>
      <c r="G100" t="s">
        <v>552</v>
      </c>
      <c r="I100" t="s">
        <v>42</v>
      </c>
      <c r="J100" s="13">
        <v>46027</v>
      </c>
      <c r="K100" s="13">
        <v>46054</v>
      </c>
      <c r="L100" t="s">
        <v>497</v>
      </c>
      <c r="M100" t="s">
        <v>56</v>
      </c>
      <c r="N100">
        <v>69688472</v>
      </c>
    </row>
    <row r="101" spans="1:14" x14ac:dyDescent="0.25">
      <c r="A101">
        <v>57425601</v>
      </c>
      <c r="B101" t="s">
        <v>763</v>
      </c>
      <c r="C101" t="s">
        <v>764</v>
      </c>
      <c r="D101" t="s">
        <v>765</v>
      </c>
      <c r="E101">
        <v>8285539226</v>
      </c>
      <c r="F101" t="s">
        <v>766</v>
      </c>
      <c r="G101" t="s">
        <v>767</v>
      </c>
      <c r="I101" t="s">
        <v>88</v>
      </c>
      <c r="J101" s="13">
        <v>45953</v>
      </c>
      <c r="K101" s="13">
        <v>46023</v>
      </c>
      <c r="L101" t="s">
        <v>603</v>
      </c>
      <c r="M101" t="s">
        <v>59</v>
      </c>
      <c r="N101">
        <v>69716809</v>
      </c>
    </row>
    <row r="102" spans="1:14" x14ac:dyDescent="0.25">
      <c r="A102">
        <v>57238719</v>
      </c>
      <c r="B102" t="s">
        <v>445</v>
      </c>
      <c r="C102" t="s">
        <v>768</v>
      </c>
      <c r="D102" t="s">
        <v>769</v>
      </c>
      <c r="E102">
        <v>6784645279</v>
      </c>
      <c r="F102" t="s">
        <v>770</v>
      </c>
      <c r="G102" t="s">
        <v>771</v>
      </c>
      <c r="I102" t="s">
        <v>25</v>
      </c>
      <c r="J102" s="13">
        <v>45945</v>
      </c>
      <c r="K102" s="13">
        <v>46023</v>
      </c>
      <c r="L102" t="s">
        <v>621</v>
      </c>
      <c r="M102" t="s">
        <v>58</v>
      </c>
      <c r="N102">
        <v>69753599</v>
      </c>
    </row>
    <row r="103" spans="1:14" x14ac:dyDescent="0.25">
      <c r="A103">
        <v>57332180</v>
      </c>
      <c r="B103" t="s">
        <v>772</v>
      </c>
      <c r="C103" t="s">
        <v>773</v>
      </c>
      <c r="D103" t="s">
        <v>774</v>
      </c>
      <c r="E103">
        <v>2142183161</v>
      </c>
      <c r="F103" t="s">
        <v>775</v>
      </c>
      <c r="G103" t="s">
        <v>776</v>
      </c>
      <c r="I103" t="s">
        <v>22</v>
      </c>
      <c r="J103" s="13">
        <v>45950</v>
      </c>
      <c r="K103" s="13">
        <v>46023</v>
      </c>
      <c r="L103" t="s">
        <v>444</v>
      </c>
      <c r="M103" t="s">
        <v>56</v>
      </c>
      <c r="N103">
        <v>69766387</v>
      </c>
    </row>
    <row r="104" spans="1:14" x14ac:dyDescent="0.25">
      <c r="A104">
        <v>58380048</v>
      </c>
      <c r="B104" t="s">
        <v>777</v>
      </c>
      <c r="C104" t="s">
        <v>778</v>
      </c>
      <c r="D104" t="s">
        <v>779</v>
      </c>
      <c r="E104">
        <v>9044444228</v>
      </c>
      <c r="F104" t="s">
        <v>780</v>
      </c>
      <c r="G104" t="s">
        <v>781</v>
      </c>
      <c r="I104" t="s">
        <v>20</v>
      </c>
      <c r="J104" s="13">
        <v>45985</v>
      </c>
      <c r="K104" s="13">
        <v>46023</v>
      </c>
      <c r="L104" t="s">
        <v>497</v>
      </c>
      <c r="M104" t="s">
        <v>59</v>
      </c>
      <c r="N104">
        <v>69845669</v>
      </c>
    </row>
    <row r="105" spans="1:14" x14ac:dyDescent="0.25">
      <c r="A105">
        <v>57260074</v>
      </c>
      <c r="B105" t="s">
        <v>431</v>
      </c>
      <c r="C105" t="s">
        <v>782</v>
      </c>
      <c r="D105" t="s">
        <v>783</v>
      </c>
      <c r="E105">
        <v>4783604403</v>
      </c>
      <c r="F105" t="s">
        <v>628</v>
      </c>
      <c r="G105" t="s">
        <v>629</v>
      </c>
      <c r="I105" t="s">
        <v>24</v>
      </c>
      <c r="J105" s="13">
        <v>45946</v>
      </c>
      <c r="K105" s="13">
        <v>46023</v>
      </c>
      <c r="L105" t="s">
        <v>621</v>
      </c>
      <c r="M105" t="s">
        <v>58</v>
      </c>
      <c r="N105">
        <v>69930312</v>
      </c>
    </row>
    <row r="106" spans="1:14" x14ac:dyDescent="0.25">
      <c r="A106">
        <v>57281025</v>
      </c>
      <c r="B106" t="s">
        <v>784</v>
      </c>
      <c r="C106" t="s">
        <v>785</v>
      </c>
      <c r="D106" t="s">
        <v>786</v>
      </c>
      <c r="E106">
        <v>2352029097</v>
      </c>
      <c r="F106" t="s">
        <v>574</v>
      </c>
      <c r="G106" t="s">
        <v>575</v>
      </c>
      <c r="I106" t="s">
        <v>14</v>
      </c>
      <c r="J106" s="13">
        <v>45946</v>
      </c>
      <c r="K106" s="13">
        <v>46023</v>
      </c>
      <c r="L106" t="s">
        <v>434</v>
      </c>
      <c r="M106" t="s">
        <v>58</v>
      </c>
      <c r="N106">
        <v>69946251</v>
      </c>
    </row>
    <row r="107" spans="1:14" x14ac:dyDescent="0.25">
      <c r="A107">
        <v>57287197</v>
      </c>
      <c r="B107" t="s">
        <v>787</v>
      </c>
      <c r="C107" t="s">
        <v>788</v>
      </c>
      <c r="D107" t="s">
        <v>789</v>
      </c>
      <c r="E107">
        <v>6085137667</v>
      </c>
      <c r="F107" t="s">
        <v>790</v>
      </c>
      <c r="G107" t="s">
        <v>791</v>
      </c>
      <c r="I107" t="s">
        <v>119</v>
      </c>
      <c r="J107" s="13">
        <v>45946</v>
      </c>
      <c r="K107" s="13">
        <v>46023</v>
      </c>
      <c r="L107" t="s">
        <v>675</v>
      </c>
      <c r="M107" t="s">
        <v>58</v>
      </c>
      <c r="N107">
        <v>69959213</v>
      </c>
    </row>
    <row r="108" spans="1:14" x14ac:dyDescent="0.25">
      <c r="A108">
        <v>57250722</v>
      </c>
      <c r="B108" t="s">
        <v>792</v>
      </c>
      <c r="C108" t="s">
        <v>793</v>
      </c>
      <c r="D108" t="s">
        <v>794</v>
      </c>
      <c r="E108">
        <v>5733667023</v>
      </c>
      <c r="F108" t="s">
        <v>770</v>
      </c>
      <c r="G108" t="s">
        <v>771</v>
      </c>
      <c r="I108" t="s">
        <v>25</v>
      </c>
      <c r="J108" s="13">
        <v>45945</v>
      </c>
      <c r="K108" s="13">
        <v>46023</v>
      </c>
      <c r="L108" t="s">
        <v>434</v>
      </c>
      <c r="M108" t="s">
        <v>58</v>
      </c>
      <c r="N108">
        <v>69971941</v>
      </c>
    </row>
    <row r="109" spans="1:14" x14ac:dyDescent="0.25">
      <c r="A109">
        <v>57301596</v>
      </c>
      <c r="B109" t="s">
        <v>795</v>
      </c>
      <c r="C109" t="s">
        <v>796</v>
      </c>
      <c r="D109" t="s">
        <v>797</v>
      </c>
      <c r="E109">
        <v>7622796416</v>
      </c>
      <c r="F109" t="s">
        <v>798</v>
      </c>
      <c r="G109" t="s">
        <v>799</v>
      </c>
      <c r="I109" t="s">
        <v>800</v>
      </c>
      <c r="J109" s="13">
        <v>45947</v>
      </c>
      <c r="K109" s="13">
        <v>46023</v>
      </c>
      <c r="L109" t="s">
        <v>621</v>
      </c>
      <c r="M109" t="s">
        <v>59</v>
      </c>
      <c r="N109">
        <v>70045438</v>
      </c>
    </row>
    <row r="110" spans="1:14" x14ac:dyDescent="0.25">
      <c r="A110">
        <v>57460420</v>
      </c>
      <c r="B110" t="s">
        <v>801</v>
      </c>
      <c r="C110" t="s">
        <v>802</v>
      </c>
      <c r="D110" t="s">
        <v>803</v>
      </c>
      <c r="E110">
        <v>2055816661</v>
      </c>
      <c r="F110" t="s">
        <v>775</v>
      </c>
      <c r="G110" t="s">
        <v>776</v>
      </c>
      <c r="I110" t="s">
        <v>22</v>
      </c>
      <c r="J110" s="13">
        <v>45954</v>
      </c>
      <c r="K110" s="13">
        <v>46023</v>
      </c>
      <c r="L110" t="s">
        <v>450</v>
      </c>
      <c r="M110" t="s">
        <v>56</v>
      </c>
      <c r="N110">
        <v>70046588</v>
      </c>
    </row>
    <row r="111" spans="1:14" x14ac:dyDescent="0.25">
      <c r="A111">
        <v>57238696</v>
      </c>
      <c r="B111" t="s">
        <v>804</v>
      </c>
      <c r="C111" t="s">
        <v>805</v>
      </c>
      <c r="D111" t="s">
        <v>806</v>
      </c>
      <c r="E111">
        <v>9209040745</v>
      </c>
      <c r="F111" t="s">
        <v>807</v>
      </c>
      <c r="G111" t="s">
        <v>808</v>
      </c>
      <c r="I111" t="s">
        <v>33</v>
      </c>
      <c r="J111" s="13">
        <v>45945</v>
      </c>
      <c r="K111" s="13">
        <v>46023</v>
      </c>
      <c r="L111" t="s">
        <v>675</v>
      </c>
      <c r="M111" t="s">
        <v>419</v>
      </c>
      <c r="N111">
        <v>70049187</v>
      </c>
    </row>
    <row r="112" spans="1:14" x14ac:dyDescent="0.25">
      <c r="A112">
        <v>58735306</v>
      </c>
      <c r="B112" t="s">
        <v>809</v>
      </c>
      <c r="C112" t="s">
        <v>810</v>
      </c>
      <c r="D112" t="s">
        <v>811</v>
      </c>
      <c r="E112">
        <v>9704054901</v>
      </c>
      <c r="F112" t="s">
        <v>537</v>
      </c>
      <c r="G112" t="s">
        <v>538</v>
      </c>
      <c r="I112" t="s">
        <v>49</v>
      </c>
      <c r="J112" s="13">
        <v>45997</v>
      </c>
      <c r="K112" s="13">
        <v>46023</v>
      </c>
      <c r="L112" t="s">
        <v>539</v>
      </c>
      <c r="M112" t="s">
        <v>56</v>
      </c>
      <c r="N112">
        <v>70091060</v>
      </c>
    </row>
    <row r="113" spans="1:14" x14ac:dyDescent="0.25">
      <c r="A113">
        <v>57278160</v>
      </c>
      <c r="B113" t="s">
        <v>812</v>
      </c>
      <c r="C113" t="s">
        <v>813</v>
      </c>
      <c r="D113" t="s">
        <v>814</v>
      </c>
      <c r="E113">
        <v>3183315242</v>
      </c>
      <c r="F113" t="s">
        <v>815</v>
      </c>
      <c r="G113" t="s">
        <v>816</v>
      </c>
      <c r="I113" t="s">
        <v>23</v>
      </c>
      <c r="J113" s="13">
        <v>45946</v>
      </c>
      <c r="K113" s="13">
        <v>46023</v>
      </c>
      <c r="L113" t="s">
        <v>612</v>
      </c>
      <c r="M113" t="s">
        <v>56</v>
      </c>
      <c r="N113">
        <v>70093618</v>
      </c>
    </row>
    <row r="114" spans="1:14" x14ac:dyDescent="0.25">
      <c r="A114">
        <v>57369492</v>
      </c>
      <c r="B114" t="s">
        <v>817</v>
      </c>
      <c r="C114" t="s">
        <v>818</v>
      </c>
      <c r="D114" t="s">
        <v>819</v>
      </c>
      <c r="E114" t="s">
        <v>820</v>
      </c>
      <c r="F114" t="s">
        <v>821</v>
      </c>
      <c r="G114" t="s">
        <v>822</v>
      </c>
      <c r="I114" t="s">
        <v>823</v>
      </c>
      <c r="J114" s="13">
        <v>45951</v>
      </c>
      <c r="K114" s="13">
        <v>46023</v>
      </c>
      <c r="L114" t="s">
        <v>621</v>
      </c>
      <c r="M114" t="s">
        <v>56</v>
      </c>
      <c r="N114">
        <v>70164696</v>
      </c>
    </row>
    <row r="115" spans="1:14" x14ac:dyDescent="0.25">
      <c r="A115">
        <v>57240442</v>
      </c>
      <c r="B115" t="s">
        <v>824</v>
      </c>
      <c r="C115" t="s">
        <v>825</v>
      </c>
      <c r="D115" t="s">
        <v>826</v>
      </c>
      <c r="E115">
        <v>7046740228</v>
      </c>
      <c r="F115" t="s">
        <v>592</v>
      </c>
      <c r="G115" t="s">
        <v>593</v>
      </c>
      <c r="I115" t="s">
        <v>115</v>
      </c>
      <c r="J115" s="13">
        <v>45945</v>
      </c>
      <c r="K115" s="13">
        <v>46023</v>
      </c>
      <c r="L115" t="s">
        <v>603</v>
      </c>
      <c r="M115" t="s">
        <v>59</v>
      </c>
      <c r="N115">
        <v>70165708</v>
      </c>
    </row>
    <row r="116" spans="1:14" x14ac:dyDescent="0.25">
      <c r="A116">
        <v>57617832</v>
      </c>
      <c r="B116" t="s">
        <v>827</v>
      </c>
      <c r="C116" t="s">
        <v>828</v>
      </c>
      <c r="D116" t="s">
        <v>829</v>
      </c>
      <c r="E116">
        <v>3864149360</v>
      </c>
      <c r="F116" t="s">
        <v>592</v>
      </c>
      <c r="G116" t="s">
        <v>593</v>
      </c>
      <c r="I116" t="s">
        <v>115</v>
      </c>
      <c r="J116" s="13">
        <v>45959</v>
      </c>
      <c r="K116" s="13">
        <v>46023</v>
      </c>
      <c r="L116" t="s">
        <v>497</v>
      </c>
      <c r="M116" t="s">
        <v>56</v>
      </c>
      <c r="N116">
        <v>70209595</v>
      </c>
    </row>
    <row r="117" spans="1:14" x14ac:dyDescent="0.25">
      <c r="A117">
        <v>57298456</v>
      </c>
      <c r="B117" t="s">
        <v>830</v>
      </c>
      <c r="C117" t="s">
        <v>831</v>
      </c>
      <c r="D117" t="s">
        <v>832</v>
      </c>
      <c r="E117">
        <v>4179898266</v>
      </c>
      <c r="F117" t="s">
        <v>574</v>
      </c>
      <c r="G117" t="s">
        <v>575</v>
      </c>
      <c r="I117" t="s">
        <v>14</v>
      </c>
      <c r="J117" s="13">
        <v>45947</v>
      </c>
      <c r="K117" s="13">
        <v>46023</v>
      </c>
      <c r="L117" t="s">
        <v>434</v>
      </c>
      <c r="M117" t="s">
        <v>58</v>
      </c>
      <c r="N117">
        <v>70209784</v>
      </c>
    </row>
    <row r="118" spans="1:14" x14ac:dyDescent="0.25">
      <c r="A118">
        <v>57254142</v>
      </c>
      <c r="B118" t="s">
        <v>833</v>
      </c>
      <c r="C118" t="s">
        <v>834</v>
      </c>
      <c r="D118" t="s">
        <v>835</v>
      </c>
      <c r="E118">
        <v>7577742672</v>
      </c>
      <c r="F118" t="s">
        <v>615</v>
      </c>
      <c r="G118" t="s">
        <v>616</v>
      </c>
      <c r="I118" t="s">
        <v>617</v>
      </c>
      <c r="J118" s="13">
        <v>45945</v>
      </c>
      <c r="K118" s="13">
        <v>46023</v>
      </c>
      <c r="L118" t="s">
        <v>454</v>
      </c>
      <c r="M118" t="s">
        <v>58</v>
      </c>
      <c r="N118">
        <v>70214261</v>
      </c>
    </row>
    <row r="119" spans="1:14" x14ac:dyDescent="0.25">
      <c r="A119">
        <v>57247140</v>
      </c>
      <c r="B119" t="s">
        <v>836</v>
      </c>
      <c r="C119" t="s">
        <v>837</v>
      </c>
      <c r="D119" t="s">
        <v>838</v>
      </c>
      <c r="E119">
        <v>8168745419</v>
      </c>
      <c r="F119" t="s">
        <v>693</v>
      </c>
      <c r="G119" t="s">
        <v>694</v>
      </c>
      <c r="I119" t="s">
        <v>103</v>
      </c>
      <c r="J119" s="13">
        <v>45945</v>
      </c>
      <c r="K119" s="13">
        <v>46023</v>
      </c>
      <c r="L119" t="s">
        <v>434</v>
      </c>
      <c r="M119" t="s">
        <v>56</v>
      </c>
      <c r="N119">
        <v>70216848</v>
      </c>
    </row>
    <row r="120" spans="1:14" x14ac:dyDescent="0.25">
      <c r="A120">
        <v>57239785</v>
      </c>
      <c r="B120" t="s">
        <v>839</v>
      </c>
      <c r="C120" t="s">
        <v>840</v>
      </c>
      <c r="D120" t="s">
        <v>841</v>
      </c>
      <c r="F120" t="s">
        <v>842</v>
      </c>
      <c r="G120" t="s">
        <v>843</v>
      </c>
      <c r="I120" t="s">
        <v>98</v>
      </c>
      <c r="J120" s="13">
        <v>45945</v>
      </c>
      <c r="K120" s="13">
        <v>46023</v>
      </c>
      <c r="L120" t="s">
        <v>621</v>
      </c>
      <c r="M120" t="s">
        <v>59</v>
      </c>
      <c r="N120">
        <v>70222104</v>
      </c>
    </row>
    <row r="121" spans="1:14" x14ac:dyDescent="0.25">
      <c r="A121">
        <v>57261880</v>
      </c>
      <c r="B121" t="s">
        <v>844</v>
      </c>
      <c r="C121" t="s">
        <v>845</v>
      </c>
      <c r="D121" t="s">
        <v>846</v>
      </c>
      <c r="E121">
        <v>9194306857</v>
      </c>
      <c r="F121" t="s">
        <v>684</v>
      </c>
      <c r="G121" t="s">
        <v>685</v>
      </c>
      <c r="I121" t="s">
        <v>686</v>
      </c>
      <c r="J121" s="13">
        <v>45946</v>
      </c>
      <c r="K121" s="13">
        <v>46023</v>
      </c>
      <c r="L121" t="s">
        <v>603</v>
      </c>
      <c r="M121" t="s">
        <v>56</v>
      </c>
      <c r="N121">
        <v>70226362</v>
      </c>
    </row>
    <row r="122" spans="1:14" x14ac:dyDescent="0.25">
      <c r="A122">
        <v>57808092</v>
      </c>
      <c r="B122" t="s">
        <v>651</v>
      </c>
      <c r="C122" t="s">
        <v>847</v>
      </c>
      <c r="D122" t="s">
        <v>848</v>
      </c>
      <c r="E122">
        <v>5739349899</v>
      </c>
      <c r="F122" t="s">
        <v>775</v>
      </c>
      <c r="G122" t="s">
        <v>776</v>
      </c>
      <c r="I122" t="s">
        <v>22</v>
      </c>
      <c r="J122" s="13">
        <v>45964</v>
      </c>
      <c r="K122" s="13">
        <v>46023</v>
      </c>
      <c r="L122" t="s">
        <v>434</v>
      </c>
      <c r="M122" t="s">
        <v>56</v>
      </c>
      <c r="N122">
        <v>70227725</v>
      </c>
    </row>
    <row r="123" spans="1:14" x14ac:dyDescent="0.25">
      <c r="A123">
        <v>57243894</v>
      </c>
      <c r="B123" t="s">
        <v>849</v>
      </c>
      <c r="C123" t="s">
        <v>850</v>
      </c>
      <c r="D123" t="s">
        <v>851</v>
      </c>
      <c r="E123">
        <v>8168791322</v>
      </c>
      <c r="F123" t="s">
        <v>815</v>
      </c>
      <c r="G123" t="s">
        <v>816</v>
      </c>
      <c r="I123" t="s">
        <v>23</v>
      </c>
      <c r="J123" s="13">
        <v>45945</v>
      </c>
      <c r="K123" s="13">
        <v>46023</v>
      </c>
      <c r="L123" t="s">
        <v>434</v>
      </c>
      <c r="M123" t="s">
        <v>59</v>
      </c>
      <c r="N123">
        <v>70231577</v>
      </c>
    </row>
    <row r="124" spans="1:14" x14ac:dyDescent="0.25">
      <c r="A124">
        <v>58114431</v>
      </c>
      <c r="B124" t="s">
        <v>852</v>
      </c>
      <c r="C124" t="s">
        <v>853</v>
      </c>
      <c r="D124" t="s">
        <v>854</v>
      </c>
      <c r="E124">
        <v>8433023841</v>
      </c>
      <c r="F124" t="s">
        <v>775</v>
      </c>
      <c r="G124" t="s">
        <v>776</v>
      </c>
      <c r="I124" t="s">
        <v>22</v>
      </c>
      <c r="J124" s="13">
        <v>45976</v>
      </c>
      <c r="K124" s="13">
        <v>46023</v>
      </c>
      <c r="L124" t="s">
        <v>533</v>
      </c>
      <c r="M124" t="s">
        <v>56</v>
      </c>
      <c r="N124">
        <v>70239542</v>
      </c>
    </row>
    <row r="125" spans="1:14" x14ac:dyDescent="0.25">
      <c r="A125">
        <v>57238989</v>
      </c>
      <c r="B125" t="s">
        <v>618</v>
      </c>
      <c r="C125" t="s">
        <v>792</v>
      </c>
      <c r="D125" t="s">
        <v>855</v>
      </c>
      <c r="E125">
        <v>2257192623</v>
      </c>
      <c r="F125" t="s">
        <v>790</v>
      </c>
      <c r="G125" t="s">
        <v>791</v>
      </c>
      <c r="I125" t="s">
        <v>119</v>
      </c>
      <c r="J125" s="13">
        <v>45945</v>
      </c>
      <c r="K125" s="13">
        <v>46023</v>
      </c>
      <c r="L125" t="s">
        <v>612</v>
      </c>
      <c r="M125" t="s">
        <v>59</v>
      </c>
      <c r="N125">
        <v>70241351</v>
      </c>
    </row>
    <row r="126" spans="1:14" x14ac:dyDescent="0.25">
      <c r="A126">
        <v>58986198</v>
      </c>
      <c r="B126" t="s">
        <v>856</v>
      </c>
      <c r="C126" t="s">
        <v>857</v>
      </c>
      <c r="D126" t="s">
        <v>858</v>
      </c>
      <c r="E126">
        <v>9545626258</v>
      </c>
      <c r="F126" t="s">
        <v>780</v>
      </c>
      <c r="G126" t="s">
        <v>781</v>
      </c>
      <c r="I126" t="s">
        <v>20</v>
      </c>
      <c r="J126" s="13">
        <v>46008</v>
      </c>
      <c r="K126" s="13">
        <v>46023</v>
      </c>
      <c r="L126" t="s">
        <v>497</v>
      </c>
      <c r="M126" t="s">
        <v>59</v>
      </c>
      <c r="N126">
        <v>70243527</v>
      </c>
    </row>
    <row r="127" spans="1:14" x14ac:dyDescent="0.25">
      <c r="A127">
        <v>57274436</v>
      </c>
      <c r="B127" t="s">
        <v>859</v>
      </c>
      <c r="C127" t="s">
        <v>860</v>
      </c>
      <c r="D127" t="s">
        <v>861</v>
      </c>
      <c r="E127">
        <v>4077478309</v>
      </c>
      <c r="F127" t="s">
        <v>574</v>
      </c>
      <c r="G127" t="s">
        <v>575</v>
      </c>
      <c r="I127" t="s">
        <v>14</v>
      </c>
      <c r="J127" s="13">
        <v>45946</v>
      </c>
      <c r="K127" s="13">
        <v>46023</v>
      </c>
      <c r="L127" t="s">
        <v>497</v>
      </c>
      <c r="M127" t="s">
        <v>56</v>
      </c>
      <c r="N127">
        <v>70250602</v>
      </c>
    </row>
    <row r="128" spans="1:14" x14ac:dyDescent="0.25">
      <c r="A128">
        <v>57297806</v>
      </c>
      <c r="B128" t="s">
        <v>862</v>
      </c>
      <c r="C128" t="s">
        <v>863</v>
      </c>
      <c r="D128" t="s">
        <v>864</v>
      </c>
      <c r="E128">
        <v>3374594770</v>
      </c>
      <c r="F128" t="s">
        <v>684</v>
      </c>
      <c r="G128" t="s">
        <v>685</v>
      </c>
      <c r="I128" t="s">
        <v>686</v>
      </c>
      <c r="J128" s="13">
        <v>45947</v>
      </c>
      <c r="K128" s="13">
        <v>46023</v>
      </c>
      <c r="L128" t="s">
        <v>612</v>
      </c>
      <c r="M128" t="s">
        <v>58</v>
      </c>
      <c r="N128">
        <v>70256082</v>
      </c>
    </row>
    <row r="129" spans="1:14" x14ac:dyDescent="0.25">
      <c r="A129">
        <v>58697685</v>
      </c>
      <c r="B129" t="s">
        <v>865</v>
      </c>
      <c r="C129" t="s">
        <v>707</v>
      </c>
      <c r="D129" t="s">
        <v>866</v>
      </c>
      <c r="E129">
        <v>3369186053</v>
      </c>
      <c r="F129" t="s">
        <v>474</v>
      </c>
      <c r="G129" t="s">
        <v>475</v>
      </c>
      <c r="I129" t="s">
        <v>132</v>
      </c>
      <c r="J129" s="13">
        <v>45996</v>
      </c>
      <c r="K129" s="13">
        <v>46023</v>
      </c>
      <c r="L129" t="s">
        <v>603</v>
      </c>
      <c r="M129" t="s">
        <v>59</v>
      </c>
      <c r="N129">
        <v>70259800</v>
      </c>
    </row>
    <row r="130" spans="1:14" x14ac:dyDescent="0.25">
      <c r="A130">
        <v>57251104</v>
      </c>
      <c r="B130" t="s">
        <v>867</v>
      </c>
      <c r="C130" t="s">
        <v>868</v>
      </c>
      <c r="D130" t="s">
        <v>869</v>
      </c>
      <c r="E130">
        <v>4142071502</v>
      </c>
      <c r="F130" t="s">
        <v>870</v>
      </c>
      <c r="G130" t="s">
        <v>871</v>
      </c>
      <c r="I130" t="s">
        <v>872</v>
      </c>
      <c r="J130" s="13">
        <v>45945</v>
      </c>
      <c r="K130" s="13">
        <v>46023</v>
      </c>
      <c r="L130" t="s">
        <v>675</v>
      </c>
      <c r="M130" t="s">
        <v>56</v>
      </c>
      <c r="N130">
        <v>70260673</v>
      </c>
    </row>
    <row r="131" spans="1:14" x14ac:dyDescent="0.25">
      <c r="A131">
        <v>58042037</v>
      </c>
      <c r="B131" t="s">
        <v>873</v>
      </c>
      <c r="C131" t="s">
        <v>874</v>
      </c>
      <c r="D131" t="s">
        <v>875</v>
      </c>
      <c r="E131">
        <v>7048050715</v>
      </c>
      <c r="F131" t="s">
        <v>649</v>
      </c>
      <c r="G131" t="s">
        <v>650</v>
      </c>
      <c r="I131" t="s">
        <v>28</v>
      </c>
      <c r="J131" s="13">
        <v>45973</v>
      </c>
      <c r="K131" s="13">
        <v>46023</v>
      </c>
      <c r="L131" t="s">
        <v>603</v>
      </c>
      <c r="M131" t="s">
        <v>59</v>
      </c>
      <c r="N131">
        <v>70272432</v>
      </c>
    </row>
    <row r="132" spans="1:14" x14ac:dyDescent="0.25">
      <c r="A132">
        <v>57245729</v>
      </c>
      <c r="B132" t="s">
        <v>876</v>
      </c>
      <c r="C132" t="s">
        <v>877</v>
      </c>
      <c r="D132" t="s">
        <v>878</v>
      </c>
      <c r="E132">
        <v>2252745020</v>
      </c>
      <c r="F132" t="s">
        <v>592</v>
      </c>
      <c r="G132" t="s">
        <v>593</v>
      </c>
      <c r="I132" t="s">
        <v>115</v>
      </c>
      <c r="J132" s="13">
        <v>45945</v>
      </c>
      <c r="K132" s="13">
        <v>46023</v>
      </c>
      <c r="L132" t="s">
        <v>612</v>
      </c>
      <c r="M132" t="s">
        <v>59</v>
      </c>
      <c r="N132">
        <v>70279756</v>
      </c>
    </row>
    <row r="133" spans="1:14" x14ac:dyDescent="0.25">
      <c r="A133">
        <v>57323235</v>
      </c>
      <c r="B133" t="s">
        <v>879</v>
      </c>
      <c r="C133" t="s">
        <v>880</v>
      </c>
      <c r="D133" t="s">
        <v>881</v>
      </c>
      <c r="E133">
        <v>7044901162</v>
      </c>
      <c r="F133" t="s">
        <v>684</v>
      </c>
      <c r="G133" t="s">
        <v>685</v>
      </c>
      <c r="I133" t="s">
        <v>686</v>
      </c>
      <c r="J133" s="13">
        <v>45950</v>
      </c>
      <c r="K133" s="13">
        <v>46023</v>
      </c>
      <c r="L133" t="s">
        <v>603</v>
      </c>
      <c r="M133" t="s">
        <v>59</v>
      </c>
      <c r="N133">
        <v>70293344</v>
      </c>
    </row>
    <row r="134" spans="1:14" x14ac:dyDescent="0.25">
      <c r="A134">
        <v>57256417</v>
      </c>
      <c r="B134" t="s">
        <v>882</v>
      </c>
      <c r="C134" t="s">
        <v>883</v>
      </c>
      <c r="D134" t="s">
        <v>884</v>
      </c>
      <c r="E134">
        <v>3863171529</v>
      </c>
      <c r="F134" t="s">
        <v>569</v>
      </c>
      <c r="G134" t="s">
        <v>570</v>
      </c>
      <c r="I134" t="s">
        <v>34</v>
      </c>
      <c r="J134" s="13">
        <v>45945</v>
      </c>
      <c r="K134" s="13">
        <v>46023</v>
      </c>
      <c r="L134" t="s">
        <v>454</v>
      </c>
      <c r="M134" t="s">
        <v>56</v>
      </c>
      <c r="N134">
        <v>70462986</v>
      </c>
    </row>
    <row r="135" spans="1:14" x14ac:dyDescent="0.25">
      <c r="A135">
        <v>57254875</v>
      </c>
      <c r="B135" t="s">
        <v>885</v>
      </c>
      <c r="C135" t="s">
        <v>886</v>
      </c>
      <c r="D135" t="s">
        <v>887</v>
      </c>
      <c r="E135">
        <v>2257173735</v>
      </c>
      <c r="F135" t="s">
        <v>684</v>
      </c>
      <c r="G135" t="s">
        <v>685</v>
      </c>
      <c r="I135" t="s">
        <v>686</v>
      </c>
      <c r="J135" s="13">
        <v>45945</v>
      </c>
      <c r="K135" s="13">
        <v>46023</v>
      </c>
      <c r="L135" t="s">
        <v>612</v>
      </c>
      <c r="M135" t="s">
        <v>56</v>
      </c>
      <c r="N135">
        <v>70463303</v>
      </c>
    </row>
    <row r="136" spans="1:14" x14ac:dyDescent="0.25">
      <c r="A136">
        <v>60417480</v>
      </c>
      <c r="B136" t="s">
        <v>888</v>
      </c>
      <c r="C136" t="s">
        <v>889</v>
      </c>
      <c r="D136" t="s">
        <v>890</v>
      </c>
      <c r="E136">
        <v>5619299817</v>
      </c>
      <c r="F136" t="s">
        <v>494</v>
      </c>
      <c r="G136" t="s">
        <v>495</v>
      </c>
      <c r="I136" t="s">
        <v>496</v>
      </c>
      <c r="J136" s="13">
        <v>46063</v>
      </c>
      <c r="K136" s="13">
        <v>46082</v>
      </c>
      <c r="L136" t="s">
        <v>533</v>
      </c>
      <c r="M136" t="s">
        <v>58</v>
      </c>
      <c r="N136">
        <v>70570387</v>
      </c>
    </row>
    <row r="137" spans="1:14" x14ac:dyDescent="0.25">
      <c r="A137">
        <v>57107082</v>
      </c>
      <c r="B137" t="s">
        <v>891</v>
      </c>
      <c r="C137" t="s">
        <v>892</v>
      </c>
      <c r="D137" t="s">
        <v>893</v>
      </c>
      <c r="E137" t="s">
        <v>894</v>
      </c>
      <c r="I137" t="s">
        <v>895</v>
      </c>
      <c r="K137" s="13">
        <v>46023</v>
      </c>
      <c r="M137" t="s">
        <v>58</v>
      </c>
      <c r="N137">
        <v>70695590</v>
      </c>
    </row>
    <row r="138" spans="1:14" x14ac:dyDescent="0.25">
      <c r="A138">
        <v>57234621</v>
      </c>
      <c r="B138" t="s">
        <v>748</v>
      </c>
      <c r="C138" t="s">
        <v>896</v>
      </c>
      <c r="D138" t="s">
        <v>897</v>
      </c>
      <c r="E138" t="s">
        <v>898</v>
      </c>
      <c r="F138" t="s">
        <v>474</v>
      </c>
      <c r="G138" t="s">
        <v>475</v>
      </c>
      <c r="I138" t="s">
        <v>132</v>
      </c>
      <c r="J138" s="13">
        <v>45945</v>
      </c>
      <c r="K138" s="13">
        <v>46023</v>
      </c>
      <c r="L138" t="s">
        <v>418</v>
      </c>
      <c r="M138" t="s">
        <v>56</v>
      </c>
      <c r="N138">
        <v>70814256</v>
      </c>
    </row>
    <row r="139" spans="1:14" x14ac:dyDescent="0.25">
      <c r="A139">
        <v>57234708</v>
      </c>
      <c r="B139" t="s">
        <v>899</v>
      </c>
      <c r="C139" t="s">
        <v>900</v>
      </c>
      <c r="D139" t="s">
        <v>901</v>
      </c>
      <c r="E139">
        <v>9127139560</v>
      </c>
      <c r="F139" t="s">
        <v>474</v>
      </c>
      <c r="G139" t="s">
        <v>475</v>
      </c>
      <c r="I139" t="s">
        <v>132</v>
      </c>
      <c r="J139" s="13">
        <v>45945</v>
      </c>
      <c r="K139" s="13">
        <v>46023</v>
      </c>
      <c r="L139" t="s">
        <v>490</v>
      </c>
      <c r="M139" t="s">
        <v>56</v>
      </c>
      <c r="N139">
        <v>70814296</v>
      </c>
    </row>
    <row r="140" spans="1:14" x14ac:dyDescent="0.25">
      <c r="A140">
        <v>57235711</v>
      </c>
      <c r="B140" t="s">
        <v>902</v>
      </c>
      <c r="C140" t="s">
        <v>903</v>
      </c>
      <c r="D140" t="s">
        <v>904</v>
      </c>
      <c r="E140">
        <v>5404141389</v>
      </c>
      <c r="F140" t="s">
        <v>474</v>
      </c>
      <c r="G140" t="s">
        <v>475</v>
      </c>
      <c r="I140" t="s">
        <v>132</v>
      </c>
      <c r="J140" s="13">
        <v>45945</v>
      </c>
      <c r="K140" s="13">
        <v>46023</v>
      </c>
      <c r="L140" t="s">
        <v>454</v>
      </c>
      <c r="M140" t="s">
        <v>419</v>
      </c>
      <c r="N140">
        <v>70814873</v>
      </c>
    </row>
    <row r="141" spans="1:14" x14ac:dyDescent="0.25">
      <c r="A141">
        <v>57236066</v>
      </c>
      <c r="B141" t="s">
        <v>905</v>
      </c>
      <c r="C141" t="s">
        <v>906</v>
      </c>
      <c r="D141" t="s">
        <v>907</v>
      </c>
      <c r="E141">
        <v>9852261387</v>
      </c>
      <c r="F141" t="s">
        <v>569</v>
      </c>
      <c r="G141" t="s">
        <v>570</v>
      </c>
      <c r="I141" t="s">
        <v>34</v>
      </c>
      <c r="J141" s="13">
        <v>45945</v>
      </c>
      <c r="K141" s="13">
        <v>46023</v>
      </c>
      <c r="L141" t="s">
        <v>612</v>
      </c>
      <c r="M141" t="s">
        <v>61</v>
      </c>
      <c r="N141">
        <v>70814991</v>
      </c>
    </row>
    <row r="142" spans="1:14" x14ac:dyDescent="0.25">
      <c r="A142">
        <v>57236112</v>
      </c>
      <c r="B142" t="s">
        <v>908</v>
      </c>
      <c r="C142" t="s">
        <v>909</v>
      </c>
      <c r="D142" t="s">
        <v>910</v>
      </c>
      <c r="E142">
        <v>4722088156</v>
      </c>
      <c r="F142" t="s">
        <v>649</v>
      </c>
      <c r="G142" t="s">
        <v>650</v>
      </c>
      <c r="I142" t="s">
        <v>28</v>
      </c>
      <c r="J142" s="13">
        <v>45945</v>
      </c>
      <c r="K142" s="13">
        <v>46023</v>
      </c>
      <c r="L142" t="s">
        <v>603</v>
      </c>
      <c r="M142" t="s">
        <v>56</v>
      </c>
      <c r="N142">
        <v>70815014</v>
      </c>
    </row>
    <row r="143" spans="1:14" x14ac:dyDescent="0.25">
      <c r="A143">
        <v>57236113</v>
      </c>
      <c r="B143" t="s">
        <v>911</v>
      </c>
      <c r="C143" t="s">
        <v>912</v>
      </c>
      <c r="D143" t="s">
        <v>913</v>
      </c>
      <c r="E143">
        <v>7046586385</v>
      </c>
      <c r="F143" t="s">
        <v>615</v>
      </c>
      <c r="G143" t="s">
        <v>616</v>
      </c>
      <c r="I143" t="s">
        <v>617</v>
      </c>
      <c r="J143" s="13">
        <v>45945</v>
      </c>
      <c r="K143" s="13">
        <v>46023</v>
      </c>
      <c r="L143" t="s">
        <v>603</v>
      </c>
      <c r="M143" t="s">
        <v>59</v>
      </c>
      <c r="N143">
        <v>70815016</v>
      </c>
    </row>
    <row r="144" spans="1:14" x14ac:dyDescent="0.25">
      <c r="A144">
        <v>57236303</v>
      </c>
      <c r="B144" t="s">
        <v>914</v>
      </c>
      <c r="C144" t="s">
        <v>915</v>
      </c>
      <c r="D144" t="s">
        <v>916</v>
      </c>
      <c r="E144">
        <v>2296300625</v>
      </c>
      <c r="F144" t="s">
        <v>842</v>
      </c>
      <c r="G144" t="s">
        <v>843</v>
      </c>
      <c r="I144" t="s">
        <v>98</v>
      </c>
      <c r="J144" s="13">
        <v>45945</v>
      </c>
      <c r="K144" s="13">
        <v>46023</v>
      </c>
      <c r="L144" t="s">
        <v>621</v>
      </c>
      <c r="M144" t="s">
        <v>59</v>
      </c>
      <c r="N144">
        <v>70815136</v>
      </c>
    </row>
    <row r="145" spans="1:14" x14ac:dyDescent="0.25">
      <c r="A145">
        <v>57236385</v>
      </c>
      <c r="B145" t="s">
        <v>445</v>
      </c>
      <c r="C145" t="s">
        <v>917</v>
      </c>
      <c r="D145" t="s">
        <v>918</v>
      </c>
      <c r="E145">
        <v>3184645399</v>
      </c>
      <c r="F145" t="s">
        <v>705</v>
      </c>
      <c r="G145" t="s">
        <v>706</v>
      </c>
      <c r="I145" t="s">
        <v>12</v>
      </c>
      <c r="J145" s="13">
        <v>45945</v>
      </c>
      <c r="K145" s="13">
        <v>46023</v>
      </c>
      <c r="L145" t="s">
        <v>612</v>
      </c>
      <c r="M145" t="s">
        <v>58</v>
      </c>
      <c r="N145">
        <v>70815186</v>
      </c>
    </row>
    <row r="146" spans="1:14" x14ac:dyDescent="0.25">
      <c r="A146">
        <v>57236391</v>
      </c>
      <c r="B146" t="s">
        <v>919</v>
      </c>
      <c r="C146" t="s">
        <v>920</v>
      </c>
      <c r="D146" t="s">
        <v>921</v>
      </c>
      <c r="E146">
        <v>3182724065</v>
      </c>
      <c r="F146" t="s">
        <v>775</v>
      </c>
      <c r="G146" t="s">
        <v>776</v>
      </c>
      <c r="I146" t="s">
        <v>22</v>
      </c>
      <c r="J146" s="13">
        <v>45945</v>
      </c>
      <c r="K146" s="13">
        <v>46023</v>
      </c>
      <c r="L146" t="s">
        <v>612</v>
      </c>
      <c r="M146" t="s">
        <v>58</v>
      </c>
      <c r="N146">
        <v>70815192</v>
      </c>
    </row>
    <row r="147" spans="1:14" x14ac:dyDescent="0.25">
      <c r="A147">
        <v>57236498</v>
      </c>
      <c r="B147" t="s">
        <v>922</v>
      </c>
      <c r="C147" t="s">
        <v>923</v>
      </c>
      <c r="D147" t="s">
        <v>924</v>
      </c>
      <c r="E147">
        <v>3143080715</v>
      </c>
      <c r="F147" t="s">
        <v>574</v>
      </c>
      <c r="G147" t="s">
        <v>575</v>
      </c>
      <c r="I147" t="s">
        <v>14</v>
      </c>
      <c r="J147" s="13">
        <v>45945</v>
      </c>
      <c r="K147" s="13">
        <v>46023</v>
      </c>
      <c r="L147" t="s">
        <v>434</v>
      </c>
      <c r="M147" t="s">
        <v>56</v>
      </c>
      <c r="N147">
        <v>70815293</v>
      </c>
    </row>
    <row r="148" spans="1:14" x14ac:dyDescent="0.25">
      <c r="A148">
        <v>57236511</v>
      </c>
      <c r="B148" t="s">
        <v>925</v>
      </c>
      <c r="C148" t="s">
        <v>926</v>
      </c>
      <c r="D148" t="s">
        <v>927</v>
      </c>
      <c r="E148">
        <v>6605374403</v>
      </c>
      <c r="F148" t="s">
        <v>928</v>
      </c>
      <c r="G148" t="s">
        <v>929</v>
      </c>
      <c r="I148" t="s">
        <v>30</v>
      </c>
      <c r="J148" s="13">
        <v>45945</v>
      </c>
      <c r="K148" s="13">
        <v>46023</v>
      </c>
      <c r="L148" t="s">
        <v>434</v>
      </c>
      <c r="M148" t="s">
        <v>59</v>
      </c>
      <c r="N148">
        <v>70815307</v>
      </c>
    </row>
    <row r="149" spans="1:14" x14ac:dyDescent="0.25">
      <c r="A149">
        <v>57236553</v>
      </c>
      <c r="B149" t="s">
        <v>930</v>
      </c>
      <c r="C149" t="s">
        <v>931</v>
      </c>
      <c r="D149" t="s">
        <v>932</v>
      </c>
      <c r="E149">
        <v>9037486560</v>
      </c>
      <c r="F149" t="s">
        <v>462</v>
      </c>
      <c r="G149" t="s">
        <v>463</v>
      </c>
      <c r="I149" t="s">
        <v>39</v>
      </c>
      <c r="J149" s="13">
        <v>45945</v>
      </c>
      <c r="K149" s="13">
        <v>46023</v>
      </c>
      <c r="L149" t="s">
        <v>553</v>
      </c>
      <c r="M149" t="s">
        <v>56</v>
      </c>
      <c r="N149">
        <v>70815342</v>
      </c>
    </row>
    <row r="150" spans="1:14" x14ac:dyDescent="0.25">
      <c r="A150">
        <v>57236559</v>
      </c>
      <c r="B150" t="s">
        <v>933</v>
      </c>
      <c r="C150" t="s">
        <v>934</v>
      </c>
      <c r="D150" t="s">
        <v>935</v>
      </c>
      <c r="E150">
        <v>8706357400</v>
      </c>
      <c r="F150" t="s">
        <v>870</v>
      </c>
      <c r="G150" t="s">
        <v>871</v>
      </c>
      <c r="I150" t="s">
        <v>872</v>
      </c>
      <c r="J150" s="13">
        <v>45945</v>
      </c>
      <c r="K150" s="13">
        <v>46023</v>
      </c>
      <c r="L150" t="s">
        <v>553</v>
      </c>
      <c r="M150" t="s">
        <v>56</v>
      </c>
      <c r="N150">
        <v>70815353</v>
      </c>
    </row>
    <row r="151" spans="1:14" x14ac:dyDescent="0.25">
      <c r="A151">
        <v>57236655</v>
      </c>
      <c r="B151" t="s">
        <v>936</v>
      </c>
      <c r="C151" t="s">
        <v>937</v>
      </c>
      <c r="D151" t="s">
        <v>938</v>
      </c>
      <c r="E151">
        <v>6604413104</v>
      </c>
      <c r="F151" t="s">
        <v>684</v>
      </c>
      <c r="G151" t="s">
        <v>685</v>
      </c>
      <c r="I151" t="s">
        <v>686</v>
      </c>
      <c r="J151" s="13">
        <v>45945</v>
      </c>
      <c r="K151" s="13">
        <v>46023</v>
      </c>
      <c r="L151" t="s">
        <v>434</v>
      </c>
      <c r="M151" t="s">
        <v>58</v>
      </c>
      <c r="N151">
        <v>70815358</v>
      </c>
    </row>
    <row r="152" spans="1:14" x14ac:dyDescent="0.25">
      <c r="A152">
        <v>57236604</v>
      </c>
      <c r="B152" t="s">
        <v>888</v>
      </c>
      <c r="C152" t="s">
        <v>939</v>
      </c>
      <c r="D152" t="s">
        <v>940</v>
      </c>
      <c r="E152">
        <v>2077131134</v>
      </c>
      <c r="F152" t="s">
        <v>416</v>
      </c>
      <c r="G152" t="s">
        <v>417</v>
      </c>
      <c r="I152" t="s">
        <v>26</v>
      </c>
      <c r="J152" s="13">
        <v>45945</v>
      </c>
      <c r="K152" s="13">
        <v>46023</v>
      </c>
      <c r="L152" t="s">
        <v>941</v>
      </c>
      <c r="M152" t="s">
        <v>58</v>
      </c>
      <c r="N152">
        <v>70815451</v>
      </c>
    </row>
    <row r="153" spans="1:14" x14ac:dyDescent="0.25">
      <c r="A153">
        <v>63603861</v>
      </c>
      <c r="B153" t="s">
        <v>748</v>
      </c>
      <c r="C153" t="s">
        <v>942</v>
      </c>
      <c r="D153" t="s">
        <v>943</v>
      </c>
      <c r="E153">
        <v>8162601848</v>
      </c>
      <c r="F153" t="s">
        <v>474</v>
      </c>
      <c r="G153" t="s">
        <v>475</v>
      </c>
      <c r="I153" t="s">
        <v>132</v>
      </c>
      <c r="J153" s="13">
        <v>46149</v>
      </c>
      <c r="K153" s="13">
        <v>46174</v>
      </c>
      <c r="L153" t="s">
        <v>434</v>
      </c>
      <c r="M153" t="s">
        <v>59</v>
      </c>
      <c r="N153">
        <v>70815492</v>
      </c>
    </row>
    <row r="154" spans="1:14" x14ac:dyDescent="0.25">
      <c r="A154">
        <v>57236702</v>
      </c>
      <c r="B154" t="s">
        <v>718</v>
      </c>
      <c r="C154" t="s">
        <v>944</v>
      </c>
      <c r="D154" t="s">
        <v>945</v>
      </c>
      <c r="E154">
        <v>5043969482</v>
      </c>
      <c r="F154" t="s">
        <v>770</v>
      </c>
      <c r="G154" t="s">
        <v>771</v>
      </c>
      <c r="I154" t="s">
        <v>25</v>
      </c>
      <c r="J154" s="13">
        <v>45945</v>
      </c>
      <c r="K154" s="13">
        <v>46023</v>
      </c>
      <c r="L154" t="s">
        <v>612</v>
      </c>
      <c r="M154" t="s">
        <v>59</v>
      </c>
      <c r="N154">
        <v>70815525</v>
      </c>
    </row>
    <row r="155" spans="1:14" x14ac:dyDescent="0.25">
      <c r="A155">
        <v>57237430</v>
      </c>
      <c r="B155" t="s">
        <v>464</v>
      </c>
      <c r="C155" t="s">
        <v>946</v>
      </c>
      <c r="D155" t="s">
        <v>947</v>
      </c>
      <c r="E155">
        <v>8703514037</v>
      </c>
      <c r="F155" t="s">
        <v>423</v>
      </c>
      <c r="G155" t="s">
        <v>424</v>
      </c>
      <c r="I155" t="s">
        <v>46</v>
      </c>
      <c r="J155" s="13">
        <v>45945</v>
      </c>
      <c r="K155" s="13">
        <v>46023</v>
      </c>
      <c r="L155" t="s">
        <v>553</v>
      </c>
      <c r="M155" t="s">
        <v>56</v>
      </c>
      <c r="N155">
        <v>70815831</v>
      </c>
    </row>
    <row r="156" spans="1:14" x14ac:dyDescent="0.25">
      <c r="A156">
        <v>57237200</v>
      </c>
      <c r="B156" t="s">
        <v>948</v>
      </c>
      <c r="C156" t="s">
        <v>949</v>
      </c>
      <c r="D156" t="s">
        <v>950</v>
      </c>
      <c r="E156">
        <v>8288516252</v>
      </c>
      <c r="F156" t="s">
        <v>766</v>
      </c>
      <c r="G156" t="s">
        <v>767</v>
      </c>
      <c r="I156" t="s">
        <v>88</v>
      </c>
      <c r="J156" s="13">
        <v>45945</v>
      </c>
      <c r="K156" s="13">
        <v>46023</v>
      </c>
      <c r="L156" t="s">
        <v>603</v>
      </c>
      <c r="M156" t="s">
        <v>59</v>
      </c>
      <c r="N156">
        <v>70815918</v>
      </c>
    </row>
    <row r="157" spans="1:14" x14ac:dyDescent="0.25">
      <c r="A157">
        <v>57237303</v>
      </c>
      <c r="B157" t="s">
        <v>951</v>
      </c>
      <c r="C157" t="s">
        <v>952</v>
      </c>
      <c r="D157" t="s">
        <v>953</v>
      </c>
      <c r="E157">
        <v>8592341319</v>
      </c>
      <c r="F157" t="s">
        <v>462</v>
      </c>
      <c r="G157" t="s">
        <v>463</v>
      </c>
      <c r="I157" t="s">
        <v>39</v>
      </c>
      <c r="J157" s="13">
        <v>45945</v>
      </c>
      <c r="K157" s="13">
        <v>46023</v>
      </c>
      <c r="L157" t="s">
        <v>490</v>
      </c>
      <c r="M157" t="s">
        <v>56</v>
      </c>
      <c r="N157">
        <v>70815997</v>
      </c>
    </row>
    <row r="158" spans="1:14" x14ac:dyDescent="0.25">
      <c r="A158">
        <v>57238023</v>
      </c>
      <c r="B158" t="s">
        <v>954</v>
      </c>
      <c r="C158" t="s">
        <v>955</v>
      </c>
      <c r="D158" t="s">
        <v>956</v>
      </c>
      <c r="E158">
        <v>8048420496</v>
      </c>
      <c r="F158" t="s">
        <v>957</v>
      </c>
      <c r="G158" t="s">
        <v>958</v>
      </c>
      <c r="H158" t="s">
        <v>959</v>
      </c>
      <c r="I158" t="s">
        <v>960</v>
      </c>
      <c r="J158" s="13">
        <v>45945</v>
      </c>
      <c r="K158" s="13">
        <v>46023</v>
      </c>
      <c r="L158" t="s">
        <v>454</v>
      </c>
      <c r="M158" t="s">
        <v>58</v>
      </c>
      <c r="N158">
        <v>70816028</v>
      </c>
    </row>
    <row r="159" spans="1:14" x14ac:dyDescent="0.25">
      <c r="A159">
        <v>57237424</v>
      </c>
      <c r="B159" t="s">
        <v>961</v>
      </c>
      <c r="C159" t="s">
        <v>515</v>
      </c>
      <c r="D159" t="s">
        <v>962</v>
      </c>
      <c r="E159">
        <v>7432145998</v>
      </c>
      <c r="F159" t="s">
        <v>474</v>
      </c>
      <c r="G159" t="s">
        <v>475</v>
      </c>
      <c r="I159" t="s">
        <v>132</v>
      </c>
      <c r="J159" s="13">
        <v>45945</v>
      </c>
      <c r="K159" s="13">
        <v>46023</v>
      </c>
      <c r="L159" t="s">
        <v>603</v>
      </c>
      <c r="M159" t="s">
        <v>59</v>
      </c>
      <c r="N159">
        <v>70816082</v>
      </c>
    </row>
    <row r="160" spans="1:14" x14ac:dyDescent="0.25">
      <c r="A160">
        <v>57237595</v>
      </c>
      <c r="B160" t="s">
        <v>963</v>
      </c>
      <c r="C160" t="s">
        <v>964</v>
      </c>
      <c r="D160" t="s">
        <v>965</v>
      </c>
      <c r="E160">
        <v>3183216675</v>
      </c>
      <c r="F160" t="s">
        <v>569</v>
      </c>
      <c r="G160" t="s">
        <v>570</v>
      </c>
      <c r="I160" t="s">
        <v>34</v>
      </c>
      <c r="J160" s="13">
        <v>45945</v>
      </c>
      <c r="K160" s="13">
        <v>46023</v>
      </c>
      <c r="L160" t="s">
        <v>612</v>
      </c>
      <c r="M160" t="s">
        <v>60</v>
      </c>
      <c r="N160">
        <v>70816163</v>
      </c>
    </row>
    <row r="161" spans="1:14" x14ac:dyDescent="0.25">
      <c r="A161">
        <v>58636278</v>
      </c>
      <c r="B161" t="s">
        <v>966</v>
      </c>
      <c r="C161" t="s">
        <v>967</v>
      </c>
      <c r="D161" t="s">
        <v>968</v>
      </c>
      <c r="E161">
        <v>6292856388</v>
      </c>
      <c r="F161" t="s">
        <v>928</v>
      </c>
      <c r="G161" t="s">
        <v>929</v>
      </c>
      <c r="I161" t="s">
        <v>30</v>
      </c>
      <c r="J161" s="13">
        <v>45994</v>
      </c>
      <c r="K161" s="13">
        <v>46023</v>
      </c>
      <c r="L161" t="s">
        <v>479</v>
      </c>
      <c r="M161" t="s">
        <v>419</v>
      </c>
      <c r="N161">
        <v>70816223</v>
      </c>
    </row>
    <row r="162" spans="1:14" x14ac:dyDescent="0.25">
      <c r="A162">
        <v>57238754</v>
      </c>
      <c r="B162" t="s">
        <v>969</v>
      </c>
      <c r="C162" t="s">
        <v>970</v>
      </c>
      <c r="D162" t="s">
        <v>971</v>
      </c>
      <c r="E162">
        <v>7865695588</v>
      </c>
      <c r="F162" t="s">
        <v>684</v>
      </c>
      <c r="G162" t="s">
        <v>685</v>
      </c>
      <c r="I162" t="s">
        <v>686</v>
      </c>
      <c r="J162" s="13">
        <v>45945</v>
      </c>
      <c r="K162" s="13">
        <v>46023</v>
      </c>
      <c r="L162" t="s">
        <v>621</v>
      </c>
      <c r="M162" t="s">
        <v>58</v>
      </c>
      <c r="N162">
        <v>70816314</v>
      </c>
    </row>
    <row r="163" spans="1:14" x14ac:dyDescent="0.25">
      <c r="A163">
        <v>57697141</v>
      </c>
      <c r="B163" t="s">
        <v>972</v>
      </c>
      <c r="C163" t="s">
        <v>973</v>
      </c>
      <c r="D163" t="s">
        <v>974</v>
      </c>
      <c r="E163">
        <v>4044946164</v>
      </c>
      <c r="F163" t="s">
        <v>842</v>
      </c>
      <c r="G163" t="s">
        <v>843</v>
      </c>
      <c r="I163" t="s">
        <v>98</v>
      </c>
      <c r="J163" s="13">
        <v>45960</v>
      </c>
      <c r="K163" s="13">
        <v>46023</v>
      </c>
      <c r="L163" t="s">
        <v>621</v>
      </c>
      <c r="M163" t="s">
        <v>59</v>
      </c>
      <c r="N163">
        <v>70816328</v>
      </c>
    </row>
    <row r="164" spans="1:14" x14ac:dyDescent="0.25">
      <c r="A164">
        <v>57237969</v>
      </c>
      <c r="B164" t="s">
        <v>975</v>
      </c>
      <c r="C164" t="s">
        <v>976</v>
      </c>
      <c r="D164" t="s">
        <v>977</v>
      </c>
      <c r="E164">
        <v>4043450957</v>
      </c>
      <c r="F164" t="s">
        <v>928</v>
      </c>
      <c r="G164" t="s">
        <v>929</v>
      </c>
      <c r="I164" t="s">
        <v>30</v>
      </c>
      <c r="J164" s="13">
        <v>45945</v>
      </c>
      <c r="K164" s="13">
        <v>46023</v>
      </c>
      <c r="L164" t="s">
        <v>621</v>
      </c>
      <c r="M164" t="s">
        <v>59</v>
      </c>
      <c r="N164">
        <v>70816444</v>
      </c>
    </row>
    <row r="165" spans="1:14" x14ac:dyDescent="0.25">
      <c r="A165">
        <v>57237980</v>
      </c>
      <c r="B165" t="s">
        <v>597</v>
      </c>
      <c r="C165" t="s">
        <v>978</v>
      </c>
      <c r="D165" t="s">
        <v>979</v>
      </c>
      <c r="E165">
        <v>8284030893</v>
      </c>
      <c r="F165" t="s">
        <v>649</v>
      </c>
      <c r="G165" t="s">
        <v>650</v>
      </c>
      <c r="I165" t="s">
        <v>28</v>
      </c>
      <c r="J165" s="13">
        <v>45945</v>
      </c>
      <c r="K165" s="13">
        <v>46023</v>
      </c>
      <c r="L165" t="s">
        <v>603</v>
      </c>
      <c r="M165" t="s">
        <v>56</v>
      </c>
      <c r="N165">
        <v>70816452</v>
      </c>
    </row>
    <row r="166" spans="1:14" x14ac:dyDescent="0.25">
      <c r="A166">
        <v>57238434</v>
      </c>
      <c r="B166" t="s">
        <v>980</v>
      </c>
      <c r="C166" t="s">
        <v>981</v>
      </c>
      <c r="D166" t="s">
        <v>982</v>
      </c>
      <c r="E166">
        <v>3528174687</v>
      </c>
      <c r="F166" t="s">
        <v>667</v>
      </c>
      <c r="G166" t="s">
        <v>668</v>
      </c>
      <c r="I166" t="s">
        <v>37</v>
      </c>
      <c r="J166" s="13">
        <v>45945</v>
      </c>
      <c r="K166" s="13">
        <v>46023</v>
      </c>
      <c r="L166" t="s">
        <v>497</v>
      </c>
      <c r="M166" t="s">
        <v>59</v>
      </c>
      <c r="N166">
        <v>70816773</v>
      </c>
    </row>
    <row r="167" spans="1:14" x14ac:dyDescent="0.25">
      <c r="A167">
        <v>57238481</v>
      </c>
      <c r="B167" t="s">
        <v>983</v>
      </c>
      <c r="C167" t="s">
        <v>984</v>
      </c>
      <c r="D167" t="s">
        <v>985</v>
      </c>
      <c r="E167" t="s">
        <v>986</v>
      </c>
      <c r="F167" t="s">
        <v>574</v>
      </c>
      <c r="G167" t="s">
        <v>575</v>
      </c>
      <c r="I167" t="s">
        <v>14</v>
      </c>
      <c r="J167" s="13">
        <v>45945</v>
      </c>
      <c r="K167" s="13">
        <v>46023</v>
      </c>
      <c r="L167" t="s">
        <v>444</v>
      </c>
      <c r="M167" t="s">
        <v>55</v>
      </c>
      <c r="N167">
        <v>70816809</v>
      </c>
    </row>
    <row r="168" spans="1:14" x14ac:dyDescent="0.25">
      <c r="A168">
        <v>57238492</v>
      </c>
      <c r="B168" t="s">
        <v>987</v>
      </c>
      <c r="C168" t="s">
        <v>988</v>
      </c>
      <c r="D168" t="s">
        <v>989</v>
      </c>
      <c r="E168">
        <v>6186891753</v>
      </c>
      <c r="F168" t="s">
        <v>615</v>
      </c>
      <c r="G168" t="s">
        <v>616</v>
      </c>
      <c r="I168" t="s">
        <v>617</v>
      </c>
      <c r="J168" s="13">
        <v>45945</v>
      </c>
      <c r="K168" s="13">
        <v>46023</v>
      </c>
      <c r="L168" t="s">
        <v>470</v>
      </c>
      <c r="M168" t="s">
        <v>60</v>
      </c>
      <c r="N168">
        <v>70816818</v>
      </c>
    </row>
    <row r="169" spans="1:14" x14ac:dyDescent="0.25">
      <c r="A169">
        <v>57238548</v>
      </c>
      <c r="B169" t="s">
        <v>990</v>
      </c>
      <c r="C169" t="s">
        <v>991</v>
      </c>
      <c r="D169" t="s">
        <v>992</v>
      </c>
      <c r="E169">
        <v>5404604876</v>
      </c>
      <c r="F169" t="s">
        <v>993</v>
      </c>
      <c r="G169" t="s">
        <v>994</v>
      </c>
      <c r="I169" t="s">
        <v>995</v>
      </c>
      <c r="J169" s="13">
        <v>45945</v>
      </c>
      <c r="K169" s="13">
        <v>46023</v>
      </c>
      <c r="L169" t="s">
        <v>479</v>
      </c>
      <c r="M169" t="s">
        <v>58</v>
      </c>
      <c r="N169">
        <v>70816857</v>
      </c>
    </row>
    <row r="170" spans="1:14" x14ac:dyDescent="0.25">
      <c r="A170">
        <v>57238586</v>
      </c>
      <c r="B170" t="s">
        <v>651</v>
      </c>
      <c r="C170" t="s">
        <v>996</v>
      </c>
      <c r="D170" t="s">
        <v>997</v>
      </c>
      <c r="E170">
        <v>2565720409</v>
      </c>
      <c r="F170" t="s">
        <v>705</v>
      </c>
      <c r="G170" t="s">
        <v>706</v>
      </c>
      <c r="I170" t="s">
        <v>12</v>
      </c>
      <c r="J170" s="13">
        <v>45945</v>
      </c>
      <c r="K170" s="13">
        <v>46023</v>
      </c>
      <c r="L170" t="s">
        <v>450</v>
      </c>
      <c r="M170" t="s">
        <v>59</v>
      </c>
      <c r="N170">
        <v>70816883</v>
      </c>
    </row>
    <row r="171" spans="1:14" x14ac:dyDescent="0.25">
      <c r="A171">
        <v>57238932</v>
      </c>
      <c r="B171" t="s">
        <v>998</v>
      </c>
      <c r="C171" t="s">
        <v>999</v>
      </c>
      <c r="D171" t="s">
        <v>1000</v>
      </c>
      <c r="E171">
        <v>2073856058</v>
      </c>
      <c r="F171" t="s">
        <v>569</v>
      </c>
      <c r="G171" t="s">
        <v>570</v>
      </c>
      <c r="I171" t="s">
        <v>34</v>
      </c>
      <c r="J171" s="13">
        <v>45945</v>
      </c>
      <c r="K171" s="13">
        <v>46023</v>
      </c>
      <c r="L171" t="s">
        <v>941</v>
      </c>
      <c r="M171" t="s">
        <v>61</v>
      </c>
      <c r="N171">
        <v>70817124</v>
      </c>
    </row>
    <row r="172" spans="1:14" x14ac:dyDescent="0.25">
      <c r="A172">
        <v>57239422</v>
      </c>
      <c r="B172" t="s">
        <v>867</v>
      </c>
      <c r="C172" t="s">
        <v>1001</v>
      </c>
      <c r="D172" t="s">
        <v>1002</v>
      </c>
      <c r="E172">
        <v>3866007264</v>
      </c>
      <c r="F172" t="s">
        <v>1003</v>
      </c>
      <c r="G172" t="s">
        <v>1004</v>
      </c>
      <c r="I172" t="s">
        <v>89</v>
      </c>
      <c r="J172" s="13">
        <v>45945</v>
      </c>
      <c r="K172" s="13">
        <v>46023</v>
      </c>
      <c r="L172" t="s">
        <v>497</v>
      </c>
      <c r="M172" t="s">
        <v>58</v>
      </c>
      <c r="N172">
        <v>70818428</v>
      </c>
    </row>
    <row r="173" spans="1:14" x14ac:dyDescent="0.25">
      <c r="A173">
        <v>57239236</v>
      </c>
      <c r="B173" t="s">
        <v>702</v>
      </c>
      <c r="C173" t="s">
        <v>1005</v>
      </c>
      <c r="D173" t="s">
        <v>1006</v>
      </c>
      <c r="E173">
        <v>8507603742</v>
      </c>
      <c r="F173" t="s">
        <v>780</v>
      </c>
      <c r="G173" t="s">
        <v>781</v>
      </c>
      <c r="I173" t="s">
        <v>20</v>
      </c>
      <c r="J173" s="13">
        <v>45945</v>
      </c>
      <c r="K173" s="13">
        <v>46023</v>
      </c>
      <c r="L173" t="s">
        <v>497</v>
      </c>
      <c r="M173" t="s">
        <v>56</v>
      </c>
      <c r="N173">
        <v>70818942</v>
      </c>
    </row>
    <row r="174" spans="1:14" x14ac:dyDescent="0.25">
      <c r="A174">
        <v>57239696</v>
      </c>
      <c r="B174" t="s">
        <v>1007</v>
      </c>
      <c r="C174" t="s">
        <v>1008</v>
      </c>
      <c r="D174" t="s">
        <v>1009</v>
      </c>
      <c r="E174">
        <v>7205488684</v>
      </c>
      <c r="F174" t="s">
        <v>705</v>
      </c>
      <c r="G174" t="s">
        <v>706</v>
      </c>
      <c r="I174" t="s">
        <v>12</v>
      </c>
      <c r="J174" s="13">
        <v>45945</v>
      </c>
      <c r="K174" s="13">
        <v>46023</v>
      </c>
      <c r="L174" t="s">
        <v>539</v>
      </c>
      <c r="M174" t="s">
        <v>59</v>
      </c>
      <c r="N174">
        <v>70824770</v>
      </c>
    </row>
    <row r="175" spans="1:14" x14ac:dyDescent="0.25">
      <c r="A175">
        <v>57239757</v>
      </c>
      <c r="B175" t="s">
        <v>1010</v>
      </c>
      <c r="C175" t="s">
        <v>1011</v>
      </c>
      <c r="D175" t="s">
        <v>1012</v>
      </c>
      <c r="E175">
        <v>2167985409</v>
      </c>
      <c r="F175" t="s">
        <v>1013</v>
      </c>
      <c r="G175" t="s">
        <v>1014</v>
      </c>
      <c r="I175" t="s">
        <v>43</v>
      </c>
      <c r="J175" s="13">
        <v>45945</v>
      </c>
      <c r="K175" s="13">
        <v>46023</v>
      </c>
      <c r="L175" t="s">
        <v>418</v>
      </c>
      <c r="M175" t="s">
        <v>58</v>
      </c>
      <c r="N175">
        <v>70825573</v>
      </c>
    </row>
    <row r="176" spans="1:14" x14ac:dyDescent="0.25">
      <c r="A176">
        <v>57239855</v>
      </c>
      <c r="B176" t="s">
        <v>1015</v>
      </c>
      <c r="C176" t="s">
        <v>1016</v>
      </c>
      <c r="D176" t="s">
        <v>1017</v>
      </c>
      <c r="E176">
        <v>2254591158</v>
      </c>
      <c r="F176" t="s">
        <v>537</v>
      </c>
      <c r="G176" t="s">
        <v>538</v>
      </c>
      <c r="I176" t="s">
        <v>49</v>
      </c>
      <c r="J176" s="13">
        <v>45945</v>
      </c>
      <c r="K176" s="13">
        <v>46023</v>
      </c>
      <c r="L176" t="s">
        <v>612</v>
      </c>
      <c r="M176" t="s">
        <v>58</v>
      </c>
      <c r="N176">
        <v>70826421</v>
      </c>
    </row>
    <row r="177" spans="1:14" x14ac:dyDescent="0.25">
      <c r="A177">
        <v>58373877</v>
      </c>
      <c r="B177" t="s">
        <v>420</v>
      </c>
      <c r="C177" t="s">
        <v>1018</v>
      </c>
      <c r="D177" t="s">
        <v>1019</v>
      </c>
      <c r="E177" t="s">
        <v>1020</v>
      </c>
      <c r="F177" t="s">
        <v>649</v>
      </c>
      <c r="G177" t="s">
        <v>650</v>
      </c>
      <c r="I177" t="s">
        <v>28</v>
      </c>
      <c r="J177" s="13">
        <v>45985</v>
      </c>
      <c r="K177" s="13">
        <v>46023</v>
      </c>
      <c r="L177" t="s">
        <v>444</v>
      </c>
      <c r="M177" t="s">
        <v>56</v>
      </c>
      <c r="N177">
        <v>70826427</v>
      </c>
    </row>
    <row r="178" spans="1:14" x14ac:dyDescent="0.25">
      <c r="A178">
        <v>57239961</v>
      </c>
      <c r="B178" t="s">
        <v>1021</v>
      </c>
      <c r="C178" t="s">
        <v>1022</v>
      </c>
      <c r="D178" t="s">
        <v>1023</v>
      </c>
      <c r="E178">
        <v>7207075042</v>
      </c>
      <c r="F178" t="s">
        <v>684</v>
      </c>
      <c r="G178" t="s">
        <v>685</v>
      </c>
      <c r="I178" t="s">
        <v>686</v>
      </c>
      <c r="J178" s="13">
        <v>45945</v>
      </c>
      <c r="K178" s="13">
        <v>46023</v>
      </c>
      <c r="L178" t="s">
        <v>539</v>
      </c>
      <c r="M178" t="s">
        <v>59</v>
      </c>
      <c r="N178">
        <v>70827009</v>
      </c>
    </row>
    <row r="179" spans="1:14" x14ac:dyDescent="0.25">
      <c r="A179">
        <v>57239944</v>
      </c>
      <c r="B179" t="s">
        <v>1024</v>
      </c>
      <c r="C179" t="s">
        <v>1025</v>
      </c>
      <c r="D179" t="s">
        <v>1026</v>
      </c>
      <c r="E179">
        <v>5623778169</v>
      </c>
      <c r="F179" t="s">
        <v>574</v>
      </c>
      <c r="G179" t="s">
        <v>575</v>
      </c>
      <c r="I179" t="s">
        <v>14</v>
      </c>
      <c r="J179" s="13">
        <v>45945</v>
      </c>
      <c r="K179" s="13">
        <v>46023</v>
      </c>
      <c r="L179" t="s">
        <v>612</v>
      </c>
      <c r="M179" t="s">
        <v>56</v>
      </c>
      <c r="N179">
        <v>70827254</v>
      </c>
    </row>
    <row r="180" spans="1:14" x14ac:dyDescent="0.25">
      <c r="A180">
        <v>57240035</v>
      </c>
      <c r="B180" t="s">
        <v>702</v>
      </c>
      <c r="C180" t="s">
        <v>1027</v>
      </c>
      <c r="D180" t="s">
        <v>1028</v>
      </c>
      <c r="E180">
        <v>5704049141</v>
      </c>
      <c r="F180" t="s">
        <v>615</v>
      </c>
      <c r="G180" t="s">
        <v>616</v>
      </c>
      <c r="I180" t="s">
        <v>617</v>
      </c>
      <c r="J180" s="13">
        <v>45945</v>
      </c>
      <c r="K180" s="13">
        <v>46023</v>
      </c>
      <c r="L180" t="s">
        <v>497</v>
      </c>
      <c r="M180" t="s">
        <v>55</v>
      </c>
      <c r="N180">
        <v>70827557</v>
      </c>
    </row>
    <row r="181" spans="1:14" x14ac:dyDescent="0.25">
      <c r="A181">
        <v>57240116</v>
      </c>
      <c r="B181" t="s">
        <v>1029</v>
      </c>
      <c r="C181" t="s">
        <v>1030</v>
      </c>
      <c r="D181" t="s">
        <v>1031</v>
      </c>
      <c r="E181">
        <v>6063961232</v>
      </c>
      <c r="F181" t="s">
        <v>821</v>
      </c>
      <c r="G181" t="s">
        <v>822</v>
      </c>
      <c r="I181" t="s">
        <v>823</v>
      </c>
      <c r="J181" s="13">
        <v>45945</v>
      </c>
      <c r="K181" s="13">
        <v>46023</v>
      </c>
      <c r="L181" t="s">
        <v>490</v>
      </c>
      <c r="M181" t="s">
        <v>56</v>
      </c>
      <c r="N181">
        <v>70827609</v>
      </c>
    </row>
    <row r="182" spans="1:14" x14ac:dyDescent="0.25">
      <c r="A182">
        <v>57242859</v>
      </c>
      <c r="B182" t="s">
        <v>1032</v>
      </c>
      <c r="C182" t="s">
        <v>1033</v>
      </c>
      <c r="D182" t="s">
        <v>1034</v>
      </c>
      <c r="E182">
        <v>7576669920</v>
      </c>
      <c r="F182" t="s">
        <v>957</v>
      </c>
      <c r="G182" t="s">
        <v>958</v>
      </c>
      <c r="H182" t="s">
        <v>959</v>
      </c>
      <c r="I182" t="s">
        <v>960</v>
      </c>
      <c r="J182" s="13">
        <v>45945</v>
      </c>
      <c r="K182" s="13">
        <v>46023</v>
      </c>
      <c r="L182" t="s">
        <v>454</v>
      </c>
      <c r="M182" t="s">
        <v>58</v>
      </c>
      <c r="N182">
        <v>70827640</v>
      </c>
    </row>
    <row r="183" spans="1:14" x14ac:dyDescent="0.25">
      <c r="A183">
        <v>57240462</v>
      </c>
      <c r="B183" t="s">
        <v>1035</v>
      </c>
      <c r="C183" t="s">
        <v>1036</v>
      </c>
      <c r="D183" t="s">
        <v>1037</v>
      </c>
      <c r="E183">
        <v>7132313597</v>
      </c>
      <c r="F183" t="s">
        <v>693</v>
      </c>
      <c r="G183" t="s">
        <v>694</v>
      </c>
      <c r="I183" t="s">
        <v>103</v>
      </c>
      <c r="J183" s="13">
        <v>45945</v>
      </c>
      <c r="K183" s="13">
        <v>46023</v>
      </c>
      <c r="L183" t="s">
        <v>444</v>
      </c>
      <c r="M183" t="s">
        <v>59</v>
      </c>
      <c r="N183">
        <v>70827795</v>
      </c>
    </row>
    <row r="184" spans="1:14" x14ac:dyDescent="0.25">
      <c r="A184">
        <v>57241024</v>
      </c>
      <c r="B184" t="s">
        <v>1038</v>
      </c>
      <c r="C184" t="s">
        <v>1039</v>
      </c>
      <c r="D184" t="s">
        <v>1040</v>
      </c>
      <c r="E184">
        <v>7709129170</v>
      </c>
      <c r="F184" t="s">
        <v>551</v>
      </c>
      <c r="G184" t="s">
        <v>552</v>
      </c>
      <c r="I184" t="s">
        <v>42</v>
      </c>
      <c r="J184" s="13">
        <v>45945</v>
      </c>
      <c r="K184" s="13">
        <v>46023</v>
      </c>
      <c r="L184" t="s">
        <v>621</v>
      </c>
      <c r="M184" t="s">
        <v>58</v>
      </c>
      <c r="N184">
        <v>70828149</v>
      </c>
    </row>
    <row r="185" spans="1:14" x14ac:dyDescent="0.25">
      <c r="A185">
        <v>57241043</v>
      </c>
      <c r="B185" t="s">
        <v>1041</v>
      </c>
      <c r="C185" t="s">
        <v>1042</v>
      </c>
      <c r="D185" t="s">
        <v>1043</v>
      </c>
      <c r="E185">
        <v>8168077145</v>
      </c>
      <c r="F185" t="s">
        <v>615</v>
      </c>
      <c r="G185" t="s">
        <v>616</v>
      </c>
      <c r="I185" t="s">
        <v>617</v>
      </c>
      <c r="J185" s="13">
        <v>45945</v>
      </c>
      <c r="K185" s="13">
        <v>46023</v>
      </c>
      <c r="L185" t="s">
        <v>434</v>
      </c>
      <c r="M185" t="s">
        <v>56</v>
      </c>
      <c r="N185">
        <v>70828246</v>
      </c>
    </row>
    <row r="186" spans="1:14" x14ac:dyDescent="0.25">
      <c r="A186">
        <v>57241061</v>
      </c>
      <c r="B186" t="s">
        <v>1044</v>
      </c>
      <c r="C186" t="s">
        <v>1045</v>
      </c>
      <c r="D186" t="s">
        <v>1046</v>
      </c>
      <c r="E186">
        <v>7066918056</v>
      </c>
      <c r="F186" t="s">
        <v>474</v>
      </c>
      <c r="G186" t="s">
        <v>475</v>
      </c>
      <c r="I186" t="s">
        <v>132</v>
      </c>
      <c r="J186" s="13">
        <v>45945</v>
      </c>
      <c r="K186" s="13">
        <v>46023</v>
      </c>
      <c r="L186" t="s">
        <v>533</v>
      </c>
      <c r="M186" t="s">
        <v>56</v>
      </c>
      <c r="N186">
        <v>70828259</v>
      </c>
    </row>
    <row r="187" spans="1:14" x14ac:dyDescent="0.25">
      <c r="A187">
        <v>57241154</v>
      </c>
      <c r="B187" t="s">
        <v>1047</v>
      </c>
      <c r="C187" t="s">
        <v>1048</v>
      </c>
      <c r="D187" t="s">
        <v>1049</v>
      </c>
      <c r="E187">
        <v>9804068154</v>
      </c>
      <c r="F187" t="s">
        <v>667</v>
      </c>
      <c r="G187" t="s">
        <v>668</v>
      </c>
      <c r="I187" t="s">
        <v>37</v>
      </c>
      <c r="J187" s="13">
        <v>45945</v>
      </c>
      <c r="K187" s="13">
        <v>46023</v>
      </c>
      <c r="L187" t="s">
        <v>603</v>
      </c>
      <c r="M187" t="s">
        <v>59</v>
      </c>
      <c r="N187">
        <v>70828317</v>
      </c>
    </row>
    <row r="188" spans="1:14" x14ac:dyDescent="0.25">
      <c r="A188">
        <v>57241213</v>
      </c>
      <c r="B188" t="s">
        <v>1038</v>
      </c>
      <c r="C188" t="s">
        <v>1050</v>
      </c>
      <c r="D188" t="s">
        <v>1051</v>
      </c>
      <c r="E188">
        <v>4173169076</v>
      </c>
      <c r="F188" t="s">
        <v>448</v>
      </c>
      <c r="G188" t="s">
        <v>449</v>
      </c>
      <c r="I188" t="s">
        <v>31</v>
      </c>
      <c r="J188" s="13">
        <v>45945</v>
      </c>
      <c r="K188" s="13">
        <v>46023</v>
      </c>
      <c r="L188" t="s">
        <v>434</v>
      </c>
      <c r="M188" t="s">
        <v>59</v>
      </c>
      <c r="N188">
        <v>70828339</v>
      </c>
    </row>
    <row r="189" spans="1:14" x14ac:dyDescent="0.25">
      <c r="A189">
        <v>57244516</v>
      </c>
      <c r="B189" t="s">
        <v>1052</v>
      </c>
      <c r="C189" t="s">
        <v>1053</v>
      </c>
      <c r="D189" t="s">
        <v>1054</v>
      </c>
      <c r="E189" t="s">
        <v>1055</v>
      </c>
      <c r="F189" t="s">
        <v>790</v>
      </c>
      <c r="G189" t="s">
        <v>791</v>
      </c>
      <c r="I189" t="s">
        <v>119</v>
      </c>
      <c r="J189" s="13">
        <v>45945</v>
      </c>
      <c r="K189" s="13">
        <v>46023</v>
      </c>
      <c r="L189" t="s">
        <v>450</v>
      </c>
      <c r="M189" t="s">
        <v>59</v>
      </c>
      <c r="N189">
        <v>70828370</v>
      </c>
    </row>
    <row r="190" spans="1:14" x14ac:dyDescent="0.25">
      <c r="A190">
        <v>57241455</v>
      </c>
      <c r="B190" t="s">
        <v>1056</v>
      </c>
      <c r="C190" t="s">
        <v>1057</v>
      </c>
      <c r="D190" t="s">
        <v>1058</v>
      </c>
      <c r="E190">
        <v>2164343321</v>
      </c>
      <c r="F190" t="s">
        <v>928</v>
      </c>
      <c r="G190" t="s">
        <v>929</v>
      </c>
      <c r="I190" t="s">
        <v>30</v>
      </c>
      <c r="J190" s="13">
        <v>45945</v>
      </c>
      <c r="K190" s="13">
        <v>46023</v>
      </c>
      <c r="L190" t="s">
        <v>418</v>
      </c>
      <c r="M190" t="s">
        <v>59</v>
      </c>
      <c r="N190">
        <v>70828514</v>
      </c>
    </row>
    <row r="191" spans="1:14" x14ac:dyDescent="0.25">
      <c r="A191">
        <v>57241529</v>
      </c>
      <c r="B191" t="s">
        <v>1059</v>
      </c>
      <c r="C191" t="s">
        <v>643</v>
      </c>
      <c r="D191" t="s">
        <v>1060</v>
      </c>
      <c r="E191">
        <v>7065738443</v>
      </c>
      <c r="F191" t="s">
        <v>684</v>
      </c>
      <c r="G191" t="s">
        <v>685</v>
      </c>
      <c r="I191" t="s">
        <v>686</v>
      </c>
      <c r="J191" s="13">
        <v>45945</v>
      </c>
      <c r="K191" s="13">
        <v>46023</v>
      </c>
      <c r="L191" t="s">
        <v>621</v>
      </c>
      <c r="M191" t="s">
        <v>58</v>
      </c>
      <c r="N191">
        <v>70828528</v>
      </c>
    </row>
    <row r="192" spans="1:14" x14ac:dyDescent="0.25">
      <c r="A192">
        <v>57714479</v>
      </c>
      <c r="B192" t="s">
        <v>1061</v>
      </c>
      <c r="C192" t="s">
        <v>1062</v>
      </c>
      <c r="D192" t="s">
        <v>1063</v>
      </c>
      <c r="E192">
        <v>7063306796</v>
      </c>
      <c r="F192" t="s">
        <v>578</v>
      </c>
      <c r="G192" t="s">
        <v>579</v>
      </c>
      <c r="I192" t="s">
        <v>15</v>
      </c>
      <c r="J192" s="13">
        <v>45961</v>
      </c>
      <c r="K192" s="13">
        <v>46023</v>
      </c>
      <c r="L192" t="s">
        <v>621</v>
      </c>
      <c r="M192" t="s">
        <v>59</v>
      </c>
      <c r="N192">
        <v>70828554</v>
      </c>
    </row>
    <row r="193" spans="1:14" x14ac:dyDescent="0.25">
      <c r="A193">
        <v>57241584</v>
      </c>
      <c r="B193" t="s">
        <v>1064</v>
      </c>
      <c r="C193" t="s">
        <v>1065</v>
      </c>
      <c r="D193" t="s">
        <v>1066</v>
      </c>
      <c r="E193">
        <v>7147157581</v>
      </c>
      <c r="F193" t="s">
        <v>1067</v>
      </c>
      <c r="G193" t="s">
        <v>1068</v>
      </c>
      <c r="I193" t="s">
        <v>35</v>
      </c>
      <c r="J193" s="13">
        <v>45945</v>
      </c>
      <c r="K193" s="13">
        <v>46023</v>
      </c>
      <c r="L193" t="s">
        <v>603</v>
      </c>
      <c r="M193" t="s">
        <v>58</v>
      </c>
      <c r="N193">
        <v>70828611</v>
      </c>
    </row>
    <row r="194" spans="1:14" x14ac:dyDescent="0.25">
      <c r="A194">
        <v>57241629</v>
      </c>
      <c r="B194" t="s">
        <v>1069</v>
      </c>
      <c r="C194" t="s">
        <v>1070</v>
      </c>
      <c r="D194" t="s">
        <v>1071</v>
      </c>
      <c r="E194">
        <v>3374242553</v>
      </c>
      <c r="F194" t="s">
        <v>770</v>
      </c>
      <c r="G194" t="s">
        <v>771</v>
      </c>
      <c r="I194" t="s">
        <v>25</v>
      </c>
      <c r="J194" s="13">
        <v>45945</v>
      </c>
      <c r="K194" s="13">
        <v>46023</v>
      </c>
      <c r="L194" t="s">
        <v>612</v>
      </c>
      <c r="M194" t="s">
        <v>56</v>
      </c>
      <c r="N194">
        <v>70828627</v>
      </c>
    </row>
    <row r="195" spans="1:14" x14ac:dyDescent="0.25">
      <c r="A195">
        <v>57241740</v>
      </c>
      <c r="B195" t="s">
        <v>1072</v>
      </c>
      <c r="C195" t="s">
        <v>1073</v>
      </c>
      <c r="D195" t="s">
        <v>1074</v>
      </c>
      <c r="E195">
        <v>8643212690</v>
      </c>
      <c r="F195" t="s">
        <v>807</v>
      </c>
      <c r="G195" t="s">
        <v>808</v>
      </c>
      <c r="I195" t="s">
        <v>33</v>
      </c>
      <c r="J195" s="13">
        <v>45945</v>
      </c>
      <c r="K195" s="13">
        <v>46023</v>
      </c>
      <c r="L195" t="s">
        <v>533</v>
      </c>
      <c r="M195" t="s">
        <v>56</v>
      </c>
      <c r="N195">
        <v>70828688</v>
      </c>
    </row>
    <row r="196" spans="1:14" x14ac:dyDescent="0.25">
      <c r="A196">
        <v>57241908</v>
      </c>
      <c r="B196" t="s">
        <v>1075</v>
      </c>
      <c r="C196" t="s">
        <v>1076</v>
      </c>
      <c r="D196" t="s">
        <v>1077</v>
      </c>
      <c r="E196">
        <v>2076151620</v>
      </c>
      <c r="F196" t="s">
        <v>574</v>
      </c>
      <c r="G196" t="s">
        <v>575</v>
      </c>
      <c r="I196" t="s">
        <v>14</v>
      </c>
      <c r="J196" s="13">
        <v>45945</v>
      </c>
      <c r="K196" s="13">
        <v>46023</v>
      </c>
      <c r="L196" t="s">
        <v>941</v>
      </c>
      <c r="M196" t="s">
        <v>56</v>
      </c>
      <c r="N196">
        <v>70828784</v>
      </c>
    </row>
    <row r="197" spans="1:14" x14ac:dyDescent="0.25">
      <c r="A197">
        <v>57241946</v>
      </c>
      <c r="B197" t="s">
        <v>980</v>
      </c>
      <c r="C197" t="s">
        <v>1078</v>
      </c>
      <c r="D197" t="s">
        <v>1079</v>
      </c>
      <c r="E197">
        <v>4697507680</v>
      </c>
      <c r="F197" t="s">
        <v>649</v>
      </c>
      <c r="G197" t="s">
        <v>650</v>
      </c>
      <c r="I197" t="s">
        <v>28</v>
      </c>
      <c r="J197" s="13">
        <v>45945</v>
      </c>
      <c r="K197" s="13">
        <v>46023</v>
      </c>
      <c r="L197" t="s">
        <v>444</v>
      </c>
      <c r="M197" t="s">
        <v>56</v>
      </c>
      <c r="N197">
        <v>70828813</v>
      </c>
    </row>
    <row r="198" spans="1:14" x14ac:dyDescent="0.25">
      <c r="A198">
        <v>57242100</v>
      </c>
      <c r="B198" t="s">
        <v>1080</v>
      </c>
      <c r="C198" t="s">
        <v>1081</v>
      </c>
      <c r="D198" t="s">
        <v>1082</v>
      </c>
      <c r="E198">
        <v>9102842245</v>
      </c>
      <c r="F198" t="s">
        <v>780</v>
      </c>
      <c r="G198" t="s">
        <v>781</v>
      </c>
      <c r="I198" t="s">
        <v>20</v>
      </c>
      <c r="J198" s="13">
        <v>45945</v>
      </c>
      <c r="K198" s="13">
        <v>46023</v>
      </c>
      <c r="L198" t="s">
        <v>444</v>
      </c>
      <c r="M198" t="s">
        <v>419</v>
      </c>
      <c r="N198">
        <v>70828927</v>
      </c>
    </row>
    <row r="199" spans="1:14" x14ac:dyDescent="0.25">
      <c r="A199">
        <v>57242247</v>
      </c>
      <c r="B199" t="s">
        <v>1083</v>
      </c>
      <c r="C199" t="s">
        <v>1084</v>
      </c>
      <c r="D199" t="s">
        <v>1085</v>
      </c>
      <c r="E199">
        <v>7408996778</v>
      </c>
      <c r="F199" t="s">
        <v>1086</v>
      </c>
      <c r="G199" t="s">
        <v>1087</v>
      </c>
      <c r="I199" t="s">
        <v>1088</v>
      </c>
      <c r="J199" s="13">
        <v>45945</v>
      </c>
      <c r="K199" s="13">
        <v>46023</v>
      </c>
      <c r="L199" t="s">
        <v>418</v>
      </c>
      <c r="M199" t="s">
        <v>60</v>
      </c>
      <c r="N199">
        <v>70829029</v>
      </c>
    </row>
    <row r="200" spans="1:14" x14ac:dyDescent="0.25">
      <c r="A200">
        <v>57242271</v>
      </c>
      <c r="B200" t="s">
        <v>1089</v>
      </c>
      <c r="C200" t="s">
        <v>1090</v>
      </c>
      <c r="D200" t="s">
        <v>1091</v>
      </c>
      <c r="E200">
        <v>8285597603</v>
      </c>
      <c r="F200" t="s">
        <v>462</v>
      </c>
      <c r="G200" t="s">
        <v>463</v>
      </c>
      <c r="I200" t="s">
        <v>39</v>
      </c>
      <c r="J200" s="13">
        <v>45945</v>
      </c>
      <c r="K200" s="13">
        <v>46023</v>
      </c>
      <c r="L200" t="s">
        <v>603</v>
      </c>
      <c r="M200" t="s">
        <v>59</v>
      </c>
      <c r="N200">
        <v>70829050</v>
      </c>
    </row>
    <row r="201" spans="1:14" x14ac:dyDescent="0.25">
      <c r="A201">
        <v>57242440</v>
      </c>
      <c r="B201" t="s">
        <v>1092</v>
      </c>
      <c r="C201" t="s">
        <v>903</v>
      </c>
      <c r="D201" t="s">
        <v>1093</v>
      </c>
      <c r="E201">
        <v>7402132985</v>
      </c>
      <c r="F201" t="s">
        <v>1094</v>
      </c>
      <c r="G201" t="s">
        <v>1095</v>
      </c>
      <c r="I201" t="s">
        <v>1096</v>
      </c>
      <c r="J201" s="13">
        <v>45945</v>
      </c>
      <c r="K201" s="13">
        <v>46023</v>
      </c>
      <c r="L201" t="s">
        <v>418</v>
      </c>
      <c r="M201" t="s">
        <v>58</v>
      </c>
      <c r="N201">
        <v>70829151</v>
      </c>
    </row>
    <row r="202" spans="1:14" x14ac:dyDescent="0.25">
      <c r="A202">
        <v>57242495</v>
      </c>
      <c r="B202" t="s">
        <v>1097</v>
      </c>
      <c r="C202" t="s">
        <v>1098</v>
      </c>
      <c r="D202" t="s">
        <v>1099</v>
      </c>
      <c r="E202">
        <v>4787184114</v>
      </c>
      <c r="F202" t="s">
        <v>615</v>
      </c>
      <c r="G202" t="s">
        <v>616</v>
      </c>
      <c r="I202" t="s">
        <v>617</v>
      </c>
      <c r="J202" s="13">
        <v>45945</v>
      </c>
      <c r="K202" s="13">
        <v>46023</v>
      </c>
      <c r="L202" t="s">
        <v>621</v>
      </c>
      <c r="M202" t="s">
        <v>56</v>
      </c>
      <c r="N202">
        <v>70829189</v>
      </c>
    </row>
    <row r="203" spans="1:14" x14ac:dyDescent="0.25">
      <c r="A203">
        <v>57242525</v>
      </c>
      <c r="B203" t="s">
        <v>1100</v>
      </c>
      <c r="C203" t="s">
        <v>1101</v>
      </c>
      <c r="D203" t="s">
        <v>1102</v>
      </c>
      <c r="E203">
        <v>3465262738</v>
      </c>
      <c r="F203" t="s">
        <v>993</v>
      </c>
      <c r="G203" t="s">
        <v>994</v>
      </c>
      <c r="I203" t="s">
        <v>995</v>
      </c>
      <c r="J203" s="13">
        <v>45945</v>
      </c>
      <c r="K203" s="13">
        <v>46023</v>
      </c>
      <c r="L203" t="s">
        <v>444</v>
      </c>
      <c r="M203" t="s">
        <v>56</v>
      </c>
      <c r="N203">
        <v>70829217</v>
      </c>
    </row>
    <row r="204" spans="1:14" x14ac:dyDescent="0.25">
      <c r="A204">
        <v>57242537</v>
      </c>
      <c r="B204" t="s">
        <v>1103</v>
      </c>
      <c r="C204" t="s">
        <v>1104</v>
      </c>
      <c r="D204" t="s">
        <v>1105</v>
      </c>
      <c r="E204">
        <v>2252532633</v>
      </c>
      <c r="F204" t="s">
        <v>705</v>
      </c>
      <c r="G204" t="s">
        <v>706</v>
      </c>
      <c r="I204" t="s">
        <v>12</v>
      </c>
      <c r="J204" s="13">
        <v>45945</v>
      </c>
      <c r="K204" s="13">
        <v>46023</v>
      </c>
      <c r="L204" t="s">
        <v>612</v>
      </c>
      <c r="M204" t="s">
        <v>58</v>
      </c>
      <c r="N204">
        <v>70829223</v>
      </c>
    </row>
    <row r="205" spans="1:14" x14ac:dyDescent="0.25">
      <c r="A205">
        <v>57242724</v>
      </c>
      <c r="B205" t="s">
        <v>1106</v>
      </c>
      <c r="C205" t="s">
        <v>1107</v>
      </c>
      <c r="D205" t="s">
        <v>1108</v>
      </c>
      <c r="E205">
        <v>4177550683</v>
      </c>
      <c r="F205" t="s">
        <v>423</v>
      </c>
      <c r="G205" t="s">
        <v>424</v>
      </c>
      <c r="I205" t="s">
        <v>46</v>
      </c>
      <c r="J205" s="13">
        <v>45945</v>
      </c>
      <c r="K205" s="13">
        <v>46023</v>
      </c>
      <c r="L205" t="s">
        <v>434</v>
      </c>
      <c r="M205" t="s">
        <v>60</v>
      </c>
      <c r="N205">
        <v>70829265</v>
      </c>
    </row>
    <row r="206" spans="1:14" x14ac:dyDescent="0.25">
      <c r="A206">
        <v>57242778</v>
      </c>
      <c r="B206" t="s">
        <v>1109</v>
      </c>
      <c r="C206" t="s">
        <v>1110</v>
      </c>
      <c r="D206" t="s">
        <v>1111</v>
      </c>
      <c r="E206">
        <v>4148880564</v>
      </c>
      <c r="F206" t="s">
        <v>1003</v>
      </c>
      <c r="G206" t="s">
        <v>1004</v>
      </c>
      <c r="I206" t="s">
        <v>89</v>
      </c>
      <c r="J206" s="13">
        <v>45945</v>
      </c>
      <c r="K206" s="13">
        <v>46023</v>
      </c>
      <c r="L206" t="s">
        <v>675</v>
      </c>
      <c r="M206" t="s">
        <v>58</v>
      </c>
      <c r="N206">
        <v>70829383</v>
      </c>
    </row>
    <row r="207" spans="1:14" x14ac:dyDescent="0.25">
      <c r="A207">
        <v>57242864</v>
      </c>
      <c r="B207" t="s">
        <v>1112</v>
      </c>
      <c r="C207" t="s">
        <v>1113</v>
      </c>
      <c r="D207" t="s">
        <v>1114</v>
      </c>
      <c r="E207">
        <v>3362304133</v>
      </c>
      <c r="F207" t="s">
        <v>551</v>
      </c>
      <c r="G207" t="s">
        <v>552</v>
      </c>
      <c r="I207" t="s">
        <v>42</v>
      </c>
      <c r="J207" s="13">
        <v>45945</v>
      </c>
      <c r="K207" s="13">
        <v>46023</v>
      </c>
      <c r="L207" t="s">
        <v>603</v>
      </c>
      <c r="M207" t="s">
        <v>56</v>
      </c>
      <c r="N207">
        <v>70829550</v>
      </c>
    </row>
    <row r="208" spans="1:14" x14ac:dyDescent="0.25">
      <c r="A208">
        <v>57242840</v>
      </c>
      <c r="B208" t="s">
        <v>1115</v>
      </c>
      <c r="C208" t="s">
        <v>1116</v>
      </c>
      <c r="D208" t="s">
        <v>1117</v>
      </c>
      <c r="E208">
        <v>2173908276</v>
      </c>
      <c r="F208" t="s">
        <v>870</v>
      </c>
      <c r="G208" t="s">
        <v>871</v>
      </c>
      <c r="I208" t="s">
        <v>872</v>
      </c>
      <c r="J208" s="13">
        <v>45945</v>
      </c>
      <c r="K208" s="13">
        <v>46023</v>
      </c>
      <c r="L208" t="s">
        <v>470</v>
      </c>
      <c r="M208" t="s">
        <v>56</v>
      </c>
      <c r="N208">
        <v>70830069</v>
      </c>
    </row>
    <row r="209" spans="1:14" x14ac:dyDescent="0.25">
      <c r="A209">
        <v>57242884</v>
      </c>
      <c r="B209" t="s">
        <v>1118</v>
      </c>
      <c r="C209" t="s">
        <v>1119</v>
      </c>
      <c r="D209" t="s">
        <v>1120</v>
      </c>
      <c r="E209">
        <v>9126021245</v>
      </c>
      <c r="F209" t="s">
        <v>928</v>
      </c>
      <c r="G209" t="s">
        <v>929</v>
      </c>
      <c r="I209" t="s">
        <v>30</v>
      </c>
      <c r="J209" s="13">
        <v>45945</v>
      </c>
      <c r="K209" s="13">
        <v>46023</v>
      </c>
      <c r="L209" t="s">
        <v>621</v>
      </c>
      <c r="M209" t="s">
        <v>58</v>
      </c>
      <c r="N209">
        <v>70830690</v>
      </c>
    </row>
    <row r="210" spans="1:14" x14ac:dyDescent="0.25">
      <c r="A210">
        <v>57243008</v>
      </c>
      <c r="B210" t="s">
        <v>1097</v>
      </c>
      <c r="C210" t="s">
        <v>1121</v>
      </c>
      <c r="D210" t="s">
        <v>1122</v>
      </c>
      <c r="E210">
        <v>5043827300</v>
      </c>
      <c r="F210" t="s">
        <v>1013</v>
      </c>
      <c r="G210" t="s">
        <v>1014</v>
      </c>
      <c r="I210" t="s">
        <v>43</v>
      </c>
      <c r="J210" s="13">
        <v>45945</v>
      </c>
      <c r="K210" s="13">
        <v>46023</v>
      </c>
      <c r="L210" t="s">
        <v>612</v>
      </c>
      <c r="M210" t="s">
        <v>56</v>
      </c>
      <c r="N210">
        <v>70831550</v>
      </c>
    </row>
    <row r="211" spans="1:14" x14ac:dyDescent="0.25">
      <c r="A211">
        <v>58180853</v>
      </c>
      <c r="B211" t="s">
        <v>1123</v>
      </c>
      <c r="C211" t="s">
        <v>1124</v>
      </c>
      <c r="D211" t="s">
        <v>1125</v>
      </c>
      <c r="E211">
        <v>9853128882</v>
      </c>
      <c r="F211" t="s">
        <v>569</v>
      </c>
      <c r="G211" t="s">
        <v>570</v>
      </c>
      <c r="I211" t="s">
        <v>34</v>
      </c>
      <c r="J211" s="13">
        <v>45979</v>
      </c>
      <c r="K211" s="13">
        <v>46023</v>
      </c>
      <c r="L211" t="s">
        <v>612</v>
      </c>
      <c r="M211" t="s">
        <v>56</v>
      </c>
      <c r="N211">
        <v>70831568</v>
      </c>
    </row>
    <row r="212" spans="1:14" x14ac:dyDescent="0.25">
      <c r="A212">
        <v>57243169</v>
      </c>
      <c r="B212" t="s">
        <v>521</v>
      </c>
      <c r="C212" t="s">
        <v>1126</v>
      </c>
      <c r="D212" t="s">
        <v>1127</v>
      </c>
      <c r="E212">
        <v>8037603034</v>
      </c>
      <c r="F212" t="s">
        <v>574</v>
      </c>
      <c r="G212" t="s">
        <v>575</v>
      </c>
      <c r="I212" t="s">
        <v>14</v>
      </c>
      <c r="J212" s="13">
        <v>45945</v>
      </c>
      <c r="K212" s="13">
        <v>46023</v>
      </c>
      <c r="L212" t="s">
        <v>533</v>
      </c>
      <c r="M212" t="s">
        <v>56</v>
      </c>
      <c r="N212">
        <v>70831664</v>
      </c>
    </row>
    <row r="213" spans="1:14" x14ac:dyDescent="0.25">
      <c r="A213">
        <v>57243231</v>
      </c>
      <c r="B213" t="s">
        <v>1128</v>
      </c>
      <c r="C213" t="s">
        <v>1129</v>
      </c>
      <c r="D213" t="s">
        <v>1130</v>
      </c>
      <c r="E213">
        <v>6187070971</v>
      </c>
      <c r="F213" t="s">
        <v>416</v>
      </c>
      <c r="G213" t="s">
        <v>417</v>
      </c>
      <c r="I213" t="s">
        <v>26</v>
      </c>
      <c r="J213" s="13">
        <v>45945</v>
      </c>
      <c r="K213" s="13">
        <v>46023</v>
      </c>
      <c r="L213" t="s">
        <v>470</v>
      </c>
      <c r="M213" t="s">
        <v>60</v>
      </c>
      <c r="N213">
        <v>70831682</v>
      </c>
    </row>
    <row r="214" spans="1:14" x14ac:dyDescent="0.25">
      <c r="A214">
        <v>57243215</v>
      </c>
      <c r="B214" t="s">
        <v>636</v>
      </c>
      <c r="C214" t="s">
        <v>515</v>
      </c>
      <c r="D214" t="s">
        <v>1131</v>
      </c>
      <c r="E214">
        <v>3174423649</v>
      </c>
      <c r="F214" t="s">
        <v>798</v>
      </c>
      <c r="G214" t="s">
        <v>799</v>
      </c>
      <c r="I214" t="s">
        <v>800</v>
      </c>
      <c r="J214" s="13">
        <v>45945</v>
      </c>
      <c r="K214" s="13">
        <v>46023</v>
      </c>
      <c r="L214" t="s">
        <v>440</v>
      </c>
      <c r="M214" t="s">
        <v>56</v>
      </c>
      <c r="N214">
        <v>70831691</v>
      </c>
    </row>
    <row r="215" spans="1:14" x14ac:dyDescent="0.25">
      <c r="A215">
        <v>57243351</v>
      </c>
      <c r="B215" t="s">
        <v>1115</v>
      </c>
      <c r="C215" t="s">
        <v>1132</v>
      </c>
      <c r="D215" t="s">
        <v>1133</v>
      </c>
      <c r="E215">
        <v>7407271049</v>
      </c>
      <c r="F215" t="s">
        <v>775</v>
      </c>
      <c r="G215" t="s">
        <v>776</v>
      </c>
      <c r="I215" t="s">
        <v>22</v>
      </c>
      <c r="J215" s="13">
        <v>45945</v>
      </c>
      <c r="K215" s="13">
        <v>46023</v>
      </c>
      <c r="L215" t="s">
        <v>418</v>
      </c>
      <c r="M215" t="s">
        <v>58</v>
      </c>
      <c r="N215">
        <v>70831769</v>
      </c>
    </row>
    <row r="216" spans="1:14" x14ac:dyDescent="0.25">
      <c r="A216">
        <v>57243804</v>
      </c>
      <c r="B216" t="s">
        <v>517</v>
      </c>
      <c r="C216" t="s">
        <v>1134</v>
      </c>
      <c r="D216" t="s">
        <v>1135</v>
      </c>
      <c r="E216">
        <v>2295064923</v>
      </c>
      <c r="F216" t="s">
        <v>684</v>
      </c>
      <c r="G216" t="s">
        <v>685</v>
      </c>
      <c r="I216" t="s">
        <v>686</v>
      </c>
      <c r="J216" s="13">
        <v>45945</v>
      </c>
      <c r="K216" s="13">
        <v>46023</v>
      </c>
      <c r="L216" t="s">
        <v>621</v>
      </c>
      <c r="M216" t="s">
        <v>60</v>
      </c>
      <c r="N216">
        <v>70831962</v>
      </c>
    </row>
    <row r="217" spans="1:14" x14ac:dyDescent="0.25">
      <c r="A217">
        <v>57243960</v>
      </c>
      <c r="B217" t="s">
        <v>865</v>
      </c>
      <c r="C217" t="s">
        <v>1136</v>
      </c>
      <c r="D217" t="s">
        <v>1137</v>
      </c>
      <c r="E217">
        <v>5732169633</v>
      </c>
      <c r="F217" t="s">
        <v>423</v>
      </c>
      <c r="G217" t="s">
        <v>424</v>
      </c>
      <c r="I217" t="s">
        <v>46</v>
      </c>
      <c r="J217" s="13">
        <v>45945</v>
      </c>
      <c r="K217" s="13">
        <v>46023</v>
      </c>
      <c r="L217" t="s">
        <v>434</v>
      </c>
      <c r="M217" t="s">
        <v>61</v>
      </c>
      <c r="N217">
        <v>70831982</v>
      </c>
    </row>
    <row r="218" spans="1:14" x14ac:dyDescent="0.25">
      <c r="A218">
        <v>57243921</v>
      </c>
      <c r="B218" t="s">
        <v>1138</v>
      </c>
      <c r="C218" t="s">
        <v>1139</v>
      </c>
      <c r="D218" t="s">
        <v>1140</v>
      </c>
      <c r="E218" t="s">
        <v>1141</v>
      </c>
      <c r="F218" t="s">
        <v>1142</v>
      </c>
      <c r="G218" t="s">
        <v>1143</v>
      </c>
      <c r="I218" t="s">
        <v>124</v>
      </c>
      <c r="J218" s="13">
        <v>45945</v>
      </c>
      <c r="K218" s="13">
        <v>46023</v>
      </c>
      <c r="L218" t="s">
        <v>434</v>
      </c>
      <c r="M218" t="s">
        <v>419</v>
      </c>
      <c r="N218">
        <v>70832081</v>
      </c>
    </row>
    <row r="219" spans="1:14" x14ac:dyDescent="0.25">
      <c r="A219">
        <v>57244142</v>
      </c>
      <c r="B219" t="s">
        <v>1144</v>
      </c>
      <c r="C219" t="s">
        <v>1145</v>
      </c>
      <c r="D219" t="s">
        <v>1146</v>
      </c>
      <c r="E219">
        <v>4796401014</v>
      </c>
      <c r="F219" t="s">
        <v>1147</v>
      </c>
      <c r="G219" t="s">
        <v>1148</v>
      </c>
      <c r="I219" t="s">
        <v>41</v>
      </c>
      <c r="J219" s="13">
        <v>45945</v>
      </c>
      <c r="K219" s="13">
        <v>46023</v>
      </c>
      <c r="L219" t="s">
        <v>434</v>
      </c>
      <c r="M219" t="s">
        <v>59</v>
      </c>
      <c r="N219">
        <v>70832231</v>
      </c>
    </row>
    <row r="220" spans="1:14" x14ac:dyDescent="0.25">
      <c r="A220">
        <v>57244197</v>
      </c>
      <c r="B220" t="s">
        <v>1149</v>
      </c>
      <c r="C220" t="s">
        <v>1150</v>
      </c>
      <c r="D220" t="s">
        <v>1151</v>
      </c>
      <c r="E220">
        <v>6362087979</v>
      </c>
      <c r="F220" t="s">
        <v>474</v>
      </c>
      <c r="G220" t="s">
        <v>475</v>
      </c>
      <c r="I220" t="s">
        <v>132</v>
      </c>
      <c r="J220" s="13">
        <v>45945</v>
      </c>
      <c r="K220" s="13">
        <v>46023</v>
      </c>
      <c r="L220" t="s">
        <v>434</v>
      </c>
      <c r="M220" t="s">
        <v>59</v>
      </c>
      <c r="N220">
        <v>70832268</v>
      </c>
    </row>
    <row r="221" spans="1:14" x14ac:dyDescent="0.25">
      <c r="A221">
        <v>57405345</v>
      </c>
      <c r="B221" t="s">
        <v>1152</v>
      </c>
      <c r="C221" t="s">
        <v>1153</v>
      </c>
      <c r="D221" t="s">
        <v>1154</v>
      </c>
      <c r="E221">
        <v>9372840989</v>
      </c>
      <c r="F221" t="s">
        <v>494</v>
      </c>
      <c r="G221" t="s">
        <v>495</v>
      </c>
      <c r="I221" t="s">
        <v>496</v>
      </c>
      <c r="J221" s="13">
        <v>45945</v>
      </c>
      <c r="K221" s="13">
        <v>46023</v>
      </c>
      <c r="L221" t="s">
        <v>418</v>
      </c>
      <c r="M221" t="s">
        <v>58</v>
      </c>
      <c r="N221">
        <v>70832338</v>
      </c>
    </row>
    <row r="222" spans="1:14" x14ac:dyDescent="0.25">
      <c r="A222">
        <v>57244422</v>
      </c>
      <c r="B222" t="s">
        <v>836</v>
      </c>
      <c r="C222" t="s">
        <v>1155</v>
      </c>
      <c r="D222" t="s">
        <v>1156</v>
      </c>
      <c r="E222">
        <v>2295070816</v>
      </c>
      <c r="F222" t="s">
        <v>416</v>
      </c>
      <c r="G222" t="s">
        <v>417</v>
      </c>
      <c r="I222" t="s">
        <v>26</v>
      </c>
      <c r="J222" s="13">
        <v>45945</v>
      </c>
      <c r="K222" s="13">
        <v>46023</v>
      </c>
      <c r="L222" t="s">
        <v>621</v>
      </c>
      <c r="M222" t="s">
        <v>58</v>
      </c>
      <c r="N222">
        <v>70832393</v>
      </c>
    </row>
    <row r="223" spans="1:14" x14ac:dyDescent="0.25">
      <c r="A223">
        <v>57245215</v>
      </c>
      <c r="B223" t="s">
        <v>1157</v>
      </c>
      <c r="C223" t="s">
        <v>1158</v>
      </c>
      <c r="D223" t="s">
        <v>1159</v>
      </c>
      <c r="E223">
        <v>8282448459</v>
      </c>
      <c r="F223" t="s">
        <v>1067</v>
      </c>
      <c r="G223" t="s">
        <v>1068</v>
      </c>
      <c r="I223" t="s">
        <v>35</v>
      </c>
      <c r="J223" s="13">
        <v>45945</v>
      </c>
      <c r="K223" s="13">
        <v>46023</v>
      </c>
      <c r="L223" t="s">
        <v>603</v>
      </c>
      <c r="M223" t="s">
        <v>58</v>
      </c>
      <c r="N223">
        <v>70832606</v>
      </c>
    </row>
    <row r="224" spans="1:14" x14ac:dyDescent="0.25">
      <c r="A224">
        <v>57245308</v>
      </c>
      <c r="B224" t="s">
        <v>925</v>
      </c>
      <c r="C224" t="s">
        <v>1160</v>
      </c>
      <c r="D224" t="s">
        <v>1161</v>
      </c>
      <c r="E224">
        <v>3182169334</v>
      </c>
      <c r="F224" t="s">
        <v>569</v>
      </c>
      <c r="G224" t="s">
        <v>570</v>
      </c>
      <c r="I224" t="s">
        <v>34</v>
      </c>
      <c r="J224" s="13">
        <v>45945</v>
      </c>
      <c r="K224" s="13">
        <v>46023</v>
      </c>
      <c r="L224" t="s">
        <v>533</v>
      </c>
      <c r="M224" t="s">
        <v>58</v>
      </c>
      <c r="N224">
        <v>70832619</v>
      </c>
    </row>
    <row r="225" spans="1:14" x14ac:dyDescent="0.25">
      <c r="A225">
        <v>57245525</v>
      </c>
      <c r="B225" t="s">
        <v>899</v>
      </c>
      <c r="C225" t="s">
        <v>1162</v>
      </c>
      <c r="D225" t="s">
        <v>1163</v>
      </c>
      <c r="E225">
        <v>7203465898</v>
      </c>
      <c r="F225" t="s">
        <v>537</v>
      </c>
      <c r="G225" t="s">
        <v>538</v>
      </c>
      <c r="I225" t="s">
        <v>49</v>
      </c>
      <c r="J225" s="13">
        <v>45945</v>
      </c>
      <c r="K225" s="13">
        <v>46023</v>
      </c>
      <c r="L225" t="s">
        <v>621</v>
      </c>
      <c r="M225" t="s">
        <v>56</v>
      </c>
      <c r="N225">
        <v>70832651</v>
      </c>
    </row>
    <row r="226" spans="1:14" x14ac:dyDescent="0.25">
      <c r="A226">
        <v>57245632</v>
      </c>
      <c r="B226" t="s">
        <v>1164</v>
      </c>
      <c r="C226" t="s">
        <v>1165</v>
      </c>
      <c r="D226" t="s">
        <v>1166</v>
      </c>
      <c r="E226">
        <v>9197987446</v>
      </c>
      <c r="F226" t="s">
        <v>649</v>
      </c>
      <c r="G226" t="s">
        <v>650</v>
      </c>
      <c r="I226" t="s">
        <v>28</v>
      </c>
      <c r="J226" s="13">
        <v>45945</v>
      </c>
      <c r="K226" s="13">
        <v>46023</v>
      </c>
      <c r="L226" t="s">
        <v>603</v>
      </c>
      <c r="M226" t="s">
        <v>56</v>
      </c>
      <c r="N226">
        <v>70832663</v>
      </c>
    </row>
    <row r="227" spans="1:14" x14ac:dyDescent="0.25">
      <c r="A227">
        <v>57246271</v>
      </c>
      <c r="B227" t="s">
        <v>1167</v>
      </c>
      <c r="C227" t="s">
        <v>1168</v>
      </c>
      <c r="D227" t="s">
        <v>1169</v>
      </c>
      <c r="E227">
        <v>2703704148</v>
      </c>
      <c r="F227" t="s">
        <v>423</v>
      </c>
      <c r="G227" t="s">
        <v>424</v>
      </c>
      <c r="I227" t="s">
        <v>46</v>
      </c>
      <c r="J227" s="13">
        <v>45945</v>
      </c>
      <c r="K227" s="13">
        <v>46023</v>
      </c>
      <c r="L227" t="s">
        <v>490</v>
      </c>
      <c r="M227" t="s">
        <v>61</v>
      </c>
      <c r="N227">
        <v>70832685</v>
      </c>
    </row>
    <row r="228" spans="1:14" x14ac:dyDescent="0.25">
      <c r="A228">
        <v>57245792</v>
      </c>
      <c r="B228" t="s">
        <v>1170</v>
      </c>
      <c r="C228" t="s">
        <v>1171</v>
      </c>
      <c r="D228" t="s">
        <v>1172</v>
      </c>
      <c r="E228">
        <v>3375096405</v>
      </c>
      <c r="F228" t="s">
        <v>770</v>
      </c>
      <c r="G228" t="s">
        <v>771</v>
      </c>
      <c r="I228" t="s">
        <v>25</v>
      </c>
      <c r="J228" s="13">
        <v>45945</v>
      </c>
      <c r="K228" s="13">
        <v>46023</v>
      </c>
      <c r="L228" t="s">
        <v>612</v>
      </c>
      <c r="M228" t="s">
        <v>56</v>
      </c>
      <c r="N228">
        <v>70832697</v>
      </c>
    </row>
    <row r="229" spans="1:14" x14ac:dyDescent="0.25">
      <c r="A229">
        <v>60594301</v>
      </c>
      <c r="B229" t="s">
        <v>873</v>
      </c>
      <c r="C229" t="s">
        <v>1173</v>
      </c>
      <c r="D229" t="s">
        <v>1174</v>
      </c>
      <c r="E229" t="s">
        <v>1175</v>
      </c>
      <c r="F229" t="s">
        <v>649</v>
      </c>
      <c r="G229" t="s">
        <v>650</v>
      </c>
      <c r="I229" t="s">
        <v>28</v>
      </c>
      <c r="J229" s="13">
        <v>46066</v>
      </c>
      <c r="K229" s="13">
        <v>46082</v>
      </c>
      <c r="L229" t="s">
        <v>621</v>
      </c>
      <c r="M229" t="s">
        <v>60</v>
      </c>
      <c r="N229">
        <v>70832732</v>
      </c>
    </row>
    <row r="230" spans="1:14" x14ac:dyDescent="0.25">
      <c r="A230">
        <v>57247702</v>
      </c>
      <c r="B230" t="s">
        <v>1176</v>
      </c>
      <c r="C230" t="s">
        <v>1177</v>
      </c>
      <c r="D230" t="s">
        <v>1178</v>
      </c>
      <c r="E230">
        <v>4807808632</v>
      </c>
      <c r="F230" t="s">
        <v>993</v>
      </c>
      <c r="G230" t="s">
        <v>994</v>
      </c>
      <c r="I230" t="s">
        <v>995</v>
      </c>
      <c r="J230" s="13">
        <v>45945</v>
      </c>
      <c r="K230" s="13">
        <v>46023</v>
      </c>
      <c r="L230" t="s">
        <v>1179</v>
      </c>
      <c r="M230" t="s">
        <v>55</v>
      </c>
      <c r="N230">
        <v>70833004</v>
      </c>
    </row>
    <row r="231" spans="1:14" x14ac:dyDescent="0.25">
      <c r="A231">
        <v>57247794</v>
      </c>
      <c r="B231" t="s">
        <v>1180</v>
      </c>
      <c r="C231" t="s">
        <v>1181</v>
      </c>
      <c r="D231" t="s">
        <v>1182</v>
      </c>
      <c r="E231">
        <v>4794383083</v>
      </c>
      <c r="F231" t="s">
        <v>705</v>
      </c>
      <c r="G231" t="s">
        <v>706</v>
      </c>
      <c r="I231" t="s">
        <v>12</v>
      </c>
      <c r="J231" s="13">
        <v>45945</v>
      </c>
      <c r="K231" s="13">
        <v>46023</v>
      </c>
      <c r="L231" t="s">
        <v>553</v>
      </c>
      <c r="M231" t="s">
        <v>56</v>
      </c>
      <c r="N231">
        <v>70833019</v>
      </c>
    </row>
    <row r="232" spans="1:14" x14ac:dyDescent="0.25">
      <c r="A232">
        <v>57248087</v>
      </c>
      <c r="B232" t="s">
        <v>902</v>
      </c>
      <c r="C232" t="s">
        <v>1183</v>
      </c>
      <c r="D232" t="s">
        <v>1184</v>
      </c>
      <c r="E232">
        <v>4175050705</v>
      </c>
      <c r="F232" t="s">
        <v>448</v>
      </c>
      <c r="G232" t="s">
        <v>449</v>
      </c>
      <c r="I232" t="s">
        <v>31</v>
      </c>
      <c r="J232" s="13">
        <v>45945</v>
      </c>
      <c r="K232" s="13">
        <v>46023</v>
      </c>
      <c r="L232" t="s">
        <v>434</v>
      </c>
      <c r="M232" t="s">
        <v>58</v>
      </c>
      <c r="N232">
        <v>70833064</v>
      </c>
    </row>
    <row r="233" spans="1:14" x14ac:dyDescent="0.25">
      <c r="A233">
        <v>57248416</v>
      </c>
      <c r="B233" t="s">
        <v>1185</v>
      </c>
      <c r="C233" t="s">
        <v>1186</v>
      </c>
      <c r="D233" t="s">
        <v>1187</v>
      </c>
      <c r="E233">
        <v>3044124810</v>
      </c>
      <c r="F233" t="s">
        <v>667</v>
      </c>
      <c r="G233" t="s">
        <v>668</v>
      </c>
      <c r="I233" t="s">
        <v>37</v>
      </c>
      <c r="J233" s="13">
        <v>45945</v>
      </c>
      <c r="K233" s="13">
        <v>46023</v>
      </c>
      <c r="L233" t="s">
        <v>1188</v>
      </c>
      <c r="M233" t="s">
        <v>56</v>
      </c>
      <c r="N233">
        <v>70833112</v>
      </c>
    </row>
    <row r="234" spans="1:14" x14ac:dyDescent="0.25">
      <c r="A234">
        <v>57248453</v>
      </c>
      <c r="B234" t="s">
        <v>1189</v>
      </c>
      <c r="C234" t="s">
        <v>1190</v>
      </c>
      <c r="D234" t="s">
        <v>1191</v>
      </c>
      <c r="E234">
        <v>8133124863</v>
      </c>
      <c r="F234" t="s">
        <v>870</v>
      </c>
      <c r="G234" t="s">
        <v>871</v>
      </c>
      <c r="I234" t="s">
        <v>872</v>
      </c>
      <c r="J234" s="13">
        <v>45945</v>
      </c>
      <c r="K234" s="13">
        <v>46023</v>
      </c>
      <c r="L234" t="s">
        <v>497</v>
      </c>
      <c r="M234" t="s">
        <v>56</v>
      </c>
      <c r="N234">
        <v>70833139</v>
      </c>
    </row>
    <row r="235" spans="1:14" x14ac:dyDescent="0.25">
      <c r="A235">
        <v>57248613</v>
      </c>
      <c r="B235" t="s">
        <v>1192</v>
      </c>
      <c r="C235" t="s">
        <v>1193</v>
      </c>
      <c r="D235" t="s">
        <v>1194</v>
      </c>
      <c r="E235">
        <v>2168586824</v>
      </c>
      <c r="F235" t="s">
        <v>842</v>
      </c>
      <c r="G235" t="s">
        <v>843</v>
      </c>
      <c r="I235" t="s">
        <v>98</v>
      </c>
      <c r="J235" s="13">
        <v>45945</v>
      </c>
      <c r="K235" s="13">
        <v>46023</v>
      </c>
      <c r="L235" t="s">
        <v>418</v>
      </c>
      <c r="M235" t="s">
        <v>59</v>
      </c>
      <c r="N235">
        <v>70833222</v>
      </c>
    </row>
    <row r="236" spans="1:14" x14ac:dyDescent="0.25">
      <c r="A236">
        <v>57248813</v>
      </c>
      <c r="B236" t="s">
        <v>1148</v>
      </c>
      <c r="C236" t="s">
        <v>1195</v>
      </c>
      <c r="D236" t="s">
        <v>1196</v>
      </c>
      <c r="E236">
        <v>9856306974</v>
      </c>
      <c r="F236" t="s">
        <v>775</v>
      </c>
      <c r="G236" t="s">
        <v>776</v>
      </c>
      <c r="I236" t="s">
        <v>22</v>
      </c>
      <c r="J236" s="13">
        <v>45945</v>
      </c>
      <c r="K236" s="13">
        <v>46023</v>
      </c>
      <c r="L236" t="s">
        <v>612</v>
      </c>
      <c r="M236" t="s">
        <v>58</v>
      </c>
      <c r="N236">
        <v>70833340</v>
      </c>
    </row>
    <row r="237" spans="1:14" x14ac:dyDescent="0.25">
      <c r="A237">
        <v>57248871</v>
      </c>
      <c r="B237" t="s">
        <v>1197</v>
      </c>
      <c r="C237" t="s">
        <v>1195</v>
      </c>
      <c r="D237" t="s">
        <v>1198</v>
      </c>
      <c r="E237">
        <v>9856306974</v>
      </c>
      <c r="F237" t="s">
        <v>775</v>
      </c>
      <c r="G237" t="s">
        <v>776</v>
      </c>
      <c r="I237" t="s">
        <v>22</v>
      </c>
      <c r="J237" s="13">
        <v>45945</v>
      </c>
      <c r="K237" s="13">
        <v>46023</v>
      </c>
      <c r="L237" t="s">
        <v>612</v>
      </c>
      <c r="M237" t="s">
        <v>58</v>
      </c>
      <c r="N237">
        <v>70833391</v>
      </c>
    </row>
    <row r="238" spans="1:14" x14ac:dyDescent="0.25">
      <c r="A238">
        <v>57249010</v>
      </c>
      <c r="B238" t="s">
        <v>948</v>
      </c>
      <c r="C238" t="s">
        <v>744</v>
      </c>
      <c r="D238" t="s">
        <v>1199</v>
      </c>
      <c r="E238">
        <v>8033469405</v>
      </c>
      <c r="F238" t="s">
        <v>1200</v>
      </c>
      <c r="G238" t="s">
        <v>1201</v>
      </c>
      <c r="I238" t="s">
        <v>1202</v>
      </c>
      <c r="J238" s="13">
        <v>45945</v>
      </c>
      <c r="K238" s="13">
        <v>46023</v>
      </c>
      <c r="L238" t="s">
        <v>533</v>
      </c>
      <c r="M238" t="s">
        <v>59</v>
      </c>
      <c r="N238">
        <v>70833479</v>
      </c>
    </row>
    <row r="239" spans="1:14" x14ac:dyDescent="0.25">
      <c r="A239">
        <v>57249048</v>
      </c>
      <c r="B239" t="s">
        <v>567</v>
      </c>
      <c r="C239" t="s">
        <v>1203</v>
      </c>
      <c r="D239" t="s">
        <v>1204</v>
      </c>
      <c r="E239">
        <v>7312230029</v>
      </c>
      <c r="F239" t="s">
        <v>569</v>
      </c>
      <c r="G239" t="s">
        <v>570</v>
      </c>
      <c r="I239" t="s">
        <v>34</v>
      </c>
      <c r="J239" s="13">
        <v>45945</v>
      </c>
      <c r="K239" s="13">
        <v>46023</v>
      </c>
      <c r="L239" t="s">
        <v>479</v>
      </c>
      <c r="M239" t="s">
        <v>58</v>
      </c>
      <c r="N239">
        <v>70833504</v>
      </c>
    </row>
    <row r="240" spans="1:14" x14ac:dyDescent="0.25">
      <c r="A240">
        <v>57249146</v>
      </c>
      <c r="B240" t="s">
        <v>1205</v>
      </c>
      <c r="C240" t="s">
        <v>1206</v>
      </c>
      <c r="D240" t="s">
        <v>1207</v>
      </c>
      <c r="E240">
        <v>2533161276</v>
      </c>
      <c r="F240" t="s">
        <v>649</v>
      </c>
      <c r="G240" t="s">
        <v>650</v>
      </c>
      <c r="I240" t="s">
        <v>28</v>
      </c>
      <c r="J240" s="13">
        <v>45945</v>
      </c>
      <c r="K240" s="13">
        <v>46023</v>
      </c>
      <c r="L240" t="s">
        <v>444</v>
      </c>
      <c r="M240" t="s">
        <v>56</v>
      </c>
      <c r="N240">
        <v>70833539</v>
      </c>
    </row>
    <row r="241" spans="1:14" x14ac:dyDescent="0.25">
      <c r="A241">
        <v>57249158</v>
      </c>
      <c r="B241" t="s">
        <v>1208</v>
      </c>
      <c r="C241" t="s">
        <v>1209</v>
      </c>
      <c r="D241" t="s">
        <v>1210</v>
      </c>
      <c r="E241">
        <v>6816420501</v>
      </c>
      <c r="F241" t="s">
        <v>569</v>
      </c>
      <c r="G241" t="s">
        <v>570</v>
      </c>
      <c r="I241" t="s">
        <v>34</v>
      </c>
      <c r="J241" s="13">
        <v>45945</v>
      </c>
      <c r="K241" s="13">
        <v>46023</v>
      </c>
      <c r="L241" t="s">
        <v>1188</v>
      </c>
      <c r="M241" t="s">
        <v>58</v>
      </c>
      <c r="N241">
        <v>70833548</v>
      </c>
    </row>
    <row r="242" spans="1:14" x14ac:dyDescent="0.25">
      <c r="A242">
        <v>57249369</v>
      </c>
      <c r="B242" t="s">
        <v>672</v>
      </c>
      <c r="C242" t="s">
        <v>1211</v>
      </c>
      <c r="D242" t="s">
        <v>1212</v>
      </c>
      <c r="E242">
        <v>9193534838</v>
      </c>
      <c r="F242" t="s">
        <v>842</v>
      </c>
      <c r="G242" t="s">
        <v>1213</v>
      </c>
      <c r="I242" t="s">
        <v>1214</v>
      </c>
      <c r="J242" s="13">
        <v>45945</v>
      </c>
      <c r="K242" s="13">
        <v>46023</v>
      </c>
      <c r="L242" t="s">
        <v>603</v>
      </c>
      <c r="M242" t="s">
        <v>56</v>
      </c>
      <c r="N242">
        <v>70833650</v>
      </c>
    </row>
    <row r="243" spans="1:14" x14ac:dyDescent="0.25">
      <c r="A243">
        <v>57249636</v>
      </c>
      <c r="B243" t="s">
        <v>622</v>
      </c>
      <c r="C243" t="s">
        <v>1215</v>
      </c>
      <c r="D243" t="s">
        <v>1216</v>
      </c>
      <c r="E243">
        <v>3345640908</v>
      </c>
      <c r="F243" t="s">
        <v>705</v>
      </c>
      <c r="G243" t="s">
        <v>706</v>
      </c>
      <c r="I243" t="s">
        <v>12</v>
      </c>
      <c r="J243" s="13">
        <v>45945</v>
      </c>
      <c r="K243" s="13">
        <v>46023</v>
      </c>
      <c r="L243" t="s">
        <v>450</v>
      </c>
      <c r="M243" t="s">
        <v>56</v>
      </c>
      <c r="N243">
        <v>70833839</v>
      </c>
    </row>
    <row r="244" spans="1:14" x14ac:dyDescent="0.25">
      <c r="A244">
        <v>57249669</v>
      </c>
      <c r="B244" t="s">
        <v>715</v>
      </c>
      <c r="C244" t="s">
        <v>1217</v>
      </c>
      <c r="D244" t="s">
        <v>1218</v>
      </c>
      <c r="E244">
        <v>8133358329</v>
      </c>
      <c r="F244" t="s">
        <v>870</v>
      </c>
      <c r="G244" t="s">
        <v>871</v>
      </c>
      <c r="I244" t="s">
        <v>872</v>
      </c>
      <c r="J244" s="13">
        <v>45945</v>
      </c>
      <c r="K244" s="13">
        <v>46023</v>
      </c>
      <c r="L244" t="s">
        <v>497</v>
      </c>
      <c r="M244" t="s">
        <v>56</v>
      </c>
      <c r="N244">
        <v>70833846</v>
      </c>
    </row>
    <row r="245" spans="1:14" x14ac:dyDescent="0.25">
      <c r="A245">
        <v>57249812</v>
      </c>
      <c r="B245" t="s">
        <v>1219</v>
      </c>
      <c r="C245" t="s">
        <v>1220</v>
      </c>
      <c r="D245" t="s">
        <v>1221</v>
      </c>
      <c r="E245">
        <v>2058820015</v>
      </c>
      <c r="F245" t="s">
        <v>828</v>
      </c>
      <c r="G245" t="s">
        <v>1148</v>
      </c>
      <c r="I245" t="s">
        <v>17</v>
      </c>
      <c r="J245" s="13">
        <v>45945</v>
      </c>
      <c r="K245" s="13">
        <v>46023</v>
      </c>
      <c r="L245" t="s">
        <v>450</v>
      </c>
      <c r="M245" t="s">
        <v>59</v>
      </c>
      <c r="N245">
        <v>70833922</v>
      </c>
    </row>
    <row r="246" spans="1:14" x14ac:dyDescent="0.25">
      <c r="A246">
        <v>57250358</v>
      </c>
      <c r="B246" t="s">
        <v>1167</v>
      </c>
      <c r="C246" t="s">
        <v>1222</v>
      </c>
      <c r="D246" t="s">
        <v>1223</v>
      </c>
      <c r="E246" t="s">
        <v>1224</v>
      </c>
      <c r="F246" t="s">
        <v>1225</v>
      </c>
      <c r="G246" t="s">
        <v>1226</v>
      </c>
      <c r="I246" t="s">
        <v>1227</v>
      </c>
      <c r="J246" s="13">
        <v>45945</v>
      </c>
      <c r="K246" s="13">
        <v>46023</v>
      </c>
      <c r="L246" t="s">
        <v>440</v>
      </c>
      <c r="M246" t="s">
        <v>61</v>
      </c>
      <c r="N246">
        <v>70834404</v>
      </c>
    </row>
    <row r="247" spans="1:14" x14ac:dyDescent="0.25">
      <c r="A247">
        <v>57250528</v>
      </c>
      <c r="B247" t="s">
        <v>1228</v>
      </c>
      <c r="C247" t="s">
        <v>1229</v>
      </c>
      <c r="D247" t="s">
        <v>1230</v>
      </c>
      <c r="E247">
        <v>8702038087</v>
      </c>
      <c r="F247" t="s">
        <v>474</v>
      </c>
      <c r="G247" t="s">
        <v>475</v>
      </c>
      <c r="I247" t="s">
        <v>132</v>
      </c>
      <c r="J247" s="13">
        <v>45945</v>
      </c>
      <c r="K247" s="13">
        <v>46023</v>
      </c>
      <c r="L247" t="s">
        <v>553</v>
      </c>
      <c r="M247" t="s">
        <v>56</v>
      </c>
      <c r="N247">
        <v>70834533</v>
      </c>
    </row>
    <row r="248" spans="1:14" x14ac:dyDescent="0.25">
      <c r="A248">
        <v>57251181</v>
      </c>
      <c r="B248" t="s">
        <v>879</v>
      </c>
      <c r="C248" t="s">
        <v>1078</v>
      </c>
      <c r="D248" t="s">
        <v>1231</v>
      </c>
      <c r="E248">
        <v>4044388383</v>
      </c>
      <c r="F248" t="s">
        <v>423</v>
      </c>
      <c r="G248" t="s">
        <v>424</v>
      </c>
      <c r="I248" t="s">
        <v>46</v>
      </c>
      <c r="J248" s="13">
        <v>45945</v>
      </c>
      <c r="K248" s="13">
        <v>46023</v>
      </c>
      <c r="L248" t="s">
        <v>621</v>
      </c>
      <c r="M248" t="s">
        <v>59</v>
      </c>
      <c r="N248">
        <v>70834854</v>
      </c>
    </row>
    <row r="249" spans="1:14" x14ac:dyDescent="0.25">
      <c r="A249">
        <v>57251407</v>
      </c>
      <c r="B249" t="s">
        <v>1232</v>
      </c>
      <c r="C249" t="s">
        <v>970</v>
      </c>
      <c r="D249" t="s">
        <v>1233</v>
      </c>
      <c r="E249">
        <v>3143864940</v>
      </c>
      <c r="F249" t="s">
        <v>474</v>
      </c>
      <c r="G249" t="s">
        <v>475</v>
      </c>
      <c r="I249" t="s">
        <v>132</v>
      </c>
      <c r="J249" s="13">
        <v>45945</v>
      </c>
      <c r="K249" s="13">
        <v>46023</v>
      </c>
      <c r="L249" t="s">
        <v>434</v>
      </c>
      <c r="M249" t="s">
        <v>56</v>
      </c>
      <c r="N249">
        <v>70835096</v>
      </c>
    </row>
    <row r="250" spans="1:14" x14ac:dyDescent="0.25">
      <c r="A250">
        <v>57251414</v>
      </c>
      <c r="B250" t="s">
        <v>1234</v>
      </c>
      <c r="C250" t="s">
        <v>1235</v>
      </c>
      <c r="D250" t="s">
        <v>1236</v>
      </c>
      <c r="E250">
        <v>8063463969</v>
      </c>
      <c r="F250" t="s">
        <v>1003</v>
      </c>
      <c r="G250" t="s">
        <v>1004</v>
      </c>
      <c r="I250" t="s">
        <v>89</v>
      </c>
      <c r="J250" s="13">
        <v>45945</v>
      </c>
      <c r="K250" s="13">
        <v>46023</v>
      </c>
      <c r="L250" t="s">
        <v>444</v>
      </c>
      <c r="M250" t="s">
        <v>58</v>
      </c>
      <c r="N250">
        <v>70835099</v>
      </c>
    </row>
    <row r="251" spans="1:14" x14ac:dyDescent="0.25">
      <c r="A251">
        <v>57251494</v>
      </c>
      <c r="B251" t="s">
        <v>1237</v>
      </c>
      <c r="C251" t="s">
        <v>1238</v>
      </c>
      <c r="D251" t="s">
        <v>1239</v>
      </c>
      <c r="E251">
        <v>3143281121</v>
      </c>
      <c r="F251" t="s">
        <v>693</v>
      </c>
      <c r="G251" t="s">
        <v>694</v>
      </c>
      <c r="I251" t="s">
        <v>103</v>
      </c>
      <c r="J251" s="13">
        <v>45945</v>
      </c>
      <c r="K251" s="13">
        <v>46023</v>
      </c>
      <c r="L251" t="s">
        <v>434</v>
      </c>
      <c r="M251" t="s">
        <v>56</v>
      </c>
      <c r="N251">
        <v>70835142</v>
      </c>
    </row>
    <row r="252" spans="1:14" x14ac:dyDescent="0.25">
      <c r="A252">
        <v>57251546</v>
      </c>
      <c r="B252" t="s">
        <v>1148</v>
      </c>
      <c r="C252" t="s">
        <v>1240</v>
      </c>
      <c r="D252" t="s">
        <v>1241</v>
      </c>
      <c r="E252">
        <v>4046250678</v>
      </c>
      <c r="F252" t="s">
        <v>1003</v>
      </c>
      <c r="G252" t="s">
        <v>1004</v>
      </c>
      <c r="I252" t="s">
        <v>89</v>
      </c>
      <c r="J252" s="13">
        <v>45945</v>
      </c>
      <c r="K252" s="13">
        <v>46023</v>
      </c>
      <c r="L252" t="s">
        <v>621</v>
      </c>
      <c r="M252" t="s">
        <v>55</v>
      </c>
      <c r="N252">
        <v>70835161</v>
      </c>
    </row>
    <row r="253" spans="1:14" x14ac:dyDescent="0.25">
      <c r="A253">
        <v>57251561</v>
      </c>
      <c r="B253" t="s">
        <v>1242</v>
      </c>
      <c r="C253" t="s">
        <v>1243</v>
      </c>
      <c r="D253" t="s">
        <v>1244</v>
      </c>
      <c r="E253">
        <v>3148986978</v>
      </c>
      <c r="F253" t="s">
        <v>462</v>
      </c>
      <c r="G253" t="s">
        <v>463</v>
      </c>
      <c r="I253" t="s">
        <v>39</v>
      </c>
      <c r="J253" s="13">
        <v>45945</v>
      </c>
      <c r="K253" s="13">
        <v>46023</v>
      </c>
      <c r="L253" t="s">
        <v>434</v>
      </c>
      <c r="M253" t="s">
        <v>58</v>
      </c>
      <c r="N253">
        <v>70835172</v>
      </c>
    </row>
    <row r="254" spans="1:14" x14ac:dyDescent="0.25">
      <c r="A254">
        <v>57251983</v>
      </c>
      <c r="B254" t="s">
        <v>1245</v>
      </c>
      <c r="C254" t="s">
        <v>1246</v>
      </c>
      <c r="D254" t="s">
        <v>1247</v>
      </c>
      <c r="E254">
        <v>5205596748</v>
      </c>
      <c r="F254" t="s">
        <v>807</v>
      </c>
      <c r="G254" t="s">
        <v>808</v>
      </c>
      <c r="I254" t="s">
        <v>33</v>
      </c>
      <c r="J254" s="13">
        <v>45945</v>
      </c>
      <c r="K254" s="13">
        <v>46023</v>
      </c>
      <c r="L254" t="s">
        <v>1179</v>
      </c>
      <c r="M254" t="s">
        <v>61</v>
      </c>
      <c r="N254">
        <v>70835425</v>
      </c>
    </row>
    <row r="255" spans="1:14" x14ac:dyDescent="0.25">
      <c r="A255">
        <v>57252105</v>
      </c>
      <c r="B255" t="s">
        <v>1248</v>
      </c>
      <c r="C255" t="s">
        <v>725</v>
      </c>
      <c r="D255" t="s">
        <v>1249</v>
      </c>
      <c r="E255">
        <v>2148368063</v>
      </c>
      <c r="F255" t="s">
        <v>775</v>
      </c>
      <c r="G255" t="s">
        <v>776</v>
      </c>
      <c r="I255" t="s">
        <v>22</v>
      </c>
      <c r="J255" s="13">
        <v>45945</v>
      </c>
      <c r="K255" s="13">
        <v>46023</v>
      </c>
      <c r="L255" t="s">
        <v>444</v>
      </c>
      <c r="M255" t="s">
        <v>58</v>
      </c>
      <c r="N255">
        <v>70835500</v>
      </c>
    </row>
    <row r="256" spans="1:14" x14ac:dyDescent="0.25">
      <c r="A256">
        <v>57252198</v>
      </c>
      <c r="B256" t="s">
        <v>1250</v>
      </c>
      <c r="C256" t="s">
        <v>1251</v>
      </c>
      <c r="D256" t="s">
        <v>1252</v>
      </c>
      <c r="E256">
        <v>9802711475</v>
      </c>
      <c r="F256" t="s">
        <v>667</v>
      </c>
      <c r="G256" t="s">
        <v>668</v>
      </c>
      <c r="I256" t="s">
        <v>37</v>
      </c>
      <c r="J256" s="13">
        <v>45945</v>
      </c>
      <c r="K256" s="13">
        <v>46023</v>
      </c>
      <c r="L256" t="s">
        <v>603</v>
      </c>
      <c r="M256" t="s">
        <v>59</v>
      </c>
      <c r="N256">
        <v>70835569</v>
      </c>
    </row>
    <row r="257" spans="1:14" x14ac:dyDescent="0.25">
      <c r="A257">
        <v>57252287</v>
      </c>
      <c r="B257" t="s">
        <v>672</v>
      </c>
      <c r="C257" t="s">
        <v>1253</v>
      </c>
      <c r="D257" t="s">
        <v>1254</v>
      </c>
      <c r="E257">
        <v>7577514099</v>
      </c>
      <c r="F257" t="s">
        <v>828</v>
      </c>
      <c r="G257" t="s">
        <v>1148</v>
      </c>
      <c r="I257" t="s">
        <v>17</v>
      </c>
      <c r="J257" s="13">
        <v>45945</v>
      </c>
      <c r="K257" s="13">
        <v>46023</v>
      </c>
      <c r="L257" t="s">
        <v>454</v>
      </c>
      <c r="M257" t="s">
        <v>58</v>
      </c>
      <c r="N257">
        <v>70835620</v>
      </c>
    </row>
    <row r="258" spans="1:14" x14ac:dyDescent="0.25">
      <c r="A258">
        <v>57252522</v>
      </c>
      <c r="B258" t="s">
        <v>1255</v>
      </c>
      <c r="C258" t="s">
        <v>1256</v>
      </c>
      <c r="D258" t="s">
        <v>1257</v>
      </c>
      <c r="E258">
        <v>5134790407</v>
      </c>
      <c r="F258" t="s">
        <v>798</v>
      </c>
      <c r="G258" t="s">
        <v>799</v>
      </c>
      <c r="I258" t="s">
        <v>800</v>
      </c>
      <c r="J258" s="13">
        <v>45945</v>
      </c>
      <c r="K258" s="13">
        <v>46023</v>
      </c>
      <c r="L258" t="s">
        <v>490</v>
      </c>
      <c r="M258" t="s">
        <v>59</v>
      </c>
      <c r="N258">
        <v>70835761</v>
      </c>
    </row>
    <row r="259" spans="1:14" x14ac:dyDescent="0.25">
      <c r="A259">
        <v>57252597</v>
      </c>
      <c r="B259" t="s">
        <v>464</v>
      </c>
      <c r="C259" t="s">
        <v>1258</v>
      </c>
      <c r="D259" t="s">
        <v>1259</v>
      </c>
      <c r="E259">
        <v>5017019314</v>
      </c>
      <c r="F259" t="s">
        <v>474</v>
      </c>
      <c r="G259" t="s">
        <v>475</v>
      </c>
      <c r="I259" t="s">
        <v>132</v>
      </c>
      <c r="J259" s="13">
        <v>45945</v>
      </c>
      <c r="K259" s="13">
        <v>46023</v>
      </c>
      <c r="L259" t="s">
        <v>553</v>
      </c>
      <c r="M259" t="s">
        <v>58</v>
      </c>
      <c r="N259">
        <v>70835799</v>
      </c>
    </row>
    <row r="260" spans="1:14" x14ac:dyDescent="0.25">
      <c r="A260">
        <v>57252647</v>
      </c>
      <c r="B260" t="s">
        <v>1260</v>
      </c>
      <c r="C260" t="s">
        <v>1203</v>
      </c>
      <c r="D260" t="s">
        <v>1261</v>
      </c>
      <c r="E260">
        <v>2054993894</v>
      </c>
      <c r="F260" t="s">
        <v>684</v>
      </c>
      <c r="G260" t="s">
        <v>685</v>
      </c>
      <c r="I260" t="s">
        <v>686</v>
      </c>
      <c r="J260" s="13">
        <v>45945</v>
      </c>
      <c r="K260" s="13">
        <v>46023</v>
      </c>
      <c r="L260" t="s">
        <v>450</v>
      </c>
      <c r="M260" t="s">
        <v>56</v>
      </c>
      <c r="N260">
        <v>70835814</v>
      </c>
    </row>
    <row r="261" spans="1:14" x14ac:dyDescent="0.25">
      <c r="A261">
        <v>57252638</v>
      </c>
      <c r="B261" t="s">
        <v>1262</v>
      </c>
      <c r="C261" t="s">
        <v>1158</v>
      </c>
      <c r="D261" t="s">
        <v>1263</v>
      </c>
      <c r="E261">
        <v>9018301103</v>
      </c>
      <c r="F261" t="s">
        <v>462</v>
      </c>
      <c r="G261" t="s">
        <v>463</v>
      </c>
      <c r="I261" t="s">
        <v>39</v>
      </c>
      <c r="J261" s="13">
        <v>45945</v>
      </c>
      <c r="K261" s="13">
        <v>46023</v>
      </c>
      <c r="L261" t="s">
        <v>479</v>
      </c>
      <c r="M261" t="s">
        <v>56</v>
      </c>
      <c r="N261">
        <v>70835821</v>
      </c>
    </row>
    <row r="262" spans="1:14" x14ac:dyDescent="0.25">
      <c r="A262">
        <v>57252752</v>
      </c>
      <c r="B262" t="s">
        <v>1264</v>
      </c>
      <c r="C262" t="s">
        <v>1265</v>
      </c>
      <c r="D262" t="s">
        <v>1266</v>
      </c>
      <c r="E262">
        <v>8039158761</v>
      </c>
      <c r="F262" t="s">
        <v>1267</v>
      </c>
      <c r="G262" t="s">
        <v>1268</v>
      </c>
      <c r="I262" t="s">
        <v>1269</v>
      </c>
      <c r="J262" s="13">
        <v>45945</v>
      </c>
      <c r="K262" s="13">
        <v>46023</v>
      </c>
      <c r="L262" t="s">
        <v>533</v>
      </c>
      <c r="M262" t="s">
        <v>56</v>
      </c>
      <c r="N262">
        <v>70835886</v>
      </c>
    </row>
    <row r="263" spans="1:14" x14ac:dyDescent="0.25">
      <c r="A263">
        <v>57252888</v>
      </c>
      <c r="B263" t="s">
        <v>1270</v>
      </c>
      <c r="C263" t="s">
        <v>1271</v>
      </c>
      <c r="D263" t="s">
        <v>1272</v>
      </c>
      <c r="E263">
        <v>4303076296</v>
      </c>
      <c r="F263" t="s">
        <v>1225</v>
      </c>
      <c r="G263" t="s">
        <v>1226</v>
      </c>
      <c r="I263" t="s">
        <v>1227</v>
      </c>
      <c r="J263" s="13">
        <v>45945</v>
      </c>
      <c r="K263" s="13">
        <v>46023</v>
      </c>
      <c r="L263" t="s">
        <v>444</v>
      </c>
      <c r="M263" t="s">
        <v>56</v>
      </c>
      <c r="N263">
        <v>70835951</v>
      </c>
    </row>
    <row r="264" spans="1:14" x14ac:dyDescent="0.25">
      <c r="A264">
        <v>57252914</v>
      </c>
      <c r="B264" t="s">
        <v>1273</v>
      </c>
      <c r="C264" t="s">
        <v>1274</v>
      </c>
      <c r="D264" t="s">
        <v>1275</v>
      </c>
      <c r="E264">
        <v>4046656994</v>
      </c>
      <c r="F264" t="s">
        <v>842</v>
      </c>
      <c r="G264" t="s">
        <v>843</v>
      </c>
      <c r="I264" t="s">
        <v>98</v>
      </c>
      <c r="J264" s="13">
        <v>45945</v>
      </c>
      <c r="K264" s="13">
        <v>46023</v>
      </c>
      <c r="L264" t="s">
        <v>621</v>
      </c>
      <c r="M264" t="s">
        <v>58</v>
      </c>
      <c r="N264">
        <v>70835966</v>
      </c>
    </row>
    <row r="265" spans="1:14" x14ac:dyDescent="0.25">
      <c r="A265">
        <v>57252940</v>
      </c>
      <c r="B265" t="s">
        <v>554</v>
      </c>
      <c r="C265" t="s">
        <v>1276</v>
      </c>
      <c r="D265" t="s">
        <v>1277</v>
      </c>
      <c r="E265">
        <v>5204097619</v>
      </c>
      <c r="F265" t="s">
        <v>993</v>
      </c>
      <c r="G265" t="s">
        <v>994</v>
      </c>
      <c r="I265" t="s">
        <v>995</v>
      </c>
      <c r="J265" s="13">
        <v>45945</v>
      </c>
      <c r="K265" s="13">
        <v>46023</v>
      </c>
      <c r="L265" t="s">
        <v>1179</v>
      </c>
      <c r="M265" t="s">
        <v>59</v>
      </c>
      <c r="N265">
        <v>70835984</v>
      </c>
    </row>
    <row r="266" spans="1:14" x14ac:dyDescent="0.25">
      <c r="A266">
        <v>57253055</v>
      </c>
      <c r="B266" t="s">
        <v>1278</v>
      </c>
      <c r="C266" t="s">
        <v>1279</v>
      </c>
      <c r="D266" t="s">
        <v>1280</v>
      </c>
      <c r="E266">
        <v>8502286267</v>
      </c>
      <c r="F266" t="s">
        <v>870</v>
      </c>
      <c r="G266" t="s">
        <v>871</v>
      </c>
      <c r="I266" t="s">
        <v>872</v>
      </c>
      <c r="J266" s="13">
        <v>45945</v>
      </c>
      <c r="K266" s="13">
        <v>46023</v>
      </c>
      <c r="L266" t="s">
        <v>497</v>
      </c>
      <c r="M266" t="s">
        <v>58</v>
      </c>
      <c r="N266">
        <v>70836066</v>
      </c>
    </row>
    <row r="267" spans="1:14" x14ac:dyDescent="0.25">
      <c r="A267">
        <v>57253075</v>
      </c>
      <c r="B267" t="s">
        <v>879</v>
      </c>
      <c r="C267" t="s">
        <v>1281</v>
      </c>
      <c r="D267" t="s">
        <v>1282</v>
      </c>
      <c r="E267">
        <v>3367822662</v>
      </c>
      <c r="F267" t="s">
        <v>1013</v>
      </c>
      <c r="G267" t="s">
        <v>1014</v>
      </c>
      <c r="I267" t="s">
        <v>43</v>
      </c>
      <c r="J267" s="13">
        <v>45945</v>
      </c>
      <c r="K267" s="13">
        <v>46023</v>
      </c>
      <c r="L267" t="s">
        <v>418</v>
      </c>
      <c r="M267" t="s">
        <v>56</v>
      </c>
      <c r="N267">
        <v>70836074</v>
      </c>
    </row>
    <row r="268" spans="1:14" x14ac:dyDescent="0.25">
      <c r="A268">
        <v>57253141</v>
      </c>
      <c r="B268" t="s">
        <v>1283</v>
      </c>
      <c r="C268" t="s">
        <v>1284</v>
      </c>
      <c r="D268" t="s">
        <v>1285</v>
      </c>
      <c r="E268">
        <v>8633379769</v>
      </c>
      <c r="F268" t="s">
        <v>815</v>
      </c>
      <c r="G268" t="s">
        <v>816</v>
      </c>
      <c r="I268" t="s">
        <v>23</v>
      </c>
      <c r="J268" s="13">
        <v>45945</v>
      </c>
      <c r="K268" s="13">
        <v>46023</v>
      </c>
      <c r="L268" t="s">
        <v>444</v>
      </c>
      <c r="M268" t="s">
        <v>59</v>
      </c>
      <c r="N268">
        <v>70836121</v>
      </c>
    </row>
    <row r="269" spans="1:14" x14ac:dyDescent="0.25">
      <c r="A269">
        <v>57253219</v>
      </c>
      <c r="B269" t="s">
        <v>1286</v>
      </c>
      <c r="C269" t="s">
        <v>1287</v>
      </c>
      <c r="D269" t="s">
        <v>1288</v>
      </c>
      <c r="E269">
        <v>2054965322</v>
      </c>
      <c r="F269" t="s">
        <v>790</v>
      </c>
      <c r="G269" t="s">
        <v>791</v>
      </c>
      <c r="I269" t="s">
        <v>119</v>
      </c>
      <c r="J269" s="13">
        <v>45945</v>
      </c>
      <c r="K269" s="13">
        <v>46023</v>
      </c>
      <c r="L269" t="s">
        <v>450</v>
      </c>
      <c r="M269" t="s">
        <v>56</v>
      </c>
      <c r="N269">
        <v>70836134</v>
      </c>
    </row>
    <row r="270" spans="1:14" x14ac:dyDescent="0.25">
      <c r="A270">
        <v>57253186</v>
      </c>
      <c r="B270" t="s">
        <v>1289</v>
      </c>
      <c r="C270" t="s">
        <v>1290</v>
      </c>
      <c r="D270" t="s">
        <v>1291</v>
      </c>
      <c r="E270">
        <v>7253007522</v>
      </c>
      <c r="F270" t="s">
        <v>705</v>
      </c>
      <c r="G270" t="s">
        <v>706</v>
      </c>
      <c r="I270" t="s">
        <v>12</v>
      </c>
      <c r="J270" s="13">
        <v>45945</v>
      </c>
      <c r="K270" s="13">
        <v>46023</v>
      </c>
      <c r="L270" t="s">
        <v>483</v>
      </c>
      <c r="M270" t="s">
        <v>56</v>
      </c>
      <c r="N270">
        <v>70836151</v>
      </c>
    </row>
    <row r="271" spans="1:14" x14ac:dyDescent="0.25">
      <c r="A271">
        <v>57253212</v>
      </c>
      <c r="B271" t="s">
        <v>1276</v>
      </c>
      <c r="C271" t="s">
        <v>1292</v>
      </c>
      <c r="D271" t="s">
        <v>1293</v>
      </c>
      <c r="E271">
        <v>5134156022</v>
      </c>
      <c r="F271" t="s">
        <v>448</v>
      </c>
      <c r="G271" t="s">
        <v>449</v>
      </c>
      <c r="I271" t="s">
        <v>31</v>
      </c>
      <c r="J271" s="13">
        <v>45945</v>
      </c>
      <c r="K271" s="13">
        <v>46023</v>
      </c>
      <c r="L271" t="s">
        <v>490</v>
      </c>
      <c r="M271" t="s">
        <v>60</v>
      </c>
      <c r="N271">
        <v>70836169</v>
      </c>
    </row>
    <row r="272" spans="1:14" x14ac:dyDescent="0.25">
      <c r="A272">
        <v>57260324</v>
      </c>
      <c r="B272" t="s">
        <v>1109</v>
      </c>
      <c r="C272" t="s">
        <v>888</v>
      </c>
      <c r="D272" t="s">
        <v>1294</v>
      </c>
      <c r="E272">
        <v>8636510517</v>
      </c>
      <c r="F272" t="s">
        <v>448</v>
      </c>
      <c r="G272" t="s">
        <v>449</v>
      </c>
      <c r="I272" t="s">
        <v>31</v>
      </c>
      <c r="J272" s="13">
        <v>45945</v>
      </c>
      <c r="K272" s="13">
        <v>46023</v>
      </c>
      <c r="L272" t="s">
        <v>497</v>
      </c>
      <c r="M272" t="s">
        <v>59</v>
      </c>
      <c r="N272">
        <v>70836209</v>
      </c>
    </row>
    <row r="273" spans="1:14" x14ac:dyDescent="0.25">
      <c r="A273">
        <v>57253367</v>
      </c>
      <c r="B273" t="s">
        <v>651</v>
      </c>
      <c r="C273" t="s">
        <v>1295</v>
      </c>
      <c r="D273" t="s">
        <v>1296</v>
      </c>
      <c r="E273">
        <v>6207046350</v>
      </c>
      <c r="F273" t="s">
        <v>462</v>
      </c>
      <c r="G273" t="s">
        <v>463</v>
      </c>
      <c r="I273" t="s">
        <v>39</v>
      </c>
      <c r="J273" s="13">
        <v>45945</v>
      </c>
      <c r="K273" s="13">
        <v>46023</v>
      </c>
      <c r="L273" t="s">
        <v>434</v>
      </c>
      <c r="M273" t="s">
        <v>58</v>
      </c>
      <c r="N273">
        <v>70836263</v>
      </c>
    </row>
    <row r="274" spans="1:14" x14ac:dyDescent="0.25">
      <c r="A274">
        <v>57253585</v>
      </c>
      <c r="B274" t="s">
        <v>1297</v>
      </c>
      <c r="C274" t="s">
        <v>1298</v>
      </c>
      <c r="D274" t="s">
        <v>1299</v>
      </c>
      <c r="E274">
        <v>7407272507</v>
      </c>
      <c r="F274" t="s">
        <v>1086</v>
      </c>
      <c r="G274" t="s">
        <v>1087</v>
      </c>
      <c r="I274" t="s">
        <v>1088</v>
      </c>
      <c r="J274" s="13">
        <v>45945</v>
      </c>
      <c r="K274" s="13">
        <v>46023</v>
      </c>
      <c r="L274" t="s">
        <v>418</v>
      </c>
      <c r="M274" t="s">
        <v>419</v>
      </c>
      <c r="N274">
        <v>70836392</v>
      </c>
    </row>
    <row r="275" spans="1:14" x14ac:dyDescent="0.25">
      <c r="A275">
        <v>57254055</v>
      </c>
      <c r="B275" t="s">
        <v>980</v>
      </c>
      <c r="C275" t="s">
        <v>1300</v>
      </c>
      <c r="D275" t="s">
        <v>1301</v>
      </c>
      <c r="E275">
        <v>9107307902</v>
      </c>
      <c r="F275" t="s">
        <v>474</v>
      </c>
      <c r="G275" t="s">
        <v>475</v>
      </c>
      <c r="I275" t="s">
        <v>132</v>
      </c>
      <c r="J275" s="13">
        <v>45945</v>
      </c>
      <c r="K275" s="13">
        <v>46023</v>
      </c>
      <c r="L275" t="s">
        <v>603</v>
      </c>
      <c r="M275" t="s">
        <v>58</v>
      </c>
      <c r="N275">
        <v>70836636</v>
      </c>
    </row>
    <row r="276" spans="1:14" x14ac:dyDescent="0.25">
      <c r="A276">
        <v>57254261</v>
      </c>
      <c r="B276" t="s">
        <v>548</v>
      </c>
      <c r="C276" t="s">
        <v>1302</v>
      </c>
      <c r="D276" t="s">
        <v>1303</v>
      </c>
      <c r="E276">
        <v>6368295196</v>
      </c>
      <c r="F276" t="s">
        <v>770</v>
      </c>
      <c r="G276" t="s">
        <v>771</v>
      </c>
      <c r="I276" t="s">
        <v>25</v>
      </c>
      <c r="J276" s="13">
        <v>45945</v>
      </c>
      <c r="K276" s="13">
        <v>46023</v>
      </c>
      <c r="L276" t="s">
        <v>434</v>
      </c>
      <c r="M276" t="s">
        <v>59</v>
      </c>
      <c r="N276">
        <v>70836752</v>
      </c>
    </row>
    <row r="277" spans="1:14" x14ac:dyDescent="0.25">
      <c r="A277">
        <v>57254460</v>
      </c>
      <c r="B277" t="s">
        <v>672</v>
      </c>
      <c r="C277" t="s">
        <v>1304</v>
      </c>
      <c r="D277" t="s">
        <v>1305</v>
      </c>
      <c r="E277">
        <v>8162741198</v>
      </c>
      <c r="F277" t="s">
        <v>569</v>
      </c>
      <c r="G277" t="s">
        <v>570</v>
      </c>
      <c r="I277" t="s">
        <v>34</v>
      </c>
      <c r="J277" s="13">
        <v>45945</v>
      </c>
      <c r="K277" s="13">
        <v>46023</v>
      </c>
      <c r="L277" t="s">
        <v>434</v>
      </c>
      <c r="M277" t="s">
        <v>59</v>
      </c>
      <c r="N277">
        <v>70836856</v>
      </c>
    </row>
    <row r="278" spans="1:14" x14ac:dyDescent="0.25">
      <c r="A278">
        <v>57254745</v>
      </c>
      <c r="B278" t="s">
        <v>1306</v>
      </c>
      <c r="C278" t="s">
        <v>1307</v>
      </c>
      <c r="D278" t="s">
        <v>1308</v>
      </c>
      <c r="E278">
        <v>2514289091</v>
      </c>
      <c r="F278" t="s">
        <v>462</v>
      </c>
      <c r="G278" t="s">
        <v>463</v>
      </c>
      <c r="I278" t="s">
        <v>39</v>
      </c>
      <c r="J278" s="13">
        <v>45945</v>
      </c>
      <c r="K278" s="13">
        <v>46023</v>
      </c>
      <c r="L278" t="s">
        <v>450</v>
      </c>
      <c r="M278" t="s">
        <v>59</v>
      </c>
      <c r="N278">
        <v>70837031</v>
      </c>
    </row>
    <row r="279" spans="1:14" x14ac:dyDescent="0.25">
      <c r="A279">
        <v>57254830</v>
      </c>
      <c r="B279" t="s">
        <v>1309</v>
      </c>
      <c r="C279" t="s">
        <v>1310</v>
      </c>
      <c r="D279" t="s">
        <v>1311</v>
      </c>
      <c r="E279">
        <v>5043175116</v>
      </c>
      <c r="F279" t="s">
        <v>705</v>
      </c>
      <c r="G279" t="s">
        <v>706</v>
      </c>
      <c r="I279" t="s">
        <v>12</v>
      </c>
      <c r="J279" s="13">
        <v>45945</v>
      </c>
      <c r="K279" s="13">
        <v>46023</v>
      </c>
      <c r="L279" t="s">
        <v>612</v>
      </c>
      <c r="M279" t="s">
        <v>56</v>
      </c>
      <c r="N279">
        <v>70837090</v>
      </c>
    </row>
    <row r="280" spans="1:14" x14ac:dyDescent="0.25">
      <c r="A280">
        <v>57254835</v>
      </c>
      <c r="B280" t="s">
        <v>425</v>
      </c>
      <c r="C280" t="s">
        <v>1312</v>
      </c>
      <c r="D280" t="s">
        <v>1313</v>
      </c>
      <c r="E280">
        <v>9804250843</v>
      </c>
      <c r="F280" t="s">
        <v>649</v>
      </c>
      <c r="G280" t="s">
        <v>650</v>
      </c>
      <c r="I280" t="s">
        <v>28</v>
      </c>
      <c r="J280" s="13">
        <v>45945</v>
      </c>
      <c r="K280" s="13">
        <v>46023</v>
      </c>
      <c r="L280" t="s">
        <v>603</v>
      </c>
      <c r="M280" t="s">
        <v>58</v>
      </c>
      <c r="N280">
        <v>70837093</v>
      </c>
    </row>
    <row r="281" spans="1:14" x14ac:dyDescent="0.25">
      <c r="A281">
        <v>57525753</v>
      </c>
      <c r="B281" t="s">
        <v>554</v>
      </c>
      <c r="C281" t="s">
        <v>1314</v>
      </c>
      <c r="D281" t="s">
        <v>1315</v>
      </c>
      <c r="E281">
        <v>7062730384</v>
      </c>
      <c r="F281" t="s">
        <v>578</v>
      </c>
      <c r="G281" t="s">
        <v>579</v>
      </c>
      <c r="I281" t="s">
        <v>15</v>
      </c>
      <c r="J281" s="13">
        <v>45957</v>
      </c>
      <c r="K281" s="13">
        <v>46023</v>
      </c>
      <c r="L281" t="s">
        <v>621</v>
      </c>
      <c r="M281" t="s">
        <v>58</v>
      </c>
      <c r="N281">
        <v>70837123</v>
      </c>
    </row>
    <row r="282" spans="1:14" x14ac:dyDescent="0.25">
      <c r="A282">
        <v>57254974</v>
      </c>
      <c r="B282" t="s">
        <v>1316</v>
      </c>
      <c r="C282" t="s">
        <v>1317</v>
      </c>
      <c r="D282" t="s">
        <v>1318</v>
      </c>
      <c r="E282">
        <v>8045129115</v>
      </c>
      <c r="F282" t="s">
        <v>537</v>
      </c>
      <c r="G282" t="s">
        <v>538</v>
      </c>
      <c r="I282" t="s">
        <v>49</v>
      </c>
      <c r="J282" s="13">
        <v>45945</v>
      </c>
      <c r="K282" s="13">
        <v>46023</v>
      </c>
      <c r="L282" t="s">
        <v>454</v>
      </c>
      <c r="M282" t="s">
        <v>58</v>
      </c>
      <c r="N282">
        <v>70837214</v>
      </c>
    </row>
    <row r="283" spans="1:14" x14ac:dyDescent="0.25">
      <c r="A283">
        <v>57254995</v>
      </c>
      <c r="B283" t="s">
        <v>1319</v>
      </c>
      <c r="C283" t="s">
        <v>1320</v>
      </c>
      <c r="D283" t="s">
        <v>1321</v>
      </c>
      <c r="E283">
        <v>8642029509</v>
      </c>
      <c r="F283" t="s">
        <v>807</v>
      </c>
      <c r="G283" t="s">
        <v>808</v>
      </c>
      <c r="I283" t="s">
        <v>33</v>
      </c>
      <c r="J283" s="13">
        <v>45945</v>
      </c>
      <c r="K283" s="13">
        <v>46023</v>
      </c>
      <c r="L283" t="s">
        <v>533</v>
      </c>
      <c r="M283" t="s">
        <v>56</v>
      </c>
      <c r="N283">
        <v>70837236</v>
      </c>
    </row>
    <row r="284" spans="1:14" x14ac:dyDescent="0.25">
      <c r="A284">
        <v>57255016</v>
      </c>
      <c r="B284" t="s">
        <v>743</v>
      </c>
      <c r="C284" t="s">
        <v>1322</v>
      </c>
      <c r="D284" t="s">
        <v>1323</v>
      </c>
      <c r="E284">
        <v>4804449774</v>
      </c>
      <c r="F284" t="s">
        <v>766</v>
      </c>
      <c r="G284" t="s">
        <v>767</v>
      </c>
      <c r="I284" t="s">
        <v>88</v>
      </c>
      <c r="J284" s="13">
        <v>45945</v>
      </c>
      <c r="K284" s="13">
        <v>46023</v>
      </c>
      <c r="L284" t="s">
        <v>1179</v>
      </c>
      <c r="M284" t="s">
        <v>54</v>
      </c>
      <c r="N284">
        <v>70837246</v>
      </c>
    </row>
    <row r="285" spans="1:14" x14ac:dyDescent="0.25">
      <c r="A285">
        <v>57255047</v>
      </c>
      <c r="B285" t="s">
        <v>1324</v>
      </c>
      <c r="C285" t="s">
        <v>1325</v>
      </c>
      <c r="D285" t="s">
        <v>1326</v>
      </c>
      <c r="E285">
        <v>7197171057</v>
      </c>
      <c r="F285" t="s">
        <v>592</v>
      </c>
      <c r="G285" t="s">
        <v>593</v>
      </c>
      <c r="I285" t="s">
        <v>115</v>
      </c>
      <c r="J285" s="13">
        <v>45945</v>
      </c>
      <c r="K285" s="13">
        <v>46023</v>
      </c>
      <c r="L285" t="s">
        <v>539</v>
      </c>
      <c r="M285" t="s">
        <v>59</v>
      </c>
      <c r="N285">
        <v>70837272</v>
      </c>
    </row>
    <row r="286" spans="1:14" x14ac:dyDescent="0.25">
      <c r="A286">
        <v>57255265</v>
      </c>
      <c r="B286" t="s">
        <v>651</v>
      </c>
      <c r="C286" t="s">
        <v>1327</v>
      </c>
      <c r="D286" t="s">
        <v>1328</v>
      </c>
      <c r="E286">
        <v>3049918509</v>
      </c>
      <c r="F286" t="s">
        <v>1013</v>
      </c>
      <c r="G286" t="s">
        <v>1014</v>
      </c>
      <c r="I286" t="s">
        <v>43</v>
      </c>
      <c r="J286" s="13">
        <v>45945</v>
      </c>
      <c r="K286" s="13">
        <v>46023</v>
      </c>
      <c r="L286" t="s">
        <v>1188</v>
      </c>
      <c r="M286" t="s">
        <v>56</v>
      </c>
      <c r="N286">
        <v>70837420</v>
      </c>
    </row>
    <row r="287" spans="1:14" x14ac:dyDescent="0.25">
      <c r="A287">
        <v>57255554</v>
      </c>
      <c r="B287" t="s">
        <v>1329</v>
      </c>
      <c r="C287" t="s">
        <v>1330</v>
      </c>
      <c r="D287" t="s">
        <v>1331</v>
      </c>
      <c r="E287">
        <v>7869082467</v>
      </c>
      <c r="F287" t="s">
        <v>569</v>
      </c>
      <c r="G287" t="s">
        <v>570</v>
      </c>
      <c r="I287" t="s">
        <v>34</v>
      </c>
      <c r="J287" s="13">
        <v>45945</v>
      </c>
      <c r="K287" s="13">
        <v>46023</v>
      </c>
      <c r="L287" t="s">
        <v>497</v>
      </c>
      <c r="M287" t="s">
        <v>61</v>
      </c>
      <c r="N287">
        <v>70837595</v>
      </c>
    </row>
    <row r="288" spans="1:14" x14ac:dyDescent="0.25">
      <c r="A288">
        <v>57255693</v>
      </c>
      <c r="B288" t="s">
        <v>445</v>
      </c>
      <c r="C288" t="s">
        <v>1332</v>
      </c>
      <c r="D288" t="s">
        <v>1333</v>
      </c>
      <c r="E288">
        <v>6026289801</v>
      </c>
      <c r="F288" t="s">
        <v>993</v>
      </c>
      <c r="G288" t="s">
        <v>994</v>
      </c>
      <c r="I288" t="s">
        <v>995</v>
      </c>
      <c r="J288" s="13">
        <v>45945</v>
      </c>
      <c r="K288" s="13">
        <v>46023</v>
      </c>
      <c r="L288" t="s">
        <v>1179</v>
      </c>
      <c r="M288" t="s">
        <v>58</v>
      </c>
      <c r="N288">
        <v>70837648</v>
      </c>
    </row>
    <row r="289" spans="1:14" x14ac:dyDescent="0.25">
      <c r="A289">
        <v>57255797</v>
      </c>
      <c r="B289" t="s">
        <v>1334</v>
      </c>
      <c r="C289" t="s">
        <v>1335</v>
      </c>
      <c r="D289" t="s">
        <v>1336</v>
      </c>
      <c r="E289">
        <v>2073576827</v>
      </c>
      <c r="F289" t="s">
        <v>780</v>
      </c>
      <c r="G289" t="s">
        <v>781</v>
      </c>
      <c r="I289" t="s">
        <v>20</v>
      </c>
      <c r="J289" s="13">
        <v>45945</v>
      </c>
      <c r="K289" s="13">
        <v>46023</v>
      </c>
      <c r="L289" t="s">
        <v>941</v>
      </c>
      <c r="M289" t="s">
        <v>56</v>
      </c>
      <c r="N289">
        <v>70837705</v>
      </c>
    </row>
    <row r="290" spans="1:14" x14ac:dyDescent="0.25">
      <c r="A290">
        <v>63479679</v>
      </c>
      <c r="B290" t="s">
        <v>445</v>
      </c>
      <c r="C290" t="s">
        <v>1337</v>
      </c>
      <c r="D290" t="s">
        <v>1338</v>
      </c>
      <c r="E290" t="s">
        <v>1339</v>
      </c>
      <c r="F290" t="s">
        <v>815</v>
      </c>
      <c r="G290" t="s">
        <v>816</v>
      </c>
      <c r="I290" t="s">
        <v>23</v>
      </c>
      <c r="J290" s="13">
        <v>46141</v>
      </c>
      <c r="K290" s="13">
        <v>46143</v>
      </c>
      <c r="L290" t="s">
        <v>621</v>
      </c>
      <c r="M290" t="s">
        <v>61</v>
      </c>
      <c r="N290">
        <v>70837715</v>
      </c>
    </row>
    <row r="291" spans="1:14" x14ac:dyDescent="0.25">
      <c r="A291">
        <v>57255889</v>
      </c>
      <c r="B291" t="s">
        <v>1340</v>
      </c>
      <c r="C291" t="s">
        <v>1258</v>
      </c>
      <c r="D291" t="s">
        <v>1341</v>
      </c>
      <c r="E291">
        <v>2253483179</v>
      </c>
      <c r="F291" t="s">
        <v>684</v>
      </c>
      <c r="G291" t="s">
        <v>685</v>
      </c>
      <c r="I291" t="s">
        <v>686</v>
      </c>
      <c r="J291" s="13">
        <v>45945</v>
      </c>
      <c r="K291" s="13">
        <v>46023</v>
      </c>
      <c r="L291" t="s">
        <v>612</v>
      </c>
      <c r="M291" t="s">
        <v>56</v>
      </c>
      <c r="N291">
        <v>70837751</v>
      </c>
    </row>
    <row r="292" spans="1:14" x14ac:dyDescent="0.25">
      <c r="A292">
        <v>57256123</v>
      </c>
      <c r="B292" t="s">
        <v>1342</v>
      </c>
      <c r="C292" t="s">
        <v>1343</v>
      </c>
      <c r="D292" t="s">
        <v>1344</v>
      </c>
      <c r="E292">
        <v>9282231978</v>
      </c>
      <c r="F292" t="s">
        <v>1345</v>
      </c>
      <c r="G292" t="s">
        <v>799</v>
      </c>
      <c r="I292" t="s">
        <v>47</v>
      </c>
      <c r="J292" s="13">
        <v>45945</v>
      </c>
      <c r="K292" s="13">
        <v>46023</v>
      </c>
      <c r="L292" t="s">
        <v>1179</v>
      </c>
      <c r="M292" t="s">
        <v>54</v>
      </c>
      <c r="N292">
        <v>70837882</v>
      </c>
    </row>
    <row r="293" spans="1:14" x14ac:dyDescent="0.25">
      <c r="A293">
        <v>57256128</v>
      </c>
      <c r="B293" t="s">
        <v>702</v>
      </c>
      <c r="C293" t="s">
        <v>1346</v>
      </c>
      <c r="D293" t="s">
        <v>1347</v>
      </c>
      <c r="E293">
        <v>7405179824</v>
      </c>
      <c r="F293" t="s">
        <v>790</v>
      </c>
      <c r="G293" t="s">
        <v>791</v>
      </c>
      <c r="I293" t="s">
        <v>119</v>
      </c>
      <c r="J293" s="13">
        <v>45945</v>
      </c>
      <c r="K293" s="13">
        <v>46023</v>
      </c>
      <c r="L293" t="s">
        <v>418</v>
      </c>
      <c r="M293" t="s">
        <v>56</v>
      </c>
      <c r="N293">
        <v>70837887</v>
      </c>
    </row>
    <row r="294" spans="1:14" x14ac:dyDescent="0.25">
      <c r="A294">
        <v>57256144</v>
      </c>
      <c r="B294" t="s">
        <v>449</v>
      </c>
      <c r="C294" t="s">
        <v>1348</v>
      </c>
      <c r="D294" t="s">
        <v>1349</v>
      </c>
      <c r="E294">
        <v>4049513218</v>
      </c>
      <c r="F294" t="s">
        <v>798</v>
      </c>
      <c r="G294" t="s">
        <v>799</v>
      </c>
      <c r="I294" t="s">
        <v>800</v>
      </c>
      <c r="J294" s="13">
        <v>45945</v>
      </c>
      <c r="K294" s="13">
        <v>46023</v>
      </c>
      <c r="L294" t="s">
        <v>621</v>
      </c>
      <c r="M294" t="s">
        <v>58</v>
      </c>
      <c r="N294">
        <v>70837895</v>
      </c>
    </row>
    <row r="295" spans="1:14" x14ac:dyDescent="0.25">
      <c r="A295">
        <v>57256181</v>
      </c>
      <c r="B295" t="s">
        <v>1106</v>
      </c>
      <c r="C295" t="s">
        <v>1350</v>
      </c>
      <c r="D295" t="s">
        <v>1351</v>
      </c>
      <c r="E295">
        <v>3046696928</v>
      </c>
      <c r="F295" t="s">
        <v>1013</v>
      </c>
      <c r="G295" t="s">
        <v>1014</v>
      </c>
      <c r="I295" t="s">
        <v>43</v>
      </c>
      <c r="J295" s="13">
        <v>45945</v>
      </c>
      <c r="K295" s="13">
        <v>46023</v>
      </c>
      <c r="L295" t="s">
        <v>1188</v>
      </c>
      <c r="M295" t="s">
        <v>56</v>
      </c>
      <c r="N295">
        <v>70837914</v>
      </c>
    </row>
    <row r="296" spans="1:14" x14ac:dyDescent="0.25">
      <c r="A296">
        <v>57256211</v>
      </c>
      <c r="B296" t="s">
        <v>1352</v>
      </c>
      <c r="C296" t="s">
        <v>1353</v>
      </c>
      <c r="D296" t="s">
        <v>1354</v>
      </c>
      <c r="E296">
        <v>5042344228</v>
      </c>
      <c r="F296" t="s">
        <v>705</v>
      </c>
      <c r="G296" t="s">
        <v>706</v>
      </c>
      <c r="I296" t="s">
        <v>12</v>
      </c>
      <c r="J296" s="13">
        <v>45945</v>
      </c>
      <c r="K296" s="13">
        <v>46023</v>
      </c>
      <c r="L296" t="s">
        <v>612</v>
      </c>
      <c r="M296" t="s">
        <v>59</v>
      </c>
      <c r="N296">
        <v>70837934</v>
      </c>
    </row>
    <row r="297" spans="1:14" x14ac:dyDescent="0.25">
      <c r="A297">
        <v>57256241</v>
      </c>
      <c r="B297" t="s">
        <v>1355</v>
      </c>
      <c r="C297" t="s">
        <v>1356</v>
      </c>
      <c r="D297" t="s">
        <v>1357</v>
      </c>
      <c r="E297" t="s">
        <v>1358</v>
      </c>
      <c r="F297" t="s">
        <v>592</v>
      </c>
      <c r="G297" t="s">
        <v>593</v>
      </c>
      <c r="I297" t="s">
        <v>115</v>
      </c>
      <c r="J297" s="13">
        <v>45945</v>
      </c>
      <c r="K297" s="13">
        <v>46023</v>
      </c>
      <c r="L297" t="s">
        <v>612</v>
      </c>
      <c r="M297" t="s">
        <v>56</v>
      </c>
      <c r="N297">
        <v>70837958</v>
      </c>
    </row>
    <row r="298" spans="1:14" x14ac:dyDescent="0.25">
      <c r="A298">
        <v>57256272</v>
      </c>
      <c r="B298" t="s">
        <v>1359</v>
      </c>
      <c r="C298" t="s">
        <v>1360</v>
      </c>
      <c r="D298" t="s">
        <v>1361</v>
      </c>
      <c r="E298">
        <v>8168123347</v>
      </c>
      <c r="F298" t="s">
        <v>649</v>
      </c>
      <c r="G298" t="s">
        <v>650</v>
      </c>
      <c r="I298" t="s">
        <v>28</v>
      </c>
      <c r="J298" s="13">
        <v>45945</v>
      </c>
      <c r="K298" s="13">
        <v>46023</v>
      </c>
      <c r="L298" t="s">
        <v>434</v>
      </c>
      <c r="M298" t="s">
        <v>56</v>
      </c>
      <c r="N298">
        <v>70837977</v>
      </c>
    </row>
    <row r="299" spans="1:14" x14ac:dyDescent="0.25">
      <c r="A299">
        <v>57256624</v>
      </c>
      <c r="B299" t="s">
        <v>1362</v>
      </c>
      <c r="C299" t="s">
        <v>1363</v>
      </c>
      <c r="D299" t="s">
        <v>1364</v>
      </c>
      <c r="E299">
        <v>4173093362</v>
      </c>
      <c r="F299" t="s">
        <v>1003</v>
      </c>
      <c r="G299" t="s">
        <v>1004</v>
      </c>
      <c r="I299" t="s">
        <v>89</v>
      </c>
      <c r="J299" s="13">
        <v>45945</v>
      </c>
      <c r="K299" s="13">
        <v>46023</v>
      </c>
      <c r="L299" t="s">
        <v>434</v>
      </c>
      <c r="M299" t="s">
        <v>59</v>
      </c>
      <c r="N299">
        <v>70838168</v>
      </c>
    </row>
    <row r="300" spans="1:14" x14ac:dyDescent="0.25">
      <c r="A300">
        <v>57256656</v>
      </c>
      <c r="B300" t="s">
        <v>1365</v>
      </c>
      <c r="C300" t="s">
        <v>1366</v>
      </c>
      <c r="D300" t="s">
        <v>1367</v>
      </c>
      <c r="E300">
        <v>7042947342</v>
      </c>
      <c r="F300" t="s">
        <v>993</v>
      </c>
      <c r="G300" t="s">
        <v>994</v>
      </c>
      <c r="I300" t="s">
        <v>995</v>
      </c>
      <c r="J300" s="13">
        <v>45945</v>
      </c>
      <c r="K300" s="13">
        <v>46023</v>
      </c>
      <c r="L300" t="s">
        <v>603</v>
      </c>
      <c r="M300" t="s">
        <v>56</v>
      </c>
      <c r="N300">
        <v>70838193</v>
      </c>
    </row>
    <row r="301" spans="1:14" x14ac:dyDescent="0.25">
      <c r="A301">
        <v>57258093</v>
      </c>
      <c r="B301" t="s">
        <v>1167</v>
      </c>
      <c r="C301" t="s">
        <v>1368</v>
      </c>
      <c r="D301" t="s">
        <v>1369</v>
      </c>
      <c r="E301">
        <v>2702131585</v>
      </c>
      <c r="F301" t="s">
        <v>842</v>
      </c>
      <c r="G301" t="s">
        <v>843</v>
      </c>
      <c r="I301" t="s">
        <v>98</v>
      </c>
      <c r="J301" s="13">
        <v>45945</v>
      </c>
      <c r="K301" s="13">
        <v>46023</v>
      </c>
      <c r="L301" t="s">
        <v>490</v>
      </c>
      <c r="M301" t="s">
        <v>56</v>
      </c>
      <c r="N301">
        <v>70839527</v>
      </c>
    </row>
    <row r="302" spans="1:14" x14ac:dyDescent="0.25">
      <c r="A302">
        <v>57259440</v>
      </c>
      <c r="B302" t="s">
        <v>1370</v>
      </c>
      <c r="C302" t="s">
        <v>1371</v>
      </c>
      <c r="D302" t="s">
        <v>1372</v>
      </c>
      <c r="E302">
        <v>7048366012</v>
      </c>
      <c r="F302" t="s">
        <v>1067</v>
      </c>
      <c r="G302" t="s">
        <v>1068</v>
      </c>
      <c r="I302" t="s">
        <v>35</v>
      </c>
      <c r="J302" s="13">
        <v>45946</v>
      </c>
      <c r="K302" s="13">
        <v>46023</v>
      </c>
      <c r="L302" t="s">
        <v>603</v>
      </c>
      <c r="M302" t="s">
        <v>59</v>
      </c>
      <c r="N302">
        <v>70840539</v>
      </c>
    </row>
    <row r="303" spans="1:14" x14ac:dyDescent="0.25">
      <c r="A303">
        <v>57260096</v>
      </c>
      <c r="B303" t="s">
        <v>1373</v>
      </c>
      <c r="C303" t="s">
        <v>903</v>
      </c>
      <c r="D303" t="s">
        <v>1374</v>
      </c>
      <c r="E303">
        <v>9032150945</v>
      </c>
      <c r="F303" t="s">
        <v>775</v>
      </c>
      <c r="G303" t="s">
        <v>776</v>
      </c>
      <c r="I303" t="s">
        <v>22</v>
      </c>
      <c r="J303" s="13">
        <v>45946</v>
      </c>
      <c r="K303" s="13">
        <v>46023</v>
      </c>
      <c r="L303" t="s">
        <v>444</v>
      </c>
      <c r="M303" t="s">
        <v>58</v>
      </c>
      <c r="N303">
        <v>70840950</v>
      </c>
    </row>
    <row r="304" spans="1:14" x14ac:dyDescent="0.25">
      <c r="A304">
        <v>57260565</v>
      </c>
      <c r="B304" t="s">
        <v>744</v>
      </c>
      <c r="C304" t="s">
        <v>1375</v>
      </c>
      <c r="D304" t="s">
        <v>1376</v>
      </c>
      <c r="E304">
        <v>5044273507</v>
      </c>
      <c r="F304" t="s">
        <v>842</v>
      </c>
      <c r="G304" t="s">
        <v>843</v>
      </c>
      <c r="I304" t="s">
        <v>98</v>
      </c>
      <c r="J304" s="13">
        <v>45946</v>
      </c>
      <c r="K304" s="13">
        <v>46023</v>
      </c>
      <c r="L304" t="s">
        <v>612</v>
      </c>
      <c r="M304" t="s">
        <v>58</v>
      </c>
      <c r="N304">
        <v>70841154</v>
      </c>
    </row>
    <row r="305" spans="1:14" x14ac:dyDescent="0.25">
      <c r="A305">
        <v>57260578</v>
      </c>
      <c r="B305" t="s">
        <v>1377</v>
      </c>
      <c r="C305" t="s">
        <v>1378</v>
      </c>
      <c r="D305" t="s">
        <v>1379</v>
      </c>
      <c r="E305">
        <v>3376926790</v>
      </c>
      <c r="F305" t="s">
        <v>1013</v>
      </c>
      <c r="G305" t="s">
        <v>1014</v>
      </c>
      <c r="I305" t="s">
        <v>43</v>
      </c>
      <c r="J305" s="13">
        <v>45946</v>
      </c>
      <c r="K305" s="13">
        <v>46023</v>
      </c>
      <c r="L305" t="s">
        <v>612</v>
      </c>
      <c r="M305" t="s">
        <v>58</v>
      </c>
      <c r="N305">
        <v>70841160</v>
      </c>
    </row>
    <row r="306" spans="1:14" x14ac:dyDescent="0.25">
      <c r="A306">
        <v>57260730</v>
      </c>
      <c r="B306" t="s">
        <v>1029</v>
      </c>
      <c r="C306" t="s">
        <v>546</v>
      </c>
      <c r="D306" t="s">
        <v>1380</v>
      </c>
      <c r="E306">
        <v>8506194488</v>
      </c>
      <c r="F306" t="s">
        <v>474</v>
      </c>
      <c r="G306" t="s">
        <v>475</v>
      </c>
      <c r="I306" t="s">
        <v>132</v>
      </c>
      <c r="J306" s="13">
        <v>45946</v>
      </c>
      <c r="K306" s="13">
        <v>46023</v>
      </c>
      <c r="L306" t="s">
        <v>444</v>
      </c>
      <c r="M306" t="s">
        <v>56</v>
      </c>
      <c r="N306">
        <v>70841260</v>
      </c>
    </row>
    <row r="307" spans="1:14" x14ac:dyDescent="0.25">
      <c r="A307">
        <v>57261963</v>
      </c>
      <c r="B307" t="s">
        <v>548</v>
      </c>
      <c r="C307" t="s">
        <v>1381</v>
      </c>
      <c r="D307" t="s">
        <v>1382</v>
      </c>
      <c r="E307">
        <v>2253981023</v>
      </c>
      <c r="F307" t="s">
        <v>537</v>
      </c>
      <c r="G307" t="s">
        <v>538</v>
      </c>
      <c r="I307" t="s">
        <v>49</v>
      </c>
      <c r="J307" s="13">
        <v>45946</v>
      </c>
      <c r="K307" s="13">
        <v>46023</v>
      </c>
      <c r="L307" t="s">
        <v>612</v>
      </c>
      <c r="M307" t="s">
        <v>58</v>
      </c>
      <c r="N307">
        <v>70841655</v>
      </c>
    </row>
    <row r="308" spans="1:14" x14ac:dyDescent="0.25">
      <c r="A308">
        <v>57262035</v>
      </c>
      <c r="B308" t="s">
        <v>604</v>
      </c>
      <c r="C308" t="s">
        <v>1383</v>
      </c>
      <c r="D308" t="s">
        <v>1384</v>
      </c>
      <c r="E308">
        <v>5409157195</v>
      </c>
      <c r="F308" t="s">
        <v>615</v>
      </c>
      <c r="G308" t="s">
        <v>616</v>
      </c>
      <c r="I308" t="s">
        <v>617</v>
      </c>
      <c r="J308" s="13">
        <v>45946</v>
      </c>
      <c r="K308" s="13">
        <v>46023</v>
      </c>
      <c r="L308" t="s">
        <v>454</v>
      </c>
      <c r="M308" t="s">
        <v>419</v>
      </c>
      <c r="N308">
        <v>70841701</v>
      </c>
    </row>
    <row r="309" spans="1:14" x14ac:dyDescent="0.25">
      <c r="A309">
        <v>57262236</v>
      </c>
      <c r="B309" t="s">
        <v>1385</v>
      </c>
      <c r="C309" t="s">
        <v>1386</v>
      </c>
      <c r="D309" t="s">
        <v>1387</v>
      </c>
      <c r="E309">
        <v>6189753561</v>
      </c>
      <c r="F309" t="s">
        <v>821</v>
      </c>
      <c r="G309" t="s">
        <v>822</v>
      </c>
      <c r="I309" t="s">
        <v>823</v>
      </c>
      <c r="J309" s="13">
        <v>45946</v>
      </c>
      <c r="K309" s="13">
        <v>46023</v>
      </c>
      <c r="L309" t="s">
        <v>470</v>
      </c>
      <c r="M309" t="s">
        <v>59</v>
      </c>
      <c r="N309">
        <v>70841883</v>
      </c>
    </row>
    <row r="310" spans="1:14" x14ac:dyDescent="0.25">
      <c r="A310">
        <v>57263671</v>
      </c>
      <c r="B310" t="s">
        <v>1388</v>
      </c>
      <c r="C310" t="s">
        <v>1389</v>
      </c>
      <c r="D310" t="s">
        <v>1390</v>
      </c>
      <c r="E310">
        <v>2565631283</v>
      </c>
      <c r="F310" t="s">
        <v>693</v>
      </c>
      <c r="G310" t="s">
        <v>694</v>
      </c>
      <c r="I310" t="s">
        <v>103</v>
      </c>
      <c r="J310" s="13">
        <v>45946</v>
      </c>
      <c r="K310" s="13">
        <v>46023</v>
      </c>
      <c r="L310" t="s">
        <v>450</v>
      </c>
      <c r="M310" t="s">
        <v>59</v>
      </c>
      <c r="N310">
        <v>70843218</v>
      </c>
    </row>
    <row r="311" spans="1:14" x14ac:dyDescent="0.25">
      <c r="A311">
        <v>57264752</v>
      </c>
      <c r="B311" t="s">
        <v>1316</v>
      </c>
      <c r="C311" t="s">
        <v>1391</v>
      </c>
      <c r="D311" t="s">
        <v>1392</v>
      </c>
      <c r="E311">
        <v>6153082317</v>
      </c>
      <c r="F311" t="s">
        <v>828</v>
      </c>
      <c r="G311" t="s">
        <v>1148</v>
      </c>
      <c r="I311" t="s">
        <v>17</v>
      </c>
      <c r="J311" s="13">
        <v>45946</v>
      </c>
      <c r="K311" s="13">
        <v>46023</v>
      </c>
      <c r="L311" t="s">
        <v>479</v>
      </c>
      <c r="M311" t="s">
        <v>58</v>
      </c>
      <c r="N311">
        <v>70844238</v>
      </c>
    </row>
    <row r="312" spans="1:14" x14ac:dyDescent="0.25">
      <c r="A312">
        <v>57265193</v>
      </c>
      <c r="B312" t="s">
        <v>1316</v>
      </c>
      <c r="C312" t="s">
        <v>1393</v>
      </c>
      <c r="D312" t="s">
        <v>1394</v>
      </c>
      <c r="E312">
        <v>4349964757</v>
      </c>
      <c r="F312" t="s">
        <v>1225</v>
      </c>
      <c r="G312" t="s">
        <v>1226</v>
      </c>
      <c r="I312" t="s">
        <v>1227</v>
      </c>
      <c r="J312" s="13">
        <v>45946</v>
      </c>
      <c r="K312" s="13">
        <v>46023</v>
      </c>
      <c r="L312" t="s">
        <v>454</v>
      </c>
      <c r="M312" t="s">
        <v>56</v>
      </c>
      <c r="N312">
        <v>70844651</v>
      </c>
    </row>
    <row r="313" spans="1:14" x14ac:dyDescent="0.25">
      <c r="A313">
        <v>57278753</v>
      </c>
      <c r="B313" t="s">
        <v>1395</v>
      </c>
      <c r="C313" t="s">
        <v>1396</v>
      </c>
      <c r="D313" t="s">
        <v>1397</v>
      </c>
      <c r="E313">
        <v>4705463375</v>
      </c>
      <c r="F313" t="s">
        <v>1398</v>
      </c>
      <c r="G313" t="s">
        <v>1399</v>
      </c>
      <c r="I313" t="s">
        <v>1400</v>
      </c>
      <c r="J313" s="13">
        <v>45946</v>
      </c>
      <c r="K313" s="13">
        <v>46023</v>
      </c>
      <c r="L313" t="s">
        <v>621</v>
      </c>
      <c r="M313" t="s">
        <v>56</v>
      </c>
      <c r="N313">
        <v>70844777</v>
      </c>
    </row>
    <row r="314" spans="1:14" x14ac:dyDescent="0.25">
      <c r="A314">
        <v>57265538</v>
      </c>
      <c r="B314" t="s">
        <v>1401</v>
      </c>
      <c r="C314" t="s">
        <v>1402</v>
      </c>
      <c r="D314" t="s">
        <v>1403</v>
      </c>
      <c r="E314">
        <v>5712777677</v>
      </c>
      <c r="F314" t="s">
        <v>667</v>
      </c>
      <c r="G314" t="s">
        <v>668</v>
      </c>
      <c r="I314" t="s">
        <v>37</v>
      </c>
      <c r="J314" s="13">
        <v>45946</v>
      </c>
      <c r="K314" s="13">
        <v>46023</v>
      </c>
      <c r="L314" t="s">
        <v>454</v>
      </c>
      <c r="M314" t="s">
        <v>419</v>
      </c>
      <c r="N314">
        <v>70844976</v>
      </c>
    </row>
    <row r="315" spans="1:14" x14ac:dyDescent="0.25">
      <c r="A315">
        <v>57265573</v>
      </c>
      <c r="B315" t="s">
        <v>1404</v>
      </c>
      <c r="C315" t="s">
        <v>840</v>
      </c>
      <c r="D315" t="s">
        <v>1405</v>
      </c>
      <c r="E315">
        <v>8728718701</v>
      </c>
      <c r="F315" t="s">
        <v>821</v>
      </c>
      <c r="G315" t="s">
        <v>822</v>
      </c>
      <c r="I315" t="s">
        <v>823</v>
      </c>
      <c r="J315" s="13">
        <v>45946</v>
      </c>
      <c r="K315" s="13">
        <v>46023</v>
      </c>
      <c r="L315" t="s">
        <v>470</v>
      </c>
      <c r="M315" t="s">
        <v>59</v>
      </c>
      <c r="N315">
        <v>70845005</v>
      </c>
    </row>
    <row r="316" spans="1:14" x14ac:dyDescent="0.25">
      <c r="A316">
        <v>57269159</v>
      </c>
      <c r="B316" t="s">
        <v>1406</v>
      </c>
      <c r="C316" t="s">
        <v>1292</v>
      </c>
      <c r="D316" t="s">
        <v>1407</v>
      </c>
      <c r="E316">
        <v>7048528471</v>
      </c>
      <c r="F316" t="s">
        <v>957</v>
      </c>
      <c r="G316" t="s">
        <v>958</v>
      </c>
      <c r="H316" t="s">
        <v>959</v>
      </c>
      <c r="I316" t="s">
        <v>960</v>
      </c>
      <c r="J316" s="13">
        <v>45946</v>
      </c>
      <c r="K316" s="13">
        <v>46023</v>
      </c>
      <c r="L316" t="s">
        <v>603</v>
      </c>
      <c r="M316" t="s">
        <v>58</v>
      </c>
      <c r="N316">
        <v>70845361</v>
      </c>
    </row>
    <row r="317" spans="1:14" x14ac:dyDescent="0.25">
      <c r="A317">
        <v>57266071</v>
      </c>
      <c r="B317" t="s">
        <v>1408</v>
      </c>
      <c r="C317" t="s">
        <v>1409</v>
      </c>
      <c r="D317" t="s">
        <v>1410</v>
      </c>
      <c r="E317">
        <v>5019405816</v>
      </c>
      <c r="F317" t="s">
        <v>1003</v>
      </c>
      <c r="G317" t="s">
        <v>1004</v>
      </c>
      <c r="I317" t="s">
        <v>89</v>
      </c>
      <c r="J317" s="13">
        <v>45946</v>
      </c>
      <c r="K317" s="13">
        <v>46023</v>
      </c>
      <c r="L317" t="s">
        <v>553</v>
      </c>
      <c r="M317" t="s">
        <v>61</v>
      </c>
      <c r="N317">
        <v>70845472</v>
      </c>
    </row>
    <row r="318" spans="1:14" x14ac:dyDescent="0.25">
      <c r="A318">
        <v>57266221</v>
      </c>
      <c r="B318" t="s">
        <v>467</v>
      </c>
      <c r="C318" t="s">
        <v>1411</v>
      </c>
      <c r="D318" t="s">
        <v>1412</v>
      </c>
      <c r="E318">
        <v>4047175090</v>
      </c>
      <c r="F318" t="s">
        <v>1142</v>
      </c>
      <c r="G318" t="s">
        <v>1143</v>
      </c>
      <c r="I318" t="s">
        <v>124</v>
      </c>
      <c r="J318" s="13">
        <v>45946</v>
      </c>
      <c r="K318" s="13">
        <v>46023</v>
      </c>
      <c r="L318" t="s">
        <v>621</v>
      </c>
      <c r="M318" t="s">
        <v>59</v>
      </c>
      <c r="N318">
        <v>70845605</v>
      </c>
    </row>
    <row r="319" spans="1:14" x14ac:dyDescent="0.25">
      <c r="A319">
        <v>57267152</v>
      </c>
      <c r="B319" t="s">
        <v>1413</v>
      </c>
      <c r="C319" t="s">
        <v>920</v>
      </c>
      <c r="D319" t="s">
        <v>1414</v>
      </c>
      <c r="E319" t="s">
        <v>1415</v>
      </c>
      <c r="F319" t="s">
        <v>775</v>
      </c>
      <c r="G319" t="s">
        <v>776</v>
      </c>
      <c r="I319" t="s">
        <v>22</v>
      </c>
      <c r="J319" s="13">
        <v>45946</v>
      </c>
      <c r="K319" s="13">
        <v>46023</v>
      </c>
      <c r="L319" t="s">
        <v>612</v>
      </c>
      <c r="M319" t="s">
        <v>58</v>
      </c>
      <c r="N319">
        <v>70846461</v>
      </c>
    </row>
    <row r="320" spans="1:14" x14ac:dyDescent="0.25">
      <c r="A320">
        <v>57267753</v>
      </c>
      <c r="B320" t="s">
        <v>948</v>
      </c>
      <c r="C320" t="s">
        <v>1416</v>
      </c>
      <c r="D320" t="s">
        <v>1417</v>
      </c>
      <c r="E320">
        <v>2566338382</v>
      </c>
      <c r="F320" t="s">
        <v>462</v>
      </c>
      <c r="G320" t="s">
        <v>463</v>
      </c>
      <c r="I320" t="s">
        <v>39</v>
      </c>
      <c r="J320" s="13">
        <v>45946</v>
      </c>
      <c r="K320" s="13">
        <v>46023</v>
      </c>
      <c r="L320" t="s">
        <v>450</v>
      </c>
      <c r="M320" t="s">
        <v>59</v>
      </c>
      <c r="N320">
        <v>70847042</v>
      </c>
    </row>
    <row r="321" spans="1:14" x14ac:dyDescent="0.25">
      <c r="A321">
        <v>57268763</v>
      </c>
      <c r="B321" t="s">
        <v>1418</v>
      </c>
      <c r="C321" t="s">
        <v>1419</v>
      </c>
      <c r="D321" t="s">
        <v>1420</v>
      </c>
      <c r="E321">
        <v>2162035875</v>
      </c>
      <c r="F321" t="s">
        <v>870</v>
      </c>
      <c r="G321" t="s">
        <v>871</v>
      </c>
      <c r="I321" t="s">
        <v>872</v>
      </c>
      <c r="J321" s="13">
        <v>45946</v>
      </c>
      <c r="K321" s="13">
        <v>46023</v>
      </c>
      <c r="L321" t="s">
        <v>418</v>
      </c>
      <c r="M321" t="s">
        <v>56</v>
      </c>
      <c r="N321">
        <v>70848009</v>
      </c>
    </row>
    <row r="322" spans="1:14" x14ac:dyDescent="0.25">
      <c r="A322">
        <v>57269109</v>
      </c>
      <c r="B322" t="s">
        <v>1421</v>
      </c>
      <c r="C322" t="s">
        <v>1422</v>
      </c>
      <c r="D322" t="s">
        <v>1423</v>
      </c>
      <c r="E322">
        <v>7739558092</v>
      </c>
      <c r="F322" t="s">
        <v>790</v>
      </c>
      <c r="G322" t="s">
        <v>791</v>
      </c>
      <c r="I322" t="s">
        <v>119</v>
      </c>
      <c r="J322" s="13">
        <v>45946</v>
      </c>
      <c r="K322" s="13">
        <v>46023</v>
      </c>
      <c r="L322" t="s">
        <v>470</v>
      </c>
      <c r="M322" t="s">
        <v>56</v>
      </c>
      <c r="N322">
        <v>70848137</v>
      </c>
    </row>
    <row r="323" spans="1:14" x14ac:dyDescent="0.25">
      <c r="A323">
        <v>57270704</v>
      </c>
      <c r="B323" t="s">
        <v>1424</v>
      </c>
      <c r="C323" t="s">
        <v>1425</v>
      </c>
      <c r="D323" t="s">
        <v>1426</v>
      </c>
      <c r="E323">
        <v>7623447845</v>
      </c>
      <c r="F323" t="s">
        <v>551</v>
      </c>
      <c r="G323" t="s">
        <v>552</v>
      </c>
      <c r="I323" t="s">
        <v>42</v>
      </c>
      <c r="J323" s="13">
        <v>45946</v>
      </c>
      <c r="K323" s="13">
        <v>46023</v>
      </c>
      <c r="L323" t="s">
        <v>621</v>
      </c>
      <c r="M323" t="s">
        <v>60</v>
      </c>
      <c r="N323">
        <v>70849397</v>
      </c>
    </row>
    <row r="324" spans="1:14" x14ac:dyDescent="0.25">
      <c r="A324">
        <v>57272833</v>
      </c>
      <c r="B324" t="s">
        <v>1427</v>
      </c>
      <c r="C324" t="s">
        <v>1428</v>
      </c>
      <c r="D324" t="s">
        <v>1429</v>
      </c>
      <c r="E324">
        <v>5014679910</v>
      </c>
      <c r="F324" t="s">
        <v>705</v>
      </c>
      <c r="G324" t="s">
        <v>706</v>
      </c>
      <c r="I324" t="s">
        <v>12</v>
      </c>
      <c r="J324" s="13">
        <v>45946</v>
      </c>
      <c r="K324" s="13">
        <v>46023</v>
      </c>
      <c r="L324" t="s">
        <v>553</v>
      </c>
      <c r="M324" t="s">
        <v>59</v>
      </c>
      <c r="N324">
        <v>70851847</v>
      </c>
    </row>
    <row r="325" spans="1:14" x14ac:dyDescent="0.25">
      <c r="A325">
        <v>57272985</v>
      </c>
      <c r="B325" t="s">
        <v>604</v>
      </c>
      <c r="C325" t="s">
        <v>1430</v>
      </c>
      <c r="D325" t="s">
        <v>1431</v>
      </c>
      <c r="E325">
        <v>6813145824</v>
      </c>
      <c r="F325" t="s">
        <v>1267</v>
      </c>
      <c r="G325" t="s">
        <v>1268</v>
      </c>
      <c r="I325" t="s">
        <v>1269</v>
      </c>
      <c r="J325" s="13">
        <v>45946</v>
      </c>
      <c r="K325" s="13">
        <v>46023</v>
      </c>
      <c r="L325" t="s">
        <v>1188</v>
      </c>
      <c r="M325" t="s">
        <v>56</v>
      </c>
      <c r="N325">
        <v>70851997</v>
      </c>
    </row>
    <row r="326" spans="1:14" x14ac:dyDescent="0.25">
      <c r="A326">
        <v>57273964</v>
      </c>
      <c r="B326" t="s">
        <v>1160</v>
      </c>
      <c r="C326" t="s">
        <v>1432</v>
      </c>
      <c r="D326" t="s">
        <v>1433</v>
      </c>
      <c r="E326">
        <v>2146689200</v>
      </c>
      <c r="F326" t="s">
        <v>928</v>
      </c>
      <c r="G326" t="s">
        <v>929</v>
      </c>
      <c r="I326" t="s">
        <v>30</v>
      </c>
      <c r="J326" s="13">
        <v>45946</v>
      </c>
      <c r="K326" s="13">
        <v>46023</v>
      </c>
      <c r="L326" t="s">
        <v>444</v>
      </c>
      <c r="M326" t="s">
        <v>55</v>
      </c>
      <c r="N326">
        <v>70852900</v>
      </c>
    </row>
    <row r="327" spans="1:14" x14ac:dyDescent="0.25">
      <c r="A327">
        <v>57274817</v>
      </c>
      <c r="B327" t="s">
        <v>1434</v>
      </c>
      <c r="C327" t="s">
        <v>1435</v>
      </c>
      <c r="D327" t="s">
        <v>1436</v>
      </c>
      <c r="E327">
        <v>3379679335</v>
      </c>
      <c r="F327" t="s">
        <v>615</v>
      </c>
      <c r="G327" t="s">
        <v>616</v>
      </c>
      <c r="I327" t="s">
        <v>617</v>
      </c>
      <c r="J327" s="13">
        <v>45946</v>
      </c>
      <c r="K327" s="13">
        <v>46023</v>
      </c>
      <c r="L327" t="s">
        <v>612</v>
      </c>
      <c r="M327" t="s">
        <v>58</v>
      </c>
      <c r="N327">
        <v>70853476</v>
      </c>
    </row>
    <row r="328" spans="1:14" x14ac:dyDescent="0.25">
      <c r="A328">
        <v>57506600</v>
      </c>
      <c r="B328" t="s">
        <v>1340</v>
      </c>
      <c r="C328" t="s">
        <v>1437</v>
      </c>
      <c r="D328" t="s">
        <v>1438</v>
      </c>
      <c r="E328">
        <v>2832243832</v>
      </c>
      <c r="F328" t="s">
        <v>628</v>
      </c>
      <c r="G328" t="s">
        <v>629</v>
      </c>
      <c r="I328" t="s">
        <v>24</v>
      </c>
      <c r="J328" s="13">
        <v>45957</v>
      </c>
      <c r="K328" s="13">
        <v>46023</v>
      </c>
      <c r="L328" t="s">
        <v>418</v>
      </c>
      <c r="M328" t="s">
        <v>58</v>
      </c>
      <c r="N328">
        <v>70853624</v>
      </c>
    </row>
    <row r="329" spans="1:14" x14ac:dyDescent="0.25">
      <c r="A329">
        <v>57275100</v>
      </c>
      <c r="B329" t="s">
        <v>1185</v>
      </c>
      <c r="C329" t="s">
        <v>1439</v>
      </c>
      <c r="D329" t="s">
        <v>1440</v>
      </c>
      <c r="E329">
        <v>6784693311</v>
      </c>
      <c r="F329" t="s">
        <v>798</v>
      </c>
      <c r="G329" t="s">
        <v>799</v>
      </c>
      <c r="I329" t="s">
        <v>800</v>
      </c>
      <c r="J329" s="13">
        <v>45946</v>
      </c>
      <c r="K329" s="13">
        <v>46023</v>
      </c>
      <c r="L329" t="s">
        <v>621</v>
      </c>
      <c r="M329" t="s">
        <v>59</v>
      </c>
      <c r="N329">
        <v>70853637</v>
      </c>
    </row>
    <row r="330" spans="1:14" x14ac:dyDescent="0.25">
      <c r="A330">
        <v>57275116</v>
      </c>
      <c r="B330" t="s">
        <v>1441</v>
      </c>
      <c r="C330" t="s">
        <v>1442</v>
      </c>
      <c r="D330" t="s">
        <v>1443</v>
      </c>
      <c r="E330">
        <v>9548495573</v>
      </c>
      <c r="F330" t="s">
        <v>1444</v>
      </c>
      <c r="G330" t="s">
        <v>1445</v>
      </c>
      <c r="I330" t="s">
        <v>1446</v>
      </c>
      <c r="J330" s="13">
        <v>45946</v>
      </c>
      <c r="K330" s="13">
        <v>46023</v>
      </c>
      <c r="L330" t="s">
        <v>497</v>
      </c>
      <c r="M330" t="s">
        <v>56</v>
      </c>
      <c r="N330">
        <v>70853644</v>
      </c>
    </row>
    <row r="331" spans="1:14" x14ac:dyDescent="0.25">
      <c r="A331">
        <v>57275407</v>
      </c>
      <c r="B331" t="s">
        <v>1447</v>
      </c>
      <c r="C331" t="s">
        <v>1448</v>
      </c>
      <c r="D331" t="s">
        <v>1449</v>
      </c>
      <c r="E331">
        <v>8036617250</v>
      </c>
      <c r="F331" t="s">
        <v>1200</v>
      </c>
      <c r="G331" t="s">
        <v>1201</v>
      </c>
      <c r="I331" t="s">
        <v>1202</v>
      </c>
      <c r="J331" s="13">
        <v>45946</v>
      </c>
      <c r="K331" s="13">
        <v>46023</v>
      </c>
      <c r="L331" t="s">
        <v>533</v>
      </c>
      <c r="M331" t="s">
        <v>61</v>
      </c>
      <c r="N331">
        <v>70853850</v>
      </c>
    </row>
    <row r="332" spans="1:14" x14ac:dyDescent="0.25">
      <c r="A332">
        <v>57275534</v>
      </c>
      <c r="B332" t="s">
        <v>1450</v>
      </c>
      <c r="C332" t="s">
        <v>515</v>
      </c>
      <c r="D332" t="s">
        <v>1451</v>
      </c>
      <c r="E332">
        <v>5045198887</v>
      </c>
      <c r="F332" t="s">
        <v>870</v>
      </c>
      <c r="G332" t="s">
        <v>871</v>
      </c>
      <c r="I332" t="s">
        <v>872</v>
      </c>
      <c r="J332" s="13">
        <v>45946</v>
      </c>
      <c r="K332" s="13">
        <v>46023</v>
      </c>
      <c r="L332" t="s">
        <v>612</v>
      </c>
      <c r="M332" t="s">
        <v>59</v>
      </c>
      <c r="N332">
        <v>70853928</v>
      </c>
    </row>
    <row r="333" spans="1:14" x14ac:dyDescent="0.25">
      <c r="A333">
        <v>57275727</v>
      </c>
      <c r="B333" t="s">
        <v>672</v>
      </c>
      <c r="C333" t="s">
        <v>964</v>
      </c>
      <c r="D333" t="s">
        <v>1452</v>
      </c>
      <c r="E333">
        <v>3046017780</v>
      </c>
      <c r="F333" t="s">
        <v>448</v>
      </c>
      <c r="G333" t="s">
        <v>449</v>
      </c>
      <c r="I333" t="s">
        <v>31</v>
      </c>
      <c r="J333" s="13">
        <v>45946</v>
      </c>
      <c r="K333" s="13">
        <v>46023</v>
      </c>
      <c r="L333" t="s">
        <v>1188</v>
      </c>
      <c r="M333" t="s">
        <v>56</v>
      </c>
      <c r="N333">
        <v>70854157</v>
      </c>
    </row>
    <row r="334" spans="1:14" x14ac:dyDescent="0.25">
      <c r="A334">
        <v>57276009</v>
      </c>
      <c r="B334" t="s">
        <v>1453</v>
      </c>
      <c r="C334" t="s">
        <v>770</v>
      </c>
      <c r="D334" t="s">
        <v>1454</v>
      </c>
      <c r="E334">
        <v>4783208942</v>
      </c>
      <c r="F334" t="s">
        <v>1003</v>
      </c>
      <c r="G334" t="s">
        <v>1004</v>
      </c>
      <c r="I334" t="s">
        <v>89</v>
      </c>
      <c r="J334" s="13">
        <v>45946</v>
      </c>
      <c r="K334" s="13">
        <v>46023</v>
      </c>
      <c r="L334" t="s">
        <v>621</v>
      </c>
      <c r="M334" t="s">
        <v>56</v>
      </c>
      <c r="N334">
        <v>70854602</v>
      </c>
    </row>
    <row r="335" spans="1:14" x14ac:dyDescent="0.25">
      <c r="A335">
        <v>57276129</v>
      </c>
      <c r="B335" t="s">
        <v>712</v>
      </c>
      <c r="C335" t="s">
        <v>1455</v>
      </c>
      <c r="D335" t="s">
        <v>1456</v>
      </c>
      <c r="E335">
        <v>8507487095</v>
      </c>
      <c r="F335" t="s">
        <v>423</v>
      </c>
      <c r="G335" t="s">
        <v>424</v>
      </c>
      <c r="I335" t="s">
        <v>46</v>
      </c>
      <c r="J335" s="13">
        <v>45946</v>
      </c>
      <c r="K335" s="13">
        <v>46023</v>
      </c>
      <c r="L335" t="s">
        <v>450</v>
      </c>
      <c r="M335" t="s">
        <v>59</v>
      </c>
      <c r="N335">
        <v>70854615</v>
      </c>
    </row>
    <row r="336" spans="1:14" x14ac:dyDescent="0.25">
      <c r="A336">
        <v>57276681</v>
      </c>
      <c r="B336" t="s">
        <v>1144</v>
      </c>
      <c r="C336" t="s">
        <v>512</v>
      </c>
      <c r="D336" t="s">
        <v>1457</v>
      </c>
      <c r="E336">
        <v>2767340013</v>
      </c>
      <c r="F336" t="s">
        <v>684</v>
      </c>
      <c r="G336" t="s">
        <v>685</v>
      </c>
      <c r="I336" t="s">
        <v>686</v>
      </c>
      <c r="J336" s="13">
        <v>45946</v>
      </c>
      <c r="K336" s="13">
        <v>46023</v>
      </c>
      <c r="L336" t="s">
        <v>454</v>
      </c>
      <c r="M336" t="s">
        <v>56</v>
      </c>
      <c r="N336">
        <v>70855149</v>
      </c>
    </row>
    <row r="337" spans="1:14" x14ac:dyDescent="0.25">
      <c r="A337">
        <v>57276747</v>
      </c>
      <c r="B337" t="s">
        <v>1458</v>
      </c>
      <c r="C337" t="s">
        <v>1459</v>
      </c>
      <c r="D337" t="s">
        <v>1460</v>
      </c>
      <c r="E337">
        <v>6812200880</v>
      </c>
      <c r="F337" t="s">
        <v>1013</v>
      </c>
      <c r="G337" t="s">
        <v>1014</v>
      </c>
      <c r="I337" t="s">
        <v>43</v>
      </c>
      <c r="J337" s="13">
        <v>45946</v>
      </c>
      <c r="K337" s="13">
        <v>46023</v>
      </c>
      <c r="L337" t="s">
        <v>1188</v>
      </c>
      <c r="M337" t="s">
        <v>56</v>
      </c>
      <c r="N337">
        <v>70855213</v>
      </c>
    </row>
    <row r="338" spans="1:14" x14ac:dyDescent="0.25">
      <c r="A338">
        <v>57277242</v>
      </c>
      <c r="B338" t="s">
        <v>1262</v>
      </c>
      <c r="C338" t="s">
        <v>903</v>
      </c>
      <c r="D338" t="s">
        <v>1461</v>
      </c>
      <c r="E338">
        <v>3183499725</v>
      </c>
      <c r="F338" t="s">
        <v>775</v>
      </c>
      <c r="G338" t="s">
        <v>776</v>
      </c>
      <c r="I338" t="s">
        <v>22</v>
      </c>
      <c r="J338" s="13">
        <v>45946</v>
      </c>
      <c r="K338" s="13">
        <v>46023</v>
      </c>
      <c r="L338" t="s">
        <v>612</v>
      </c>
      <c r="M338" t="s">
        <v>56</v>
      </c>
      <c r="N338">
        <v>70855646</v>
      </c>
    </row>
    <row r="339" spans="1:14" x14ac:dyDescent="0.25">
      <c r="A339">
        <v>57277321</v>
      </c>
      <c r="B339" t="s">
        <v>1462</v>
      </c>
      <c r="C339" t="s">
        <v>1036</v>
      </c>
      <c r="D339" t="s">
        <v>1463</v>
      </c>
      <c r="E339">
        <v>6787601006</v>
      </c>
      <c r="F339" t="s">
        <v>821</v>
      </c>
      <c r="G339" t="s">
        <v>822</v>
      </c>
      <c r="I339" t="s">
        <v>823</v>
      </c>
      <c r="J339" s="13">
        <v>45946</v>
      </c>
      <c r="K339" s="13">
        <v>46023</v>
      </c>
      <c r="L339" t="s">
        <v>621</v>
      </c>
      <c r="M339" t="s">
        <v>56</v>
      </c>
      <c r="N339">
        <v>70855695</v>
      </c>
    </row>
    <row r="340" spans="1:14" x14ac:dyDescent="0.25">
      <c r="A340">
        <v>57277444</v>
      </c>
      <c r="B340" t="s">
        <v>1464</v>
      </c>
      <c r="C340" t="s">
        <v>1465</v>
      </c>
      <c r="D340" t="s">
        <v>1466</v>
      </c>
      <c r="E340">
        <v>5207283703</v>
      </c>
      <c r="F340" t="s">
        <v>842</v>
      </c>
      <c r="G340" t="s">
        <v>1213</v>
      </c>
      <c r="I340" t="s">
        <v>1214</v>
      </c>
      <c r="J340" s="13">
        <v>45946</v>
      </c>
      <c r="K340" s="13">
        <v>46023</v>
      </c>
      <c r="L340" t="s">
        <v>1179</v>
      </c>
      <c r="M340" t="s">
        <v>54</v>
      </c>
      <c r="N340">
        <v>70855795</v>
      </c>
    </row>
    <row r="341" spans="1:14" x14ac:dyDescent="0.25">
      <c r="A341">
        <v>57277638</v>
      </c>
      <c r="B341" t="s">
        <v>1467</v>
      </c>
      <c r="C341" t="s">
        <v>506</v>
      </c>
      <c r="D341" t="s">
        <v>1468</v>
      </c>
      <c r="E341">
        <v>9482363427</v>
      </c>
      <c r="F341" t="s">
        <v>569</v>
      </c>
      <c r="G341" t="s">
        <v>570</v>
      </c>
      <c r="I341" t="s">
        <v>34</v>
      </c>
      <c r="J341" s="13">
        <v>45946</v>
      </c>
      <c r="K341" s="13">
        <v>46023</v>
      </c>
      <c r="L341" t="s">
        <v>454</v>
      </c>
      <c r="M341" t="s">
        <v>58</v>
      </c>
      <c r="N341">
        <v>70855939</v>
      </c>
    </row>
    <row r="342" spans="1:14" x14ac:dyDescent="0.25">
      <c r="A342">
        <v>57277764</v>
      </c>
      <c r="B342" t="s">
        <v>1469</v>
      </c>
      <c r="C342" t="s">
        <v>1470</v>
      </c>
      <c r="D342" t="s">
        <v>1471</v>
      </c>
      <c r="E342">
        <v>7709401706</v>
      </c>
      <c r="F342" t="s">
        <v>1142</v>
      </c>
      <c r="G342" t="s">
        <v>1143</v>
      </c>
      <c r="I342" t="s">
        <v>124</v>
      </c>
      <c r="J342" s="13">
        <v>45946</v>
      </c>
      <c r="K342" s="13">
        <v>46023</v>
      </c>
      <c r="L342" t="s">
        <v>621</v>
      </c>
      <c r="M342" t="s">
        <v>56</v>
      </c>
      <c r="N342">
        <v>70856026</v>
      </c>
    </row>
    <row r="343" spans="1:14" x14ac:dyDescent="0.25">
      <c r="A343">
        <v>57278271</v>
      </c>
      <c r="B343" t="s">
        <v>1472</v>
      </c>
      <c r="C343" t="s">
        <v>1473</v>
      </c>
      <c r="D343" t="s">
        <v>1474</v>
      </c>
      <c r="E343">
        <v>6027413396</v>
      </c>
      <c r="F343" t="s">
        <v>993</v>
      </c>
      <c r="G343" t="s">
        <v>994</v>
      </c>
      <c r="I343" t="s">
        <v>995</v>
      </c>
      <c r="J343" s="13">
        <v>45946</v>
      </c>
      <c r="K343" s="13">
        <v>46023</v>
      </c>
      <c r="L343" t="s">
        <v>1179</v>
      </c>
      <c r="M343" t="s">
        <v>54</v>
      </c>
      <c r="N343">
        <v>70856364</v>
      </c>
    </row>
    <row r="344" spans="1:14" x14ac:dyDescent="0.25">
      <c r="A344">
        <v>57278460</v>
      </c>
      <c r="B344" t="s">
        <v>1097</v>
      </c>
      <c r="C344" t="s">
        <v>1475</v>
      </c>
      <c r="D344" t="s">
        <v>1476</v>
      </c>
      <c r="E344">
        <v>2155012180</v>
      </c>
      <c r="F344" t="s">
        <v>423</v>
      </c>
      <c r="G344" t="s">
        <v>424</v>
      </c>
      <c r="I344" t="s">
        <v>46</v>
      </c>
      <c r="J344" s="13">
        <v>45946</v>
      </c>
      <c r="K344" s="13">
        <v>46023</v>
      </c>
      <c r="L344" t="s">
        <v>621</v>
      </c>
      <c r="M344" t="s">
        <v>60</v>
      </c>
      <c r="N344">
        <v>70856457</v>
      </c>
    </row>
    <row r="345" spans="1:14" x14ac:dyDescent="0.25">
      <c r="A345">
        <v>57278437</v>
      </c>
      <c r="B345" t="s">
        <v>1103</v>
      </c>
      <c r="C345" t="s">
        <v>1477</v>
      </c>
      <c r="D345" t="s">
        <v>1478</v>
      </c>
      <c r="E345">
        <v>9372872634</v>
      </c>
      <c r="F345" t="s">
        <v>474</v>
      </c>
      <c r="G345" t="s">
        <v>475</v>
      </c>
      <c r="I345" t="s">
        <v>132</v>
      </c>
      <c r="J345" s="13">
        <v>45946</v>
      </c>
      <c r="K345" s="13">
        <v>46023</v>
      </c>
      <c r="L345" t="s">
        <v>418</v>
      </c>
      <c r="M345" t="s">
        <v>59</v>
      </c>
      <c r="N345">
        <v>70856488</v>
      </c>
    </row>
    <row r="346" spans="1:14" x14ac:dyDescent="0.25">
      <c r="A346">
        <v>57278705</v>
      </c>
      <c r="B346" t="s">
        <v>1479</v>
      </c>
      <c r="C346" t="s">
        <v>1480</v>
      </c>
      <c r="D346" t="s">
        <v>1481</v>
      </c>
      <c r="E346">
        <v>7068329565</v>
      </c>
      <c r="F346" t="s">
        <v>1398</v>
      </c>
      <c r="G346" t="s">
        <v>1399</v>
      </c>
      <c r="I346" t="s">
        <v>1400</v>
      </c>
      <c r="J346" s="13">
        <v>45946</v>
      </c>
      <c r="K346" s="13">
        <v>46023</v>
      </c>
      <c r="L346" t="s">
        <v>621</v>
      </c>
      <c r="M346" t="s">
        <v>56</v>
      </c>
      <c r="N346">
        <v>70856717</v>
      </c>
    </row>
    <row r="347" spans="1:14" x14ac:dyDescent="0.25">
      <c r="A347">
        <v>57278764</v>
      </c>
      <c r="B347" t="s">
        <v>1482</v>
      </c>
      <c r="C347" t="s">
        <v>619</v>
      </c>
      <c r="D347" t="s">
        <v>1483</v>
      </c>
      <c r="E347">
        <v>4044844753</v>
      </c>
      <c r="F347" t="s">
        <v>928</v>
      </c>
      <c r="G347" t="s">
        <v>929</v>
      </c>
      <c r="I347" t="s">
        <v>30</v>
      </c>
      <c r="J347" s="13">
        <v>45946</v>
      </c>
      <c r="K347" s="13">
        <v>46023</v>
      </c>
      <c r="L347" t="s">
        <v>621</v>
      </c>
      <c r="M347" t="s">
        <v>58</v>
      </c>
      <c r="N347">
        <v>70856815</v>
      </c>
    </row>
    <row r="348" spans="1:14" x14ac:dyDescent="0.25">
      <c r="A348">
        <v>57279147</v>
      </c>
      <c r="B348" t="s">
        <v>1100</v>
      </c>
      <c r="C348" t="s">
        <v>1484</v>
      </c>
      <c r="D348" t="s">
        <v>1485</v>
      </c>
      <c r="E348">
        <v>8049014048</v>
      </c>
      <c r="F348" t="s">
        <v>474</v>
      </c>
      <c r="G348" t="s">
        <v>475</v>
      </c>
      <c r="I348" t="s">
        <v>132</v>
      </c>
      <c r="J348" s="13">
        <v>45946</v>
      </c>
      <c r="K348" s="13">
        <v>46023</v>
      </c>
      <c r="L348" t="s">
        <v>454</v>
      </c>
      <c r="M348" t="s">
        <v>419</v>
      </c>
      <c r="N348">
        <v>70857157</v>
      </c>
    </row>
    <row r="349" spans="1:14" x14ac:dyDescent="0.25">
      <c r="A349">
        <v>57279852</v>
      </c>
      <c r="B349" t="s">
        <v>1486</v>
      </c>
      <c r="C349" t="s">
        <v>1487</v>
      </c>
      <c r="D349" t="s">
        <v>1488</v>
      </c>
      <c r="E349">
        <v>7374064629</v>
      </c>
      <c r="F349" t="s">
        <v>1003</v>
      </c>
      <c r="G349" t="s">
        <v>1004</v>
      </c>
      <c r="I349" t="s">
        <v>89</v>
      </c>
      <c r="J349" s="13">
        <v>45946</v>
      </c>
      <c r="K349" s="13">
        <v>46023</v>
      </c>
      <c r="L349" t="s">
        <v>603</v>
      </c>
      <c r="M349" t="s">
        <v>56</v>
      </c>
      <c r="N349">
        <v>70857622</v>
      </c>
    </row>
    <row r="350" spans="1:14" x14ac:dyDescent="0.25">
      <c r="A350">
        <v>57279978</v>
      </c>
      <c r="B350" t="s">
        <v>980</v>
      </c>
      <c r="C350" t="s">
        <v>1489</v>
      </c>
      <c r="D350" t="s">
        <v>1490</v>
      </c>
      <c r="E350">
        <v>9284188097</v>
      </c>
      <c r="F350" t="s">
        <v>770</v>
      </c>
      <c r="G350" t="s">
        <v>771</v>
      </c>
      <c r="I350" t="s">
        <v>25</v>
      </c>
      <c r="J350" s="13">
        <v>45946</v>
      </c>
      <c r="K350" s="13">
        <v>46023</v>
      </c>
      <c r="L350" t="s">
        <v>1179</v>
      </c>
      <c r="M350" t="s">
        <v>56</v>
      </c>
      <c r="N350">
        <v>70857709</v>
      </c>
    </row>
    <row r="351" spans="1:14" x14ac:dyDescent="0.25">
      <c r="A351">
        <v>57280064</v>
      </c>
      <c r="B351" t="s">
        <v>1491</v>
      </c>
      <c r="C351" t="s">
        <v>1492</v>
      </c>
      <c r="D351" t="s">
        <v>1493</v>
      </c>
      <c r="E351">
        <v>8645416747</v>
      </c>
      <c r="F351" t="s">
        <v>592</v>
      </c>
      <c r="G351" t="s">
        <v>593</v>
      </c>
      <c r="I351" t="s">
        <v>115</v>
      </c>
      <c r="J351" s="13">
        <v>45946</v>
      </c>
      <c r="K351" s="13">
        <v>46023</v>
      </c>
      <c r="L351" t="s">
        <v>497</v>
      </c>
      <c r="M351" t="s">
        <v>59</v>
      </c>
      <c r="N351">
        <v>70857768</v>
      </c>
    </row>
    <row r="352" spans="1:14" x14ac:dyDescent="0.25">
      <c r="A352">
        <v>57280150</v>
      </c>
      <c r="B352" t="s">
        <v>1494</v>
      </c>
      <c r="C352" t="s">
        <v>1495</v>
      </c>
      <c r="D352" t="s">
        <v>1496</v>
      </c>
      <c r="E352">
        <v>7193716907</v>
      </c>
      <c r="F352" t="s">
        <v>798</v>
      </c>
      <c r="G352" t="s">
        <v>799</v>
      </c>
      <c r="I352" t="s">
        <v>800</v>
      </c>
      <c r="J352" s="13">
        <v>45946</v>
      </c>
      <c r="K352" s="13">
        <v>46023</v>
      </c>
      <c r="L352" t="s">
        <v>539</v>
      </c>
      <c r="M352" t="s">
        <v>56</v>
      </c>
      <c r="N352">
        <v>70857839</v>
      </c>
    </row>
    <row r="353" spans="1:14" x14ac:dyDescent="0.25">
      <c r="A353">
        <v>57280154</v>
      </c>
      <c r="B353" t="s">
        <v>1497</v>
      </c>
      <c r="C353" t="s">
        <v>1498</v>
      </c>
      <c r="D353" t="s">
        <v>1499</v>
      </c>
      <c r="E353">
        <v>9285314884</v>
      </c>
      <c r="F353" t="s">
        <v>1013</v>
      </c>
      <c r="G353" t="s">
        <v>1014</v>
      </c>
      <c r="I353" t="s">
        <v>43</v>
      </c>
      <c r="J353" s="13">
        <v>45946</v>
      </c>
      <c r="K353" s="13">
        <v>46023</v>
      </c>
      <c r="L353" t="s">
        <v>1179</v>
      </c>
      <c r="M353" t="s">
        <v>61</v>
      </c>
      <c r="N353">
        <v>70857842</v>
      </c>
    </row>
    <row r="354" spans="1:14" x14ac:dyDescent="0.25">
      <c r="A354">
        <v>57280161</v>
      </c>
      <c r="B354" t="s">
        <v>1500</v>
      </c>
      <c r="C354" t="s">
        <v>1501</v>
      </c>
      <c r="D354" t="s">
        <v>1502</v>
      </c>
      <c r="E354">
        <v>9852781693</v>
      </c>
      <c r="F354" t="s">
        <v>615</v>
      </c>
      <c r="G354" t="s">
        <v>616</v>
      </c>
      <c r="I354" t="s">
        <v>617</v>
      </c>
      <c r="J354" s="13">
        <v>45946</v>
      </c>
      <c r="K354" s="13">
        <v>46023</v>
      </c>
      <c r="L354" t="s">
        <v>612</v>
      </c>
      <c r="M354" t="s">
        <v>56</v>
      </c>
      <c r="N354">
        <v>70857843</v>
      </c>
    </row>
    <row r="355" spans="1:14" x14ac:dyDescent="0.25">
      <c r="A355">
        <v>57280411</v>
      </c>
      <c r="B355" t="s">
        <v>1503</v>
      </c>
      <c r="C355" t="s">
        <v>1504</v>
      </c>
      <c r="D355" t="s">
        <v>1505</v>
      </c>
      <c r="E355" t="s">
        <v>1506</v>
      </c>
      <c r="F355" t="s">
        <v>462</v>
      </c>
      <c r="G355" t="s">
        <v>463</v>
      </c>
      <c r="I355" t="s">
        <v>39</v>
      </c>
      <c r="J355" s="13">
        <v>45946</v>
      </c>
      <c r="K355" s="13">
        <v>46023</v>
      </c>
      <c r="L355" t="s">
        <v>497</v>
      </c>
      <c r="M355" t="s">
        <v>56</v>
      </c>
      <c r="N355">
        <v>70858010</v>
      </c>
    </row>
    <row r="356" spans="1:14" x14ac:dyDescent="0.25">
      <c r="A356">
        <v>57280642</v>
      </c>
      <c r="B356" t="s">
        <v>1160</v>
      </c>
      <c r="C356" t="s">
        <v>1507</v>
      </c>
      <c r="D356" t="s">
        <v>1508</v>
      </c>
      <c r="E356">
        <v>3522961597</v>
      </c>
      <c r="F356" t="s">
        <v>1200</v>
      </c>
      <c r="G356" t="s">
        <v>1201</v>
      </c>
      <c r="I356" t="s">
        <v>1202</v>
      </c>
      <c r="J356" s="13">
        <v>45946</v>
      </c>
      <c r="K356" s="13">
        <v>46023</v>
      </c>
      <c r="L356" t="s">
        <v>497</v>
      </c>
      <c r="M356" t="s">
        <v>56</v>
      </c>
      <c r="N356">
        <v>70858171</v>
      </c>
    </row>
    <row r="357" spans="1:14" x14ac:dyDescent="0.25">
      <c r="A357">
        <v>57280736</v>
      </c>
      <c r="B357" t="s">
        <v>1509</v>
      </c>
      <c r="C357" t="s">
        <v>1510</v>
      </c>
      <c r="D357" t="s">
        <v>1511</v>
      </c>
      <c r="E357">
        <v>2522309891</v>
      </c>
      <c r="F357" t="s">
        <v>957</v>
      </c>
      <c r="G357" t="s">
        <v>958</v>
      </c>
      <c r="H357" t="s">
        <v>959</v>
      </c>
      <c r="I357" t="s">
        <v>960</v>
      </c>
      <c r="J357" s="13">
        <v>45946</v>
      </c>
      <c r="K357" s="13">
        <v>46023</v>
      </c>
      <c r="L357" t="s">
        <v>603</v>
      </c>
      <c r="M357" t="s">
        <v>58</v>
      </c>
      <c r="N357">
        <v>70858191</v>
      </c>
    </row>
    <row r="358" spans="1:14" x14ac:dyDescent="0.25">
      <c r="A358">
        <v>57280817</v>
      </c>
      <c r="B358" t="s">
        <v>676</v>
      </c>
      <c r="C358" t="s">
        <v>1126</v>
      </c>
      <c r="D358" t="s">
        <v>1512</v>
      </c>
      <c r="E358">
        <v>7314320445</v>
      </c>
      <c r="F358" t="s">
        <v>649</v>
      </c>
      <c r="G358" t="s">
        <v>650</v>
      </c>
      <c r="I358" t="s">
        <v>28</v>
      </c>
      <c r="J358" s="13">
        <v>45946</v>
      </c>
      <c r="K358" s="13">
        <v>46023</v>
      </c>
      <c r="L358" t="s">
        <v>479</v>
      </c>
      <c r="M358" t="s">
        <v>56</v>
      </c>
      <c r="N358">
        <v>70858304</v>
      </c>
    </row>
    <row r="359" spans="1:14" x14ac:dyDescent="0.25">
      <c r="A359">
        <v>57280864</v>
      </c>
      <c r="B359" t="s">
        <v>622</v>
      </c>
      <c r="C359" t="s">
        <v>1513</v>
      </c>
      <c r="D359" t="s">
        <v>1514</v>
      </c>
      <c r="E359">
        <v>3185002679</v>
      </c>
      <c r="F359" t="s">
        <v>1267</v>
      </c>
      <c r="G359" t="s">
        <v>1268</v>
      </c>
      <c r="I359" t="s">
        <v>1269</v>
      </c>
      <c r="J359" s="13">
        <v>45946</v>
      </c>
      <c r="K359" s="13">
        <v>46023</v>
      </c>
      <c r="L359" t="s">
        <v>612</v>
      </c>
      <c r="M359" t="s">
        <v>60</v>
      </c>
      <c r="N359">
        <v>70858324</v>
      </c>
    </row>
    <row r="360" spans="1:14" x14ac:dyDescent="0.25">
      <c r="A360">
        <v>57280962</v>
      </c>
      <c r="B360" t="s">
        <v>1515</v>
      </c>
      <c r="C360" t="s">
        <v>1516</v>
      </c>
      <c r="D360" t="s">
        <v>1517</v>
      </c>
      <c r="E360">
        <v>8723159476</v>
      </c>
      <c r="F360" t="s">
        <v>790</v>
      </c>
      <c r="G360" t="s">
        <v>791</v>
      </c>
      <c r="I360" t="s">
        <v>119</v>
      </c>
      <c r="J360" s="13">
        <v>45946</v>
      </c>
      <c r="K360" s="13">
        <v>46023</v>
      </c>
      <c r="L360" t="s">
        <v>470</v>
      </c>
      <c r="M360" t="s">
        <v>56</v>
      </c>
      <c r="N360">
        <v>70858344</v>
      </c>
    </row>
    <row r="361" spans="1:14" x14ac:dyDescent="0.25">
      <c r="A361">
        <v>57281072</v>
      </c>
      <c r="B361" t="s">
        <v>1518</v>
      </c>
      <c r="C361" t="s">
        <v>1519</v>
      </c>
      <c r="D361" t="s">
        <v>1520</v>
      </c>
      <c r="E361">
        <v>5204256778</v>
      </c>
      <c r="F361" t="s">
        <v>775</v>
      </c>
      <c r="G361" t="s">
        <v>776</v>
      </c>
      <c r="I361" t="s">
        <v>22</v>
      </c>
      <c r="J361" s="13">
        <v>45946</v>
      </c>
      <c r="K361" s="13">
        <v>46023</v>
      </c>
      <c r="L361" t="s">
        <v>1179</v>
      </c>
      <c r="M361" t="s">
        <v>54</v>
      </c>
      <c r="N361">
        <v>70858471</v>
      </c>
    </row>
    <row r="362" spans="1:14" x14ac:dyDescent="0.25">
      <c r="A362">
        <v>57281566</v>
      </c>
      <c r="B362" t="s">
        <v>1521</v>
      </c>
      <c r="C362" t="s">
        <v>1522</v>
      </c>
      <c r="D362" t="s">
        <v>1523</v>
      </c>
      <c r="E362">
        <v>5208489780</v>
      </c>
      <c r="F362" t="s">
        <v>766</v>
      </c>
      <c r="G362" t="s">
        <v>767</v>
      </c>
      <c r="I362" t="s">
        <v>88</v>
      </c>
      <c r="J362" s="13">
        <v>45946</v>
      </c>
      <c r="K362" s="13">
        <v>46023</v>
      </c>
      <c r="L362" t="s">
        <v>1179</v>
      </c>
      <c r="M362" t="s">
        <v>54</v>
      </c>
      <c r="N362">
        <v>70859056</v>
      </c>
    </row>
    <row r="363" spans="1:14" x14ac:dyDescent="0.25">
      <c r="A363">
        <v>57281960</v>
      </c>
      <c r="B363" t="s">
        <v>1524</v>
      </c>
      <c r="C363" t="s">
        <v>1525</v>
      </c>
      <c r="D363" t="s">
        <v>1526</v>
      </c>
      <c r="E363">
        <v>9018570284</v>
      </c>
      <c r="F363" t="s">
        <v>705</v>
      </c>
      <c r="G363" t="s">
        <v>706</v>
      </c>
      <c r="I363" t="s">
        <v>12</v>
      </c>
      <c r="J363" s="13">
        <v>45946</v>
      </c>
      <c r="K363" s="13">
        <v>46023</v>
      </c>
      <c r="L363" t="s">
        <v>479</v>
      </c>
      <c r="M363" t="s">
        <v>58</v>
      </c>
      <c r="N363">
        <v>70859344</v>
      </c>
    </row>
    <row r="364" spans="1:14" x14ac:dyDescent="0.25">
      <c r="A364">
        <v>57283251</v>
      </c>
      <c r="B364" t="s">
        <v>1527</v>
      </c>
      <c r="C364" t="s">
        <v>1528</v>
      </c>
      <c r="D364" t="s">
        <v>1529</v>
      </c>
      <c r="E364">
        <v>2174863017</v>
      </c>
      <c r="F364" t="s">
        <v>474</v>
      </c>
      <c r="G364" t="s">
        <v>475</v>
      </c>
      <c r="I364" t="s">
        <v>132</v>
      </c>
      <c r="J364" s="13">
        <v>45946</v>
      </c>
      <c r="K364" s="13">
        <v>46023</v>
      </c>
      <c r="L364" t="s">
        <v>539</v>
      </c>
      <c r="M364" t="s">
        <v>59</v>
      </c>
      <c r="N364">
        <v>70860526</v>
      </c>
    </row>
    <row r="365" spans="1:14" x14ac:dyDescent="0.25">
      <c r="A365">
        <v>57283497</v>
      </c>
      <c r="B365" t="s">
        <v>1491</v>
      </c>
      <c r="C365" t="s">
        <v>1530</v>
      </c>
      <c r="D365" t="s">
        <v>1531</v>
      </c>
      <c r="E365">
        <v>2106324229</v>
      </c>
      <c r="F365" t="s">
        <v>870</v>
      </c>
      <c r="G365" t="s">
        <v>871</v>
      </c>
      <c r="I365" t="s">
        <v>872</v>
      </c>
      <c r="J365" s="13">
        <v>45946</v>
      </c>
      <c r="K365" s="13">
        <v>46023</v>
      </c>
      <c r="L365" t="s">
        <v>444</v>
      </c>
      <c r="M365" t="s">
        <v>55</v>
      </c>
      <c r="N365">
        <v>70860676</v>
      </c>
    </row>
    <row r="366" spans="1:14" x14ac:dyDescent="0.25">
      <c r="A366">
        <v>57287168</v>
      </c>
      <c r="B366" t="s">
        <v>1532</v>
      </c>
      <c r="C366" t="s">
        <v>1533</v>
      </c>
      <c r="D366" t="s">
        <v>1534</v>
      </c>
      <c r="F366" t="s">
        <v>448</v>
      </c>
      <c r="G366" t="s">
        <v>449</v>
      </c>
      <c r="I366" t="s">
        <v>31</v>
      </c>
      <c r="J366" s="13">
        <v>45946</v>
      </c>
      <c r="K366" s="13">
        <v>46023</v>
      </c>
      <c r="L366" t="s">
        <v>440</v>
      </c>
      <c r="M366" t="s">
        <v>62</v>
      </c>
      <c r="N366">
        <v>70861409</v>
      </c>
    </row>
    <row r="367" spans="1:14" x14ac:dyDescent="0.25">
      <c r="A367">
        <v>57284895</v>
      </c>
      <c r="B367" t="s">
        <v>1535</v>
      </c>
      <c r="C367" t="s">
        <v>1536</v>
      </c>
      <c r="D367" t="s">
        <v>1537</v>
      </c>
      <c r="E367">
        <v>5139070718</v>
      </c>
      <c r="F367" t="s">
        <v>1142</v>
      </c>
      <c r="G367" t="s">
        <v>1143</v>
      </c>
      <c r="I367" t="s">
        <v>124</v>
      </c>
      <c r="J367" s="13">
        <v>45946</v>
      </c>
      <c r="K367" s="13">
        <v>46023</v>
      </c>
      <c r="L367" t="s">
        <v>418</v>
      </c>
      <c r="M367" t="s">
        <v>59</v>
      </c>
      <c r="N367">
        <v>70861666</v>
      </c>
    </row>
    <row r="368" spans="1:14" x14ac:dyDescent="0.25">
      <c r="A368">
        <v>57285034</v>
      </c>
      <c r="B368" t="s">
        <v>548</v>
      </c>
      <c r="C368" t="s">
        <v>1538</v>
      </c>
      <c r="D368" t="s">
        <v>1539</v>
      </c>
      <c r="E368">
        <v>9803136863</v>
      </c>
      <c r="F368" t="s">
        <v>1398</v>
      </c>
      <c r="G368" t="s">
        <v>1399</v>
      </c>
      <c r="I368" t="s">
        <v>1400</v>
      </c>
      <c r="J368" s="13">
        <v>45946</v>
      </c>
      <c r="K368" s="13">
        <v>46023</v>
      </c>
      <c r="L368" t="s">
        <v>533</v>
      </c>
      <c r="M368" t="s">
        <v>58</v>
      </c>
      <c r="N368">
        <v>70861709</v>
      </c>
    </row>
    <row r="369" spans="1:14" x14ac:dyDescent="0.25">
      <c r="A369">
        <v>57285003</v>
      </c>
      <c r="B369" t="s">
        <v>1540</v>
      </c>
      <c r="C369" t="s">
        <v>1541</v>
      </c>
      <c r="D369" t="s">
        <v>1542</v>
      </c>
      <c r="E369">
        <v>5203678502</v>
      </c>
      <c r="F369" t="s">
        <v>807</v>
      </c>
      <c r="G369" t="s">
        <v>808</v>
      </c>
      <c r="I369" t="s">
        <v>33</v>
      </c>
      <c r="J369" s="13">
        <v>45946</v>
      </c>
      <c r="K369" s="13">
        <v>46023</v>
      </c>
      <c r="L369" t="s">
        <v>1179</v>
      </c>
      <c r="M369" t="s">
        <v>54</v>
      </c>
      <c r="N369">
        <v>70861747</v>
      </c>
    </row>
    <row r="370" spans="1:14" x14ac:dyDescent="0.25">
      <c r="A370">
        <v>57343728</v>
      </c>
      <c r="B370" t="s">
        <v>1038</v>
      </c>
      <c r="C370" t="s">
        <v>1543</v>
      </c>
      <c r="D370" t="s">
        <v>1544</v>
      </c>
      <c r="E370">
        <v>9288482952</v>
      </c>
      <c r="F370" t="s">
        <v>684</v>
      </c>
      <c r="G370" t="s">
        <v>685</v>
      </c>
      <c r="I370" t="s">
        <v>686</v>
      </c>
      <c r="J370" s="13">
        <v>45950</v>
      </c>
      <c r="K370" s="13">
        <v>46023</v>
      </c>
      <c r="L370" t="s">
        <v>1179</v>
      </c>
      <c r="M370" t="s">
        <v>56</v>
      </c>
      <c r="N370">
        <v>70862436</v>
      </c>
    </row>
    <row r="371" spans="1:14" x14ac:dyDescent="0.25">
      <c r="A371">
        <v>57285911</v>
      </c>
      <c r="B371" t="s">
        <v>431</v>
      </c>
      <c r="C371" t="s">
        <v>1545</v>
      </c>
      <c r="D371" t="s">
        <v>1546</v>
      </c>
      <c r="E371">
        <v>9415456225</v>
      </c>
      <c r="F371" t="s">
        <v>780</v>
      </c>
      <c r="G371" t="s">
        <v>781</v>
      </c>
      <c r="I371" t="s">
        <v>20</v>
      </c>
      <c r="J371" s="13">
        <v>45946</v>
      </c>
      <c r="K371" s="13">
        <v>46023</v>
      </c>
      <c r="L371" t="s">
        <v>497</v>
      </c>
      <c r="M371" t="s">
        <v>56</v>
      </c>
      <c r="N371">
        <v>70862553</v>
      </c>
    </row>
    <row r="372" spans="1:14" x14ac:dyDescent="0.25">
      <c r="A372">
        <v>57286557</v>
      </c>
      <c r="B372" t="s">
        <v>1547</v>
      </c>
      <c r="C372" t="s">
        <v>1548</v>
      </c>
      <c r="D372" t="s">
        <v>1549</v>
      </c>
      <c r="E372">
        <v>4175932082</v>
      </c>
      <c r="F372" t="s">
        <v>1444</v>
      </c>
      <c r="G372" t="s">
        <v>1445</v>
      </c>
      <c r="I372" t="s">
        <v>1446</v>
      </c>
      <c r="J372" s="13">
        <v>45946</v>
      </c>
      <c r="K372" s="13">
        <v>46023</v>
      </c>
      <c r="L372" t="s">
        <v>434</v>
      </c>
      <c r="M372" t="s">
        <v>58</v>
      </c>
      <c r="N372">
        <v>70863959</v>
      </c>
    </row>
    <row r="373" spans="1:14" x14ac:dyDescent="0.25">
      <c r="A373">
        <v>57286820</v>
      </c>
      <c r="B373" t="s">
        <v>1148</v>
      </c>
      <c r="C373" t="s">
        <v>1550</v>
      </c>
      <c r="D373" t="s">
        <v>1551</v>
      </c>
      <c r="E373">
        <v>7062407187</v>
      </c>
      <c r="F373" t="s">
        <v>928</v>
      </c>
      <c r="G373" t="s">
        <v>929</v>
      </c>
      <c r="I373" t="s">
        <v>30</v>
      </c>
      <c r="J373" s="13">
        <v>45946</v>
      </c>
      <c r="K373" s="13">
        <v>46023</v>
      </c>
      <c r="L373" t="s">
        <v>621</v>
      </c>
      <c r="M373" t="s">
        <v>58</v>
      </c>
      <c r="N373">
        <v>70864190</v>
      </c>
    </row>
    <row r="374" spans="1:14" x14ac:dyDescent="0.25">
      <c r="A374">
        <v>57286927</v>
      </c>
      <c r="B374" t="s">
        <v>1316</v>
      </c>
      <c r="C374" t="s">
        <v>1552</v>
      </c>
      <c r="D374" t="s">
        <v>1553</v>
      </c>
      <c r="E374">
        <v>8599001064</v>
      </c>
      <c r="F374" t="s">
        <v>628</v>
      </c>
      <c r="G374" t="s">
        <v>629</v>
      </c>
      <c r="I374" t="s">
        <v>24</v>
      </c>
      <c r="J374" s="13">
        <v>45947</v>
      </c>
      <c r="K374" s="13">
        <v>46023</v>
      </c>
      <c r="L374" t="s">
        <v>479</v>
      </c>
      <c r="M374" t="s">
        <v>58</v>
      </c>
      <c r="N374">
        <v>70864294</v>
      </c>
    </row>
    <row r="375" spans="1:14" x14ac:dyDescent="0.25">
      <c r="A375">
        <v>57287010</v>
      </c>
      <c r="B375" t="s">
        <v>1554</v>
      </c>
      <c r="C375" t="s">
        <v>1555</v>
      </c>
      <c r="D375" t="s">
        <v>1556</v>
      </c>
      <c r="E375">
        <v>6185411995</v>
      </c>
      <c r="F375" t="s">
        <v>416</v>
      </c>
      <c r="G375" t="s">
        <v>417</v>
      </c>
      <c r="I375" t="s">
        <v>26</v>
      </c>
      <c r="J375" s="13">
        <v>45946</v>
      </c>
      <c r="K375" s="13">
        <v>46023</v>
      </c>
      <c r="L375" t="s">
        <v>470</v>
      </c>
      <c r="M375" t="s">
        <v>59</v>
      </c>
      <c r="N375">
        <v>70864329</v>
      </c>
    </row>
    <row r="376" spans="1:14" x14ac:dyDescent="0.25">
      <c r="A376">
        <v>57287501</v>
      </c>
      <c r="B376" t="s">
        <v>471</v>
      </c>
      <c r="C376" t="s">
        <v>973</v>
      </c>
      <c r="D376" t="s">
        <v>1557</v>
      </c>
      <c r="E376">
        <v>5403972381</v>
      </c>
      <c r="F376" t="s">
        <v>423</v>
      </c>
      <c r="G376" t="s">
        <v>424</v>
      </c>
      <c r="I376" t="s">
        <v>46</v>
      </c>
      <c r="J376" s="13">
        <v>45946</v>
      </c>
      <c r="K376" s="13">
        <v>46023</v>
      </c>
      <c r="L376" t="s">
        <v>454</v>
      </c>
      <c r="M376" t="s">
        <v>56</v>
      </c>
      <c r="N376">
        <v>70864589</v>
      </c>
    </row>
    <row r="377" spans="1:14" x14ac:dyDescent="0.25">
      <c r="A377">
        <v>57287502</v>
      </c>
      <c r="B377" t="s">
        <v>1558</v>
      </c>
      <c r="C377" t="s">
        <v>1287</v>
      </c>
      <c r="D377" t="s">
        <v>1559</v>
      </c>
      <c r="E377">
        <v>9195915936</v>
      </c>
      <c r="F377" t="s">
        <v>592</v>
      </c>
      <c r="G377" t="s">
        <v>593</v>
      </c>
      <c r="I377" t="s">
        <v>115</v>
      </c>
      <c r="J377" s="13">
        <v>45946</v>
      </c>
      <c r="K377" s="13">
        <v>46023</v>
      </c>
      <c r="L377" t="s">
        <v>603</v>
      </c>
      <c r="M377" t="s">
        <v>56</v>
      </c>
      <c r="N377">
        <v>70864748</v>
      </c>
    </row>
    <row r="378" spans="1:14" x14ac:dyDescent="0.25">
      <c r="A378">
        <v>57287590</v>
      </c>
      <c r="B378" t="s">
        <v>1560</v>
      </c>
      <c r="C378" t="s">
        <v>1561</v>
      </c>
      <c r="D378" t="s">
        <v>1562</v>
      </c>
      <c r="E378">
        <v>2243883931</v>
      </c>
      <c r="F378" t="s">
        <v>474</v>
      </c>
      <c r="G378" t="s">
        <v>475</v>
      </c>
      <c r="I378" t="s">
        <v>132</v>
      </c>
      <c r="J378" s="13">
        <v>45946</v>
      </c>
      <c r="K378" s="13">
        <v>46023</v>
      </c>
      <c r="L378" t="s">
        <v>470</v>
      </c>
      <c r="M378" t="s">
        <v>60</v>
      </c>
      <c r="N378">
        <v>70864818</v>
      </c>
    </row>
    <row r="379" spans="1:14" x14ac:dyDescent="0.25">
      <c r="A379">
        <v>57288179</v>
      </c>
      <c r="B379" t="s">
        <v>799</v>
      </c>
      <c r="C379" t="s">
        <v>1563</v>
      </c>
      <c r="D379" t="s">
        <v>1564</v>
      </c>
      <c r="E379">
        <v>6024326413</v>
      </c>
      <c r="F379" t="s">
        <v>807</v>
      </c>
      <c r="G379" t="s">
        <v>808</v>
      </c>
      <c r="I379" t="s">
        <v>33</v>
      </c>
      <c r="J379" s="13">
        <v>45946</v>
      </c>
      <c r="K379" s="13">
        <v>46023</v>
      </c>
      <c r="L379" t="s">
        <v>1179</v>
      </c>
      <c r="M379" t="s">
        <v>56</v>
      </c>
      <c r="N379">
        <v>70865258</v>
      </c>
    </row>
    <row r="380" spans="1:14" x14ac:dyDescent="0.25">
      <c r="A380">
        <v>57288221</v>
      </c>
      <c r="B380" t="s">
        <v>1316</v>
      </c>
      <c r="C380" t="s">
        <v>707</v>
      </c>
      <c r="D380" t="s">
        <v>1565</v>
      </c>
      <c r="E380">
        <v>9452832418</v>
      </c>
      <c r="F380" t="s">
        <v>416</v>
      </c>
      <c r="G380" t="s">
        <v>417</v>
      </c>
      <c r="I380" t="s">
        <v>26</v>
      </c>
      <c r="J380" s="13">
        <v>45946</v>
      </c>
      <c r="K380" s="13">
        <v>46023</v>
      </c>
      <c r="L380" t="s">
        <v>444</v>
      </c>
      <c r="M380" t="s">
        <v>55</v>
      </c>
      <c r="N380">
        <v>70865280</v>
      </c>
    </row>
    <row r="381" spans="1:14" x14ac:dyDescent="0.25">
      <c r="A381">
        <v>57288275</v>
      </c>
      <c r="B381" t="s">
        <v>1566</v>
      </c>
      <c r="C381" t="s">
        <v>1567</v>
      </c>
      <c r="D381" t="s">
        <v>1568</v>
      </c>
      <c r="E381">
        <v>8039611868</v>
      </c>
      <c r="F381" t="s">
        <v>1200</v>
      </c>
      <c r="G381" t="s">
        <v>1201</v>
      </c>
      <c r="I381" t="s">
        <v>1202</v>
      </c>
      <c r="J381" s="13">
        <v>45946</v>
      </c>
      <c r="K381" s="13">
        <v>46023</v>
      </c>
      <c r="L381" t="s">
        <v>533</v>
      </c>
      <c r="M381" t="s">
        <v>55</v>
      </c>
      <c r="N381">
        <v>70865324</v>
      </c>
    </row>
    <row r="382" spans="1:14" x14ac:dyDescent="0.25">
      <c r="A382">
        <v>57288306</v>
      </c>
      <c r="B382" t="s">
        <v>1569</v>
      </c>
      <c r="C382" t="s">
        <v>1570</v>
      </c>
      <c r="D382" t="s">
        <v>1571</v>
      </c>
      <c r="E382" t="s">
        <v>1572</v>
      </c>
      <c r="F382" t="s">
        <v>842</v>
      </c>
      <c r="G382" t="s">
        <v>1213</v>
      </c>
      <c r="I382" t="s">
        <v>1214</v>
      </c>
      <c r="J382" s="13">
        <v>45946</v>
      </c>
      <c r="K382" s="13">
        <v>46023</v>
      </c>
      <c r="L382" t="s">
        <v>1179</v>
      </c>
      <c r="M382" t="s">
        <v>54</v>
      </c>
      <c r="N382">
        <v>70865344</v>
      </c>
    </row>
    <row r="383" spans="1:14" x14ac:dyDescent="0.25">
      <c r="A383">
        <v>57288355</v>
      </c>
      <c r="B383" t="s">
        <v>1573</v>
      </c>
      <c r="C383" t="s">
        <v>1574</v>
      </c>
      <c r="D383" t="s">
        <v>1575</v>
      </c>
      <c r="E383">
        <v>7576588497</v>
      </c>
      <c r="F383" t="s">
        <v>957</v>
      </c>
      <c r="G383" t="s">
        <v>958</v>
      </c>
      <c r="H383" t="s">
        <v>959</v>
      </c>
      <c r="I383" t="s">
        <v>960</v>
      </c>
      <c r="J383" s="13">
        <v>45946</v>
      </c>
      <c r="K383" s="13">
        <v>46023</v>
      </c>
      <c r="L383" t="s">
        <v>454</v>
      </c>
      <c r="M383" t="s">
        <v>419</v>
      </c>
      <c r="N383">
        <v>70865368</v>
      </c>
    </row>
    <row r="384" spans="1:14" x14ac:dyDescent="0.25">
      <c r="A384">
        <v>57288595</v>
      </c>
      <c r="B384" t="s">
        <v>445</v>
      </c>
      <c r="C384" t="s">
        <v>1576</v>
      </c>
      <c r="D384" t="s">
        <v>1577</v>
      </c>
      <c r="E384">
        <v>2173810471</v>
      </c>
      <c r="F384" t="s">
        <v>462</v>
      </c>
      <c r="G384" t="s">
        <v>463</v>
      </c>
      <c r="I384" t="s">
        <v>39</v>
      </c>
      <c r="J384" s="13">
        <v>45946</v>
      </c>
      <c r="K384" s="13">
        <v>46023</v>
      </c>
      <c r="L384" t="s">
        <v>470</v>
      </c>
      <c r="M384" t="s">
        <v>61</v>
      </c>
      <c r="N384">
        <v>70865536</v>
      </c>
    </row>
    <row r="385" spans="1:14" x14ac:dyDescent="0.25">
      <c r="A385">
        <v>57289262</v>
      </c>
      <c r="B385" t="s">
        <v>1033</v>
      </c>
      <c r="C385" t="s">
        <v>1578</v>
      </c>
      <c r="D385" t="s">
        <v>1579</v>
      </c>
      <c r="E385">
        <v>5406862813</v>
      </c>
      <c r="F385" t="s">
        <v>537</v>
      </c>
      <c r="G385" t="s">
        <v>538</v>
      </c>
      <c r="I385" t="s">
        <v>49</v>
      </c>
      <c r="J385" s="13">
        <v>45946</v>
      </c>
      <c r="K385" s="13">
        <v>46023</v>
      </c>
      <c r="L385" t="s">
        <v>454</v>
      </c>
      <c r="M385" t="s">
        <v>56</v>
      </c>
      <c r="N385">
        <v>70865971</v>
      </c>
    </row>
    <row r="386" spans="1:14" x14ac:dyDescent="0.25">
      <c r="A386">
        <v>57289733</v>
      </c>
      <c r="B386" t="s">
        <v>691</v>
      </c>
      <c r="C386" t="s">
        <v>1580</v>
      </c>
      <c r="D386" t="s">
        <v>1581</v>
      </c>
      <c r="E386">
        <v>9378898375</v>
      </c>
      <c r="F386" t="s">
        <v>780</v>
      </c>
      <c r="G386" t="s">
        <v>781</v>
      </c>
      <c r="I386" t="s">
        <v>20</v>
      </c>
      <c r="J386" s="13">
        <v>45946</v>
      </c>
      <c r="K386" s="13">
        <v>46023</v>
      </c>
      <c r="L386" t="s">
        <v>418</v>
      </c>
      <c r="M386" t="s">
        <v>56</v>
      </c>
      <c r="N386">
        <v>70866246</v>
      </c>
    </row>
    <row r="387" spans="1:14" x14ac:dyDescent="0.25">
      <c r="A387">
        <v>57289781</v>
      </c>
      <c r="B387" t="s">
        <v>888</v>
      </c>
      <c r="C387" t="s">
        <v>1287</v>
      </c>
      <c r="D387" t="s">
        <v>1582</v>
      </c>
      <c r="E387">
        <v>5027126691</v>
      </c>
      <c r="F387" t="s">
        <v>423</v>
      </c>
      <c r="G387" t="s">
        <v>424</v>
      </c>
      <c r="I387" t="s">
        <v>46</v>
      </c>
      <c r="J387" s="13">
        <v>45946</v>
      </c>
      <c r="K387" s="13">
        <v>46023</v>
      </c>
      <c r="L387" t="s">
        <v>490</v>
      </c>
      <c r="M387" t="s">
        <v>59</v>
      </c>
      <c r="N387">
        <v>70866275</v>
      </c>
    </row>
    <row r="388" spans="1:14" x14ac:dyDescent="0.25">
      <c r="A388">
        <v>57289821</v>
      </c>
      <c r="B388" t="s">
        <v>669</v>
      </c>
      <c r="C388" t="s">
        <v>1583</v>
      </c>
      <c r="D388" t="s">
        <v>1584</v>
      </c>
      <c r="E388">
        <v>9285421294</v>
      </c>
      <c r="F388" t="s">
        <v>569</v>
      </c>
      <c r="G388" t="s">
        <v>570</v>
      </c>
      <c r="I388" t="s">
        <v>34</v>
      </c>
      <c r="J388" s="13">
        <v>45946</v>
      </c>
      <c r="K388" s="13">
        <v>46023</v>
      </c>
      <c r="L388" t="s">
        <v>1179</v>
      </c>
      <c r="M388" t="s">
        <v>56</v>
      </c>
      <c r="N388">
        <v>70866308</v>
      </c>
    </row>
    <row r="389" spans="1:14" x14ac:dyDescent="0.25">
      <c r="A389">
        <v>57289839</v>
      </c>
      <c r="B389" t="s">
        <v>651</v>
      </c>
      <c r="C389" t="s">
        <v>1585</v>
      </c>
      <c r="D389" t="s">
        <v>1586</v>
      </c>
      <c r="E389">
        <v>5744040183</v>
      </c>
      <c r="F389" t="s">
        <v>705</v>
      </c>
      <c r="G389" t="s">
        <v>706</v>
      </c>
      <c r="I389" t="s">
        <v>12</v>
      </c>
      <c r="J389" s="13">
        <v>45946</v>
      </c>
      <c r="K389" s="13">
        <v>46023</v>
      </c>
      <c r="L389" t="s">
        <v>440</v>
      </c>
      <c r="M389" t="s">
        <v>58</v>
      </c>
      <c r="N389">
        <v>70866323</v>
      </c>
    </row>
    <row r="390" spans="1:14" x14ac:dyDescent="0.25">
      <c r="A390">
        <v>57289974</v>
      </c>
      <c r="B390" t="s">
        <v>888</v>
      </c>
      <c r="C390" t="s">
        <v>1587</v>
      </c>
      <c r="D390" t="s">
        <v>1588</v>
      </c>
      <c r="E390">
        <v>7067393121</v>
      </c>
      <c r="F390" t="s">
        <v>667</v>
      </c>
      <c r="G390" t="s">
        <v>668</v>
      </c>
      <c r="I390" t="s">
        <v>37</v>
      </c>
      <c r="J390" s="13">
        <v>45946</v>
      </c>
      <c r="K390" s="13">
        <v>46023</v>
      </c>
      <c r="L390" t="s">
        <v>621</v>
      </c>
      <c r="M390" t="s">
        <v>59</v>
      </c>
      <c r="N390">
        <v>70866408</v>
      </c>
    </row>
    <row r="391" spans="1:14" x14ac:dyDescent="0.25">
      <c r="A391">
        <v>57289994</v>
      </c>
      <c r="B391" t="s">
        <v>1589</v>
      </c>
      <c r="C391" t="s">
        <v>1590</v>
      </c>
      <c r="D391" t="s">
        <v>1591</v>
      </c>
      <c r="E391">
        <v>7154164499</v>
      </c>
      <c r="F391" t="s">
        <v>1003</v>
      </c>
      <c r="G391" t="s">
        <v>1004</v>
      </c>
      <c r="I391" t="s">
        <v>89</v>
      </c>
      <c r="J391" s="13">
        <v>45946</v>
      </c>
      <c r="K391" s="13">
        <v>46023</v>
      </c>
      <c r="L391" t="s">
        <v>675</v>
      </c>
      <c r="M391" t="s">
        <v>419</v>
      </c>
      <c r="N391">
        <v>70866420</v>
      </c>
    </row>
    <row r="392" spans="1:14" x14ac:dyDescent="0.25">
      <c r="A392">
        <v>57289997</v>
      </c>
      <c r="B392" t="s">
        <v>1148</v>
      </c>
      <c r="C392" t="s">
        <v>1592</v>
      </c>
      <c r="D392" t="s">
        <v>1593</v>
      </c>
      <c r="E392">
        <v>9832083466</v>
      </c>
      <c r="F392" t="s">
        <v>1013</v>
      </c>
      <c r="G392" t="s">
        <v>1014</v>
      </c>
      <c r="I392" t="s">
        <v>43</v>
      </c>
      <c r="J392" s="13">
        <v>45946</v>
      </c>
      <c r="K392" s="13">
        <v>46023</v>
      </c>
      <c r="L392" t="s">
        <v>539</v>
      </c>
      <c r="M392" t="s">
        <v>59</v>
      </c>
      <c r="N392">
        <v>70866423</v>
      </c>
    </row>
    <row r="393" spans="1:14" x14ac:dyDescent="0.25">
      <c r="A393">
        <v>57290027</v>
      </c>
      <c r="B393" t="s">
        <v>1594</v>
      </c>
      <c r="C393" t="s">
        <v>1595</v>
      </c>
      <c r="D393" t="s">
        <v>1596</v>
      </c>
      <c r="E393">
        <v>5205605540</v>
      </c>
      <c r="F393" t="s">
        <v>775</v>
      </c>
      <c r="G393" t="s">
        <v>776</v>
      </c>
      <c r="I393" t="s">
        <v>22</v>
      </c>
      <c r="J393" s="13">
        <v>45946</v>
      </c>
      <c r="K393" s="13">
        <v>46023</v>
      </c>
      <c r="L393" t="s">
        <v>1179</v>
      </c>
      <c r="M393" t="s">
        <v>54</v>
      </c>
      <c r="N393">
        <v>70866440</v>
      </c>
    </row>
    <row r="394" spans="1:14" x14ac:dyDescent="0.25">
      <c r="A394">
        <v>57290078</v>
      </c>
      <c r="B394" t="s">
        <v>1597</v>
      </c>
      <c r="C394" t="s">
        <v>1598</v>
      </c>
      <c r="D394" t="s">
        <v>1599</v>
      </c>
      <c r="E394">
        <v>7865435409</v>
      </c>
      <c r="F394" t="s">
        <v>928</v>
      </c>
      <c r="G394" t="s">
        <v>929</v>
      </c>
      <c r="I394" t="s">
        <v>30</v>
      </c>
      <c r="J394" s="13">
        <v>45946</v>
      </c>
      <c r="K394" s="13">
        <v>46023</v>
      </c>
      <c r="L394" t="s">
        <v>444</v>
      </c>
      <c r="M394" t="s">
        <v>55</v>
      </c>
      <c r="N394">
        <v>70866498</v>
      </c>
    </row>
    <row r="395" spans="1:14" x14ac:dyDescent="0.25">
      <c r="A395">
        <v>57290530</v>
      </c>
      <c r="B395" t="s">
        <v>1600</v>
      </c>
      <c r="C395" t="s">
        <v>1601</v>
      </c>
      <c r="D395" t="s">
        <v>1602</v>
      </c>
      <c r="E395">
        <v>4806225994</v>
      </c>
      <c r="F395" t="s">
        <v>615</v>
      </c>
      <c r="G395" t="s">
        <v>616</v>
      </c>
      <c r="I395" t="s">
        <v>617</v>
      </c>
      <c r="J395" s="13">
        <v>45946</v>
      </c>
      <c r="K395" s="13">
        <v>46023</v>
      </c>
      <c r="L395" t="s">
        <v>1179</v>
      </c>
      <c r="M395" t="s">
        <v>61</v>
      </c>
      <c r="N395">
        <v>70866756</v>
      </c>
    </row>
    <row r="396" spans="1:14" x14ac:dyDescent="0.25">
      <c r="A396">
        <v>57290653</v>
      </c>
      <c r="B396" t="s">
        <v>1603</v>
      </c>
      <c r="C396" t="s">
        <v>1604</v>
      </c>
      <c r="D396" t="s">
        <v>1605</v>
      </c>
      <c r="E396">
        <v>7797326776</v>
      </c>
      <c r="F396" t="s">
        <v>790</v>
      </c>
      <c r="G396" t="s">
        <v>791</v>
      </c>
      <c r="I396" t="s">
        <v>119</v>
      </c>
      <c r="J396" s="13">
        <v>45946</v>
      </c>
      <c r="K396" s="13">
        <v>46023</v>
      </c>
      <c r="L396" t="s">
        <v>470</v>
      </c>
      <c r="M396" t="s">
        <v>58</v>
      </c>
      <c r="N396">
        <v>70866835</v>
      </c>
    </row>
    <row r="397" spans="1:14" x14ac:dyDescent="0.25">
      <c r="A397">
        <v>57290761</v>
      </c>
      <c r="B397" t="s">
        <v>1606</v>
      </c>
      <c r="C397" t="s">
        <v>1607</v>
      </c>
      <c r="D397" t="s">
        <v>1608</v>
      </c>
      <c r="E397">
        <v>8035976016</v>
      </c>
      <c r="F397" t="s">
        <v>574</v>
      </c>
      <c r="G397" t="s">
        <v>575</v>
      </c>
      <c r="I397" t="s">
        <v>14</v>
      </c>
      <c r="J397" s="13">
        <v>45946</v>
      </c>
      <c r="K397" s="13">
        <v>46023</v>
      </c>
      <c r="L397" t="s">
        <v>533</v>
      </c>
      <c r="M397" t="s">
        <v>61</v>
      </c>
      <c r="N397">
        <v>70866919</v>
      </c>
    </row>
    <row r="398" spans="1:14" x14ac:dyDescent="0.25">
      <c r="A398">
        <v>57290843</v>
      </c>
      <c r="B398" t="s">
        <v>1609</v>
      </c>
      <c r="C398" t="s">
        <v>1607</v>
      </c>
      <c r="D398" t="s">
        <v>1610</v>
      </c>
      <c r="E398">
        <v>8035976016</v>
      </c>
      <c r="F398" t="s">
        <v>574</v>
      </c>
      <c r="G398" t="s">
        <v>575</v>
      </c>
      <c r="I398" t="s">
        <v>14</v>
      </c>
      <c r="J398" s="13">
        <v>45946</v>
      </c>
      <c r="K398" s="13">
        <v>46023</v>
      </c>
      <c r="L398" t="s">
        <v>533</v>
      </c>
      <c r="M398" t="s">
        <v>61</v>
      </c>
      <c r="N398">
        <v>70866967</v>
      </c>
    </row>
    <row r="399" spans="1:14" x14ac:dyDescent="0.25">
      <c r="A399">
        <v>57290856</v>
      </c>
      <c r="B399" t="s">
        <v>1611</v>
      </c>
      <c r="C399" t="s">
        <v>1612</v>
      </c>
      <c r="D399" t="s">
        <v>1613</v>
      </c>
      <c r="E399">
        <v>5207363862</v>
      </c>
      <c r="F399" t="s">
        <v>766</v>
      </c>
      <c r="G399" t="s">
        <v>767</v>
      </c>
      <c r="I399" t="s">
        <v>88</v>
      </c>
      <c r="J399" s="13">
        <v>45946</v>
      </c>
      <c r="K399" s="13">
        <v>46023</v>
      </c>
      <c r="L399" t="s">
        <v>1179</v>
      </c>
      <c r="M399" t="s">
        <v>54</v>
      </c>
      <c r="N399">
        <v>70866979</v>
      </c>
    </row>
    <row r="400" spans="1:14" x14ac:dyDescent="0.25">
      <c r="A400">
        <v>57290963</v>
      </c>
      <c r="B400" t="s">
        <v>1614</v>
      </c>
      <c r="C400" t="s">
        <v>1615</v>
      </c>
      <c r="D400" t="s">
        <v>1616</v>
      </c>
      <c r="E400">
        <v>8504188891</v>
      </c>
      <c r="F400" t="s">
        <v>474</v>
      </c>
      <c r="G400" t="s">
        <v>475</v>
      </c>
      <c r="I400" t="s">
        <v>132</v>
      </c>
      <c r="J400" s="13">
        <v>45946</v>
      </c>
      <c r="K400" s="13">
        <v>46023</v>
      </c>
      <c r="L400" t="s">
        <v>450</v>
      </c>
      <c r="M400" t="s">
        <v>58</v>
      </c>
      <c r="N400">
        <v>70867040</v>
      </c>
    </row>
    <row r="401" spans="1:14" x14ac:dyDescent="0.25">
      <c r="A401">
        <v>57291050</v>
      </c>
      <c r="B401" t="s">
        <v>724</v>
      </c>
      <c r="C401" t="s">
        <v>1617</v>
      </c>
      <c r="D401" t="s">
        <v>1618</v>
      </c>
      <c r="E401">
        <v>9282053170</v>
      </c>
      <c r="F401" t="s">
        <v>993</v>
      </c>
      <c r="G401" t="s">
        <v>994</v>
      </c>
      <c r="I401" t="s">
        <v>995</v>
      </c>
      <c r="J401" s="13">
        <v>45946</v>
      </c>
      <c r="K401" s="13">
        <v>46023</v>
      </c>
      <c r="M401" t="s">
        <v>54</v>
      </c>
      <c r="N401">
        <v>70867098</v>
      </c>
    </row>
    <row r="402" spans="1:14" x14ac:dyDescent="0.25">
      <c r="A402">
        <v>57291062</v>
      </c>
      <c r="B402" t="s">
        <v>1619</v>
      </c>
      <c r="C402" t="s">
        <v>1101</v>
      </c>
      <c r="D402" t="s">
        <v>1620</v>
      </c>
      <c r="E402">
        <v>8168060688</v>
      </c>
      <c r="F402" t="s">
        <v>815</v>
      </c>
      <c r="G402" t="s">
        <v>816</v>
      </c>
      <c r="I402" t="s">
        <v>23</v>
      </c>
      <c r="J402" s="13">
        <v>45946</v>
      </c>
      <c r="K402" s="13">
        <v>46023</v>
      </c>
      <c r="L402" t="s">
        <v>434</v>
      </c>
      <c r="M402" t="s">
        <v>59</v>
      </c>
      <c r="N402">
        <v>70867102</v>
      </c>
    </row>
    <row r="403" spans="1:14" x14ac:dyDescent="0.25">
      <c r="A403">
        <v>57291265</v>
      </c>
      <c r="B403" t="s">
        <v>1621</v>
      </c>
      <c r="C403" t="s">
        <v>1622</v>
      </c>
      <c r="D403" t="s">
        <v>1623</v>
      </c>
      <c r="E403">
        <v>2566040690</v>
      </c>
      <c r="F403" t="s">
        <v>578</v>
      </c>
      <c r="G403" t="s">
        <v>579</v>
      </c>
      <c r="I403" t="s">
        <v>15</v>
      </c>
      <c r="J403" s="13">
        <v>45946</v>
      </c>
      <c r="K403" s="13">
        <v>46023</v>
      </c>
      <c r="L403" t="s">
        <v>450</v>
      </c>
      <c r="M403" t="s">
        <v>58</v>
      </c>
      <c r="N403">
        <v>70867251</v>
      </c>
    </row>
    <row r="404" spans="1:14" x14ac:dyDescent="0.25">
      <c r="A404">
        <v>57291604</v>
      </c>
      <c r="B404" t="s">
        <v>1624</v>
      </c>
      <c r="C404" t="s">
        <v>1625</v>
      </c>
      <c r="D404" t="s">
        <v>1626</v>
      </c>
      <c r="E404">
        <v>2193321231</v>
      </c>
      <c r="F404" t="s">
        <v>705</v>
      </c>
      <c r="G404" t="s">
        <v>706</v>
      </c>
      <c r="I404" t="s">
        <v>12</v>
      </c>
      <c r="J404" s="13">
        <v>45946</v>
      </c>
      <c r="K404" s="13">
        <v>46023</v>
      </c>
      <c r="L404" t="s">
        <v>440</v>
      </c>
      <c r="M404" t="s">
        <v>58</v>
      </c>
      <c r="N404">
        <v>70867475</v>
      </c>
    </row>
    <row r="405" spans="1:14" x14ac:dyDescent="0.25">
      <c r="A405">
        <v>57291712</v>
      </c>
      <c r="B405" t="s">
        <v>1627</v>
      </c>
      <c r="C405" t="s">
        <v>1628</v>
      </c>
      <c r="D405" t="s">
        <v>1629</v>
      </c>
      <c r="E405">
        <v>6787540676</v>
      </c>
      <c r="F405" t="s">
        <v>684</v>
      </c>
      <c r="G405" t="s">
        <v>685</v>
      </c>
      <c r="I405" t="s">
        <v>686</v>
      </c>
      <c r="J405" s="13">
        <v>45946</v>
      </c>
      <c r="K405" s="13">
        <v>46023</v>
      </c>
      <c r="L405" t="s">
        <v>621</v>
      </c>
      <c r="M405" t="s">
        <v>56</v>
      </c>
      <c r="N405">
        <v>70867512</v>
      </c>
    </row>
    <row r="406" spans="1:14" x14ac:dyDescent="0.25">
      <c r="A406">
        <v>57291810</v>
      </c>
      <c r="B406" t="s">
        <v>1630</v>
      </c>
      <c r="C406" t="s">
        <v>1631</v>
      </c>
      <c r="D406" t="s">
        <v>1632</v>
      </c>
      <c r="E406">
        <v>3054695703</v>
      </c>
      <c r="F406" t="s">
        <v>569</v>
      </c>
      <c r="G406" t="s">
        <v>570</v>
      </c>
      <c r="I406" t="s">
        <v>34</v>
      </c>
      <c r="J406" s="13">
        <v>45946</v>
      </c>
      <c r="K406" s="13">
        <v>46023</v>
      </c>
      <c r="L406" t="s">
        <v>497</v>
      </c>
      <c r="M406" t="s">
        <v>58</v>
      </c>
      <c r="N406">
        <v>70868104</v>
      </c>
    </row>
    <row r="407" spans="1:14" x14ac:dyDescent="0.25">
      <c r="A407">
        <v>57291830</v>
      </c>
      <c r="B407" t="s">
        <v>431</v>
      </c>
      <c r="C407" t="s">
        <v>1633</v>
      </c>
      <c r="D407" t="s">
        <v>1634</v>
      </c>
      <c r="E407">
        <v>5403208905</v>
      </c>
      <c r="F407" t="s">
        <v>416</v>
      </c>
      <c r="G407" t="s">
        <v>417</v>
      </c>
      <c r="I407" t="s">
        <v>26</v>
      </c>
      <c r="J407" s="13">
        <v>45946</v>
      </c>
      <c r="K407" s="13">
        <v>46023</v>
      </c>
      <c r="L407" t="s">
        <v>454</v>
      </c>
      <c r="M407" t="s">
        <v>59</v>
      </c>
      <c r="N407">
        <v>70868117</v>
      </c>
    </row>
    <row r="408" spans="1:14" x14ac:dyDescent="0.25">
      <c r="A408">
        <v>57291838</v>
      </c>
      <c r="B408" t="s">
        <v>1635</v>
      </c>
      <c r="C408" t="s">
        <v>1636</v>
      </c>
      <c r="D408" t="s">
        <v>1637</v>
      </c>
      <c r="E408">
        <v>3172717474</v>
      </c>
      <c r="F408" t="s">
        <v>448</v>
      </c>
      <c r="G408" t="s">
        <v>449</v>
      </c>
      <c r="I408" t="s">
        <v>31</v>
      </c>
      <c r="J408" s="13">
        <v>45946</v>
      </c>
      <c r="K408" s="13">
        <v>46023</v>
      </c>
      <c r="L408" t="s">
        <v>440</v>
      </c>
      <c r="M408" t="s">
        <v>62</v>
      </c>
      <c r="N408">
        <v>70868123</v>
      </c>
    </row>
    <row r="409" spans="1:14" x14ac:dyDescent="0.25">
      <c r="A409">
        <v>57291850</v>
      </c>
      <c r="B409" t="s">
        <v>1638</v>
      </c>
      <c r="C409" t="s">
        <v>1639</v>
      </c>
      <c r="D409" t="s">
        <v>1640</v>
      </c>
      <c r="E409">
        <v>6789736014</v>
      </c>
      <c r="F409" t="s">
        <v>574</v>
      </c>
      <c r="G409" t="s">
        <v>575</v>
      </c>
      <c r="I409" t="s">
        <v>14</v>
      </c>
      <c r="J409" s="13">
        <v>45946</v>
      </c>
      <c r="K409" s="13">
        <v>46023</v>
      </c>
      <c r="L409" t="s">
        <v>621</v>
      </c>
      <c r="M409" t="s">
        <v>59</v>
      </c>
      <c r="N409">
        <v>70868131</v>
      </c>
    </row>
    <row r="410" spans="1:14" x14ac:dyDescent="0.25">
      <c r="A410">
        <v>57294708</v>
      </c>
      <c r="B410" t="s">
        <v>702</v>
      </c>
      <c r="C410" t="s">
        <v>1641</v>
      </c>
      <c r="D410" t="s">
        <v>1642</v>
      </c>
      <c r="E410">
        <v>5042355544</v>
      </c>
      <c r="F410" t="s">
        <v>684</v>
      </c>
      <c r="G410" t="s">
        <v>685</v>
      </c>
      <c r="I410" t="s">
        <v>686</v>
      </c>
      <c r="J410" s="13">
        <v>45947</v>
      </c>
      <c r="K410" s="13">
        <v>46023</v>
      </c>
      <c r="L410" t="s">
        <v>612</v>
      </c>
      <c r="M410" t="s">
        <v>56</v>
      </c>
      <c r="N410">
        <v>70872253</v>
      </c>
    </row>
    <row r="411" spans="1:14" x14ac:dyDescent="0.25">
      <c r="A411">
        <v>57293818</v>
      </c>
      <c r="B411" t="s">
        <v>1643</v>
      </c>
      <c r="C411" t="s">
        <v>1644</v>
      </c>
      <c r="D411" t="s">
        <v>1645</v>
      </c>
      <c r="E411">
        <v>4787727713</v>
      </c>
      <c r="F411" t="s">
        <v>775</v>
      </c>
      <c r="G411" t="s">
        <v>776</v>
      </c>
      <c r="I411" t="s">
        <v>22</v>
      </c>
      <c r="J411" s="13">
        <v>45947</v>
      </c>
      <c r="K411" s="13">
        <v>46023</v>
      </c>
      <c r="L411" t="s">
        <v>621</v>
      </c>
      <c r="M411" t="s">
        <v>58</v>
      </c>
      <c r="N411">
        <v>70872469</v>
      </c>
    </row>
    <row r="412" spans="1:14" x14ac:dyDescent="0.25">
      <c r="A412">
        <v>57296513</v>
      </c>
      <c r="B412" t="s">
        <v>1646</v>
      </c>
      <c r="C412" t="s">
        <v>1177</v>
      </c>
      <c r="D412" t="s">
        <v>1647</v>
      </c>
      <c r="E412">
        <v>6063886906</v>
      </c>
      <c r="F412" t="s">
        <v>615</v>
      </c>
      <c r="G412" t="s">
        <v>616</v>
      </c>
      <c r="I412" t="s">
        <v>617</v>
      </c>
      <c r="J412" s="13">
        <v>45947</v>
      </c>
      <c r="K412" s="13">
        <v>46023</v>
      </c>
      <c r="L412" t="s">
        <v>490</v>
      </c>
      <c r="M412" t="s">
        <v>56</v>
      </c>
      <c r="N412">
        <v>70888650</v>
      </c>
    </row>
    <row r="413" spans="1:14" x14ac:dyDescent="0.25">
      <c r="A413">
        <v>57296563</v>
      </c>
      <c r="B413" t="s">
        <v>1522</v>
      </c>
      <c r="C413" t="s">
        <v>1648</v>
      </c>
      <c r="D413" t="s">
        <v>1649</v>
      </c>
      <c r="E413">
        <v>5732107976</v>
      </c>
      <c r="F413" t="s">
        <v>649</v>
      </c>
      <c r="G413" t="s">
        <v>650</v>
      </c>
      <c r="I413" t="s">
        <v>28</v>
      </c>
      <c r="J413" s="13">
        <v>45947</v>
      </c>
      <c r="K413" s="13">
        <v>46023</v>
      </c>
      <c r="L413" t="s">
        <v>434</v>
      </c>
      <c r="M413" t="s">
        <v>59</v>
      </c>
      <c r="N413">
        <v>70889407</v>
      </c>
    </row>
    <row r="414" spans="1:14" x14ac:dyDescent="0.25">
      <c r="A414">
        <v>57296629</v>
      </c>
      <c r="B414" t="s">
        <v>709</v>
      </c>
      <c r="C414" t="s">
        <v>1650</v>
      </c>
      <c r="D414" t="s">
        <v>1651</v>
      </c>
      <c r="E414">
        <v>4042937077</v>
      </c>
      <c r="F414" t="s">
        <v>1003</v>
      </c>
      <c r="G414" t="s">
        <v>1004</v>
      </c>
      <c r="I414" t="s">
        <v>89</v>
      </c>
      <c r="J414" s="13">
        <v>45947</v>
      </c>
      <c r="K414" s="13">
        <v>46023</v>
      </c>
      <c r="L414" t="s">
        <v>621</v>
      </c>
      <c r="M414" t="s">
        <v>59</v>
      </c>
      <c r="N414">
        <v>70890029</v>
      </c>
    </row>
    <row r="415" spans="1:14" x14ac:dyDescent="0.25">
      <c r="A415">
        <v>57296645</v>
      </c>
      <c r="B415" t="s">
        <v>718</v>
      </c>
      <c r="C415" t="s">
        <v>1652</v>
      </c>
      <c r="D415" t="s">
        <v>1653</v>
      </c>
      <c r="E415">
        <v>7023793018</v>
      </c>
      <c r="F415" t="s">
        <v>770</v>
      </c>
      <c r="G415" t="s">
        <v>771</v>
      </c>
      <c r="I415" t="s">
        <v>25</v>
      </c>
      <c r="J415" s="13">
        <v>45947</v>
      </c>
      <c r="K415" s="13">
        <v>46023</v>
      </c>
      <c r="L415" t="s">
        <v>483</v>
      </c>
      <c r="M415" t="s">
        <v>56</v>
      </c>
      <c r="N415">
        <v>70890233</v>
      </c>
    </row>
    <row r="416" spans="1:14" x14ac:dyDescent="0.25">
      <c r="A416">
        <v>57296691</v>
      </c>
      <c r="B416" t="s">
        <v>600</v>
      </c>
      <c r="C416" t="s">
        <v>512</v>
      </c>
      <c r="D416" t="s">
        <v>1654</v>
      </c>
      <c r="E416">
        <v>4482485922</v>
      </c>
      <c r="F416" t="s">
        <v>667</v>
      </c>
      <c r="G416" t="s">
        <v>668</v>
      </c>
      <c r="I416" t="s">
        <v>37</v>
      </c>
      <c r="J416" s="13">
        <v>45947</v>
      </c>
      <c r="K416" s="13">
        <v>46023</v>
      </c>
      <c r="L416" t="s">
        <v>497</v>
      </c>
      <c r="M416" t="s">
        <v>58</v>
      </c>
      <c r="N416">
        <v>70890847</v>
      </c>
    </row>
    <row r="417" spans="1:14" x14ac:dyDescent="0.25">
      <c r="A417">
        <v>57297204</v>
      </c>
      <c r="B417" t="s">
        <v>1655</v>
      </c>
      <c r="C417" t="s">
        <v>1656</v>
      </c>
      <c r="D417" t="s">
        <v>1657</v>
      </c>
      <c r="E417">
        <v>9702504698</v>
      </c>
      <c r="F417" t="s">
        <v>798</v>
      </c>
      <c r="G417" t="s">
        <v>799</v>
      </c>
      <c r="I417" t="s">
        <v>800</v>
      </c>
      <c r="J417" s="13">
        <v>45947</v>
      </c>
      <c r="K417" s="13">
        <v>46023</v>
      </c>
      <c r="L417" t="s">
        <v>539</v>
      </c>
      <c r="M417" t="s">
        <v>56</v>
      </c>
      <c r="N417">
        <v>70896103</v>
      </c>
    </row>
    <row r="418" spans="1:14" x14ac:dyDescent="0.25">
      <c r="A418">
        <v>57297335</v>
      </c>
      <c r="B418" t="s">
        <v>1658</v>
      </c>
      <c r="C418" t="s">
        <v>1659</v>
      </c>
      <c r="D418" t="s">
        <v>1660</v>
      </c>
      <c r="E418">
        <v>9703708434</v>
      </c>
      <c r="F418" t="s">
        <v>423</v>
      </c>
      <c r="G418" t="s">
        <v>424</v>
      </c>
      <c r="I418" t="s">
        <v>46</v>
      </c>
      <c r="J418" s="13">
        <v>45947</v>
      </c>
      <c r="K418" s="13">
        <v>46023</v>
      </c>
      <c r="L418" t="s">
        <v>539</v>
      </c>
      <c r="M418" t="s">
        <v>58</v>
      </c>
      <c r="N418">
        <v>70897610</v>
      </c>
    </row>
    <row r="419" spans="1:14" x14ac:dyDescent="0.25">
      <c r="A419">
        <v>57297371</v>
      </c>
      <c r="B419" t="s">
        <v>1658</v>
      </c>
      <c r="C419" t="s">
        <v>1661</v>
      </c>
      <c r="D419" t="s">
        <v>1662</v>
      </c>
      <c r="E419">
        <v>5616959616</v>
      </c>
      <c r="F419" t="s">
        <v>1142</v>
      </c>
      <c r="G419" t="s">
        <v>1143</v>
      </c>
      <c r="I419" t="s">
        <v>124</v>
      </c>
      <c r="J419" s="13">
        <v>45947</v>
      </c>
      <c r="K419" s="13">
        <v>46023</v>
      </c>
      <c r="L419" t="s">
        <v>497</v>
      </c>
      <c r="M419" t="s">
        <v>58</v>
      </c>
      <c r="N419">
        <v>70898617</v>
      </c>
    </row>
    <row r="420" spans="1:14" x14ac:dyDescent="0.25">
      <c r="A420">
        <v>57297386</v>
      </c>
      <c r="B420" t="s">
        <v>1663</v>
      </c>
      <c r="C420" t="s">
        <v>1664</v>
      </c>
      <c r="D420" t="s">
        <v>1665</v>
      </c>
      <c r="E420">
        <v>9832144300</v>
      </c>
      <c r="F420" t="s">
        <v>628</v>
      </c>
      <c r="G420" t="s">
        <v>629</v>
      </c>
      <c r="I420" t="s">
        <v>24</v>
      </c>
      <c r="J420" s="13">
        <v>45947</v>
      </c>
      <c r="K420" s="13">
        <v>46023</v>
      </c>
      <c r="L420" t="s">
        <v>539</v>
      </c>
      <c r="M420" t="s">
        <v>58</v>
      </c>
      <c r="N420">
        <v>70898855</v>
      </c>
    </row>
    <row r="421" spans="1:14" x14ac:dyDescent="0.25">
      <c r="A421">
        <v>57297941</v>
      </c>
      <c r="B421" t="s">
        <v>1666</v>
      </c>
      <c r="C421" t="s">
        <v>1667</v>
      </c>
      <c r="D421" t="s">
        <v>1668</v>
      </c>
      <c r="E421">
        <v>9032628529</v>
      </c>
      <c r="F421" t="s">
        <v>551</v>
      </c>
      <c r="G421" t="s">
        <v>552</v>
      </c>
      <c r="I421" t="s">
        <v>42</v>
      </c>
      <c r="J421" s="13">
        <v>45947</v>
      </c>
      <c r="K421" s="13">
        <v>46023</v>
      </c>
      <c r="L421" t="s">
        <v>444</v>
      </c>
      <c r="M421" t="s">
        <v>56</v>
      </c>
      <c r="N421">
        <v>70901941</v>
      </c>
    </row>
    <row r="422" spans="1:14" x14ac:dyDescent="0.25">
      <c r="A422">
        <v>57297889</v>
      </c>
      <c r="B422" t="s">
        <v>445</v>
      </c>
      <c r="C422" t="s">
        <v>1669</v>
      </c>
      <c r="D422" t="s">
        <v>1670</v>
      </c>
      <c r="E422">
        <v>9282308138</v>
      </c>
      <c r="F422" t="s">
        <v>1267</v>
      </c>
      <c r="G422" t="s">
        <v>1268</v>
      </c>
      <c r="I422" t="s">
        <v>1269</v>
      </c>
      <c r="J422" s="13">
        <v>45947</v>
      </c>
      <c r="K422" s="13">
        <v>46023</v>
      </c>
      <c r="L422" t="s">
        <v>1179</v>
      </c>
      <c r="M422" t="s">
        <v>56</v>
      </c>
      <c r="N422">
        <v>70904093</v>
      </c>
    </row>
    <row r="423" spans="1:14" x14ac:dyDescent="0.25">
      <c r="A423">
        <v>57298119</v>
      </c>
      <c r="B423" t="s">
        <v>1316</v>
      </c>
      <c r="C423" t="s">
        <v>1671</v>
      </c>
      <c r="D423" t="s">
        <v>1672</v>
      </c>
      <c r="E423">
        <v>3092241474</v>
      </c>
      <c r="F423" t="s">
        <v>537</v>
      </c>
      <c r="G423" t="s">
        <v>538</v>
      </c>
      <c r="I423" t="s">
        <v>49</v>
      </c>
      <c r="J423" s="13">
        <v>45947</v>
      </c>
      <c r="K423" s="13">
        <v>46023</v>
      </c>
      <c r="L423" t="s">
        <v>470</v>
      </c>
      <c r="M423" t="s">
        <v>59</v>
      </c>
      <c r="N423">
        <v>70905873</v>
      </c>
    </row>
    <row r="424" spans="1:14" x14ac:dyDescent="0.25">
      <c r="A424">
        <v>57298488</v>
      </c>
      <c r="B424" t="s">
        <v>1673</v>
      </c>
      <c r="C424" t="s">
        <v>1487</v>
      </c>
      <c r="D424" t="s">
        <v>1674</v>
      </c>
      <c r="E424">
        <v>6302478394</v>
      </c>
      <c r="F424" t="s">
        <v>790</v>
      </c>
      <c r="G424" t="s">
        <v>791</v>
      </c>
      <c r="I424" t="s">
        <v>119</v>
      </c>
      <c r="J424" s="13">
        <v>45947</v>
      </c>
      <c r="K424" s="13">
        <v>46023</v>
      </c>
      <c r="L424" t="s">
        <v>470</v>
      </c>
      <c r="M424" t="s">
        <v>61</v>
      </c>
      <c r="N424">
        <v>70907011</v>
      </c>
    </row>
    <row r="425" spans="1:14" x14ac:dyDescent="0.25">
      <c r="A425">
        <v>57298385</v>
      </c>
      <c r="B425" t="s">
        <v>1675</v>
      </c>
      <c r="C425" t="s">
        <v>1676</v>
      </c>
      <c r="D425" t="s">
        <v>1677</v>
      </c>
      <c r="E425" t="s">
        <v>1678</v>
      </c>
      <c r="F425" t="s">
        <v>474</v>
      </c>
      <c r="G425" t="s">
        <v>475</v>
      </c>
      <c r="I425" t="s">
        <v>132</v>
      </c>
      <c r="J425" s="13">
        <v>45947</v>
      </c>
      <c r="K425" s="13">
        <v>46023</v>
      </c>
      <c r="L425" t="s">
        <v>497</v>
      </c>
      <c r="M425" t="s">
        <v>58</v>
      </c>
      <c r="N425">
        <v>70907597</v>
      </c>
    </row>
    <row r="426" spans="1:14" x14ac:dyDescent="0.25">
      <c r="A426">
        <v>57298876</v>
      </c>
      <c r="B426" t="s">
        <v>1679</v>
      </c>
      <c r="C426" t="s">
        <v>1680</v>
      </c>
      <c r="D426" t="s">
        <v>1681</v>
      </c>
      <c r="E426" t="s">
        <v>1682</v>
      </c>
      <c r="F426" t="s">
        <v>693</v>
      </c>
      <c r="G426" t="s">
        <v>694</v>
      </c>
      <c r="I426" t="s">
        <v>103</v>
      </c>
      <c r="J426" s="13">
        <v>45947</v>
      </c>
      <c r="K426" s="13">
        <v>46023</v>
      </c>
      <c r="L426" t="s">
        <v>434</v>
      </c>
      <c r="M426" t="s">
        <v>56</v>
      </c>
      <c r="N426">
        <v>70910675</v>
      </c>
    </row>
    <row r="427" spans="1:14" x14ac:dyDescent="0.25">
      <c r="A427">
        <v>57298933</v>
      </c>
      <c r="B427" t="s">
        <v>1149</v>
      </c>
      <c r="C427" t="s">
        <v>1683</v>
      </c>
      <c r="D427" t="s">
        <v>1684</v>
      </c>
      <c r="E427">
        <v>9375736273</v>
      </c>
      <c r="F427" t="s">
        <v>462</v>
      </c>
      <c r="G427" t="s">
        <v>463</v>
      </c>
      <c r="I427" t="s">
        <v>39</v>
      </c>
      <c r="J427" s="13">
        <v>45947</v>
      </c>
      <c r="K427" s="13">
        <v>46023</v>
      </c>
      <c r="L427" t="s">
        <v>418</v>
      </c>
      <c r="M427" t="s">
        <v>58</v>
      </c>
      <c r="N427">
        <v>70911359</v>
      </c>
    </row>
    <row r="428" spans="1:14" x14ac:dyDescent="0.25">
      <c r="A428">
        <v>57299510</v>
      </c>
      <c r="B428" t="s">
        <v>431</v>
      </c>
      <c r="C428" t="s">
        <v>1685</v>
      </c>
      <c r="D428" t="s">
        <v>1686</v>
      </c>
      <c r="E428">
        <v>7067947449</v>
      </c>
      <c r="F428" t="s">
        <v>416</v>
      </c>
      <c r="G428" t="s">
        <v>417</v>
      </c>
      <c r="I428" t="s">
        <v>26</v>
      </c>
      <c r="J428" s="13">
        <v>45947</v>
      </c>
      <c r="K428" s="13">
        <v>46023</v>
      </c>
      <c r="L428" t="s">
        <v>621</v>
      </c>
      <c r="M428" t="s">
        <v>59</v>
      </c>
      <c r="N428">
        <v>70912041</v>
      </c>
    </row>
    <row r="429" spans="1:14" x14ac:dyDescent="0.25">
      <c r="A429">
        <v>57298990</v>
      </c>
      <c r="B429" t="s">
        <v>1687</v>
      </c>
      <c r="C429" t="s">
        <v>1688</v>
      </c>
      <c r="D429" t="s">
        <v>1689</v>
      </c>
      <c r="E429">
        <v>3177422899</v>
      </c>
      <c r="F429" t="s">
        <v>815</v>
      </c>
      <c r="G429" t="s">
        <v>816</v>
      </c>
      <c r="I429" t="s">
        <v>23</v>
      </c>
      <c r="J429" s="13">
        <v>45947</v>
      </c>
      <c r="K429" s="13">
        <v>46023</v>
      </c>
      <c r="L429" t="s">
        <v>440</v>
      </c>
      <c r="M429" t="s">
        <v>419</v>
      </c>
      <c r="N429">
        <v>70912190</v>
      </c>
    </row>
    <row r="430" spans="1:14" x14ac:dyDescent="0.25">
      <c r="A430">
        <v>57299051</v>
      </c>
      <c r="B430" t="s">
        <v>1690</v>
      </c>
      <c r="C430" t="s">
        <v>1691</v>
      </c>
      <c r="D430" t="s">
        <v>1692</v>
      </c>
      <c r="E430">
        <v>4233626907</v>
      </c>
      <c r="F430" t="s">
        <v>592</v>
      </c>
      <c r="G430" t="s">
        <v>593</v>
      </c>
      <c r="I430" t="s">
        <v>115</v>
      </c>
      <c r="J430" s="13">
        <v>45947</v>
      </c>
      <c r="K430" s="13">
        <v>46023</v>
      </c>
      <c r="L430" t="s">
        <v>479</v>
      </c>
      <c r="M430" t="s">
        <v>58</v>
      </c>
      <c r="N430">
        <v>70912901</v>
      </c>
    </row>
    <row r="431" spans="1:14" x14ac:dyDescent="0.25">
      <c r="A431">
        <v>57299246</v>
      </c>
      <c r="B431" t="s">
        <v>1693</v>
      </c>
      <c r="C431" t="s">
        <v>1694</v>
      </c>
      <c r="D431" t="s">
        <v>1695</v>
      </c>
      <c r="E431">
        <v>2097121393</v>
      </c>
      <c r="F431" t="s">
        <v>828</v>
      </c>
      <c r="G431" t="s">
        <v>1148</v>
      </c>
      <c r="I431" t="s">
        <v>17</v>
      </c>
      <c r="J431" s="13">
        <v>45947</v>
      </c>
      <c r="K431" s="13">
        <v>46023</v>
      </c>
      <c r="L431" t="s">
        <v>434</v>
      </c>
      <c r="M431" t="s">
        <v>56</v>
      </c>
      <c r="N431">
        <v>70914510</v>
      </c>
    </row>
    <row r="432" spans="1:14" x14ac:dyDescent="0.25">
      <c r="A432">
        <v>57299333</v>
      </c>
      <c r="B432" t="s">
        <v>1696</v>
      </c>
      <c r="C432" t="s">
        <v>1697</v>
      </c>
      <c r="D432" t="s">
        <v>1698</v>
      </c>
      <c r="E432">
        <v>3306918438</v>
      </c>
      <c r="F432" t="s">
        <v>667</v>
      </c>
      <c r="G432" t="s">
        <v>668</v>
      </c>
      <c r="I432" t="s">
        <v>37</v>
      </c>
      <c r="J432" s="13">
        <v>45947</v>
      </c>
      <c r="K432" s="13">
        <v>46023</v>
      </c>
      <c r="L432" t="s">
        <v>418</v>
      </c>
      <c r="M432" t="s">
        <v>59</v>
      </c>
      <c r="N432">
        <v>70915131</v>
      </c>
    </row>
    <row r="433" spans="1:14" x14ac:dyDescent="0.25">
      <c r="A433">
        <v>57299522</v>
      </c>
      <c r="B433" t="s">
        <v>1699</v>
      </c>
      <c r="C433" t="s">
        <v>1700</v>
      </c>
      <c r="D433" t="s">
        <v>1701</v>
      </c>
      <c r="E433">
        <v>4049891851</v>
      </c>
      <c r="F433" t="s">
        <v>474</v>
      </c>
      <c r="G433" t="s">
        <v>475</v>
      </c>
      <c r="I433" t="s">
        <v>132</v>
      </c>
      <c r="J433" s="13">
        <v>45947</v>
      </c>
      <c r="K433" s="13">
        <v>46023</v>
      </c>
      <c r="L433" t="s">
        <v>497</v>
      </c>
      <c r="M433" t="s">
        <v>58</v>
      </c>
      <c r="N433">
        <v>70916541</v>
      </c>
    </row>
    <row r="434" spans="1:14" x14ac:dyDescent="0.25">
      <c r="A434">
        <v>57299748</v>
      </c>
      <c r="B434" t="s">
        <v>1445</v>
      </c>
      <c r="C434" t="s">
        <v>1702</v>
      </c>
      <c r="D434" t="s">
        <v>1703</v>
      </c>
      <c r="E434">
        <v>3047262283</v>
      </c>
      <c r="F434" t="s">
        <v>448</v>
      </c>
      <c r="G434" t="s">
        <v>449</v>
      </c>
      <c r="I434" t="s">
        <v>31</v>
      </c>
      <c r="J434" s="13">
        <v>45947</v>
      </c>
      <c r="K434" s="13">
        <v>46023</v>
      </c>
      <c r="L434" t="s">
        <v>1188</v>
      </c>
      <c r="M434" t="s">
        <v>56</v>
      </c>
      <c r="N434">
        <v>70918925</v>
      </c>
    </row>
    <row r="435" spans="1:14" x14ac:dyDescent="0.25">
      <c r="A435">
        <v>57299852</v>
      </c>
      <c r="B435" t="s">
        <v>1704</v>
      </c>
      <c r="C435" t="s">
        <v>564</v>
      </c>
      <c r="D435" t="s">
        <v>1705</v>
      </c>
      <c r="E435">
        <v>6026411196</v>
      </c>
      <c r="F435" t="s">
        <v>766</v>
      </c>
      <c r="G435" t="s">
        <v>767</v>
      </c>
      <c r="I435" t="s">
        <v>88</v>
      </c>
      <c r="J435" s="13">
        <v>45947</v>
      </c>
      <c r="K435" s="13">
        <v>46023</v>
      </c>
      <c r="L435" t="s">
        <v>1179</v>
      </c>
      <c r="M435" t="s">
        <v>54</v>
      </c>
      <c r="N435">
        <v>70920308</v>
      </c>
    </row>
    <row r="436" spans="1:14" x14ac:dyDescent="0.25">
      <c r="A436">
        <v>57299869</v>
      </c>
      <c r="B436" t="s">
        <v>445</v>
      </c>
      <c r="C436" t="s">
        <v>1706</v>
      </c>
      <c r="D436" t="s">
        <v>1707</v>
      </c>
      <c r="E436">
        <v>6027779169</v>
      </c>
      <c r="F436" t="s">
        <v>821</v>
      </c>
      <c r="G436" t="s">
        <v>822</v>
      </c>
      <c r="I436" t="s">
        <v>823</v>
      </c>
      <c r="J436" s="13">
        <v>45947</v>
      </c>
      <c r="K436" s="13">
        <v>46023</v>
      </c>
      <c r="L436" t="s">
        <v>1179</v>
      </c>
      <c r="M436" t="s">
        <v>59</v>
      </c>
      <c r="N436">
        <v>70920956</v>
      </c>
    </row>
    <row r="437" spans="1:14" x14ac:dyDescent="0.25">
      <c r="A437">
        <v>57299948</v>
      </c>
      <c r="B437" t="s">
        <v>1708</v>
      </c>
      <c r="C437" t="s">
        <v>1709</v>
      </c>
      <c r="D437" t="s">
        <v>1710</v>
      </c>
      <c r="E437">
        <v>8308374410</v>
      </c>
      <c r="F437" t="s">
        <v>780</v>
      </c>
      <c r="G437" t="s">
        <v>781</v>
      </c>
      <c r="I437" t="s">
        <v>20</v>
      </c>
      <c r="J437" s="13">
        <v>45947</v>
      </c>
      <c r="K437" s="13">
        <v>46023</v>
      </c>
      <c r="L437" t="s">
        <v>444</v>
      </c>
      <c r="M437" t="s">
        <v>55</v>
      </c>
      <c r="N437">
        <v>70921999</v>
      </c>
    </row>
    <row r="438" spans="1:14" x14ac:dyDescent="0.25">
      <c r="A438">
        <v>57299957</v>
      </c>
      <c r="B438" t="s">
        <v>804</v>
      </c>
      <c r="C438" t="s">
        <v>1711</v>
      </c>
      <c r="D438" t="s">
        <v>1712</v>
      </c>
      <c r="E438">
        <v>9206040465</v>
      </c>
      <c r="F438" t="s">
        <v>770</v>
      </c>
      <c r="G438" t="s">
        <v>771</v>
      </c>
      <c r="I438" t="s">
        <v>25</v>
      </c>
      <c r="J438" s="13">
        <v>45947</v>
      </c>
      <c r="K438" s="13">
        <v>46023</v>
      </c>
      <c r="L438" t="s">
        <v>675</v>
      </c>
      <c r="M438" t="s">
        <v>58</v>
      </c>
      <c r="N438">
        <v>70922085</v>
      </c>
    </row>
    <row r="439" spans="1:14" x14ac:dyDescent="0.25">
      <c r="A439">
        <v>57300440</v>
      </c>
      <c r="B439" t="s">
        <v>718</v>
      </c>
      <c r="C439" t="s">
        <v>1713</v>
      </c>
      <c r="D439" t="s">
        <v>1714</v>
      </c>
      <c r="E439">
        <v>4802040372</v>
      </c>
      <c r="F439" t="s">
        <v>993</v>
      </c>
      <c r="G439" t="s">
        <v>994</v>
      </c>
      <c r="I439" t="s">
        <v>995</v>
      </c>
      <c r="J439" s="13">
        <v>45947</v>
      </c>
      <c r="K439" s="13">
        <v>46023</v>
      </c>
      <c r="L439" t="s">
        <v>1179</v>
      </c>
      <c r="M439" t="s">
        <v>59</v>
      </c>
      <c r="N439">
        <v>70925582</v>
      </c>
    </row>
    <row r="440" spans="1:14" x14ac:dyDescent="0.25">
      <c r="A440">
        <v>57300750</v>
      </c>
      <c r="B440" t="s">
        <v>1715</v>
      </c>
      <c r="C440" t="s">
        <v>1716</v>
      </c>
      <c r="D440" t="s">
        <v>1717</v>
      </c>
      <c r="E440">
        <v>7252652690</v>
      </c>
      <c r="F440" t="s">
        <v>1142</v>
      </c>
      <c r="G440" t="s">
        <v>1143</v>
      </c>
      <c r="I440" t="s">
        <v>124</v>
      </c>
      <c r="J440" s="13">
        <v>45947</v>
      </c>
      <c r="K440" s="13">
        <v>46023</v>
      </c>
      <c r="L440" t="s">
        <v>444</v>
      </c>
      <c r="M440" t="s">
        <v>58</v>
      </c>
      <c r="N440">
        <v>70927115</v>
      </c>
    </row>
    <row r="441" spans="1:14" x14ac:dyDescent="0.25">
      <c r="A441">
        <v>57300962</v>
      </c>
      <c r="B441" t="s">
        <v>1718</v>
      </c>
      <c r="C441" t="s">
        <v>1719</v>
      </c>
      <c r="D441" t="s">
        <v>1720</v>
      </c>
      <c r="E441">
        <v>2562763163</v>
      </c>
      <c r="F441" t="s">
        <v>705</v>
      </c>
      <c r="G441" t="s">
        <v>706</v>
      </c>
      <c r="I441" t="s">
        <v>12</v>
      </c>
      <c r="J441" s="13">
        <v>45947</v>
      </c>
      <c r="K441" s="13">
        <v>46023</v>
      </c>
      <c r="L441" t="s">
        <v>450</v>
      </c>
      <c r="M441" t="s">
        <v>56</v>
      </c>
      <c r="N441">
        <v>70928486</v>
      </c>
    </row>
    <row r="442" spans="1:14" x14ac:dyDescent="0.25">
      <c r="A442">
        <v>57301008</v>
      </c>
      <c r="B442" t="s">
        <v>980</v>
      </c>
      <c r="C442" t="s">
        <v>1721</v>
      </c>
      <c r="D442" t="s">
        <v>1722</v>
      </c>
      <c r="E442">
        <v>8708990180</v>
      </c>
      <c r="F442" t="s">
        <v>628</v>
      </c>
      <c r="G442" t="s">
        <v>629</v>
      </c>
      <c r="I442" t="s">
        <v>24</v>
      </c>
      <c r="J442" s="13">
        <v>45947</v>
      </c>
      <c r="K442" s="13">
        <v>46023</v>
      </c>
      <c r="L442" t="s">
        <v>553</v>
      </c>
      <c r="M442" t="s">
        <v>59</v>
      </c>
      <c r="N442">
        <v>70928855</v>
      </c>
    </row>
    <row r="443" spans="1:14" x14ac:dyDescent="0.25">
      <c r="A443">
        <v>57301648</v>
      </c>
      <c r="B443" t="s">
        <v>1723</v>
      </c>
      <c r="C443" t="s">
        <v>1724</v>
      </c>
      <c r="D443" t="s">
        <v>1725</v>
      </c>
      <c r="E443">
        <v>8164339367</v>
      </c>
      <c r="F443" t="s">
        <v>569</v>
      </c>
      <c r="G443" t="s">
        <v>570</v>
      </c>
      <c r="I443" t="s">
        <v>34</v>
      </c>
      <c r="J443" s="13">
        <v>45947</v>
      </c>
      <c r="K443" s="13">
        <v>46023</v>
      </c>
      <c r="L443" t="s">
        <v>434</v>
      </c>
      <c r="M443" t="s">
        <v>59</v>
      </c>
      <c r="N443">
        <v>70932924</v>
      </c>
    </row>
    <row r="444" spans="1:14" x14ac:dyDescent="0.25">
      <c r="A444">
        <v>57301812</v>
      </c>
      <c r="B444" t="s">
        <v>1316</v>
      </c>
      <c r="C444" t="s">
        <v>1726</v>
      </c>
      <c r="D444" t="s">
        <v>1727</v>
      </c>
      <c r="E444">
        <v>9569334460</v>
      </c>
      <c r="F444" t="s">
        <v>790</v>
      </c>
      <c r="G444" t="s">
        <v>791</v>
      </c>
      <c r="I444" t="s">
        <v>119</v>
      </c>
      <c r="J444" s="13">
        <v>45947</v>
      </c>
      <c r="K444" s="13">
        <v>46023</v>
      </c>
      <c r="L444" t="s">
        <v>444</v>
      </c>
      <c r="M444" t="s">
        <v>55</v>
      </c>
      <c r="N444">
        <v>70933377</v>
      </c>
    </row>
    <row r="445" spans="1:14" x14ac:dyDescent="0.25">
      <c r="A445">
        <v>57301916</v>
      </c>
      <c r="B445" t="s">
        <v>1728</v>
      </c>
      <c r="C445" t="s">
        <v>1729</v>
      </c>
      <c r="D445" t="s">
        <v>1730</v>
      </c>
      <c r="E445">
        <v>3465612098</v>
      </c>
      <c r="F445" t="s">
        <v>423</v>
      </c>
      <c r="G445" t="s">
        <v>424</v>
      </c>
      <c r="I445" t="s">
        <v>46</v>
      </c>
      <c r="J445" s="13">
        <v>45947</v>
      </c>
      <c r="K445" s="13">
        <v>46023</v>
      </c>
      <c r="L445" t="s">
        <v>444</v>
      </c>
      <c r="M445" t="s">
        <v>59</v>
      </c>
      <c r="N445">
        <v>70934009</v>
      </c>
    </row>
    <row r="446" spans="1:14" x14ac:dyDescent="0.25">
      <c r="A446">
        <v>57301960</v>
      </c>
      <c r="B446" t="s">
        <v>1731</v>
      </c>
      <c r="C446" t="s">
        <v>1732</v>
      </c>
      <c r="D446" t="s">
        <v>1733</v>
      </c>
      <c r="E446">
        <v>8702706765</v>
      </c>
      <c r="F446" t="s">
        <v>1200</v>
      </c>
      <c r="G446" t="s">
        <v>1201</v>
      </c>
      <c r="I446" t="s">
        <v>1202</v>
      </c>
      <c r="J446" s="13">
        <v>45947</v>
      </c>
      <c r="K446" s="13">
        <v>46023</v>
      </c>
      <c r="L446" t="s">
        <v>553</v>
      </c>
      <c r="M446" t="s">
        <v>56</v>
      </c>
      <c r="N446">
        <v>70934477</v>
      </c>
    </row>
    <row r="447" spans="1:14" x14ac:dyDescent="0.25">
      <c r="A447">
        <v>57302550</v>
      </c>
      <c r="B447" t="s">
        <v>1029</v>
      </c>
      <c r="C447" t="s">
        <v>1734</v>
      </c>
      <c r="D447" t="s">
        <v>1735</v>
      </c>
      <c r="E447" t="s">
        <v>1736</v>
      </c>
      <c r="F447" t="s">
        <v>615</v>
      </c>
      <c r="G447" t="s">
        <v>616</v>
      </c>
      <c r="I447" t="s">
        <v>617</v>
      </c>
      <c r="J447" s="13">
        <v>45947</v>
      </c>
      <c r="K447" s="13">
        <v>46023</v>
      </c>
      <c r="L447" t="s">
        <v>1179</v>
      </c>
      <c r="M447" t="s">
        <v>56</v>
      </c>
      <c r="N447">
        <v>70937155</v>
      </c>
    </row>
    <row r="448" spans="1:14" x14ac:dyDescent="0.25">
      <c r="A448">
        <v>57302906</v>
      </c>
      <c r="B448" t="s">
        <v>1737</v>
      </c>
      <c r="C448" t="s">
        <v>1738</v>
      </c>
      <c r="D448" t="s">
        <v>1739</v>
      </c>
      <c r="E448">
        <v>3033664587</v>
      </c>
      <c r="F448" t="s">
        <v>462</v>
      </c>
      <c r="G448" t="s">
        <v>463</v>
      </c>
      <c r="I448" t="s">
        <v>39</v>
      </c>
      <c r="J448" s="13">
        <v>45947</v>
      </c>
      <c r="K448" s="13">
        <v>46023</v>
      </c>
      <c r="L448" t="s">
        <v>539</v>
      </c>
      <c r="M448" t="s">
        <v>56</v>
      </c>
      <c r="N448">
        <v>70938376</v>
      </c>
    </row>
    <row r="449" spans="1:14" x14ac:dyDescent="0.25">
      <c r="A449">
        <v>57302914</v>
      </c>
      <c r="B449" t="s">
        <v>1566</v>
      </c>
      <c r="C449" t="s">
        <v>1740</v>
      </c>
      <c r="D449" t="s">
        <v>1741</v>
      </c>
      <c r="E449">
        <v>3125137251</v>
      </c>
      <c r="F449" t="s">
        <v>1003</v>
      </c>
      <c r="G449" t="s">
        <v>1004</v>
      </c>
      <c r="I449" t="s">
        <v>89</v>
      </c>
      <c r="J449" s="13">
        <v>45947</v>
      </c>
      <c r="K449" s="13">
        <v>46023</v>
      </c>
      <c r="L449" t="s">
        <v>434</v>
      </c>
      <c r="M449" t="s">
        <v>60</v>
      </c>
      <c r="N449">
        <v>70938427</v>
      </c>
    </row>
    <row r="450" spans="1:14" x14ac:dyDescent="0.25">
      <c r="A450">
        <v>57303244</v>
      </c>
      <c r="B450" t="s">
        <v>1742</v>
      </c>
      <c r="C450" t="s">
        <v>1743</v>
      </c>
      <c r="D450" t="s">
        <v>1744</v>
      </c>
      <c r="E450">
        <v>3125137251</v>
      </c>
      <c r="F450" t="s">
        <v>1003</v>
      </c>
      <c r="G450" t="s">
        <v>1004</v>
      </c>
      <c r="I450" t="s">
        <v>89</v>
      </c>
      <c r="J450" s="13">
        <v>45947</v>
      </c>
      <c r="K450" s="13">
        <v>46023</v>
      </c>
      <c r="L450" t="s">
        <v>434</v>
      </c>
      <c r="M450" t="s">
        <v>60</v>
      </c>
      <c r="N450">
        <v>70939645</v>
      </c>
    </row>
    <row r="451" spans="1:14" x14ac:dyDescent="0.25">
      <c r="A451">
        <v>57303805</v>
      </c>
      <c r="B451" t="s">
        <v>1518</v>
      </c>
      <c r="C451" t="s">
        <v>1617</v>
      </c>
      <c r="D451" t="s">
        <v>1745</v>
      </c>
      <c r="E451">
        <v>5209010266</v>
      </c>
      <c r="F451" t="s">
        <v>1345</v>
      </c>
      <c r="G451" t="s">
        <v>799</v>
      </c>
      <c r="I451" t="s">
        <v>47</v>
      </c>
      <c r="J451" s="13">
        <v>45947</v>
      </c>
      <c r="K451" s="13">
        <v>46023</v>
      </c>
      <c r="L451" t="s">
        <v>1179</v>
      </c>
      <c r="M451" t="s">
        <v>54</v>
      </c>
      <c r="N451">
        <v>70942448</v>
      </c>
    </row>
    <row r="452" spans="1:14" x14ac:dyDescent="0.25">
      <c r="A452">
        <v>57304437</v>
      </c>
      <c r="B452" t="s">
        <v>420</v>
      </c>
      <c r="C452" t="s">
        <v>1203</v>
      </c>
      <c r="D452" t="s">
        <v>1746</v>
      </c>
      <c r="E452">
        <v>6027916896</v>
      </c>
      <c r="F452" t="s">
        <v>780</v>
      </c>
      <c r="G452" t="s">
        <v>781</v>
      </c>
      <c r="I452" t="s">
        <v>20</v>
      </c>
      <c r="J452" s="13">
        <v>45947</v>
      </c>
      <c r="K452" s="13">
        <v>46023</v>
      </c>
      <c r="L452" t="s">
        <v>1179</v>
      </c>
      <c r="M452" t="s">
        <v>61</v>
      </c>
      <c r="N452">
        <v>70946165</v>
      </c>
    </row>
    <row r="453" spans="1:14" x14ac:dyDescent="0.25">
      <c r="A453">
        <v>57304458</v>
      </c>
      <c r="B453" t="s">
        <v>1747</v>
      </c>
      <c r="C453" t="s">
        <v>1300</v>
      </c>
      <c r="D453" t="s">
        <v>1748</v>
      </c>
      <c r="E453">
        <v>2074166776</v>
      </c>
      <c r="F453" t="s">
        <v>537</v>
      </c>
      <c r="G453" t="s">
        <v>538</v>
      </c>
      <c r="I453" t="s">
        <v>49</v>
      </c>
      <c r="J453" s="13">
        <v>45947</v>
      </c>
      <c r="K453" s="13">
        <v>46023</v>
      </c>
      <c r="L453" t="s">
        <v>941</v>
      </c>
      <c r="M453" t="s">
        <v>58</v>
      </c>
      <c r="N453">
        <v>70946374</v>
      </c>
    </row>
    <row r="454" spans="1:14" x14ac:dyDescent="0.25">
      <c r="A454">
        <v>57304523</v>
      </c>
      <c r="B454" t="s">
        <v>1749</v>
      </c>
      <c r="C454" t="s">
        <v>923</v>
      </c>
      <c r="D454" t="s">
        <v>1750</v>
      </c>
      <c r="E454">
        <v>7708205285</v>
      </c>
      <c r="F454" t="s">
        <v>842</v>
      </c>
      <c r="G454" t="s">
        <v>843</v>
      </c>
      <c r="I454" t="s">
        <v>98</v>
      </c>
      <c r="J454" s="13">
        <v>45947</v>
      </c>
      <c r="K454" s="13">
        <v>46023</v>
      </c>
      <c r="L454" t="s">
        <v>621</v>
      </c>
      <c r="M454" t="s">
        <v>59</v>
      </c>
      <c r="N454">
        <v>70946973</v>
      </c>
    </row>
    <row r="455" spans="1:14" x14ac:dyDescent="0.25">
      <c r="A455">
        <v>57305677</v>
      </c>
      <c r="B455" t="s">
        <v>1751</v>
      </c>
      <c r="C455" t="s">
        <v>1752</v>
      </c>
      <c r="D455" t="s">
        <v>1753</v>
      </c>
      <c r="E455">
        <v>9195029559</v>
      </c>
      <c r="F455" t="s">
        <v>551</v>
      </c>
      <c r="G455" t="s">
        <v>552</v>
      </c>
      <c r="I455" t="s">
        <v>42</v>
      </c>
      <c r="J455" s="13">
        <v>45947</v>
      </c>
      <c r="K455" s="13">
        <v>46023</v>
      </c>
      <c r="L455" t="s">
        <v>603</v>
      </c>
      <c r="M455" t="s">
        <v>58</v>
      </c>
      <c r="N455">
        <v>70952162</v>
      </c>
    </row>
    <row r="456" spans="1:14" x14ac:dyDescent="0.25">
      <c r="A456">
        <v>57305195</v>
      </c>
      <c r="B456" t="s">
        <v>1754</v>
      </c>
      <c r="C456" t="s">
        <v>1755</v>
      </c>
      <c r="D456" t="s">
        <v>1756</v>
      </c>
      <c r="E456">
        <v>6236958807</v>
      </c>
      <c r="F456" t="s">
        <v>775</v>
      </c>
      <c r="G456" t="s">
        <v>776</v>
      </c>
      <c r="I456" t="s">
        <v>22</v>
      </c>
      <c r="J456" s="13">
        <v>45947</v>
      </c>
      <c r="K456" s="13">
        <v>46023</v>
      </c>
      <c r="L456" t="s">
        <v>1179</v>
      </c>
      <c r="M456" t="s">
        <v>54</v>
      </c>
      <c r="N456">
        <v>70953406</v>
      </c>
    </row>
    <row r="457" spans="1:14" x14ac:dyDescent="0.25">
      <c r="A457">
        <v>57541464</v>
      </c>
      <c r="B457" t="s">
        <v>911</v>
      </c>
      <c r="C457" t="s">
        <v>1757</v>
      </c>
      <c r="D457" t="s">
        <v>1758</v>
      </c>
      <c r="E457">
        <v>9122724289</v>
      </c>
      <c r="F457" t="s">
        <v>1398</v>
      </c>
      <c r="G457" t="s">
        <v>1399</v>
      </c>
      <c r="I457" t="s">
        <v>1400</v>
      </c>
      <c r="J457" s="13">
        <v>45958</v>
      </c>
      <c r="K457" s="13">
        <v>46023</v>
      </c>
      <c r="L457" t="s">
        <v>621</v>
      </c>
      <c r="M457" t="s">
        <v>59</v>
      </c>
      <c r="N457">
        <v>70954693</v>
      </c>
    </row>
    <row r="458" spans="1:14" x14ac:dyDescent="0.25">
      <c r="A458">
        <v>57305575</v>
      </c>
      <c r="B458" t="s">
        <v>1759</v>
      </c>
      <c r="C458" t="s">
        <v>1760</v>
      </c>
      <c r="D458" t="s">
        <v>1761</v>
      </c>
      <c r="E458">
        <v>7063308837</v>
      </c>
      <c r="F458" t="s">
        <v>448</v>
      </c>
      <c r="G458" t="s">
        <v>449</v>
      </c>
      <c r="I458" t="s">
        <v>31</v>
      </c>
      <c r="J458" s="13">
        <v>45947</v>
      </c>
      <c r="K458" s="13">
        <v>46023</v>
      </c>
      <c r="L458" t="s">
        <v>479</v>
      </c>
      <c r="M458" t="s">
        <v>58</v>
      </c>
      <c r="N458">
        <v>70957383</v>
      </c>
    </row>
    <row r="459" spans="1:14" x14ac:dyDescent="0.25">
      <c r="A459">
        <v>57305767</v>
      </c>
      <c r="B459" t="s">
        <v>1762</v>
      </c>
      <c r="C459" t="s">
        <v>1098</v>
      </c>
      <c r="D459" t="s">
        <v>1763</v>
      </c>
      <c r="E459">
        <v>4809601736</v>
      </c>
      <c r="F459" t="s">
        <v>1764</v>
      </c>
      <c r="G459" t="s">
        <v>1765</v>
      </c>
      <c r="I459" t="s">
        <v>44</v>
      </c>
      <c r="J459" s="13">
        <v>45947</v>
      </c>
      <c r="K459" s="13">
        <v>46023</v>
      </c>
      <c r="L459" t="s">
        <v>1179</v>
      </c>
      <c r="M459" t="s">
        <v>54</v>
      </c>
      <c r="N459">
        <v>70959319</v>
      </c>
    </row>
    <row r="460" spans="1:14" x14ac:dyDescent="0.25">
      <c r="A460">
        <v>57305986</v>
      </c>
      <c r="B460" t="s">
        <v>1766</v>
      </c>
      <c r="C460" t="s">
        <v>1767</v>
      </c>
      <c r="D460" t="s">
        <v>1768</v>
      </c>
      <c r="E460">
        <v>2179630742</v>
      </c>
      <c r="F460" t="s">
        <v>790</v>
      </c>
      <c r="G460" t="s">
        <v>791</v>
      </c>
      <c r="I460" t="s">
        <v>119</v>
      </c>
      <c r="J460" s="13">
        <v>45947</v>
      </c>
      <c r="K460" s="13">
        <v>46023</v>
      </c>
      <c r="L460" t="s">
        <v>470</v>
      </c>
      <c r="M460" t="s">
        <v>56</v>
      </c>
      <c r="N460">
        <v>70960398</v>
      </c>
    </row>
    <row r="461" spans="1:14" x14ac:dyDescent="0.25">
      <c r="A461">
        <v>57306105</v>
      </c>
      <c r="B461" t="s">
        <v>431</v>
      </c>
      <c r="C461" t="s">
        <v>964</v>
      </c>
      <c r="D461" t="s">
        <v>1769</v>
      </c>
      <c r="E461">
        <v>6024803120</v>
      </c>
      <c r="F461" t="s">
        <v>684</v>
      </c>
      <c r="G461" t="s">
        <v>685</v>
      </c>
      <c r="I461" t="s">
        <v>686</v>
      </c>
      <c r="J461" s="13">
        <v>45947</v>
      </c>
      <c r="K461" s="13">
        <v>46023</v>
      </c>
      <c r="L461" t="s">
        <v>1179</v>
      </c>
      <c r="M461" t="s">
        <v>59</v>
      </c>
      <c r="N461">
        <v>70962396</v>
      </c>
    </row>
    <row r="462" spans="1:14" x14ac:dyDescent="0.25">
      <c r="A462">
        <v>57306242</v>
      </c>
      <c r="B462" t="s">
        <v>1160</v>
      </c>
      <c r="C462" t="s">
        <v>1770</v>
      </c>
      <c r="D462" t="s">
        <v>1771</v>
      </c>
      <c r="E462">
        <v>7274703883</v>
      </c>
      <c r="F462" t="s">
        <v>667</v>
      </c>
      <c r="G462" t="s">
        <v>668</v>
      </c>
      <c r="I462" t="s">
        <v>37</v>
      </c>
      <c r="J462" s="13">
        <v>45947</v>
      </c>
      <c r="K462" s="13">
        <v>46023</v>
      </c>
      <c r="L462" t="s">
        <v>497</v>
      </c>
      <c r="M462" t="s">
        <v>56</v>
      </c>
      <c r="N462">
        <v>70963809</v>
      </c>
    </row>
    <row r="463" spans="1:14" x14ac:dyDescent="0.25">
      <c r="A463">
        <v>57306461</v>
      </c>
      <c r="B463" t="s">
        <v>1772</v>
      </c>
      <c r="C463" t="s">
        <v>1773</v>
      </c>
      <c r="D463" t="s">
        <v>1774</v>
      </c>
      <c r="E463">
        <v>9124091765</v>
      </c>
      <c r="F463" t="s">
        <v>928</v>
      </c>
      <c r="G463" t="s">
        <v>929</v>
      </c>
      <c r="I463" t="s">
        <v>30</v>
      </c>
      <c r="J463" s="13">
        <v>45947</v>
      </c>
      <c r="K463" s="13">
        <v>46023</v>
      </c>
      <c r="L463" t="s">
        <v>621</v>
      </c>
      <c r="M463" t="s">
        <v>58</v>
      </c>
      <c r="N463">
        <v>70965923</v>
      </c>
    </row>
    <row r="464" spans="1:14" x14ac:dyDescent="0.25">
      <c r="A464">
        <v>57306462</v>
      </c>
      <c r="B464" t="s">
        <v>1038</v>
      </c>
      <c r="C464" t="s">
        <v>1775</v>
      </c>
      <c r="D464" t="s">
        <v>1776</v>
      </c>
      <c r="E464">
        <v>9546079775</v>
      </c>
      <c r="F464" t="s">
        <v>462</v>
      </c>
      <c r="G464" t="s">
        <v>463</v>
      </c>
      <c r="I464" t="s">
        <v>39</v>
      </c>
      <c r="J464" s="13">
        <v>45947</v>
      </c>
      <c r="K464" s="13">
        <v>46023</v>
      </c>
      <c r="L464" t="s">
        <v>497</v>
      </c>
      <c r="M464" t="s">
        <v>59</v>
      </c>
      <c r="N464">
        <v>70965967</v>
      </c>
    </row>
    <row r="465" spans="1:14" x14ac:dyDescent="0.25">
      <c r="A465">
        <v>63358559</v>
      </c>
      <c r="B465" t="s">
        <v>1777</v>
      </c>
      <c r="C465" t="s">
        <v>477</v>
      </c>
      <c r="D465" t="s">
        <v>1778</v>
      </c>
      <c r="E465">
        <v>5203939670</v>
      </c>
      <c r="F465" t="s">
        <v>807</v>
      </c>
      <c r="G465" t="s">
        <v>808</v>
      </c>
      <c r="I465" t="s">
        <v>33</v>
      </c>
      <c r="J465" s="13">
        <v>46135</v>
      </c>
      <c r="K465" s="13">
        <v>46143</v>
      </c>
      <c r="L465" t="s">
        <v>1179</v>
      </c>
      <c r="M465" t="s">
        <v>1779</v>
      </c>
      <c r="N465">
        <v>70966842</v>
      </c>
    </row>
    <row r="466" spans="1:14" x14ac:dyDescent="0.25">
      <c r="A466">
        <v>57306714</v>
      </c>
      <c r="B466" t="s">
        <v>873</v>
      </c>
      <c r="C466" t="s">
        <v>1780</v>
      </c>
      <c r="D466" t="s">
        <v>1781</v>
      </c>
      <c r="E466">
        <v>7042449141</v>
      </c>
      <c r="F466" t="s">
        <v>957</v>
      </c>
      <c r="G466" t="s">
        <v>958</v>
      </c>
      <c r="H466" t="s">
        <v>959</v>
      </c>
      <c r="I466" t="s">
        <v>960</v>
      </c>
      <c r="J466" s="13">
        <v>45947</v>
      </c>
      <c r="K466" s="13">
        <v>46023</v>
      </c>
      <c r="L466" t="s">
        <v>603</v>
      </c>
      <c r="M466" t="s">
        <v>56</v>
      </c>
      <c r="N466">
        <v>70967800</v>
      </c>
    </row>
    <row r="467" spans="1:14" x14ac:dyDescent="0.25">
      <c r="A467">
        <v>57306656</v>
      </c>
      <c r="B467" t="s">
        <v>1747</v>
      </c>
      <c r="C467" t="s">
        <v>1782</v>
      </c>
      <c r="D467" t="s">
        <v>1783</v>
      </c>
      <c r="E467">
        <v>4804747958</v>
      </c>
      <c r="F467" t="s">
        <v>1444</v>
      </c>
      <c r="G467" t="s">
        <v>1445</v>
      </c>
      <c r="I467" t="s">
        <v>1446</v>
      </c>
      <c r="J467" s="13">
        <v>45947</v>
      </c>
      <c r="K467" s="13">
        <v>46023</v>
      </c>
      <c r="L467" t="s">
        <v>1179</v>
      </c>
      <c r="M467" t="s">
        <v>55</v>
      </c>
      <c r="N467">
        <v>70967898</v>
      </c>
    </row>
    <row r="468" spans="1:14" x14ac:dyDescent="0.25">
      <c r="A468">
        <v>57306818</v>
      </c>
      <c r="B468" t="s">
        <v>1784</v>
      </c>
      <c r="C468" t="s">
        <v>546</v>
      </c>
      <c r="D468" t="s">
        <v>1785</v>
      </c>
      <c r="E468">
        <v>9044309402</v>
      </c>
      <c r="F468" t="s">
        <v>592</v>
      </c>
      <c r="G468" t="s">
        <v>593</v>
      </c>
      <c r="I468" t="s">
        <v>115</v>
      </c>
      <c r="J468" s="13">
        <v>45947</v>
      </c>
      <c r="K468" s="13">
        <v>46023</v>
      </c>
      <c r="L468" t="s">
        <v>497</v>
      </c>
      <c r="M468" t="s">
        <v>59</v>
      </c>
      <c r="N468">
        <v>70969322</v>
      </c>
    </row>
    <row r="469" spans="1:14" x14ac:dyDescent="0.25">
      <c r="A469">
        <v>57307070</v>
      </c>
      <c r="B469" t="s">
        <v>1786</v>
      </c>
      <c r="C469" t="s">
        <v>1787</v>
      </c>
      <c r="D469" t="s">
        <v>1788</v>
      </c>
      <c r="E469">
        <v>8323860873</v>
      </c>
      <c r="F469" t="s">
        <v>780</v>
      </c>
      <c r="G469" t="s">
        <v>781</v>
      </c>
      <c r="I469" t="s">
        <v>20</v>
      </c>
      <c r="J469" s="13">
        <v>45947</v>
      </c>
      <c r="K469" s="13">
        <v>46023</v>
      </c>
      <c r="L469" t="s">
        <v>444</v>
      </c>
      <c r="M469" t="s">
        <v>419</v>
      </c>
      <c r="N469">
        <v>70972055</v>
      </c>
    </row>
    <row r="470" spans="1:14" x14ac:dyDescent="0.25">
      <c r="A470">
        <v>57307131</v>
      </c>
      <c r="B470" t="s">
        <v>1789</v>
      </c>
      <c r="C470" t="s">
        <v>1790</v>
      </c>
      <c r="D470" t="s">
        <v>1791</v>
      </c>
      <c r="E470">
        <v>5732183670</v>
      </c>
      <c r="F470" t="s">
        <v>770</v>
      </c>
      <c r="G470" t="s">
        <v>771</v>
      </c>
      <c r="I470" t="s">
        <v>25</v>
      </c>
      <c r="J470" s="13">
        <v>45947</v>
      </c>
      <c r="K470" s="13">
        <v>46023</v>
      </c>
      <c r="L470" t="s">
        <v>434</v>
      </c>
      <c r="M470" t="s">
        <v>58</v>
      </c>
      <c r="N470">
        <v>70972700</v>
      </c>
    </row>
    <row r="471" spans="1:14" x14ac:dyDescent="0.25">
      <c r="A471">
        <v>57307393</v>
      </c>
      <c r="B471" t="s">
        <v>548</v>
      </c>
      <c r="C471" t="s">
        <v>1792</v>
      </c>
      <c r="D471" t="s">
        <v>1793</v>
      </c>
      <c r="E471">
        <v>7049773930</v>
      </c>
      <c r="F471" t="s">
        <v>423</v>
      </c>
      <c r="G471" t="s">
        <v>424</v>
      </c>
      <c r="I471" t="s">
        <v>46</v>
      </c>
      <c r="J471" s="13">
        <v>45947</v>
      </c>
      <c r="K471" s="13">
        <v>46023</v>
      </c>
      <c r="L471" t="s">
        <v>533</v>
      </c>
      <c r="M471" t="s">
        <v>59</v>
      </c>
      <c r="N471">
        <v>70972913</v>
      </c>
    </row>
    <row r="472" spans="1:14" x14ac:dyDescent="0.25">
      <c r="A472">
        <v>57307327</v>
      </c>
      <c r="B472" t="s">
        <v>1794</v>
      </c>
      <c r="C472" t="s">
        <v>1795</v>
      </c>
      <c r="D472" t="s">
        <v>1796</v>
      </c>
      <c r="E472">
        <v>8166423622</v>
      </c>
      <c r="F472" t="s">
        <v>1003</v>
      </c>
      <c r="G472" t="s">
        <v>1004</v>
      </c>
      <c r="I472" t="s">
        <v>89</v>
      </c>
      <c r="J472" s="13">
        <v>45947</v>
      </c>
      <c r="K472" s="13">
        <v>46023</v>
      </c>
      <c r="L472" t="s">
        <v>434</v>
      </c>
      <c r="M472" t="s">
        <v>59</v>
      </c>
      <c r="N472">
        <v>70975198</v>
      </c>
    </row>
    <row r="473" spans="1:14" x14ac:dyDescent="0.25">
      <c r="A473">
        <v>57307898</v>
      </c>
      <c r="B473" t="s">
        <v>1797</v>
      </c>
      <c r="C473" t="s">
        <v>1798</v>
      </c>
      <c r="D473" t="s">
        <v>1799</v>
      </c>
      <c r="E473">
        <v>6065683742</v>
      </c>
      <c r="F473" t="s">
        <v>842</v>
      </c>
      <c r="G473" t="s">
        <v>843</v>
      </c>
      <c r="I473" t="s">
        <v>98</v>
      </c>
      <c r="J473" s="13">
        <v>45947</v>
      </c>
      <c r="K473" s="13">
        <v>46023</v>
      </c>
      <c r="L473" t="s">
        <v>490</v>
      </c>
      <c r="M473" t="s">
        <v>56</v>
      </c>
      <c r="N473">
        <v>70980562</v>
      </c>
    </row>
    <row r="474" spans="1:14" x14ac:dyDescent="0.25">
      <c r="A474">
        <v>57307902</v>
      </c>
      <c r="B474" t="s">
        <v>1800</v>
      </c>
      <c r="C474" t="s">
        <v>1801</v>
      </c>
      <c r="D474" t="s">
        <v>1802</v>
      </c>
      <c r="E474">
        <v>9565646050</v>
      </c>
      <c r="F474" t="s">
        <v>815</v>
      </c>
      <c r="G474" t="s">
        <v>816</v>
      </c>
      <c r="I474" t="s">
        <v>23</v>
      </c>
      <c r="J474" s="13">
        <v>45947</v>
      </c>
      <c r="K474" s="13">
        <v>46023</v>
      </c>
      <c r="L474" t="s">
        <v>444</v>
      </c>
      <c r="M474" t="s">
        <v>55</v>
      </c>
      <c r="N474">
        <v>70980623</v>
      </c>
    </row>
    <row r="475" spans="1:14" x14ac:dyDescent="0.25">
      <c r="A475">
        <v>57307939</v>
      </c>
      <c r="B475" t="s">
        <v>1072</v>
      </c>
      <c r="C475" t="s">
        <v>1803</v>
      </c>
      <c r="D475" t="s">
        <v>1804</v>
      </c>
      <c r="E475">
        <v>4176932201</v>
      </c>
      <c r="F475" t="s">
        <v>649</v>
      </c>
      <c r="G475" t="s">
        <v>650</v>
      </c>
      <c r="I475" t="s">
        <v>28</v>
      </c>
      <c r="J475" s="13">
        <v>45947</v>
      </c>
      <c r="K475" s="13">
        <v>46023</v>
      </c>
      <c r="L475" t="s">
        <v>434</v>
      </c>
      <c r="M475" t="s">
        <v>59</v>
      </c>
      <c r="N475">
        <v>70981121</v>
      </c>
    </row>
    <row r="476" spans="1:14" x14ac:dyDescent="0.25">
      <c r="A476">
        <v>57313346</v>
      </c>
      <c r="B476" t="s">
        <v>1805</v>
      </c>
      <c r="C476" t="s">
        <v>1806</v>
      </c>
      <c r="D476" t="s">
        <v>1807</v>
      </c>
      <c r="E476">
        <v>4803280295</v>
      </c>
      <c r="F476" t="s">
        <v>746</v>
      </c>
      <c r="G476" t="s">
        <v>747</v>
      </c>
      <c r="I476" t="s">
        <v>27</v>
      </c>
      <c r="J476" s="13">
        <v>45947</v>
      </c>
      <c r="K476" s="13">
        <v>46023</v>
      </c>
      <c r="L476" t="s">
        <v>1179</v>
      </c>
      <c r="M476" t="s">
        <v>59</v>
      </c>
      <c r="N476">
        <v>70982257</v>
      </c>
    </row>
    <row r="477" spans="1:14" x14ac:dyDescent="0.25">
      <c r="A477">
        <v>57308222</v>
      </c>
      <c r="B477" t="s">
        <v>888</v>
      </c>
      <c r="C477" t="s">
        <v>1287</v>
      </c>
      <c r="D477" t="s">
        <v>1808</v>
      </c>
      <c r="E477">
        <v>7063503524</v>
      </c>
      <c r="F477" t="s">
        <v>821</v>
      </c>
      <c r="G477" t="s">
        <v>822</v>
      </c>
      <c r="I477" t="s">
        <v>823</v>
      </c>
      <c r="J477" s="13">
        <v>45947</v>
      </c>
      <c r="K477" s="13">
        <v>46023</v>
      </c>
      <c r="L477" t="s">
        <v>621</v>
      </c>
      <c r="M477" t="s">
        <v>58</v>
      </c>
      <c r="N477">
        <v>70983545</v>
      </c>
    </row>
    <row r="478" spans="1:14" x14ac:dyDescent="0.25">
      <c r="A478">
        <v>57308312</v>
      </c>
      <c r="B478" t="s">
        <v>1809</v>
      </c>
      <c r="C478" t="s">
        <v>1810</v>
      </c>
      <c r="D478" t="s">
        <v>1811</v>
      </c>
      <c r="E478">
        <v>6026224009</v>
      </c>
      <c r="F478" t="s">
        <v>775</v>
      </c>
      <c r="G478" t="s">
        <v>776</v>
      </c>
      <c r="I478" t="s">
        <v>22</v>
      </c>
      <c r="J478" s="13">
        <v>45947</v>
      </c>
      <c r="K478" s="13">
        <v>46023</v>
      </c>
      <c r="L478" t="s">
        <v>1179</v>
      </c>
      <c r="M478" t="s">
        <v>56</v>
      </c>
      <c r="N478">
        <v>70984560</v>
      </c>
    </row>
    <row r="479" spans="1:14" x14ac:dyDescent="0.25">
      <c r="A479">
        <v>57308689</v>
      </c>
      <c r="B479" t="s">
        <v>1812</v>
      </c>
      <c r="C479" t="s">
        <v>1813</v>
      </c>
      <c r="D479" t="s">
        <v>1814</v>
      </c>
      <c r="E479">
        <v>9016949558</v>
      </c>
      <c r="F479" t="s">
        <v>474</v>
      </c>
      <c r="G479" t="s">
        <v>475</v>
      </c>
      <c r="I479" t="s">
        <v>132</v>
      </c>
      <c r="J479" s="13">
        <v>45947</v>
      </c>
      <c r="K479" s="13">
        <v>46023</v>
      </c>
      <c r="L479" t="s">
        <v>479</v>
      </c>
      <c r="M479" t="s">
        <v>59</v>
      </c>
      <c r="N479">
        <v>70989509</v>
      </c>
    </row>
    <row r="480" spans="1:14" x14ac:dyDescent="0.25">
      <c r="A480">
        <v>57308742</v>
      </c>
      <c r="B480" t="s">
        <v>431</v>
      </c>
      <c r="C480" t="s">
        <v>1815</v>
      </c>
      <c r="D480" t="s">
        <v>1816</v>
      </c>
      <c r="E480">
        <v>9107837616</v>
      </c>
      <c r="F480" t="s">
        <v>448</v>
      </c>
      <c r="G480" t="s">
        <v>449</v>
      </c>
      <c r="I480" t="s">
        <v>31</v>
      </c>
      <c r="J480" s="13">
        <v>45947</v>
      </c>
      <c r="K480" s="13">
        <v>46023</v>
      </c>
      <c r="L480" t="s">
        <v>603</v>
      </c>
      <c r="M480" t="s">
        <v>58</v>
      </c>
      <c r="N480">
        <v>70990243</v>
      </c>
    </row>
    <row r="481" spans="1:14" x14ac:dyDescent="0.25">
      <c r="A481">
        <v>57309302</v>
      </c>
      <c r="B481" t="s">
        <v>951</v>
      </c>
      <c r="C481" t="s">
        <v>1817</v>
      </c>
      <c r="D481" t="s">
        <v>1818</v>
      </c>
      <c r="E481">
        <v>6189643879</v>
      </c>
      <c r="F481" t="s">
        <v>423</v>
      </c>
      <c r="G481" t="s">
        <v>424</v>
      </c>
      <c r="I481" t="s">
        <v>46</v>
      </c>
      <c r="J481" s="13">
        <v>45947</v>
      </c>
      <c r="K481" s="13">
        <v>46023</v>
      </c>
      <c r="L481" t="s">
        <v>470</v>
      </c>
      <c r="M481" t="s">
        <v>60</v>
      </c>
      <c r="N481">
        <v>70995564</v>
      </c>
    </row>
    <row r="482" spans="1:14" x14ac:dyDescent="0.25">
      <c r="A482">
        <v>57309683</v>
      </c>
      <c r="B482" t="s">
        <v>1819</v>
      </c>
      <c r="C482" t="s">
        <v>1820</v>
      </c>
      <c r="D482" t="s">
        <v>1821</v>
      </c>
      <c r="E482">
        <v>3184991589</v>
      </c>
      <c r="F482" t="s">
        <v>790</v>
      </c>
      <c r="G482" t="s">
        <v>791</v>
      </c>
      <c r="I482" t="s">
        <v>119</v>
      </c>
      <c r="J482" s="13">
        <v>45947</v>
      </c>
      <c r="K482" s="13">
        <v>46023</v>
      </c>
      <c r="L482" t="s">
        <v>612</v>
      </c>
      <c r="M482" t="s">
        <v>56</v>
      </c>
      <c r="N482">
        <v>71001404</v>
      </c>
    </row>
    <row r="483" spans="1:14" x14ac:dyDescent="0.25">
      <c r="A483">
        <v>57309694</v>
      </c>
      <c r="B483" t="s">
        <v>1747</v>
      </c>
      <c r="C483" t="s">
        <v>1822</v>
      </c>
      <c r="D483" t="s">
        <v>1823</v>
      </c>
      <c r="E483">
        <v>3045912439</v>
      </c>
      <c r="F483" t="s">
        <v>416</v>
      </c>
      <c r="G483" t="s">
        <v>417</v>
      </c>
      <c r="I483" t="s">
        <v>26</v>
      </c>
      <c r="J483" s="13">
        <v>45947</v>
      </c>
      <c r="K483" s="13">
        <v>46023</v>
      </c>
      <c r="L483" t="s">
        <v>1188</v>
      </c>
      <c r="M483" t="s">
        <v>56</v>
      </c>
      <c r="N483">
        <v>71001728</v>
      </c>
    </row>
    <row r="484" spans="1:14" x14ac:dyDescent="0.25">
      <c r="A484">
        <v>57310171</v>
      </c>
      <c r="B484" t="s">
        <v>1824</v>
      </c>
      <c r="C484" t="s">
        <v>1825</v>
      </c>
      <c r="D484" t="s">
        <v>1826</v>
      </c>
      <c r="E484">
        <v>8599482210</v>
      </c>
      <c r="F484" t="s">
        <v>551</v>
      </c>
      <c r="G484" t="s">
        <v>552</v>
      </c>
      <c r="I484" t="s">
        <v>42</v>
      </c>
      <c r="J484" s="13">
        <v>45947</v>
      </c>
      <c r="K484" s="13">
        <v>46023</v>
      </c>
      <c r="L484" t="s">
        <v>490</v>
      </c>
      <c r="M484" t="s">
        <v>56</v>
      </c>
      <c r="N484">
        <v>71003018</v>
      </c>
    </row>
    <row r="485" spans="1:14" x14ac:dyDescent="0.25">
      <c r="A485">
        <v>57309947</v>
      </c>
      <c r="B485" t="s">
        <v>1827</v>
      </c>
      <c r="C485" t="s">
        <v>1828</v>
      </c>
      <c r="D485" t="s">
        <v>1829</v>
      </c>
      <c r="E485">
        <v>5208087089</v>
      </c>
      <c r="F485" t="s">
        <v>842</v>
      </c>
      <c r="G485" t="s">
        <v>1213</v>
      </c>
      <c r="I485" t="s">
        <v>1214</v>
      </c>
      <c r="J485" s="13">
        <v>45947</v>
      </c>
      <c r="K485" s="13">
        <v>46023</v>
      </c>
      <c r="L485" t="s">
        <v>1179</v>
      </c>
      <c r="M485" t="s">
        <v>61</v>
      </c>
      <c r="N485">
        <v>71005664</v>
      </c>
    </row>
    <row r="486" spans="1:14" x14ac:dyDescent="0.25">
      <c r="A486">
        <v>57310263</v>
      </c>
      <c r="B486" t="s">
        <v>839</v>
      </c>
      <c r="C486" t="s">
        <v>1830</v>
      </c>
      <c r="D486" t="s">
        <v>1831</v>
      </c>
      <c r="E486">
        <v>9045348573</v>
      </c>
      <c r="F486" t="s">
        <v>474</v>
      </c>
      <c r="G486" t="s">
        <v>475</v>
      </c>
      <c r="I486" t="s">
        <v>132</v>
      </c>
      <c r="J486" s="13">
        <v>45947</v>
      </c>
      <c r="K486" s="13">
        <v>46023</v>
      </c>
      <c r="L486" t="s">
        <v>497</v>
      </c>
      <c r="M486" t="s">
        <v>59</v>
      </c>
      <c r="N486">
        <v>71008792</v>
      </c>
    </row>
    <row r="487" spans="1:14" x14ac:dyDescent="0.25">
      <c r="A487">
        <v>57310272</v>
      </c>
      <c r="B487" t="s">
        <v>431</v>
      </c>
      <c r="C487" t="s">
        <v>1098</v>
      </c>
      <c r="D487" t="s">
        <v>1832</v>
      </c>
      <c r="E487">
        <v>8177791844</v>
      </c>
      <c r="F487" t="s">
        <v>828</v>
      </c>
      <c r="G487" t="s">
        <v>1148</v>
      </c>
      <c r="I487" t="s">
        <v>17</v>
      </c>
      <c r="J487" s="13">
        <v>45947</v>
      </c>
      <c r="K487" s="13">
        <v>46023</v>
      </c>
      <c r="L487" t="s">
        <v>444</v>
      </c>
      <c r="M487" t="s">
        <v>56</v>
      </c>
      <c r="N487">
        <v>71008940</v>
      </c>
    </row>
    <row r="488" spans="1:14" x14ac:dyDescent="0.25">
      <c r="A488">
        <v>57310334</v>
      </c>
      <c r="B488" t="s">
        <v>1635</v>
      </c>
      <c r="C488" t="s">
        <v>1833</v>
      </c>
      <c r="D488" t="s">
        <v>1834</v>
      </c>
      <c r="E488">
        <v>4708501843</v>
      </c>
      <c r="F488" t="s">
        <v>993</v>
      </c>
      <c r="G488" t="s">
        <v>994</v>
      </c>
      <c r="I488" t="s">
        <v>995</v>
      </c>
      <c r="J488" s="13">
        <v>45946</v>
      </c>
      <c r="K488" s="13">
        <v>46023</v>
      </c>
      <c r="L488" t="s">
        <v>621</v>
      </c>
      <c r="M488" t="s">
        <v>59</v>
      </c>
      <c r="N488">
        <v>71009731</v>
      </c>
    </row>
    <row r="489" spans="1:14" x14ac:dyDescent="0.25">
      <c r="A489">
        <v>57310582</v>
      </c>
      <c r="B489" t="s">
        <v>1835</v>
      </c>
      <c r="C489" t="s">
        <v>1836</v>
      </c>
      <c r="D489" t="s">
        <v>1837</v>
      </c>
      <c r="E489">
        <v>5575003706</v>
      </c>
      <c r="F489" t="s">
        <v>649</v>
      </c>
      <c r="G489" t="s">
        <v>650</v>
      </c>
      <c r="I489" t="s">
        <v>28</v>
      </c>
      <c r="J489" s="13">
        <v>45947</v>
      </c>
      <c r="K489" s="13">
        <v>46023</v>
      </c>
      <c r="L489" t="s">
        <v>434</v>
      </c>
      <c r="M489" t="s">
        <v>59</v>
      </c>
      <c r="N489">
        <v>71012950</v>
      </c>
    </row>
    <row r="490" spans="1:14" x14ac:dyDescent="0.25">
      <c r="A490">
        <v>58087957</v>
      </c>
      <c r="B490" t="s">
        <v>1838</v>
      </c>
      <c r="C490" t="s">
        <v>1839</v>
      </c>
      <c r="D490" t="s">
        <v>1840</v>
      </c>
      <c r="E490">
        <v>8322692503</v>
      </c>
      <c r="F490" t="s">
        <v>780</v>
      </c>
      <c r="G490" t="s">
        <v>781</v>
      </c>
      <c r="I490" t="s">
        <v>20</v>
      </c>
      <c r="J490" s="13">
        <v>45974</v>
      </c>
      <c r="K490" s="13">
        <v>46023</v>
      </c>
      <c r="L490" t="s">
        <v>444</v>
      </c>
      <c r="M490" t="s">
        <v>59</v>
      </c>
      <c r="N490">
        <v>71013189</v>
      </c>
    </row>
    <row r="491" spans="1:14" x14ac:dyDescent="0.25">
      <c r="A491">
        <v>57310604</v>
      </c>
      <c r="B491" t="s">
        <v>1841</v>
      </c>
      <c r="C491" t="s">
        <v>1842</v>
      </c>
      <c r="D491" t="s">
        <v>1843</v>
      </c>
      <c r="E491">
        <v>3057998766</v>
      </c>
      <c r="F491" t="s">
        <v>1200</v>
      </c>
      <c r="G491" t="s">
        <v>1201</v>
      </c>
      <c r="I491" t="s">
        <v>1202</v>
      </c>
      <c r="J491" s="13">
        <v>45947</v>
      </c>
      <c r="K491" s="13">
        <v>46023</v>
      </c>
      <c r="L491" t="s">
        <v>497</v>
      </c>
      <c r="M491" t="s">
        <v>58</v>
      </c>
      <c r="N491">
        <v>71013308</v>
      </c>
    </row>
    <row r="492" spans="1:14" x14ac:dyDescent="0.25">
      <c r="A492">
        <v>57310709</v>
      </c>
      <c r="B492" t="s">
        <v>1844</v>
      </c>
      <c r="C492" t="s">
        <v>1845</v>
      </c>
      <c r="D492" t="s">
        <v>1846</v>
      </c>
      <c r="E492">
        <v>7547792194</v>
      </c>
      <c r="F492" t="s">
        <v>574</v>
      </c>
      <c r="G492" t="s">
        <v>575</v>
      </c>
      <c r="I492" t="s">
        <v>14</v>
      </c>
      <c r="J492" s="13">
        <v>45947</v>
      </c>
      <c r="K492" s="13">
        <v>46023</v>
      </c>
      <c r="L492" t="s">
        <v>497</v>
      </c>
      <c r="M492" t="s">
        <v>59</v>
      </c>
      <c r="N492">
        <v>71014694</v>
      </c>
    </row>
    <row r="493" spans="1:14" x14ac:dyDescent="0.25">
      <c r="A493">
        <v>57310860</v>
      </c>
      <c r="B493" t="s">
        <v>787</v>
      </c>
      <c r="C493" t="s">
        <v>1847</v>
      </c>
      <c r="D493" t="s">
        <v>1848</v>
      </c>
      <c r="E493">
        <v>8284423562</v>
      </c>
      <c r="F493" t="s">
        <v>423</v>
      </c>
      <c r="G493" t="s">
        <v>424</v>
      </c>
      <c r="I493" t="s">
        <v>46</v>
      </c>
      <c r="J493" s="13">
        <v>45947</v>
      </c>
      <c r="K493" s="13">
        <v>46023</v>
      </c>
      <c r="L493" t="s">
        <v>603</v>
      </c>
      <c r="M493" t="s">
        <v>59</v>
      </c>
      <c r="N493">
        <v>71015364</v>
      </c>
    </row>
    <row r="494" spans="1:14" x14ac:dyDescent="0.25">
      <c r="A494">
        <v>57310917</v>
      </c>
      <c r="B494" t="s">
        <v>1554</v>
      </c>
      <c r="C494" t="s">
        <v>1849</v>
      </c>
      <c r="D494" t="s">
        <v>1850</v>
      </c>
      <c r="E494">
        <v>2257150061</v>
      </c>
      <c r="F494" t="s">
        <v>1003</v>
      </c>
      <c r="G494" t="s">
        <v>1004</v>
      </c>
      <c r="I494" t="s">
        <v>89</v>
      </c>
      <c r="J494" s="13">
        <v>45947</v>
      </c>
      <c r="K494" s="13">
        <v>46023</v>
      </c>
      <c r="L494" t="s">
        <v>612</v>
      </c>
      <c r="M494" t="s">
        <v>60</v>
      </c>
      <c r="N494">
        <v>71017387</v>
      </c>
    </row>
    <row r="495" spans="1:14" x14ac:dyDescent="0.25">
      <c r="A495">
        <v>57311358</v>
      </c>
      <c r="B495" t="s">
        <v>1427</v>
      </c>
      <c r="C495" t="s">
        <v>1851</v>
      </c>
      <c r="D495" t="s">
        <v>1852</v>
      </c>
      <c r="E495">
        <v>8063108379</v>
      </c>
      <c r="F495" t="s">
        <v>684</v>
      </c>
      <c r="G495" t="s">
        <v>685</v>
      </c>
      <c r="I495" t="s">
        <v>686</v>
      </c>
      <c r="J495" s="13">
        <v>45947</v>
      </c>
      <c r="K495" s="13">
        <v>46023</v>
      </c>
      <c r="L495" t="s">
        <v>444</v>
      </c>
      <c r="M495" t="s">
        <v>419</v>
      </c>
      <c r="N495">
        <v>71018787</v>
      </c>
    </row>
    <row r="496" spans="1:14" x14ac:dyDescent="0.25">
      <c r="A496">
        <v>57311048</v>
      </c>
      <c r="B496" t="s">
        <v>1853</v>
      </c>
      <c r="C496" t="s">
        <v>610</v>
      </c>
      <c r="D496" t="s">
        <v>1854</v>
      </c>
      <c r="E496">
        <v>4172591983</v>
      </c>
      <c r="F496" t="s">
        <v>842</v>
      </c>
      <c r="G496" t="s">
        <v>843</v>
      </c>
      <c r="I496" t="s">
        <v>98</v>
      </c>
      <c r="J496" s="13">
        <v>45947</v>
      </c>
      <c r="K496" s="13">
        <v>46023</v>
      </c>
      <c r="L496" t="s">
        <v>434</v>
      </c>
      <c r="M496" t="s">
        <v>59</v>
      </c>
      <c r="N496">
        <v>71019794</v>
      </c>
    </row>
    <row r="497" spans="1:14" x14ac:dyDescent="0.25">
      <c r="A497">
        <v>57311157</v>
      </c>
      <c r="B497" t="s">
        <v>1737</v>
      </c>
      <c r="C497" t="s">
        <v>522</v>
      </c>
      <c r="D497" t="s">
        <v>1855</v>
      </c>
      <c r="E497">
        <v>9543912414</v>
      </c>
      <c r="F497" t="s">
        <v>592</v>
      </c>
      <c r="G497" t="s">
        <v>593</v>
      </c>
      <c r="I497" t="s">
        <v>115</v>
      </c>
      <c r="J497" s="13">
        <v>45947</v>
      </c>
      <c r="K497" s="13">
        <v>46023</v>
      </c>
      <c r="L497" t="s">
        <v>497</v>
      </c>
      <c r="M497" t="s">
        <v>59</v>
      </c>
      <c r="N497">
        <v>71021827</v>
      </c>
    </row>
    <row r="498" spans="1:14" x14ac:dyDescent="0.25">
      <c r="A498">
        <v>57311892</v>
      </c>
      <c r="B498" t="s">
        <v>1856</v>
      </c>
      <c r="C498" t="s">
        <v>1857</v>
      </c>
      <c r="D498" t="s">
        <v>1858</v>
      </c>
      <c r="E498">
        <v>7023308169</v>
      </c>
      <c r="F498" t="s">
        <v>957</v>
      </c>
      <c r="G498" t="s">
        <v>958</v>
      </c>
      <c r="H498" t="s">
        <v>959</v>
      </c>
      <c r="I498" t="s">
        <v>960</v>
      </c>
      <c r="J498" s="13">
        <v>45947</v>
      </c>
      <c r="K498" s="13">
        <v>46023</v>
      </c>
      <c r="L498" t="s">
        <v>603</v>
      </c>
      <c r="M498" t="s">
        <v>56</v>
      </c>
      <c r="N498">
        <v>71022875</v>
      </c>
    </row>
    <row r="499" spans="1:14" x14ac:dyDescent="0.25">
      <c r="A499">
        <v>57311311</v>
      </c>
      <c r="B499" t="s">
        <v>724</v>
      </c>
      <c r="C499" t="s">
        <v>1859</v>
      </c>
      <c r="D499" t="s">
        <v>1860</v>
      </c>
      <c r="E499">
        <v>4473037298</v>
      </c>
      <c r="F499" t="s">
        <v>462</v>
      </c>
      <c r="G499" t="s">
        <v>463</v>
      </c>
      <c r="I499" t="s">
        <v>39</v>
      </c>
      <c r="J499" s="13">
        <v>45947</v>
      </c>
      <c r="K499" s="13">
        <v>46023</v>
      </c>
      <c r="L499" t="s">
        <v>470</v>
      </c>
      <c r="M499" t="s">
        <v>56</v>
      </c>
      <c r="N499">
        <v>71023798</v>
      </c>
    </row>
    <row r="500" spans="1:14" x14ac:dyDescent="0.25">
      <c r="A500">
        <v>57311404</v>
      </c>
      <c r="B500" t="s">
        <v>1861</v>
      </c>
      <c r="C500" t="s">
        <v>1862</v>
      </c>
      <c r="D500" t="s">
        <v>1863</v>
      </c>
      <c r="E500">
        <v>3376002069</v>
      </c>
      <c r="F500" t="s">
        <v>494</v>
      </c>
      <c r="G500" t="s">
        <v>495</v>
      </c>
      <c r="I500" t="s">
        <v>496</v>
      </c>
      <c r="J500" s="13">
        <v>45947</v>
      </c>
      <c r="K500" s="13">
        <v>46023</v>
      </c>
      <c r="L500" t="s">
        <v>612</v>
      </c>
      <c r="M500" t="s">
        <v>58</v>
      </c>
      <c r="N500">
        <v>71023817</v>
      </c>
    </row>
    <row r="501" spans="1:14" x14ac:dyDescent="0.25">
      <c r="A501">
        <v>57311544</v>
      </c>
      <c r="B501" t="s">
        <v>1864</v>
      </c>
      <c r="C501" t="s">
        <v>1865</v>
      </c>
      <c r="D501" t="s">
        <v>1866</v>
      </c>
      <c r="E501">
        <v>5058683506</v>
      </c>
      <c r="F501" t="s">
        <v>1225</v>
      </c>
      <c r="G501" t="s">
        <v>1226</v>
      </c>
      <c r="I501" t="s">
        <v>1227</v>
      </c>
      <c r="J501" s="13">
        <v>45947</v>
      </c>
      <c r="K501" s="13">
        <v>46023</v>
      </c>
      <c r="L501" t="s">
        <v>1179</v>
      </c>
      <c r="M501" t="s">
        <v>56</v>
      </c>
      <c r="N501">
        <v>71023953</v>
      </c>
    </row>
    <row r="502" spans="1:14" x14ac:dyDescent="0.25">
      <c r="A502">
        <v>57311604</v>
      </c>
      <c r="B502" t="s">
        <v>622</v>
      </c>
      <c r="C502" t="s">
        <v>515</v>
      </c>
      <c r="D502" t="s">
        <v>1867</v>
      </c>
      <c r="E502">
        <v>9033925750</v>
      </c>
      <c r="F502" t="s">
        <v>474</v>
      </c>
      <c r="G502" t="s">
        <v>475</v>
      </c>
      <c r="I502" t="s">
        <v>132</v>
      </c>
      <c r="J502" s="13">
        <v>45947</v>
      </c>
      <c r="K502" s="13">
        <v>46023</v>
      </c>
      <c r="L502" t="s">
        <v>444</v>
      </c>
      <c r="M502" t="s">
        <v>56</v>
      </c>
      <c r="N502">
        <v>71023998</v>
      </c>
    </row>
    <row r="503" spans="1:14" x14ac:dyDescent="0.25">
      <c r="A503">
        <v>57311821</v>
      </c>
      <c r="B503" t="s">
        <v>1316</v>
      </c>
      <c r="C503" t="s">
        <v>1126</v>
      </c>
      <c r="D503" t="s">
        <v>1868</v>
      </c>
      <c r="E503">
        <v>9412238982</v>
      </c>
      <c r="F503" t="s">
        <v>551</v>
      </c>
      <c r="G503" t="s">
        <v>552</v>
      </c>
      <c r="I503" t="s">
        <v>42</v>
      </c>
      <c r="J503" s="13">
        <v>45947</v>
      </c>
      <c r="K503" s="13">
        <v>46023</v>
      </c>
      <c r="L503" t="s">
        <v>497</v>
      </c>
      <c r="M503" t="s">
        <v>58</v>
      </c>
      <c r="N503">
        <v>71024103</v>
      </c>
    </row>
    <row r="504" spans="1:14" x14ac:dyDescent="0.25">
      <c r="A504">
        <v>57312182</v>
      </c>
      <c r="B504" t="s">
        <v>1869</v>
      </c>
      <c r="C504" t="s">
        <v>1870</v>
      </c>
      <c r="D504" t="s">
        <v>1871</v>
      </c>
      <c r="E504">
        <v>7177064414</v>
      </c>
      <c r="F504" t="s">
        <v>1142</v>
      </c>
      <c r="G504" t="s">
        <v>1143</v>
      </c>
      <c r="I504" t="s">
        <v>124</v>
      </c>
      <c r="J504" s="13">
        <v>45947</v>
      </c>
      <c r="K504" s="13">
        <v>46023</v>
      </c>
      <c r="L504" t="s">
        <v>450</v>
      </c>
      <c r="M504" t="s">
        <v>59</v>
      </c>
      <c r="N504">
        <v>71024429</v>
      </c>
    </row>
    <row r="505" spans="1:14" x14ac:dyDescent="0.25">
      <c r="A505">
        <v>57312230</v>
      </c>
      <c r="B505" t="s">
        <v>1872</v>
      </c>
      <c r="C505" t="s">
        <v>1873</v>
      </c>
      <c r="D505" t="s">
        <v>1874</v>
      </c>
      <c r="E505">
        <v>2527996920</v>
      </c>
      <c r="F505" t="s">
        <v>423</v>
      </c>
      <c r="G505" t="s">
        <v>424</v>
      </c>
      <c r="I505" t="s">
        <v>46</v>
      </c>
      <c r="J505" s="13">
        <v>45947</v>
      </c>
      <c r="K505" s="13">
        <v>46023</v>
      </c>
      <c r="L505" t="s">
        <v>603</v>
      </c>
      <c r="M505" t="s">
        <v>60</v>
      </c>
      <c r="N505">
        <v>71024441</v>
      </c>
    </row>
    <row r="506" spans="1:14" x14ac:dyDescent="0.25">
      <c r="A506">
        <v>57312361</v>
      </c>
      <c r="B506" t="s">
        <v>1875</v>
      </c>
      <c r="C506" t="s">
        <v>1876</v>
      </c>
      <c r="D506" t="s">
        <v>1877</v>
      </c>
      <c r="E506">
        <v>8436234848</v>
      </c>
      <c r="F506" t="s">
        <v>448</v>
      </c>
      <c r="G506" t="s">
        <v>449</v>
      </c>
      <c r="I506" t="s">
        <v>31</v>
      </c>
      <c r="J506" s="13">
        <v>45947</v>
      </c>
      <c r="K506" s="13">
        <v>46023</v>
      </c>
      <c r="L506" t="s">
        <v>533</v>
      </c>
      <c r="M506" t="s">
        <v>56</v>
      </c>
      <c r="N506">
        <v>71024543</v>
      </c>
    </row>
    <row r="507" spans="1:14" x14ac:dyDescent="0.25">
      <c r="A507">
        <v>57312414</v>
      </c>
      <c r="B507" t="s">
        <v>1878</v>
      </c>
      <c r="C507" t="s">
        <v>1879</v>
      </c>
      <c r="D507" t="s">
        <v>1880</v>
      </c>
      <c r="E507">
        <v>3035211994</v>
      </c>
      <c r="F507" t="s">
        <v>790</v>
      </c>
      <c r="G507" t="s">
        <v>791</v>
      </c>
      <c r="I507" t="s">
        <v>119</v>
      </c>
      <c r="J507" s="13">
        <v>45947</v>
      </c>
      <c r="K507" s="13">
        <v>46023</v>
      </c>
      <c r="L507" t="s">
        <v>539</v>
      </c>
      <c r="M507" t="s">
        <v>58</v>
      </c>
      <c r="N507">
        <v>71024576</v>
      </c>
    </row>
    <row r="508" spans="1:14" x14ac:dyDescent="0.25">
      <c r="A508">
        <v>57313268</v>
      </c>
      <c r="B508" t="s">
        <v>879</v>
      </c>
      <c r="C508" t="s">
        <v>1865</v>
      </c>
      <c r="D508" t="s">
        <v>1881</v>
      </c>
      <c r="E508">
        <v>6028493463</v>
      </c>
      <c r="F508" t="s">
        <v>746</v>
      </c>
      <c r="G508" t="s">
        <v>747</v>
      </c>
      <c r="I508" t="s">
        <v>27</v>
      </c>
      <c r="J508" s="13">
        <v>45947</v>
      </c>
      <c r="K508" s="13">
        <v>46023</v>
      </c>
      <c r="L508" t="s">
        <v>1179</v>
      </c>
      <c r="M508" t="s">
        <v>59</v>
      </c>
      <c r="N508">
        <v>71024710</v>
      </c>
    </row>
    <row r="509" spans="1:14" x14ac:dyDescent="0.25">
      <c r="A509">
        <v>61969699</v>
      </c>
      <c r="B509" t="s">
        <v>1882</v>
      </c>
      <c r="C509" t="s">
        <v>1883</v>
      </c>
      <c r="D509" t="s">
        <v>1884</v>
      </c>
      <c r="E509">
        <v>7203294357</v>
      </c>
      <c r="F509" t="s">
        <v>574</v>
      </c>
      <c r="G509" t="s">
        <v>575</v>
      </c>
      <c r="I509" t="s">
        <v>14</v>
      </c>
      <c r="J509" s="13">
        <v>46100</v>
      </c>
      <c r="K509" s="13">
        <v>46113</v>
      </c>
      <c r="L509" t="s">
        <v>444</v>
      </c>
      <c r="M509" t="s">
        <v>59</v>
      </c>
      <c r="N509">
        <v>71024761</v>
      </c>
    </row>
    <row r="510" spans="1:14" x14ac:dyDescent="0.25">
      <c r="A510">
        <v>59648655</v>
      </c>
      <c r="B510" t="s">
        <v>1885</v>
      </c>
      <c r="C510" t="s">
        <v>1886</v>
      </c>
      <c r="D510" t="s">
        <v>1887</v>
      </c>
      <c r="E510">
        <v>9192704704</v>
      </c>
      <c r="F510" t="s">
        <v>780</v>
      </c>
      <c r="G510" t="s">
        <v>781</v>
      </c>
      <c r="I510" t="s">
        <v>20</v>
      </c>
      <c r="J510" s="13">
        <v>46038</v>
      </c>
      <c r="K510" s="13">
        <v>46054</v>
      </c>
      <c r="L510" t="s">
        <v>444</v>
      </c>
      <c r="M510" t="s">
        <v>58</v>
      </c>
      <c r="N510">
        <v>71024798</v>
      </c>
    </row>
    <row r="511" spans="1:14" x14ac:dyDescent="0.25">
      <c r="A511">
        <v>57313442</v>
      </c>
      <c r="B511" t="s">
        <v>1888</v>
      </c>
      <c r="C511" t="s">
        <v>1889</v>
      </c>
      <c r="D511" t="s">
        <v>1890</v>
      </c>
      <c r="E511">
        <v>6025156081</v>
      </c>
      <c r="F511" t="s">
        <v>993</v>
      </c>
      <c r="G511" t="s">
        <v>994</v>
      </c>
      <c r="I511" t="s">
        <v>995</v>
      </c>
      <c r="J511" s="13">
        <v>45947</v>
      </c>
      <c r="K511" s="13">
        <v>46023</v>
      </c>
      <c r="L511" t="s">
        <v>1179</v>
      </c>
      <c r="M511" t="s">
        <v>54</v>
      </c>
      <c r="N511">
        <v>71024826</v>
      </c>
    </row>
    <row r="512" spans="1:14" x14ac:dyDescent="0.25">
      <c r="A512">
        <v>57313461</v>
      </c>
      <c r="B512" t="s">
        <v>471</v>
      </c>
      <c r="C512" t="s">
        <v>1891</v>
      </c>
      <c r="D512" t="s">
        <v>1892</v>
      </c>
      <c r="E512">
        <v>5207017522</v>
      </c>
      <c r="F512" t="s">
        <v>766</v>
      </c>
      <c r="G512" t="s">
        <v>767</v>
      </c>
      <c r="I512" t="s">
        <v>88</v>
      </c>
      <c r="J512" s="13">
        <v>45947</v>
      </c>
      <c r="K512" s="13">
        <v>46023</v>
      </c>
      <c r="L512" t="s">
        <v>1179</v>
      </c>
      <c r="M512" t="s">
        <v>54</v>
      </c>
      <c r="N512">
        <v>71024837</v>
      </c>
    </row>
    <row r="513" spans="1:14" x14ac:dyDescent="0.25">
      <c r="A513">
        <v>57313525</v>
      </c>
      <c r="B513" t="s">
        <v>1893</v>
      </c>
      <c r="C513" t="s">
        <v>867</v>
      </c>
      <c r="D513" t="s">
        <v>1894</v>
      </c>
      <c r="E513">
        <v>2563432082</v>
      </c>
      <c r="F513" t="s">
        <v>578</v>
      </c>
      <c r="G513" t="s">
        <v>579</v>
      </c>
      <c r="I513" t="s">
        <v>15</v>
      </c>
      <c r="J513" s="13">
        <v>45947</v>
      </c>
      <c r="K513" s="13">
        <v>46023</v>
      </c>
      <c r="L513" t="s">
        <v>450</v>
      </c>
      <c r="M513" t="s">
        <v>56</v>
      </c>
      <c r="N513">
        <v>71024882</v>
      </c>
    </row>
    <row r="514" spans="1:14" x14ac:dyDescent="0.25">
      <c r="A514">
        <v>57313703</v>
      </c>
      <c r="B514" t="s">
        <v>1895</v>
      </c>
      <c r="C514" t="s">
        <v>1896</v>
      </c>
      <c r="D514" t="s">
        <v>1897</v>
      </c>
      <c r="E514">
        <v>5156016883</v>
      </c>
      <c r="F514" t="s">
        <v>775</v>
      </c>
      <c r="G514" t="s">
        <v>776</v>
      </c>
      <c r="I514" t="s">
        <v>22</v>
      </c>
      <c r="J514" s="13">
        <v>45947</v>
      </c>
      <c r="K514" s="13">
        <v>46023</v>
      </c>
      <c r="L514" t="s">
        <v>1179</v>
      </c>
      <c r="M514" t="s">
        <v>54</v>
      </c>
      <c r="N514">
        <v>71024974</v>
      </c>
    </row>
    <row r="515" spans="1:14" x14ac:dyDescent="0.25">
      <c r="A515">
        <v>57313691</v>
      </c>
      <c r="B515" t="s">
        <v>521</v>
      </c>
      <c r="C515" t="s">
        <v>1898</v>
      </c>
      <c r="D515" t="s">
        <v>1899</v>
      </c>
      <c r="E515">
        <v>6193705957</v>
      </c>
      <c r="F515" t="s">
        <v>807</v>
      </c>
      <c r="G515" t="s">
        <v>808</v>
      </c>
      <c r="I515" t="s">
        <v>33</v>
      </c>
      <c r="J515" s="13">
        <v>45947</v>
      </c>
      <c r="K515" s="13">
        <v>46023</v>
      </c>
      <c r="L515" t="s">
        <v>1179</v>
      </c>
      <c r="M515" t="s">
        <v>58</v>
      </c>
      <c r="N515">
        <v>71024977</v>
      </c>
    </row>
    <row r="516" spans="1:14" x14ac:dyDescent="0.25">
      <c r="A516">
        <v>57313795</v>
      </c>
      <c r="B516" t="s">
        <v>1900</v>
      </c>
      <c r="C516" t="s">
        <v>1901</v>
      </c>
      <c r="D516" t="s">
        <v>1902</v>
      </c>
      <c r="E516">
        <v>3563184941</v>
      </c>
      <c r="F516" t="s">
        <v>649</v>
      </c>
      <c r="G516" t="s">
        <v>650</v>
      </c>
      <c r="I516" t="s">
        <v>28</v>
      </c>
      <c r="J516" s="13">
        <v>45947</v>
      </c>
      <c r="K516" s="13">
        <v>46023</v>
      </c>
      <c r="L516" t="s">
        <v>444</v>
      </c>
      <c r="M516" t="s">
        <v>61</v>
      </c>
      <c r="N516">
        <v>71025048</v>
      </c>
    </row>
    <row r="517" spans="1:14" x14ac:dyDescent="0.25">
      <c r="A517">
        <v>57313806</v>
      </c>
      <c r="B517" t="s">
        <v>1903</v>
      </c>
      <c r="C517" t="s">
        <v>1498</v>
      </c>
      <c r="D517" t="s">
        <v>1904</v>
      </c>
      <c r="E517">
        <v>8045908135</v>
      </c>
      <c r="F517" t="s">
        <v>416</v>
      </c>
      <c r="G517" t="s">
        <v>417</v>
      </c>
      <c r="I517" t="s">
        <v>26</v>
      </c>
      <c r="J517" s="13">
        <v>45947</v>
      </c>
      <c r="K517" s="13">
        <v>46023</v>
      </c>
      <c r="L517" t="s">
        <v>454</v>
      </c>
      <c r="M517" t="s">
        <v>56</v>
      </c>
      <c r="N517">
        <v>71025054</v>
      </c>
    </row>
    <row r="518" spans="1:14" x14ac:dyDescent="0.25">
      <c r="A518">
        <v>57315246</v>
      </c>
      <c r="B518" t="s">
        <v>1905</v>
      </c>
      <c r="C518" t="s">
        <v>1906</v>
      </c>
      <c r="D518" t="s">
        <v>1907</v>
      </c>
      <c r="E518">
        <v>3044213732</v>
      </c>
      <c r="F518" t="s">
        <v>1013</v>
      </c>
      <c r="G518" t="s">
        <v>1014</v>
      </c>
      <c r="I518" t="s">
        <v>43</v>
      </c>
      <c r="J518" s="13">
        <v>45948</v>
      </c>
      <c r="K518" s="13">
        <v>46023</v>
      </c>
      <c r="L518" t="s">
        <v>1188</v>
      </c>
      <c r="M518" t="s">
        <v>56</v>
      </c>
      <c r="N518">
        <v>71026206</v>
      </c>
    </row>
    <row r="519" spans="1:14" x14ac:dyDescent="0.25">
      <c r="A519">
        <v>57315354</v>
      </c>
      <c r="B519" t="s">
        <v>593</v>
      </c>
      <c r="C519" t="s">
        <v>1908</v>
      </c>
      <c r="D519" t="s">
        <v>1909</v>
      </c>
      <c r="E519">
        <v>4049361132</v>
      </c>
      <c r="F519" t="s">
        <v>551</v>
      </c>
      <c r="G519" t="s">
        <v>552</v>
      </c>
      <c r="I519" t="s">
        <v>42</v>
      </c>
      <c r="J519" s="13">
        <v>45948</v>
      </c>
      <c r="K519" s="13">
        <v>46023</v>
      </c>
      <c r="L519" t="s">
        <v>621</v>
      </c>
      <c r="M519" t="s">
        <v>60</v>
      </c>
      <c r="N519">
        <v>71026253</v>
      </c>
    </row>
    <row r="520" spans="1:14" x14ac:dyDescent="0.25">
      <c r="A520">
        <v>57315368</v>
      </c>
      <c r="B520" t="s">
        <v>1910</v>
      </c>
      <c r="C520" t="s">
        <v>1911</v>
      </c>
      <c r="D520" t="s">
        <v>1912</v>
      </c>
      <c r="E520">
        <v>2568368123</v>
      </c>
      <c r="F520" t="s">
        <v>423</v>
      </c>
      <c r="G520" t="s">
        <v>424</v>
      </c>
      <c r="I520" t="s">
        <v>46</v>
      </c>
      <c r="J520" s="13">
        <v>45948</v>
      </c>
      <c r="K520" s="13">
        <v>46023</v>
      </c>
      <c r="L520" t="s">
        <v>450</v>
      </c>
      <c r="M520" t="s">
        <v>56</v>
      </c>
      <c r="N520">
        <v>71026256</v>
      </c>
    </row>
    <row r="521" spans="1:14" x14ac:dyDescent="0.25">
      <c r="A521">
        <v>57315437</v>
      </c>
      <c r="B521" t="s">
        <v>1913</v>
      </c>
      <c r="C521" t="s">
        <v>1914</v>
      </c>
      <c r="D521" t="s">
        <v>1915</v>
      </c>
      <c r="E521">
        <v>3015258788</v>
      </c>
      <c r="F521" t="s">
        <v>474</v>
      </c>
      <c r="G521" t="s">
        <v>475</v>
      </c>
      <c r="I521" t="s">
        <v>132</v>
      </c>
      <c r="J521" s="13">
        <v>45948</v>
      </c>
      <c r="K521" s="13">
        <v>46023</v>
      </c>
      <c r="L521" t="s">
        <v>539</v>
      </c>
      <c r="M521" t="s">
        <v>59</v>
      </c>
      <c r="N521">
        <v>71026299</v>
      </c>
    </row>
    <row r="522" spans="1:14" x14ac:dyDescent="0.25">
      <c r="A522">
        <v>57315586</v>
      </c>
      <c r="B522" t="s">
        <v>1916</v>
      </c>
      <c r="C522" t="s">
        <v>1917</v>
      </c>
      <c r="D522" t="s">
        <v>1918</v>
      </c>
      <c r="E522">
        <v>3187542186</v>
      </c>
      <c r="F522" t="s">
        <v>705</v>
      </c>
      <c r="G522" t="s">
        <v>706</v>
      </c>
      <c r="I522" t="s">
        <v>12</v>
      </c>
      <c r="J522" s="13">
        <v>45948</v>
      </c>
      <c r="K522" s="13">
        <v>46023</v>
      </c>
      <c r="L522" t="s">
        <v>612</v>
      </c>
      <c r="M522" t="s">
        <v>56</v>
      </c>
      <c r="N522">
        <v>71026384</v>
      </c>
    </row>
    <row r="523" spans="1:14" x14ac:dyDescent="0.25">
      <c r="A523">
        <v>57315642</v>
      </c>
      <c r="B523" t="s">
        <v>1535</v>
      </c>
      <c r="C523" t="s">
        <v>1919</v>
      </c>
      <c r="D523" t="s">
        <v>1920</v>
      </c>
      <c r="E523" t="s">
        <v>1921</v>
      </c>
      <c r="F523" t="s">
        <v>474</v>
      </c>
      <c r="G523" t="s">
        <v>475</v>
      </c>
      <c r="I523" t="s">
        <v>132</v>
      </c>
      <c r="J523" s="13">
        <v>45948</v>
      </c>
      <c r="K523" s="13">
        <v>46023</v>
      </c>
      <c r="M523" t="s">
        <v>58</v>
      </c>
      <c r="N523">
        <v>71026416</v>
      </c>
    </row>
    <row r="524" spans="1:14" x14ac:dyDescent="0.25">
      <c r="A524">
        <v>57315865</v>
      </c>
      <c r="B524" t="s">
        <v>1922</v>
      </c>
      <c r="C524" t="s">
        <v>1923</v>
      </c>
      <c r="D524" t="s">
        <v>1924</v>
      </c>
      <c r="E524">
        <v>8652279810</v>
      </c>
      <c r="F524" t="s">
        <v>807</v>
      </c>
      <c r="G524" t="s">
        <v>808</v>
      </c>
      <c r="I524" t="s">
        <v>33</v>
      </c>
      <c r="J524" s="13">
        <v>45948</v>
      </c>
      <c r="K524" s="13">
        <v>46023</v>
      </c>
      <c r="L524" t="s">
        <v>479</v>
      </c>
      <c r="M524" t="s">
        <v>58</v>
      </c>
      <c r="N524">
        <v>71026531</v>
      </c>
    </row>
    <row r="525" spans="1:14" x14ac:dyDescent="0.25">
      <c r="A525">
        <v>57315878</v>
      </c>
      <c r="B525" t="s">
        <v>1925</v>
      </c>
      <c r="C525" t="s">
        <v>1926</v>
      </c>
      <c r="D525" t="s">
        <v>1927</v>
      </c>
      <c r="E525">
        <v>4085404375</v>
      </c>
      <c r="F525" t="s">
        <v>1013</v>
      </c>
      <c r="G525" t="s">
        <v>1014</v>
      </c>
      <c r="I525" t="s">
        <v>43</v>
      </c>
      <c r="J525" s="13">
        <v>45948</v>
      </c>
      <c r="K525" s="13">
        <v>46023</v>
      </c>
      <c r="L525" t="s">
        <v>1179</v>
      </c>
      <c r="M525" t="s">
        <v>56</v>
      </c>
      <c r="N525">
        <v>71026540</v>
      </c>
    </row>
    <row r="526" spans="1:14" x14ac:dyDescent="0.25">
      <c r="A526">
        <v>57315914</v>
      </c>
      <c r="B526" t="s">
        <v>1928</v>
      </c>
      <c r="C526" t="s">
        <v>1929</v>
      </c>
      <c r="D526" t="s">
        <v>1930</v>
      </c>
      <c r="E526">
        <v>7155338115</v>
      </c>
      <c r="F526" t="s">
        <v>423</v>
      </c>
      <c r="G526" t="s">
        <v>424</v>
      </c>
      <c r="I526" t="s">
        <v>46</v>
      </c>
      <c r="J526" s="13">
        <v>45948</v>
      </c>
      <c r="K526" s="13">
        <v>46023</v>
      </c>
      <c r="L526" t="s">
        <v>675</v>
      </c>
      <c r="M526" t="s">
        <v>56</v>
      </c>
      <c r="N526">
        <v>71026555</v>
      </c>
    </row>
    <row r="527" spans="1:14" x14ac:dyDescent="0.25">
      <c r="A527">
        <v>57316041</v>
      </c>
      <c r="B527" t="s">
        <v>1931</v>
      </c>
      <c r="C527" t="s">
        <v>1932</v>
      </c>
      <c r="D527" t="s">
        <v>1933</v>
      </c>
      <c r="E527">
        <v>3252483734</v>
      </c>
      <c r="F527" t="s">
        <v>770</v>
      </c>
      <c r="G527" t="s">
        <v>771</v>
      </c>
      <c r="I527" t="s">
        <v>25</v>
      </c>
      <c r="J527" s="13">
        <v>45948</v>
      </c>
      <c r="K527" s="13">
        <v>46023</v>
      </c>
      <c r="L527" t="s">
        <v>444</v>
      </c>
      <c r="M527" t="s">
        <v>56</v>
      </c>
      <c r="N527">
        <v>71026650</v>
      </c>
    </row>
    <row r="528" spans="1:14" x14ac:dyDescent="0.25">
      <c r="A528">
        <v>57316067</v>
      </c>
      <c r="B528" t="s">
        <v>1934</v>
      </c>
      <c r="C528" t="s">
        <v>1685</v>
      </c>
      <c r="D528" t="s">
        <v>1935</v>
      </c>
      <c r="E528">
        <v>6063442753</v>
      </c>
      <c r="F528" t="s">
        <v>790</v>
      </c>
      <c r="G528" t="s">
        <v>791</v>
      </c>
      <c r="I528" t="s">
        <v>119</v>
      </c>
      <c r="J528" s="13">
        <v>45948</v>
      </c>
      <c r="K528" s="13">
        <v>46023</v>
      </c>
      <c r="L528" t="s">
        <v>490</v>
      </c>
      <c r="M528" t="s">
        <v>58</v>
      </c>
      <c r="N528">
        <v>71026663</v>
      </c>
    </row>
    <row r="529" spans="1:14" x14ac:dyDescent="0.25">
      <c r="A529">
        <v>57316141</v>
      </c>
      <c r="B529" t="s">
        <v>1936</v>
      </c>
      <c r="C529" t="s">
        <v>1937</v>
      </c>
      <c r="D529" t="s">
        <v>1938</v>
      </c>
      <c r="E529">
        <v>2075906656</v>
      </c>
      <c r="F529" t="s">
        <v>474</v>
      </c>
      <c r="G529" t="s">
        <v>475</v>
      </c>
      <c r="I529" t="s">
        <v>132</v>
      </c>
      <c r="J529" s="13">
        <v>45948</v>
      </c>
      <c r="K529" s="13">
        <v>46023</v>
      </c>
      <c r="L529" t="s">
        <v>941</v>
      </c>
      <c r="M529" t="s">
        <v>56</v>
      </c>
      <c r="N529">
        <v>71026736</v>
      </c>
    </row>
    <row r="530" spans="1:14" x14ac:dyDescent="0.25">
      <c r="A530">
        <v>57316461</v>
      </c>
      <c r="B530" t="s">
        <v>772</v>
      </c>
      <c r="C530" t="s">
        <v>1939</v>
      </c>
      <c r="D530" t="s">
        <v>1940</v>
      </c>
      <c r="E530">
        <v>6185795756</v>
      </c>
      <c r="F530" t="s">
        <v>416</v>
      </c>
      <c r="G530" t="s">
        <v>417</v>
      </c>
      <c r="I530" t="s">
        <v>26</v>
      </c>
      <c r="J530" s="13">
        <v>45948</v>
      </c>
      <c r="K530" s="13">
        <v>46023</v>
      </c>
      <c r="L530" t="s">
        <v>470</v>
      </c>
      <c r="M530" t="s">
        <v>60</v>
      </c>
      <c r="N530">
        <v>71026969</v>
      </c>
    </row>
    <row r="531" spans="1:14" x14ac:dyDescent="0.25">
      <c r="A531">
        <v>57316514</v>
      </c>
      <c r="B531" t="s">
        <v>1941</v>
      </c>
      <c r="C531" t="s">
        <v>1942</v>
      </c>
      <c r="D531" t="s">
        <v>1943</v>
      </c>
      <c r="E531">
        <v>7203522768</v>
      </c>
      <c r="F531" t="s">
        <v>423</v>
      </c>
      <c r="G531" t="s">
        <v>424</v>
      </c>
      <c r="I531" t="s">
        <v>46</v>
      </c>
      <c r="J531" s="13">
        <v>45948</v>
      </c>
      <c r="K531" s="13">
        <v>46023</v>
      </c>
      <c r="L531" t="s">
        <v>539</v>
      </c>
      <c r="M531" t="s">
        <v>56</v>
      </c>
      <c r="N531">
        <v>71026993</v>
      </c>
    </row>
    <row r="532" spans="1:14" x14ac:dyDescent="0.25">
      <c r="A532">
        <v>58307991</v>
      </c>
      <c r="B532" t="s">
        <v>1663</v>
      </c>
      <c r="C532" t="s">
        <v>1944</v>
      </c>
      <c r="D532" t="s">
        <v>1945</v>
      </c>
      <c r="E532">
        <v>9548805058</v>
      </c>
      <c r="F532" t="s">
        <v>474</v>
      </c>
      <c r="G532" t="s">
        <v>475</v>
      </c>
      <c r="I532" t="s">
        <v>132</v>
      </c>
      <c r="J532" s="13">
        <v>45982</v>
      </c>
      <c r="K532" s="13">
        <v>46023</v>
      </c>
      <c r="L532" t="s">
        <v>497</v>
      </c>
      <c r="M532" t="s">
        <v>56</v>
      </c>
      <c r="N532">
        <v>71027020</v>
      </c>
    </row>
    <row r="533" spans="1:14" x14ac:dyDescent="0.25">
      <c r="A533">
        <v>57316637</v>
      </c>
      <c r="B533" t="s">
        <v>1946</v>
      </c>
      <c r="C533" t="s">
        <v>1947</v>
      </c>
      <c r="D533" t="s">
        <v>1948</v>
      </c>
      <c r="E533">
        <v>4805496739</v>
      </c>
      <c r="F533" t="s">
        <v>775</v>
      </c>
      <c r="G533" t="s">
        <v>776</v>
      </c>
      <c r="I533" t="s">
        <v>22</v>
      </c>
      <c r="J533" s="13">
        <v>45948</v>
      </c>
      <c r="K533" s="13">
        <v>46023</v>
      </c>
      <c r="L533" t="s">
        <v>1179</v>
      </c>
      <c r="M533" t="s">
        <v>59</v>
      </c>
      <c r="N533">
        <v>71027067</v>
      </c>
    </row>
    <row r="534" spans="1:14" x14ac:dyDescent="0.25">
      <c r="A534">
        <v>57316681</v>
      </c>
      <c r="B534" t="s">
        <v>1949</v>
      </c>
      <c r="C534" t="s">
        <v>1950</v>
      </c>
      <c r="D534" t="s">
        <v>1951</v>
      </c>
      <c r="E534">
        <v>3135855529</v>
      </c>
      <c r="F534" t="s">
        <v>815</v>
      </c>
      <c r="G534" t="s">
        <v>816</v>
      </c>
      <c r="I534" t="s">
        <v>23</v>
      </c>
      <c r="J534" s="13">
        <v>45948</v>
      </c>
      <c r="K534" s="13">
        <v>46023</v>
      </c>
      <c r="L534" t="s">
        <v>497</v>
      </c>
      <c r="M534" t="s">
        <v>56</v>
      </c>
      <c r="N534">
        <v>71027102</v>
      </c>
    </row>
    <row r="535" spans="1:14" x14ac:dyDescent="0.25">
      <c r="A535">
        <v>57316813</v>
      </c>
      <c r="B535" t="s">
        <v>1952</v>
      </c>
      <c r="C535" t="s">
        <v>1953</v>
      </c>
      <c r="D535" t="s">
        <v>1954</v>
      </c>
      <c r="E535">
        <v>3047715274</v>
      </c>
      <c r="F535" t="s">
        <v>574</v>
      </c>
      <c r="G535" t="s">
        <v>575</v>
      </c>
      <c r="I535" t="s">
        <v>14</v>
      </c>
      <c r="J535" s="13">
        <v>45948</v>
      </c>
      <c r="K535" s="13">
        <v>46023</v>
      </c>
      <c r="L535" t="s">
        <v>1188</v>
      </c>
      <c r="M535" t="s">
        <v>56</v>
      </c>
      <c r="N535">
        <v>71027180</v>
      </c>
    </row>
    <row r="536" spans="1:14" x14ac:dyDescent="0.25">
      <c r="A536">
        <v>57316900</v>
      </c>
      <c r="B536" t="s">
        <v>958</v>
      </c>
      <c r="C536" t="s">
        <v>1955</v>
      </c>
      <c r="D536" t="s">
        <v>1956</v>
      </c>
      <c r="E536">
        <v>8655673590</v>
      </c>
      <c r="F536" t="s">
        <v>705</v>
      </c>
      <c r="G536" t="s">
        <v>706</v>
      </c>
      <c r="I536" t="s">
        <v>12</v>
      </c>
      <c r="J536" s="13">
        <v>45948</v>
      </c>
      <c r="K536" s="13">
        <v>46023</v>
      </c>
      <c r="L536" t="s">
        <v>479</v>
      </c>
      <c r="M536" t="s">
        <v>419</v>
      </c>
      <c r="N536">
        <v>71027228</v>
      </c>
    </row>
    <row r="537" spans="1:14" x14ac:dyDescent="0.25">
      <c r="A537">
        <v>57316969</v>
      </c>
      <c r="B537" t="s">
        <v>672</v>
      </c>
      <c r="C537" t="s">
        <v>1957</v>
      </c>
      <c r="D537" t="s">
        <v>1958</v>
      </c>
      <c r="E537">
        <v>6787556340</v>
      </c>
      <c r="F537" t="s">
        <v>790</v>
      </c>
      <c r="G537" t="s">
        <v>791</v>
      </c>
      <c r="I537" t="s">
        <v>119</v>
      </c>
      <c r="J537" s="13">
        <v>45948</v>
      </c>
      <c r="K537" s="13">
        <v>46023</v>
      </c>
      <c r="L537" t="s">
        <v>621</v>
      </c>
      <c r="M537" t="s">
        <v>59</v>
      </c>
      <c r="N537">
        <v>71027237</v>
      </c>
    </row>
    <row r="538" spans="1:14" x14ac:dyDescent="0.25">
      <c r="A538">
        <v>57316980</v>
      </c>
      <c r="B538" t="s">
        <v>730</v>
      </c>
      <c r="C538" t="s">
        <v>1959</v>
      </c>
      <c r="D538" t="s">
        <v>1960</v>
      </c>
      <c r="E538">
        <v>5678761791</v>
      </c>
      <c r="F538" t="s">
        <v>474</v>
      </c>
      <c r="G538" t="s">
        <v>475</v>
      </c>
      <c r="I538" t="s">
        <v>132</v>
      </c>
      <c r="J538" s="13">
        <v>45948</v>
      </c>
      <c r="K538" s="13">
        <v>46023</v>
      </c>
      <c r="L538" t="s">
        <v>418</v>
      </c>
      <c r="M538" t="s">
        <v>59</v>
      </c>
      <c r="N538">
        <v>71027301</v>
      </c>
    </row>
    <row r="539" spans="1:14" x14ac:dyDescent="0.25">
      <c r="A539">
        <v>57728803</v>
      </c>
      <c r="B539" t="s">
        <v>1961</v>
      </c>
      <c r="C539" t="s">
        <v>1962</v>
      </c>
      <c r="D539" t="s">
        <v>1963</v>
      </c>
      <c r="E539">
        <v>2814157678</v>
      </c>
      <c r="F539" t="s">
        <v>578</v>
      </c>
      <c r="G539" t="s">
        <v>579</v>
      </c>
      <c r="I539" t="s">
        <v>15</v>
      </c>
      <c r="J539" s="13">
        <v>45961</v>
      </c>
      <c r="K539" s="13">
        <v>46023</v>
      </c>
      <c r="L539" t="s">
        <v>444</v>
      </c>
      <c r="M539" t="s">
        <v>55</v>
      </c>
      <c r="N539">
        <v>71027317</v>
      </c>
    </row>
    <row r="540" spans="1:14" x14ac:dyDescent="0.25">
      <c r="A540">
        <v>57317109</v>
      </c>
      <c r="B540" t="s">
        <v>1964</v>
      </c>
      <c r="C540" t="s">
        <v>1965</v>
      </c>
      <c r="D540" t="s">
        <v>1966</v>
      </c>
      <c r="E540">
        <v>4239430020</v>
      </c>
      <c r="F540" t="s">
        <v>416</v>
      </c>
      <c r="G540" t="s">
        <v>417</v>
      </c>
      <c r="I540" t="s">
        <v>26</v>
      </c>
      <c r="J540" s="13">
        <v>45948</v>
      </c>
      <c r="K540" s="13">
        <v>46023</v>
      </c>
      <c r="L540" t="s">
        <v>479</v>
      </c>
      <c r="M540" t="s">
        <v>58</v>
      </c>
      <c r="N540">
        <v>71027367</v>
      </c>
    </row>
    <row r="541" spans="1:14" x14ac:dyDescent="0.25">
      <c r="A541">
        <v>57317528</v>
      </c>
      <c r="B541" t="s">
        <v>1747</v>
      </c>
      <c r="C541" t="s">
        <v>1967</v>
      </c>
      <c r="D541" t="s">
        <v>1968</v>
      </c>
      <c r="E541">
        <v>2832315455</v>
      </c>
      <c r="F541" t="s">
        <v>684</v>
      </c>
      <c r="G541" t="s">
        <v>685</v>
      </c>
      <c r="I541" t="s">
        <v>686</v>
      </c>
      <c r="J541" s="13">
        <v>45948</v>
      </c>
      <c r="K541" s="13">
        <v>46023</v>
      </c>
      <c r="L541" t="s">
        <v>418</v>
      </c>
      <c r="M541" t="s">
        <v>56</v>
      </c>
      <c r="N541">
        <v>71027681</v>
      </c>
    </row>
    <row r="542" spans="1:14" x14ac:dyDescent="0.25">
      <c r="A542">
        <v>57317529</v>
      </c>
      <c r="B542" t="s">
        <v>980</v>
      </c>
      <c r="C542" t="s">
        <v>1969</v>
      </c>
      <c r="D542" t="s">
        <v>1970</v>
      </c>
      <c r="E542">
        <v>7792065728</v>
      </c>
      <c r="F542" t="s">
        <v>416</v>
      </c>
      <c r="G542" t="s">
        <v>417</v>
      </c>
      <c r="I542" t="s">
        <v>26</v>
      </c>
      <c r="J542" s="13">
        <v>45948</v>
      </c>
      <c r="K542" s="13">
        <v>46023</v>
      </c>
      <c r="L542" t="s">
        <v>553</v>
      </c>
      <c r="M542" t="s">
        <v>61</v>
      </c>
      <c r="N542">
        <v>71027724</v>
      </c>
    </row>
    <row r="543" spans="1:14" x14ac:dyDescent="0.25">
      <c r="A543">
        <v>57317690</v>
      </c>
      <c r="B543" t="s">
        <v>517</v>
      </c>
      <c r="C543" t="s">
        <v>1971</v>
      </c>
      <c r="D543" t="s">
        <v>1972</v>
      </c>
      <c r="E543">
        <v>2254328047</v>
      </c>
      <c r="F543" t="s">
        <v>569</v>
      </c>
      <c r="G543" t="s">
        <v>570</v>
      </c>
      <c r="I543" t="s">
        <v>34</v>
      </c>
      <c r="J543" s="13">
        <v>45948</v>
      </c>
      <c r="K543" s="13">
        <v>46023</v>
      </c>
      <c r="L543" t="s">
        <v>612</v>
      </c>
      <c r="M543" t="s">
        <v>56</v>
      </c>
      <c r="N543">
        <v>71027847</v>
      </c>
    </row>
    <row r="544" spans="1:14" x14ac:dyDescent="0.25">
      <c r="A544">
        <v>57317944</v>
      </c>
      <c r="B544" t="s">
        <v>1973</v>
      </c>
      <c r="C544" t="s">
        <v>1676</v>
      </c>
      <c r="D544" t="s">
        <v>1974</v>
      </c>
      <c r="E544">
        <v>8125254302</v>
      </c>
      <c r="F544" t="s">
        <v>815</v>
      </c>
      <c r="G544" t="s">
        <v>816</v>
      </c>
      <c r="I544" t="s">
        <v>23</v>
      </c>
      <c r="J544" s="13">
        <v>45948</v>
      </c>
      <c r="K544" s="13">
        <v>46023</v>
      </c>
      <c r="L544" t="s">
        <v>440</v>
      </c>
      <c r="M544" t="s">
        <v>419</v>
      </c>
      <c r="N544">
        <v>71028025</v>
      </c>
    </row>
    <row r="545" spans="1:14" x14ac:dyDescent="0.25">
      <c r="A545">
        <v>57318073</v>
      </c>
      <c r="B545" t="s">
        <v>586</v>
      </c>
      <c r="C545" t="s">
        <v>1975</v>
      </c>
      <c r="D545" t="s">
        <v>1976</v>
      </c>
      <c r="E545">
        <v>6027811298</v>
      </c>
      <c r="F545" t="s">
        <v>780</v>
      </c>
      <c r="G545" t="s">
        <v>781</v>
      </c>
      <c r="I545" t="s">
        <v>20</v>
      </c>
      <c r="J545" s="13">
        <v>45948</v>
      </c>
      <c r="K545" s="13">
        <v>46023</v>
      </c>
      <c r="L545" t="s">
        <v>1179</v>
      </c>
      <c r="M545" t="s">
        <v>59</v>
      </c>
      <c r="N545">
        <v>71028129</v>
      </c>
    </row>
    <row r="546" spans="1:14" x14ac:dyDescent="0.25">
      <c r="A546">
        <v>57318127</v>
      </c>
      <c r="B546" t="s">
        <v>439</v>
      </c>
      <c r="C546" t="s">
        <v>1697</v>
      </c>
      <c r="D546" t="s">
        <v>1977</v>
      </c>
      <c r="E546">
        <v>2105108234</v>
      </c>
      <c r="F546" t="s">
        <v>684</v>
      </c>
      <c r="G546" t="s">
        <v>685</v>
      </c>
      <c r="I546" t="s">
        <v>686</v>
      </c>
      <c r="J546" s="13">
        <v>45948</v>
      </c>
      <c r="K546" s="13">
        <v>46023</v>
      </c>
      <c r="L546" t="s">
        <v>444</v>
      </c>
      <c r="M546" t="s">
        <v>58</v>
      </c>
      <c r="N546">
        <v>71028135</v>
      </c>
    </row>
    <row r="547" spans="1:14" x14ac:dyDescent="0.25">
      <c r="A547">
        <v>57318175</v>
      </c>
      <c r="B547" t="s">
        <v>1978</v>
      </c>
      <c r="C547" t="s">
        <v>1979</v>
      </c>
      <c r="D547" t="s">
        <v>1980</v>
      </c>
      <c r="E547">
        <v>7272070655</v>
      </c>
      <c r="F547" t="s">
        <v>416</v>
      </c>
      <c r="G547" t="s">
        <v>417</v>
      </c>
      <c r="I547" t="s">
        <v>26</v>
      </c>
      <c r="J547" s="13">
        <v>45948</v>
      </c>
      <c r="K547" s="13">
        <v>46023</v>
      </c>
      <c r="L547" t="s">
        <v>497</v>
      </c>
      <c r="M547" t="s">
        <v>56</v>
      </c>
      <c r="N547">
        <v>71028197</v>
      </c>
    </row>
    <row r="548" spans="1:14" x14ac:dyDescent="0.25">
      <c r="A548">
        <v>57318199</v>
      </c>
      <c r="B548" t="s">
        <v>1149</v>
      </c>
      <c r="C548" t="s">
        <v>707</v>
      </c>
      <c r="D548" t="s">
        <v>1981</v>
      </c>
      <c r="E548">
        <v>7572093443</v>
      </c>
      <c r="F548" t="s">
        <v>569</v>
      </c>
      <c r="G548" t="s">
        <v>570</v>
      </c>
      <c r="I548" t="s">
        <v>34</v>
      </c>
      <c r="J548" s="13">
        <v>45948</v>
      </c>
      <c r="K548" s="13">
        <v>46023</v>
      </c>
      <c r="L548" t="s">
        <v>454</v>
      </c>
      <c r="M548" t="s">
        <v>56</v>
      </c>
      <c r="N548">
        <v>71028220</v>
      </c>
    </row>
    <row r="549" spans="1:14" x14ac:dyDescent="0.25">
      <c r="A549">
        <v>57323091</v>
      </c>
      <c r="B549" t="s">
        <v>609</v>
      </c>
      <c r="C549" t="s">
        <v>1982</v>
      </c>
      <c r="D549" t="s">
        <v>1983</v>
      </c>
      <c r="E549">
        <v>7738008237</v>
      </c>
      <c r="F549" t="s">
        <v>592</v>
      </c>
      <c r="G549" t="s">
        <v>593</v>
      </c>
      <c r="I549" t="s">
        <v>115</v>
      </c>
      <c r="J549" s="13">
        <v>45950</v>
      </c>
      <c r="K549" s="13">
        <v>46023</v>
      </c>
      <c r="L549" t="s">
        <v>470</v>
      </c>
      <c r="M549" t="s">
        <v>59</v>
      </c>
      <c r="N549">
        <v>71033691</v>
      </c>
    </row>
    <row r="550" spans="1:14" x14ac:dyDescent="0.25">
      <c r="A550">
        <v>57323565</v>
      </c>
      <c r="B550" t="s">
        <v>445</v>
      </c>
      <c r="C550" t="s">
        <v>1984</v>
      </c>
      <c r="D550" t="s">
        <v>1985</v>
      </c>
      <c r="E550">
        <v>7203712669</v>
      </c>
      <c r="F550" t="s">
        <v>416</v>
      </c>
      <c r="G550" t="s">
        <v>417</v>
      </c>
      <c r="I550" t="s">
        <v>26</v>
      </c>
      <c r="J550" s="13">
        <v>45950</v>
      </c>
      <c r="K550" s="13">
        <v>46023</v>
      </c>
      <c r="L550" t="s">
        <v>539</v>
      </c>
      <c r="M550" t="s">
        <v>59</v>
      </c>
      <c r="N550">
        <v>71034041</v>
      </c>
    </row>
    <row r="551" spans="1:14" x14ac:dyDescent="0.25">
      <c r="A551">
        <v>57323556</v>
      </c>
      <c r="B551" t="s">
        <v>1148</v>
      </c>
      <c r="C551" t="s">
        <v>1986</v>
      </c>
      <c r="D551" t="s">
        <v>1987</v>
      </c>
      <c r="E551">
        <v>3363019681</v>
      </c>
      <c r="F551" t="s">
        <v>474</v>
      </c>
      <c r="G551" t="s">
        <v>475</v>
      </c>
      <c r="I551" t="s">
        <v>132</v>
      </c>
      <c r="J551" s="13">
        <v>45950</v>
      </c>
      <c r="K551" s="13">
        <v>46023</v>
      </c>
      <c r="L551" t="s">
        <v>603</v>
      </c>
      <c r="M551" t="s">
        <v>59</v>
      </c>
      <c r="N551">
        <v>71034046</v>
      </c>
    </row>
    <row r="552" spans="1:14" x14ac:dyDescent="0.25">
      <c r="A552">
        <v>57323632</v>
      </c>
      <c r="B552" t="s">
        <v>1988</v>
      </c>
      <c r="C552" t="s">
        <v>1989</v>
      </c>
      <c r="D552" t="s">
        <v>1990</v>
      </c>
      <c r="E552">
        <v>9546812424</v>
      </c>
      <c r="F552" t="s">
        <v>462</v>
      </c>
      <c r="G552" t="s">
        <v>463</v>
      </c>
      <c r="I552" t="s">
        <v>39</v>
      </c>
      <c r="J552" s="13">
        <v>45950</v>
      </c>
      <c r="K552" s="13">
        <v>46023</v>
      </c>
      <c r="L552" t="s">
        <v>497</v>
      </c>
      <c r="M552" t="s">
        <v>59</v>
      </c>
      <c r="N552">
        <v>71034095</v>
      </c>
    </row>
    <row r="553" spans="1:14" x14ac:dyDescent="0.25">
      <c r="A553">
        <v>57323714</v>
      </c>
      <c r="B553" t="s">
        <v>1991</v>
      </c>
      <c r="C553" t="s">
        <v>1992</v>
      </c>
      <c r="D553" t="s">
        <v>1993</v>
      </c>
      <c r="E553">
        <v>7578711352</v>
      </c>
      <c r="F553" t="s">
        <v>1003</v>
      </c>
      <c r="G553" t="s">
        <v>1004</v>
      </c>
      <c r="I553" t="s">
        <v>89</v>
      </c>
      <c r="J553" s="13">
        <v>45950</v>
      </c>
      <c r="K553" s="13">
        <v>46023</v>
      </c>
      <c r="L553" t="s">
        <v>454</v>
      </c>
      <c r="M553" t="s">
        <v>56</v>
      </c>
      <c r="N553">
        <v>71034143</v>
      </c>
    </row>
    <row r="554" spans="1:14" x14ac:dyDescent="0.25">
      <c r="A554">
        <v>57323836</v>
      </c>
      <c r="B554" t="s">
        <v>476</v>
      </c>
      <c r="C554" t="s">
        <v>1073</v>
      </c>
      <c r="D554" t="s">
        <v>1994</v>
      </c>
      <c r="E554">
        <v>6306063586</v>
      </c>
      <c r="F554" t="s">
        <v>551</v>
      </c>
      <c r="G554" t="s">
        <v>552</v>
      </c>
      <c r="I554" t="s">
        <v>42</v>
      </c>
      <c r="J554" s="13">
        <v>45950</v>
      </c>
      <c r="K554" s="13">
        <v>46023</v>
      </c>
      <c r="L554" t="s">
        <v>470</v>
      </c>
      <c r="M554" t="s">
        <v>56</v>
      </c>
      <c r="N554">
        <v>71034197</v>
      </c>
    </row>
    <row r="555" spans="1:14" x14ac:dyDescent="0.25">
      <c r="A555">
        <v>57324140</v>
      </c>
      <c r="B555" t="s">
        <v>1737</v>
      </c>
      <c r="C555" t="s">
        <v>1995</v>
      </c>
      <c r="D555" t="s">
        <v>1996</v>
      </c>
      <c r="E555">
        <v>2513482999</v>
      </c>
      <c r="F555" t="s">
        <v>705</v>
      </c>
      <c r="G555" t="s">
        <v>706</v>
      </c>
      <c r="I555" t="s">
        <v>12</v>
      </c>
      <c r="J555" s="13">
        <v>45950</v>
      </c>
      <c r="K555" s="13">
        <v>46023</v>
      </c>
      <c r="L555" t="s">
        <v>450</v>
      </c>
      <c r="M555" t="s">
        <v>59</v>
      </c>
      <c r="N555">
        <v>71034435</v>
      </c>
    </row>
    <row r="556" spans="1:14" x14ac:dyDescent="0.25">
      <c r="A556">
        <v>57324502</v>
      </c>
      <c r="B556" t="s">
        <v>1997</v>
      </c>
      <c r="C556" t="s">
        <v>1998</v>
      </c>
      <c r="D556" t="s">
        <v>1999</v>
      </c>
      <c r="E556">
        <v>9378253032</v>
      </c>
      <c r="F556" t="s">
        <v>667</v>
      </c>
      <c r="G556" t="s">
        <v>668</v>
      </c>
      <c r="I556" t="s">
        <v>37</v>
      </c>
      <c r="J556" s="13">
        <v>45950</v>
      </c>
      <c r="K556" s="13">
        <v>46023</v>
      </c>
      <c r="L556" t="s">
        <v>418</v>
      </c>
      <c r="M556" t="s">
        <v>58</v>
      </c>
      <c r="N556">
        <v>71034695</v>
      </c>
    </row>
    <row r="557" spans="1:14" x14ac:dyDescent="0.25">
      <c r="A557">
        <v>57325003</v>
      </c>
      <c r="B557" t="s">
        <v>604</v>
      </c>
      <c r="C557" t="s">
        <v>2000</v>
      </c>
      <c r="D557" t="s">
        <v>2001</v>
      </c>
      <c r="E557">
        <v>9314294241</v>
      </c>
      <c r="F557" t="s">
        <v>928</v>
      </c>
      <c r="G557" t="s">
        <v>929</v>
      </c>
      <c r="I557" t="s">
        <v>30</v>
      </c>
      <c r="J557" s="13">
        <v>45950</v>
      </c>
      <c r="K557" s="13">
        <v>46023</v>
      </c>
      <c r="L557" t="s">
        <v>479</v>
      </c>
      <c r="M557" t="s">
        <v>419</v>
      </c>
      <c r="N557">
        <v>71035012</v>
      </c>
    </row>
    <row r="558" spans="1:14" x14ac:dyDescent="0.25">
      <c r="A558">
        <v>57325014</v>
      </c>
      <c r="B558" t="s">
        <v>1658</v>
      </c>
      <c r="C558" t="s">
        <v>719</v>
      </c>
      <c r="D558" t="s">
        <v>2002</v>
      </c>
      <c r="E558">
        <v>8507603808</v>
      </c>
      <c r="F558" t="s">
        <v>1067</v>
      </c>
      <c r="G558" t="s">
        <v>1068</v>
      </c>
      <c r="I558" t="s">
        <v>35</v>
      </c>
      <c r="J558" s="13">
        <v>45950</v>
      </c>
      <c r="K558" s="13">
        <v>46023</v>
      </c>
      <c r="L558" t="s">
        <v>497</v>
      </c>
      <c r="M558" t="s">
        <v>59</v>
      </c>
      <c r="N558">
        <v>71035017</v>
      </c>
    </row>
    <row r="559" spans="1:14" x14ac:dyDescent="0.25">
      <c r="A559">
        <v>57325335</v>
      </c>
      <c r="B559" t="s">
        <v>1418</v>
      </c>
      <c r="C559" t="s">
        <v>2003</v>
      </c>
      <c r="D559" t="s">
        <v>2004</v>
      </c>
      <c r="E559">
        <v>7853429924</v>
      </c>
      <c r="F559" t="s">
        <v>628</v>
      </c>
      <c r="G559" t="s">
        <v>629</v>
      </c>
      <c r="I559" t="s">
        <v>24</v>
      </c>
      <c r="J559" s="13">
        <v>45950</v>
      </c>
      <c r="K559" s="13">
        <v>46023</v>
      </c>
      <c r="L559" t="s">
        <v>520</v>
      </c>
      <c r="M559" t="s">
        <v>58</v>
      </c>
      <c r="N559">
        <v>71035324</v>
      </c>
    </row>
    <row r="560" spans="1:14" x14ac:dyDescent="0.25">
      <c r="A560">
        <v>57325402</v>
      </c>
      <c r="B560" t="s">
        <v>480</v>
      </c>
      <c r="C560" t="s">
        <v>583</v>
      </c>
      <c r="D560" t="s">
        <v>2005</v>
      </c>
      <c r="E560">
        <v>2072666924</v>
      </c>
      <c r="F560" t="s">
        <v>592</v>
      </c>
      <c r="G560" t="s">
        <v>593</v>
      </c>
      <c r="I560" t="s">
        <v>115</v>
      </c>
      <c r="J560" s="13">
        <v>45950</v>
      </c>
      <c r="K560" s="13">
        <v>46023</v>
      </c>
      <c r="L560" t="s">
        <v>941</v>
      </c>
      <c r="M560" t="s">
        <v>56</v>
      </c>
      <c r="N560">
        <v>71035386</v>
      </c>
    </row>
    <row r="561" spans="1:14" x14ac:dyDescent="0.25">
      <c r="A561">
        <v>57325772</v>
      </c>
      <c r="B561" t="s">
        <v>2006</v>
      </c>
      <c r="C561" t="s">
        <v>2007</v>
      </c>
      <c r="D561" t="s">
        <v>2008</v>
      </c>
      <c r="E561">
        <v>6155455231</v>
      </c>
      <c r="F561" t="s">
        <v>615</v>
      </c>
      <c r="G561" t="s">
        <v>616</v>
      </c>
      <c r="I561" t="s">
        <v>617</v>
      </c>
      <c r="J561" s="13">
        <v>45950</v>
      </c>
      <c r="K561" s="13">
        <v>46023</v>
      </c>
      <c r="L561" t="s">
        <v>479</v>
      </c>
      <c r="M561" t="s">
        <v>56</v>
      </c>
      <c r="N561">
        <v>71035825</v>
      </c>
    </row>
    <row r="562" spans="1:14" x14ac:dyDescent="0.25">
      <c r="A562">
        <v>57326027</v>
      </c>
      <c r="B562" t="s">
        <v>476</v>
      </c>
      <c r="C562" t="s">
        <v>2009</v>
      </c>
      <c r="D562" t="s">
        <v>2010</v>
      </c>
      <c r="E562">
        <v>8123264232</v>
      </c>
      <c r="F562" t="s">
        <v>693</v>
      </c>
      <c r="G562" t="s">
        <v>694</v>
      </c>
      <c r="I562" t="s">
        <v>103</v>
      </c>
      <c r="J562" s="13">
        <v>45950</v>
      </c>
      <c r="K562" s="13">
        <v>46023</v>
      </c>
      <c r="L562" t="s">
        <v>440</v>
      </c>
      <c r="M562" t="s">
        <v>61</v>
      </c>
      <c r="N562">
        <v>71036016</v>
      </c>
    </row>
    <row r="563" spans="1:14" x14ac:dyDescent="0.25">
      <c r="A563">
        <v>57326849</v>
      </c>
      <c r="B563" t="s">
        <v>1148</v>
      </c>
      <c r="C563" t="s">
        <v>2011</v>
      </c>
      <c r="D563" t="s">
        <v>2012</v>
      </c>
      <c r="E563">
        <v>2244479887</v>
      </c>
      <c r="F563" t="s">
        <v>462</v>
      </c>
      <c r="G563" t="s">
        <v>463</v>
      </c>
      <c r="I563" t="s">
        <v>39</v>
      </c>
      <c r="J563" s="13">
        <v>45950</v>
      </c>
      <c r="K563" s="13">
        <v>46023</v>
      </c>
      <c r="L563" t="s">
        <v>470</v>
      </c>
      <c r="M563" t="s">
        <v>60</v>
      </c>
      <c r="N563">
        <v>71036531</v>
      </c>
    </row>
    <row r="564" spans="1:14" x14ac:dyDescent="0.25">
      <c r="A564">
        <v>57327043</v>
      </c>
      <c r="B564" t="s">
        <v>2013</v>
      </c>
      <c r="C564" t="s">
        <v>2014</v>
      </c>
      <c r="D564" t="s">
        <v>2015</v>
      </c>
      <c r="E564">
        <v>9285065854</v>
      </c>
      <c r="F564" t="s">
        <v>993</v>
      </c>
      <c r="G564" t="s">
        <v>994</v>
      </c>
      <c r="I564" t="s">
        <v>995</v>
      </c>
      <c r="J564" s="13">
        <v>45950</v>
      </c>
      <c r="K564" s="13">
        <v>46023</v>
      </c>
      <c r="L564" t="s">
        <v>1179</v>
      </c>
      <c r="M564" t="s">
        <v>54</v>
      </c>
      <c r="N564">
        <v>71036627</v>
      </c>
    </row>
    <row r="565" spans="1:14" x14ac:dyDescent="0.25">
      <c r="A565">
        <v>57327448</v>
      </c>
      <c r="B565" t="s">
        <v>2016</v>
      </c>
      <c r="C565" t="s">
        <v>2017</v>
      </c>
      <c r="D565" t="s">
        <v>2018</v>
      </c>
      <c r="E565">
        <v>2149001393</v>
      </c>
      <c r="F565" t="s">
        <v>780</v>
      </c>
      <c r="G565" t="s">
        <v>781</v>
      </c>
      <c r="I565" t="s">
        <v>20</v>
      </c>
      <c r="J565" s="13">
        <v>45950</v>
      </c>
      <c r="K565" s="13">
        <v>46023</v>
      </c>
      <c r="L565" t="s">
        <v>444</v>
      </c>
      <c r="M565" t="s">
        <v>419</v>
      </c>
      <c r="N565">
        <v>71036874</v>
      </c>
    </row>
    <row r="566" spans="1:14" x14ac:dyDescent="0.25">
      <c r="A566">
        <v>57327696</v>
      </c>
      <c r="B566" t="s">
        <v>2019</v>
      </c>
      <c r="C566" t="s">
        <v>2020</v>
      </c>
      <c r="D566" t="s">
        <v>2021</v>
      </c>
      <c r="E566">
        <v>4072855978</v>
      </c>
      <c r="F566" t="s">
        <v>423</v>
      </c>
      <c r="G566" t="s">
        <v>424</v>
      </c>
      <c r="I566" t="s">
        <v>46</v>
      </c>
      <c r="J566" s="13">
        <v>45950</v>
      </c>
      <c r="K566" s="13">
        <v>46023</v>
      </c>
      <c r="L566" t="s">
        <v>497</v>
      </c>
      <c r="M566" t="s">
        <v>59</v>
      </c>
      <c r="N566">
        <v>71036885</v>
      </c>
    </row>
    <row r="567" spans="1:14" x14ac:dyDescent="0.25">
      <c r="A567">
        <v>57327681</v>
      </c>
      <c r="B567" t="s">
        <v>2022</v>
      </c>
      <c r="C567" t="s">
        <v>2023</v>
      </c>
      <c r="D567" t="s">
        <v>2024</v>
      </c>
      <c r="E567">
        <v>2072400805</v>
      </c>
      <c r="F567" t="s">
        <v>474</v>
      </c>
      <c r="G567" t="s">
        <v>475</v>
      </c>
      <c r="I567" t="s">
        <v>132</v>
      </c>
      <c r="J567" s="13">
        <v>45950</v>
      </c>
      <c r="K567" s="13">
        <v>46023</v>
      </c>
      <c r="L567" t="s">
        <v>941</v>
      </c>
      <c r="M567" t="s">
        <v>56</v>
      </c>
      <c r="N567">
        <v>71037035</v>
      </c>
    </row>
    <row r="568" spans="1:14" x14ac:dyDescent="0.25">
      <c r="A568">
        <v>57327903</v>
      </c>
      <c r="B568" t="s">
        <v>2025</v>
      </c>
      <c r="C568" t="s">
        <v>2026</v>
      </c>
      <c r="D568" t="s">
        <v>2027</v>
      </c>
      <c r="E568">
        <v>8594210429</v>
      </c>
      <c r="F568" t="s">
        <v>821</v>
      </c>
      <c r="G568" t="s">
        <v>822</v>
      </c>
      <c r="I568" t="s">
        <v>823</v>
      </c>
      <c r="J568" s="13">
        <v>45950</v>
      </c>
      <c r="K568" s="13">
        <v>46023</v>
      </c>
      <c r="L568" t="s">
        <v>490</v>
      </c>
      <c r="M568" t="s">
        <v>56</v>
      </c>
      <c r="N568">
        <v>71037192</v>
      </c>
    </row>
    <row r="569" spans="1:14" x14ac:dyDescent="0.25">
      <c r="A569">
        <v>57328059</v>
      </c>
      <c r="B569" t="s">
        <v>2028</v>
      </c>
      <c r="C569" t="s">
        <v>2029</v>
      </c>
      <c r="D569" t="s">
        <v>2030</v>
      </c>
      <c r="E569">
        <v>6093895333</v>
      </c>
      <c r="F569" t="s">
        <v>1200</v>
      </c>
      <c r="G569" t="s">
        <v>1201</v>
      </c>
      <c r="I569" t="s">
        <v>1202</v>
      </c>
      <c r="J569" s="13">
        <v>45950</v>
      </c>
      <c r="K569" s="13">
        <v>46023</v>
      </c>
      <c r="L569" t="s">
        <v>479</v>
      </c>
      <c r="M569" t="s">
        <v>59</v>
      </c>
      <c r="N569">
        <v>71037306</v>
      </c>
    </row>
    <row r="570" spans="1:14" x14ac:dyDescent="0.25">
      <c r="A570">
        <v>57940676</v>
      </c>
      <c r="B570" t="s">
        <v>2031</v>
      </c>
      <c r="C570" t="s">
        <v>2032</v>
      </c>
      <c r="D570" t="s">
        <v>2033</v>
      </c>
      <c r="E570">
        <v>7432556573</v>
      </c>
      <c r="F570" t="s">
        <v>1398</v>
      </c>
      <c r="G570" t="s">
        <v>1399</v>
      </c>
      <c r="I570" t="s">
        <v>1400</v>
      </c>
      <c r="J570" s="13">
        <v>45968</v>
      </c>
      <c r="K570" s="13">
        <v>46023</v>
      </c>
      <c r="L570" t="s">
        <v>603</v>
      </c>
      <c r="M570" t="s">
        <v>56</v>
      </c>
      <c r="N570">
        <v>71037355</v>
      </c>
    </row>
    <row r="571" spans="1:14" x14ac:dyDescent="0.25">
      <c r="A571">
        <v>57455247</v>
      </c>
      <c r="B571" t="s">
        <v>1007</v>
      </c>
      <c r="C571" t="s">
        <v>2034</v>
      </c>
      <c r="D571" t="s">
        <v>2035</v>
      </c>
      <c r="E571">
        <v>4193467985</v>
      </c>
      <c r="F571" t="s">
        <v>684</v>
      </c>
      <c r="G571" t="s">
        <v>685</v>
      </c>
      <c r="I571" t="s">
        <v>686</v>
      </c>
      <c r="J571" s="13">
        <v>45954</v>
      </c>
      <c r="K571" s="13">
        <v>46023</v>
      </c>
      <c r="L571" t="s">
        <v>418</v>
      </c>
      <c r="M571" t="s">
        <v>56</v>
      </c>
      <c r="N571">
        <v>71037768</v>
      </c>
    </row>
    <row r="572" spans="1:14" x14ac:dyDescent="0.25">
      <c r="A572">
        <v>57328970</v>
      </c>
      <c r="B572" t="s">
        <v>2036</v>
      </c>
      <c r="C572" t="s">
        <v>2037</v>
      </c>
      <c r="D572" t="s">
        <v>2038</v>
      </c>
      <c r="E572">
        <v>6068316440</v>
      </c>
      <c r="F572" t="s">
        <v>928</v>
      </c>
      <c r="G572" t="s">
        <v>929</v>
      </c>
      <c r="I572" t="s">
        <v>30</v>
      </c>
      <c r="J572" s="13">
        <v>45950</v>
      </c>
      <c r="K572" s="13">
        <v>46023</v>
      </c>
      <c r="L572" t="s">
        <v>490</v>
      </c>
      <c r="M572" t="s">
        <v>58</v>
      </c>
      <c r="N572">
        <v>71037890</v>
      </c>
    </row>
    <row r="573" spans="1:14" x14ac:dyDescent="0.25">
      <c r="A573">
        <v>57329807</v>
      </c>
      <c r="B573" t="s">
        <v>2039</v>
      </c>
      <c r="C573" t="s">
        <v>698</v>
      </c>
      <c r="D573" t="s">
        <v>2040</v>
      </c>
      <c r="E573">
        <v>7206736725</v>
      </c>
      <c r="F573" t="s">
        <v>870</v>
      </c>
      <c r="G573" t="s">
        <v>871</v>
      </c>
      <c r="I573" t="s">
        <v>872</v>
      </c>
      <c r="J573" s="13">
        <v>45950</v>
      </c>
      <c r="K573" s="13">
        <v>46023</v>
      </c>
      <c r="L573" t="s">
        <v>539</v>
      </c>
      <c r="M573" t="s">
        <v>59</v>
      </c>
      <c r="N573">
        <v>71038500</v>
      </c>
    </row>
    <row r="574" spans="1:14" x14ac:dyDescent="0.25">
      <c r="A574">
        <v>57329941</v>
      </c>
      <c r="B574" t="s">
        <v>2041</v>
      </c>
      <c r="C574" t="s">
        <v>2042</v>
      </c>
      <c r="D574" t="s">
        <v>2043</v>
      </c>
      <c r="E574">
        <v>8505180116</v>
      </c>
      <c r="F574" t="s">
        <v>615</v>
      </c>
      <c r="G574" t="s">
        <v>616</v>
      </c>
      <c r="I574" t="s">
        <v>617</v>
      </c>
      <c r="J574" s="13">
        <v>45950</v>
      </c>
      <c r="K574" s="13">
        <v>46023</v>
      </c>
      <c r="L574" t="s">
        <v>497</v>
      </c>
      <c r="M574" t="s">
        <v>58</v>
      </c>
      <c r="N574">
        <v>71038584</v>
      </c>
    </row>
    <row r="575" spans="1:14" x14ac:dyDescent="0.25">
      <c r="A575">
        <v>57330535</v>
      </c>
      <c r="B575" t="s">
        <v>1941</v>
      </c>
      <c r="C575" t="s">
        <v>2044</v>
      </c>
      <c r="D575" t="s">
        <v>2045</v>
      </c>
      <c r="E575">
        <v>6024301745</v>
      </c>
      <c r="F575" t="s">
        <v>993</v>
      </c>
      <c r="G575" t="s">
        <v>994</v>
      </c>
      <c r="I575" t="s">
        <v>995</v>
      </c>
      <c r="J575" s="13">
        <v>45950</v>
      </c>
      <c r="K575" s="13">
        <v>46023</v>
      </c>
      <c r="L575" t="s">
        <v>1179</v>
      </c>
      <c r="M575" t="s">
        <v>54</v>
      </c>
      <c r="N575">
        <v>71038888</v>
      </c>
    </row>
    <row r="576" spans="1:14" x14ac:dyDescent="0.25">
      <c r="A576">
        <v>57330796</v>
      </c>
      <c r="B576" t="s">
        <v>2046</v>
      </c>
      <c r="C576" t="s">
        <v>2047</v>
      </c>
      <c r="D576" t="s">
        <v>2048</v>
      </c>
      <c r="E576">
        <v>8503636534</v>
      </c>
      <c r="F576" t="s">
        <v>1067</v>
      </c>
      <c r="G576" t="s">
        <v>1068</v>
      </c>
      <c r="I576" t="s">
        <v>35</v>
      </c>
      <c r="J576" s="13">
        <v>45950</v>
      </c>
      <c r="K576" s="13">
        <v>46023</v>
      </c>
      <c r="L576" t="s">
        <v>497</v>
      </c>
      <c r="M576" t="s">
        <v>58</v>
      </c>
      <c r="N576">
        <v>71039057</v>
      </c>
    </row>
    <row r="577" spans="1:14" x14ac:dyDescent="0.25">
      <c r="A577">
        <v>57330898</v>
      </c>
      <c r="B577" t="s">
        <v>1997</v>
      </c>
      <c r="C577" t="s">
        <v>2049</v>
      </c>
      <c r="D577" t="s">
        <v>2050</v>
      </c>
      <c r="E577">
        <v>5405370696</v>
      </c>
      <c r="F577" t="s">
        <v>842</v>
      </c>
      <c r="G577" t="s">
        <v>1213</v>
      </c>
      <c r="I577" t="s">
        <v>1214</v>
      </c>
      <c r="J577" s="13">
        <v>45950</v>
      </c>
      <c r="K577" s="13">
        <v>46023</v>
      </c>
      <c r="L577" t="s">
        <v>454</v>
      </c>
      <c r="M577" t="s">
        <v>56</v>
      </c>
      <c r="N577">
        <v>71039124</v>
      </c>
    </row>
    <row r="578" spans="1:14" x14ac:dyDescent="0.25">
      <c r="A578">
        <v>57331275</v>
      </c>
      <c r="B578" t="s">
        <v>2051</v>
      </c>
      <c r="C578" t="s">
        <v>515</v>
      </c>
      <c r="D578" t="s">
        <v>2052</v>
      </c>
      <c r="E578">
        <v>8595372263</v>
      </c>
      <c r="F578" t="s">
        <v>628</v>
      </c>
      <c r="G578" t="s">
        <v>629</v>
      </c>
      <c r="I578" t="s">
        <v>24</v>
      </c>
      <c r="J578" s="13">
        <v>45950</v>
      </c>
      <c r="K578" s="13">
        <v>46023</v>
      </c>
      <c r="L578" t="s">
        <v>490</v>
      </c>
      <c r="M578" t="s">
        <v>56</v>
      </c>
      <c r="N578">
        <v>71039367</v>
      </c>
    </row>
    <row r="579" spans="1:14" x14ac:dyDescent="0.25">
      <c r="A579">
        <v>57336996</v>
      </c>
      <c r="B579" t="s">
        <v>2053</v>
      </c>
      <c r="C579" t="s">
        <v>2054</v>
      </c>
      <c r="D579" t="s">
        <v>2055</v>
      </c>
      <c r="E579" t="s">
        <v>2056</v>
      </c>
      <c r="F579" t="s">
        <v>1003</v>
      </c>
      <c r="G579" t="s">
        <v>1004</v>
      </c>
      <c r="I579" t="s">
        <v>89</v>
      </c>
      <c r="J579" s="13">
        <v>45950</v>
      </c>
      <c r="K579" s="13">
        <v>46023</v>
      </c>
      <c r="L579" t="s">
        <v>454</v>
      </c>
      <c r="M579" t="s">
        <v>56</v>
      </c>
      <c r="N579">
        <v>71041892</v>
      </c>
    </row>
    <row r="580" spans="1:14" x14ac:dyDescent="0.25">
      <c r="A580">
        <v>57339655</v>
      </c>
      <c r="B580" t="s">
        <v>1699</v>
      </c>
      <c r="C580" t="s">
        <v>2057</v>
      </c>
      <c r="D580" t="s">
        <v>2058</v>
      </c>
      <c r="E580">
        <v>5203029024</v>
      </c>
      <c r="F580" t="s">
        <v>775</v>
      </c>
      <c r="G580" t="s">
        <v>776</v>
      </c>
      <c r="I580" t="s">
        <v>22</v>
      </c>
      <c r="J580" s="13">
        <v>45950</v>
      </c>
      <c r="K580" s="13">
        <v>46023</v>
      </c>
      <c r="L580" t="s">
        <v>1179</v>
      </c>
      <c r="M580" t="s">
        <v>55</v>
      </c>
      <c r="N580">
        <v>71043103</v>
      </c>
    </row>
    <row r="581" spans="1:14" x14ac:dyDescent="0.25">
      <c r="A581">
        <v>57339839</v>
      </c>
      <c r="B581" t="s">
        <v>476</v>
      </c>
      <c r="C581" t="s">
        <v>2059</v>
      </c>
      <c r="D581" t="s">
        <v>2060</v>
      </c>
      <c r="E581">
        <v>6232174415</v>
      </c>
      <c r="F581" t="s">
        <v>1398</v>
      </c>
      <c r="G581" t="s">
        <v>1399</v>
      </c>
      <c r="I581" t="s">
        <v>1400</v>
      </c>
      <c r="J581" s="13">
        <v>45950</v>
      </c>
      <c r="K581" s="13">
        <v>46023</v>
      </c>
      <c r="L581" t="s">
        <v>1179</v>
      </c>
      <c r="M581" t="s">
        <v>59</v>
      </c>
      <c r="N581">
        <v>71043189</v>
      </c>
    </row>
    <row r="582" spans="1:14" x14ac:dyDescent="0.25">
      <c r="A582">
        <v>57340070</v>
      </c>
      <c r="B582" t="s">
        <v>2061</v>
      </c>
      <c r="C582" t="s">
        <v>2062</v>
      </c>
      <c r="D582" t="s">
        <v>2063</v>
      </c>
      <c r="E582">
        <v>6023161714</v>
      </c>
      <c r="F582" t="s">
        <v>474</v>
      </c>
      <c r="G582" t="s">
        <v>475</v>
      </c>
      <c r="I582" t="s">
        <v>132</v>
      </c>
      <c r="J582" s="13">
        <v>45950</v>
      </c>
      <c r="K582" s="13">
        <v>46023</v>
      </c>
      <c r="L582" t="s">
        <v>1179</v>
      </c>
      <c r="M582" t="s">
        <v>54</v>
      </c>
      <c r="N582">
        <v>71043359</v>
      </c>
    </row>
    <row r="583" spans="1:14" x14ac:dyDescent="0.25">
      <c r="A583">
        <v>57340537</v>
      </c>
      <c r="B583" t="s">
        <v>2064</v>
      </c>
      <c r="C583" t="s">
        <v>2065</v>
      </c>
      <c r="D583" t="s">
        <v>2066</v>
      </c>
      <c r="E583">
        <v>5206586492</v>
      </c>
      <c r="F583" t="s">
        <v>423</v>
      </c>
      <c r="G583" t="s">
        <v>424</v>
      </c>
      <c r="I583" t="s">
        <v>46</v>
      </c>
      <c r="J583" s="13">
        <v>45950</v>
      </c>
      <c r="K583" s="13">
        <v>46023</v>
      </c>
      <c r="L583" t="s">
        <v>1179</v>
      </c>
      <c r="M583" t="s">
        <v>54</v>
      </c>
      <c r="N583">
        <v>71043689</v>
      </c>
    </row>
    <row r="584" spans="1:14" x14ac:dyDescent="0.25">
      <c r="A584">
        <v>57340660</v>
      </c>
      <c r="B584" t="s">
        <v>2067</v>
      </c>
      <c r="C584" t="s">
        <v>2068</v>
      </c>
      <c r="D584" t="s">
        <v>2069</v>
      </c>
      <c r="E584">
        <v>8723444666</v>
      </c>
      <c r="F584" t="s">
        <v>448</v>
      </c>
      <c r="G584" t="s">
        <v>449</v>
      </c>
      <c r="I584" t="s">
        <v>31</v>
      </c>
      <c r="J584" s="13">
        <v>45950</v>
      </c>
      <c r="K584" s="13">
        <v>46023</v>
      </c>
      <c r="L584" t="s">
        <v>470</v>
      </c>
      <c r="M584" t="s">
        <v>56</v>
      </c>
      <c r="N584">
        <v>71043799</v>
      </c>
    </row>
    <row r="585" spans="1:14" x14ac:dyDescent="0.25">
      <c r="A585">
        <v>57340905</v>
      </c>
      <c r="B585" t="s">
        <v>980</v>
      </c>
      <c r="C585" t="s">
        <v>515</v>
      </c>
      <c r="D585" t="s">
        <v>2070</v>
      </c>
      <c r="E585">
        <v>5206124214</v>
      </c>
      <c r="F585" t="s">
        <v>993</v>
      </c>
      <c r="G585" t="s">
        <v>994</v>
      </c>
      <c r="I585" t="s">
        <v>995</v>
      </c>
      <c r="J585" s="13">
        <v>45950</v>
      </c>
      <c r="K585" s="13">
        <v>46023</v>
      </c>
      <c r="L585" t="s">
        <v>1179</v>
      </c>
      <c r="M585" t="s">
        <v>55</v>
      </c>
      <c r="N585">
        <v>71043940</v>
      </c>
    </row>
    <row r="586" spans="1:14" x14ac:dyDescent="0.25">
      <c r="A586">
        <v>57341130</v>
      </c>
      <c r="B586" t="s">
        <v>2071</v>
      </c>
      <c r="C586" t="s">
        <v>2072</v>
      </c>
      <c r="D586" t="s">
        <v>2073</v>
      </c>
      <c r="E586">
        <v>9366483031</v>
      </c>
      <c r="F586" t="s">
        <v>1142</v>
      </c>
      <c r="G586" t="s">
        <v>1143</v>
      </c>
      <c r="I586" t="s">
        <v>124</v>
      </c>
      <c r="J586" s="13">
        <v>45950</v>
      </c>
      <c r="K586" s="13">
        <v>46023</v>
      </c>
      <c r="L586" t="s">
        <v>418</v>
      </c>
      <c r="M586" t="s">
        <v>60</v>
      </c>
      <c r="N586">
        <v>71044082</v>
      </c>
    </row>
    <row r="587" spans="1:14" x14ac:dyDescent="0.25">
      <c r="A587">
        <v>57341907</v>
      </c>
      <c r="B587" t="s">
        <v>1370</v>
      </c>
      <c r="C587" t="s">
        <v>2074</v>
      </c>
      <c r="D587" t="s">
        <v>2075</v>
      </c>
      <c r="E587">
        <v>6147256214</v>
      </c>
      <c r="F587" t="s">
        <v>684</v>
      </c>
      <c r="G587" t="s">
        <v>685</v>
      </c>
      <c r="I587" t="s">
        <v>686</v>
      </c>
      <c r="J587" s="13">
        <v>45950</v>
      </c>
      <c r="K587" s="13">
        <v>46023</v>
      </c>
      <c r="L587" t="s">
        <v>418</v>
      </c>
      <c r="M587" t="s">
        <v>59</v>
      </c>
      <c r="N587">
        <v>71044121</v>
      </c>
    </row>
    <row r="588" spans="1:14" x14ac:dyDescent="0.25">
      <c r="A588">
        <v>57341660</v>
      </c>
      <c r="B588" t="s">
        <v>2076</v>
      </c>
      <c r="C588" t="s">
        <v>2077</v>
      </c>
      <c r="D588" t="s">
        <v>2078</v>
      </c>
      <c r="E588">
        <v>3345537824</v>
      </c>
      <c r="F588" t="s">
        <v>705</v>
      </c>
      <c r="G588" t="s">
        <v>706</v>
      </c>
      <c r="I588" t="s">
        <v>12</v>
      </c>
      <c r="J588" s="13">
        <v>45950</v>
      </c>
      <c r="K588" s="13">
        <v>46023</v>
      </c>
      <c r="L588" t="s">
        <v>450</v>
      </c>
      <c r="M588" t="s">
        <v>56</v>
      </c>
      <c r="N588">
        <v>71044486</v>
      </c>
    </row>
    <row r="589" spans="1:14" x14ac:dyDescent="0.25">
      <c r="A589">
        <v>57342024</v>
      </c>
      <c r="B589" t="s">
        <v>521</v>
      </c>
      <c r="C589" t="s">
        <v>2079</v>
      </c>
      <c r="D589" t="s">
        <v>2080</v>
      </c>
      <c r="E589">
        <v>8435929004</v>
      </c>
      <c r="F589" t="s">
        <v>1003</v>
      </c>
      <c r="G589" t="s">
        <v>1004</v>
      </c>
      <c r="I589" t="s">
        <v>89</v>
      </c>
      <c r="J589" s="13">
        <v>45950</v>
      </c>
      <c r="K589" s="13">
        <v>46023</v>
      </c>
      <c r="L589" t="s">
        <v>533</v>
      </c>
      <c r="M589" t="s">
        <v>58</v>
      </c>
      <c r="N589">
        <v>71044758</v>
      </c>
    </row>
    <row r="590" spans="1:14" x14ac:dyDescent="0.25">
      <c r="A590">
        <v>57342140</v>
      </c>
      <c r="B590" t="s">
        <v>2081</v>
      </c>
      <c r="C590" t="s">
        <v>2082</v>
      </c>
      <c r="D590" t="s">
        <v>2083</v>
      </c>
      <c r="E590">
        <v>2564960631</v>
      </c>
      <c r="F590" t="s">
        <v>569</v>
      </c>
      <c r="G590" t="s">
        <v>570</v>
      </c>
      <c r="I590" t="s">
        <v>34</v>
      </c>
      <c r="J590" s="13">
        <v>45950</v>
      </c>
      <c r="K590" s="13">
        <v>46023</v>
      </c>
      <c r="L590" t="s">
        <v>450</v>
      </c>
      <c r="M590" t="s">
        <v>58</v>
      </c>
      <c r="N590">
        <v>71044847</v>
      </c>
    </row>
    <row r="591" spans="1:14" x14ac:dyDescent="0.25">
      <c r="A591">
        <v>57342194</v>
      </c>
      <c r="B591" t="s">
        <v>1693</v>
      </c>
      <c r="C591" t="s">
        <v>2084</v>
      </c>
      <c r="D591" t="s">
        <v>2085</v>
      </c>
      <c r="E591" t="s">
        <v>2086</v>
      </c>
      <c r="F591" t="s">
        <v>592</v>
      </c>
      <c r="G591" t="s">
        <v>593</v>
      </c>
      <c r="I591" t="s">
        <v>115</v>
      </c>
      <c r="J591" s="13">
        <v>45950</v>
      </c>
      <c r="K591" s="13">
        <v>46023</v>
      </c>
      <c r="L591" t="s">
        <v>440</v>
      </c>
      <c r="M591" t="s">
        <v>59</v>
      </c>
      <c r="N591">
        <v>71044884</v>
      </c>
    </row>
    <row r="592" spans="1:14" x14ac:dyDescent="0.25">
      <c r="A592">
        <v>57342348</v>
      </c>
      <c r="B592" t="s">
        <v>1566</v>
      </c>
      <c r="C592" t="s">
        <v>2087</v>
      </c>
      <c r="D592" t="s">
        <v>2088</v>
      </c>
      <c r="E592">
        <v>5206688027</v>
      </c>
      <c r="F592" t="s">
        <v>807</v>
      </c>
      <c r="G592" t="s">
        <v>808</v>
      </c>
      <c r="I592" t="s">
        <v>33</v>
      </c>
      <c r="J592" s="13">
        <v>45950</v>
      </c>
      <c r="K592" s="13">
        <v>46023</v>
      </c>
      <c r="L592" t="s">
        <v>1179</v>
      </c>
      <c r="M592" t="s">
        <v>54</v>
      </c>
      <c r="N592">
        <v>71045010</v>
      </c>
    </row>
    <row r="593" spans="1:14" x14ac:dyDescent="0.25">
      <c r="A593">
        <v>57342498</v>
      </c>
      <c r="B593" t="s">
        <v>867</v>
      </c>
      <c r="C593" t="s">
        <v>1177</v>
      </c>
      <c r="D593" t="s">
        <v>2089</v>
      </c>
      <c r="E593">
        <v>3346578241</v>
      </c>
      <c r="F593" t="s">
        <v>790</v>
      </c>
      <c r="G593" t="s">
        <v>791</v>
      </c>
      <c r="I593" t="s">
        <v>119</v>
      </c>
      <c r="J593" s="13">
        <v>45950</v>
      </c>
      <c r="K593" s="13">
        <v>46023</v>
      </c>
      <c r="L593" t="s">
        <v>450</v>
      </c>
      <c r="M593" t="s">
        <v>58</v>
      </c>
      <c r="N593">
        <v>71045095</v>
      </c>
    </row>
    <row r="594" spans="1:14" x14ac:dyDescent="0.25">
      <c r="A594">
        <v>57343041</v>
      </c>
      <c r="B594" t="s">
        <v>1118</v>
      </c>
      <c r="C594" t="s">
        <v>2090</v>
      </c>
      <c r="D594" t="s">
        <v>2091</v>
      </c>
      <c r="E594">
        <v>4232230321</v>
      </c>
      <c r="F594" t="s">
        <v>615</v>
      </c>
      <c r="G594" t="s">
        <v>616</v>
      </c>
      <c r="I594" t="s">
        <v>617</v>
      </c>
      <c r="J594" s="13">
        <v>45950</v>
      </c>
      <c r="K594" s="13">
        <v>46023</v>
      </c>
      <c r="L594" t="s">
        <v>490</v>
      </c>
      <c r="M594" t="s">
        <v>56</v>
      </c>
      <c r="N594">
        <v>71045454</v>
      </c>
    </row>
    <row r="595" spans="1:14" x14ac:dyDescent="0.25">
      <c r="A595">
        <v>57343091</v>
      </c>
      <c r="B595" t="s">
        <v>1304</v>
      </c>
      <c r="C595" t="s">
        <v>2092</v>
      </c>
      <c r="D595" t="s">
        <v>2093</v>
      </c>
      <c r="E595">
        <v>4806105700</v>
      </c>
      <c r="F595" t="s">
        <v>766</v>
      </c>
      <c r="G595" t="s">
        <v>767</v>
      </c>
      <c r="I595" t="s">
        <v>88</v>
      </c>
      <c r="J595" s="13">
        <v>45950</v>
      </c>
      <c r="K595" s="13">
        <v>46023</v>
      </c>
      <c r="L595" t="s">
        <v>1179</v>
      </c>
      <c r="M595" t="s">
        <v>54</v>
      </c>
      <c r="N595">
        <v>71045491</v>
      </c>
    </row>
    <row r="596" spans="1:14" x14ac:dyDescent="0.25">
      <c r="A596">
        <v>57343152</v>
      </c>
      <c r="B596" t="s">
        <v>2094</v>
      </c>
      <c r="C596" t="s">
        <v>2095</v>
      </c>
      <c r="D596" t="s">
        <v>2096</v>
      </c>
      <c r="E596">
        <v>6153108255</v>
      </c>
      <c r="F596" t="s">
        <v>416</v>
      </c>
      <c r="G596" t="s">
        <v>417</v>
      </c>
      <c r="I596" t="s">
        <v>26</v>
      </c>
      <c r="J596" s="13">
        <v>45950</v>
      </c>
      <c r="K596" s="13">
        <v>46023</v>
      </c>
      <c r="L596" t="s">
        <v>479</v>
      </c>
      <c r="M596" t="s">
        <v>59</v>
      </c>
      <c r="N596">
        <v>71045514</v>
      </c>
    </row>
    <row r="597" spans="1:14" x14ac:dyDescent="0.25">
      <c r="A597">
        <v>57343468</v>
      </c>
      <c r="B597" t="s">
        <v>1297</v>
      </c>
      <c r="C597" t="s">
        <v>2097</v>
      </c>
      <c r="D597" t="s">
        <v>2098</v>
      </c>
      <c r="E597">
        <v>3345796519</v>
      </c>
      <c r="F597" t="s">
        <v>462</v>
      </c>
      <c r="G597" t="s">
        <v>463</v>
      </c>
      <c r="I597" t="s">
        <v>39</v>
      </c>
      <c r="J597" s="13">
        <v>45950</v>
      </c>
      <c r="K597" s="13">
        <v>46023</v>
      </c>
      <c r="L597" t="s">
        <v>450</v>
      </c>
      <c r="M597" t="s">
        <v>60</v>
      </c>
      <c r="N597">
        <v>71045788</v>
      </c>
    </row>
    <row r="598" spans="1:14" x14ac:dyDescent="0.25">
      <c r="A598">
        <v>57343504</v>
      </c>
      <c r="B598" t="s">
        <v>2099</v>
      </c>
      <c r="C598" t="s">
        <v>2100</v>
      </c>
      <c r="D598" t="s">
        <v>2101</v>
      </c>
      <c r="E598">
        <v>4695715640</v>
      </c>
      <c r="F598" t="s">
        <v>474</v>
      </c>
      <c r="G598" t="s">
        <v>475</v>
      </c>
      <c r="I598" t="s">
        <v>132</v>
      </c>
      <c r="J598" s="13">
        <v>45950</v>
      </c>
      <c r="K598" s="13">
        <v>46023</v>
      </c>
      <c r="L598" t="s">
        <v>444</v>
      </c>
      <c r="M598" t="s">
        <v>58</v>
      </c>
      <c r="N598">
        <v>71045806</v>
      </c>
    </row>
    <row r="599" spans="1:14" x14ac:dyDescent="0.25">
      <c r="A599">
        <v>57343590</v>
      </c>
      <c r="B599" t="s">
        <v>2102</v>
      </c>
      <c r="C599" t="s">
        <v>735</v>
      </c>
      <c r="D599" t="s">
        <v>2103</v>
      </c>
      <c r="E599">
        <v>9402875414</v>
      </c>
      <c r="F599" t="s">
        <v>448</v>
      </c>
      <c r="G599" t="s">
        <v>449</v>
      </c>
      <c r="I599" t="s">
        <v>31</v>
      </c>
      <c r="J599" s="13">
        <v>45950</v>
      </c>
      <c r="K599" s="13">
        <v>46023</v>
      </c>
      <c r="L599" t="s">
        <v>444</v>
      </c>
      <c r="M599" t="s">
        <v>419</v>
      </c>
      <c r="N599">
        <v>71045870</v>
      </c>
    </row>
    <row r="600" spans="1:14" x14ac:dyDescent="0.25">
      <c r="A600">
        <v>57343633</v>
      </c>
      <c r="B600" t="s">
        <v>1228</v>
      </c>
      <c r="C600" t="s">
        <v>2104</v>
      </c>
      <c r="D600" t="s">
        <v>2105</v>
      </c>
      <c r="E600">
        <v>6025713698</v>
      </c>
      <c r="F600" t="s">
        <v>1013</v>
      </c>
      <c r="G600" t="s">
        <v>1014</v>
      </c>
      <c r="I600" t="s">
        <v>43</v>
      </c>
      <c r="J600" s="13">
        <v>45950</v>
      </c>
      <c r="K600" s="13">
        <v>46023</v>
      </c>
      <c r="L600" t="s">
        <v>1179</v>
      </c>
      <c r="M600" t="s">
        <v>56</v>
      </c>
      <c r="N600">
        <v>71045913</v>
      </c>
    </row>
    <row r="601" spans="1:14" x14ac:dyDescent="0.25">
      <c r="A601">
        <v>57343699</v>
      </c>
      <c r="B601" t="s">
        <v>1041</v>
      </c>
      <c r="C601" t="s">
        <v>1984</v>
      </c>
      <c r="D601" t="s">
        <v>2106</v>
      </c>
      <c r="E601">
        <v>6025002844</v>
      </c>
      <c r="F601" t="s">
        <v>775</v>
      </c>
      <c r="G601" t="s">
        <v>776</v>
      </c>
      <c r="I601" t="s">
        <v>22</v>
      </c>
      <c r="J601" s="13">
        <v>45950</v>
      </c>
      <c r="K601" s="13">
        <v>46023</v>
      </c>
      <c r="L601" t="s">
        <v>1179</v>
      </c>
      <c r="M601" t="s">
        <v>59</v>
      </c>
      <c r="N601">
        <v>71045959</v>
      </c>
    </row>
    <row r="602" spans="1:14" x14ac:dyDescent="0.25">
      <c r="A602">
        <v>57343772</v>
      </c>
      <c r="B602" t="s">
        <v>2107</v>
      </c>
      <c r="C602" t="s">
        <v>2108</v>
      </c>
      <c r="D602" t="s">
        <v>2109</v>
      </c>
      <c r="E602">
        <v>3052994643</v>
      </c>
      <c r="F602" t="s">
        <v>569</v>
      </c>
      <c r="G602" t="s">
        <v>570</v>
      </c>
      <c r="I602" t="s">
        <v>34</v>
      </c>
      <c r="J602" s="13">
        <v>45950</v>
      </c>
      <c r="K602" s="13">
        <v>46023</v>
      </c>
      <c r="L602" t="s">
        <v>497</v>
      </c>
      <c r="M602" t="s">
        <v>58</v>
      </c>
      <c r="N602">
        <v>71046024</v>
      </c>
    </row>
    <row r="603" spans="1:14" x14ac:dyDescent="0.25">
      <c r="A603">
        <v>57343784</v>
      </c>
      <c r="B603" t="s">
        <v>1292</v>
      </c>
      <c r="C603" t="s">
        <v>2110</v>
      </c>
      <c r="D603" t="s">
        <v>2111</v>
      </c>
      <c r="E603">
        <v>2104387770</v>
      </c>
      <c r="F603" t="s">
        <v>1200</v>
      </c>
      <c r="G603" t="s">
        <v>1201</v>
      </c>
      <c r="I603" t="s">
        <v>1202</v>
      </c>
      <c r="J603" s="13">
        <v>45950</v>
      </c>
      <c r="K603" s="13">
        <v>46023</v>
      </c>
      <c r="L603" t="s">
        <v>444</v>
      </c>
      <c r="M603" t="s">
        <v>55</v>
      </c>
      <c r="N603">
        <v>71046035</v>
      </c>
    </row>
    <row r="604" spans="1:14" x14ac:dyDescent="0.25">
      <c r="A604">
        <v>57343797</v>
      </c>
      <c r="B604" t="s">
        <v>2112</v>
      </c>
      <c r="C604" t="s">
        <v>2113</v>
      </c>
      <c r="D604" t="s">
        <v>2114</v>
      </c>
      <c r="E604">
        <v>3374005857</v>
      </c>
      <c r="F604" t="s">
        <v>569</v>
      </c>
      <c r="G604" t="s">
        <v>570</v>
      </c>
      <c r="I604" t="s">
        <v>34</v>
      </c>
      <c r="J604" s="13">
        <v>45950</v>
      </c>
      <c r="K604" s="13">
        <v>46023</v>
      </c>
      <c r="L604" t="s">
        <v>612</v>
      </c>
      <c r="M604" t="s">
        <v>56</v>
      </c>
      <c r="N604">
        <v>71046056</v>
      </c>
    </row>
    <row r="605" spans="1:14" x14ac:dyDescent="0.25">
      <c r="A605">
        <v>57343900</v>
      </c>
      <c r="B605" t="s">
        <v>498</v>
      </c>
      <c r="C605" t="s">
        <v>1203</v>
      </c>
      <c r="D605" t="s">
        <v>2115</v>
      </c>
      <c r="E605">
        <v>5204189292</v>
      </c>
      <c r="F605" t="s">
        <v>993</v>
      </c>
      <c r="G605" t="s">
        <v>994</v>
      </c>
      <c r="I605" t="s">
        <v>995</v>
      </c>
      <c r="J605" s="13">
        <v>45946</v>
      </c>
      <c r="K605" s="13">
        <v>46023</v>
      </c>
      <c r="L605" t="s">
        <v>1179</v>
      </c>
      <c r="M605" t="s">
        <v>59</v>
      </c>
      <c r="N605">
        <v>71046130</v>
      </c>
    </row>
    <row r="606" spans="1:14" x14ac:dyDescent="0.25">
      <c r="A606">
        <v>57343952</v>
      </c>
      <c r="B606" t="s">
        <v>2116</v>
      </c>
      <c r="C606" t="s">
        <v>2117</v>
      </c>
      <c r="D606" t="s">
        <v>2118</v>
      </c>
      <c r="E606">
        <v>8034511783</v>
      </c>
      <c r="F606" t="s">
        <v>649</v>
      </c>
      <c r="G606" t="s">
        <v>650</v>
      </c>
      <c r="I606" t="s">
        <v>28</v>
      </c>
      <c r="J606" s="13">
        <v>45950</v>
      </c>
      <c r="K606" s="13">
        <v>46023</v>
      </c>
      <c r="L606" t="s">
        <v>533</v>
      </c>
      <c r="M606" t="s">
        <v>56</v>
      </c>
      <c r="N606">
        <v>71046168</v>
      </c>
    </row>
    <row r="607" spans="1:14" x14ac:dyDescent="0.25">
      <c r="A607">
        <v>57344202</v>
      </c>
      <c r="B607" t="s">
        <v>2119</v>
      </c>
      <c r="C607" t="s">
        <v>2120</v>
      </c>
      <c r="D607" t="s">
        <v>2121</v>
      </c>
      <c r="E607">
        <v>3212396976</v>
      </c>
      <c r="F607" t="s">
        <v>667</v>
      </c>
      <c r="G607" t="s">
        <v>668</v>
      </c>
      <c r="I607" t="s">
        <v>37</v>
      </c>
      <c r="J607" s="13">
        <v>45950</v>
      </c>
      <c r="K607" s="13">
        <v>46023</v>
      </c>
      <c r="L607" t="s">
        <v>497</v>
      </c>
      <c r="M607" t="s">
        <v>56</v>
      </c>
      <c r="N607">
        <v>71046361</v>
      </c>
    </row>
    <row r="608" spans="1:14" x14ac:dyDescent="0.25">
      <c r="A608">
        <v>57344694</v>
      </c>
      <c r="B608" t="s">
        <v>476</v>
      </c>
      <c r="C608" t="s">
        <v>2122</v>
      </c>
      <c r="D608" t="s">
        <v>2123</v>
      </c>
      <c r="E608">
        <v>9372519939</v>
      </c>
      <c r="F608" t="s">
        <v>416</v>
      </c>
      <c r="G608" t="s">
        <v>417</v>
      </c>
      <c r="I608" t="s">
        <v>26</v>
      </c>
      <c r="J608" s="13">
        <v>45950</v>
      </c>
      <c r="K608" s="13">
        <v>46023</v>
      </c>
      <c r="L608" t="s">
        <v>418</v>
      </c>
      <c r="M608" t="s">
        <v>56</v>
      </c>
      <c r="N608">
        <v>71046600</v>
      </c>
    </row>
    <row r="609" spans="1:14" x14ac:dyDescent="0.25">
      <c r="A609">
        <v>57344756</v>
      </c>
      <c r="B609" t="s">
        <v>458</v>
      </c>
      <c r="C609" t="s">
        <v>2124</v>
      </c>
      <c r="D609" t="s">
        <v>2125</v>
      </c>
      <c r="E609">
        <v>3362139871</v>
      </c>
      <c r="F609" t="s">
        <v>1067</v>
      </c>
      <c r="G609" t="s">
        <v>1068</v>
      </c>
      <c r="I609" t="s">
        <v>35</v>
      </c>
      <c r="J609" s="13">
        <v>45950</v>
      </c>
      <c r="K609" s="13">
        <v>46023</v>
      </c>
      <c r="L609" t="s">
        <v>603</v>
      </c>
      <c r="M609" t="s">
        <v>58</v>
      </c>
      <c r="N609">
        <v>71046632</v>
      </c>
    </row>
    <row r="610" spans="1:14" x14ac:dyDescent="0.25">
      <c r="A610">
        <v>57345072</v>
      </c>
      <c r="B610" t="s">
        <v>501</v>
      </c>
      <c r="C610" t="s">
        <v>2126</v>
      </c>
      <c r="D610" t="s">
        <v>2127</v>
      </c>
      <c r="E610">
        <v>2512591616</v>
      </c>
      <c r="F610" t="s">
        <v>448</v>
      </c>
      <c r="G610" t="s">
        <v>449</v>
      </c>
      <c r="I610" t="s">
        <v>31</v>
      </c>
      <c r="J610" s="13">
        <v>45950</v>
      </c>
      <c r="K610" s="13">
        <v>46023</v>
      </c>
      <c r="L610" t="s">
        <v>450</v>
      </c>
      <c r="M610" t="s">
        <v>58</v>
      </c>
      <c r="N610">
        <v>71046829</v>
      </c>
    </row>
    <row r="611" spans="1:14" x14ac:dyDescent="0.25">
      <c r="A611">
        <v>57345152</v>
      </c>
      <c r="B611" t="s">
        <v>2128</v>
      </c>
      <c r="C611" t="s">
        <v>2129</v>
      </c>
      <c r="D611" t="s">
        <v>2130</v>
      </c>
      <c r="E611">
        <v>9034974121</v>
      </c>
      <c r="F611" t="s">
        <v>1147</v>
      </c>
      <c r="G611" t="s">
        <v>1148</v>
      </c>
      <c r="I611" t="s">
        <v>41</v>
      </c>
      <c r="J611" s="13">
        <v>45950</v>
      </c>
      <c r="K611" s="13">
        <v>46023</v>
      </c>
      <c r="L611" t="s">
        <v>444</v>
      </c>
      <c r="M611" t="s">
        <v>56</v>
      </c>
      <c r="N611">
        <v>71046864</v>
      </c>
    </row>
    <row r="612" spans="1:14" x14ac:dyDescent="0.25">
      <c r="A612">
        <v>57345322</v>
      </c>
      <c r="B612" t="s">
        <v>1566</v>
      </c>
      <c r="C612" t="s">
        <v>2131</v>
      </c>
      <c r="D612" t="s">
        <v>2132</v>
      </c>
      <c r="E612">
        <v>2059611668</v>
      </c>
      <c r="F612" t="s">
        <v>790</v>
      </c>
      <c r="G612" t="s">
        <v>791</v>
      </c>
      <c r="I612" t="s">
        <v>119</v>
      </c>
      <c r="J612" s="13">
        <v>45950</v>
      </c>
      <c r="K612" s="13">
        <v>46023</v>
      </c>
      <c r="L612" t="s">
        <v>450</v>
      </c>
      <c r="M612" t="s">
        <v>58</v>
      </c>
      <c r="N612">
        <v>71046989</v>
      </c>
    </row>
    <row r="613" spans="1:14" x14ac:dyDescent="0.25">
      <c r="A613">
        <v>57345296</v>
      </c>
      <c r="B613" t="s">
        <v>1524</v>
      </c>
      <c r="C613" t="s">
        <v>2133</v>
      </c>
      <c r="D613" t="s">
        <v>2134</v>
      </c>
      <c r="E613">
        <v>4045328627</v>
      </c>
      <c r="F613" t="s">
        <v>667</v>
      </c>
      <c r="G613" t="s">
        <v>668</v>
      </c>
      <c r="I613" t="s">
        <v>37</v>
      </c>
      <c r="J613" s="13">
        <v>45950</v>
      </c>
      <c r="K613" s="13">
        <v>46023</v>
      </c>
      <c r="L613" t="s">
        <v>497</v>
      </c>
      <c r="M613" t="s">
        <v>419</v>
      </c>
      <c r="N613">
        <v>71047011</v>
      </c>
    </row>
    <row r="614" spans="1:14" x14ac:dyDescent="0.25">
      <c r="A614">
        <v>57345391</v>
      </c>
      <c r="B614" t="s">
        <v>2135</v>
      </c>
      <c r="C614" t="s">
        <v>2136</v>
      </c>
      <c r="D614" t="s">
        <v>2137</v>
      </c>
      <c r="E614">
        <v>4808788861</v>
      </c>
      <c r="F614" t="s">
        <v>993</v>
      </c>
      <c r="G614" t="s">
        <v>994</v>
      </c>
      <c r="I614" t="s">
        <v>995</v>
      </c>
      <c r="J614" s="13">
        <v>45950</v>
      </c>
      <c r="K614" s="13">
        <v>46023</v>
      </c>
      <c r="L614" t="s">
        <v>1179</v>
      </c>
      <c r="M614" t="s">
        <v>61</v>
      </c>
      <c r="N614">
        <v>71047073</v>
      </c>
    </row>
    <row r="615" spans="1:14" x14ac:dyDescent="0.25">
      <c r="A615">
        <v>57345437</v>
      </c>
      <c r="B615" t="s">
        <v>2138</v>
      </c>
      <c r="C615" t="s">
        <v>1287</v>
      </c>
      <c r="D615" t="s">
        <v>2139</v>
      </c>
      <c r="E615">
        <v>8608900304</v>
      </c>
      <c r="F615" t="s">
        <v>416</v>
      </c>
      <c r="G615" t="s">
        <v>417</v>
      </c>
      <c r="I615" t="s">
        <v>26</v>
      </c>
      <c r="J615" s="13">
        <v>45950</v>
      </c>
      <c r="K615" s="13">
        <v>46023</v>
      </c>
      <c r="L615" t="s">
        <v>497</v>
      </c>
      <c r="M615" t="s">
        <v>56</v>
      </c>
      <c r="N615">
        <v>71047081</v>
      </c>
    </row>
    <row r="616" spans="1:14" x14ac:dyDescent="0.25">
      <c r="A616">
        <v>57352349</v>
      </c>
      <c r="B616" t="s">
        <v>2140</v>
      </c>
      <c r="C616" t="s">
        <v>2141</v>
      </c>
      <c r="D616" t="s">
        <v>2142</v>
      </c>
      <c r="E616">
        <v>9566709694</v>
      </c>
      <c r="F616" t="s">
        <v>615</v>
      </c>
      <c r="G616" t="s">
        <v>616</v>
      </c>
      <c r="I616" t="s">
        <v>617</v>
      </c>
      <c r="J616" s="13">
        <v>45951</v>
      </c>
      <c r="K616" s="13">
        <v>46023</v>
      </c>
      <c r="L616" t="s">
        <v>444</v>
      </c>
      <c r="M616" t="s">
        <v>60</v>
      </c>
      <c r="N616">
        <v>71052331</v>
      </c>
    </row>
    <row r="617" spans="1:14" x14ac:dyDescent="0.25">
      <c r="A617">
        <v>57352382</v>
      </c>
      <c r="B617" t="s">
        <v>524</v>
      </c>
      <c r="C617" t="s">
        <v>2143</v>
      </c>
      <c r="D617" t="s">
        <v>2144</v>
      </c>
      <c r="E617">
        <v>8504185286</v>
      </c>
      <c r="F617" t="s">
        <v>474</v>
      </c>
      <c r="G617" t="s">
        <v>475</v>
      </c>
      <c r="I617" t="s">
        <v>132</v>
      </c>
      <c r="J617" s="13">
        <v>45951</v>
      </c>
      <c r="K617" s="13">
        <v>46023</v>
      </c>
      <c r="L617" t="s">
        <v>497</v>
      </c>
      <c r="M617" t="s">
        <v>58</v>
      </c>
      <c r="N617">
        <v>71052355</v>
      </c>
    </row>
    <row r="618" spans="1:14" x14ac:dyDescent="0.25">
      <c r="A618">
        <v>57352395</v>
      </c>
      <c r="B618" t="s">
        <v>980</v>
      </c>
      <c r="C618" t="s">
        <v>607</v>
      </c>
      <c r="D618" t="s">
        <v>2145</v>
      </c>
      <c r="E618">
        <v>4349416495</v>
      </c>
      <c r="F618" t="s">
        <v>842</v>
      </c>
      <c r="G618" t="s">
        <v>843</v>
      </c>
      <c r="I618" t="s">
        <v>98</v>
      </c>
      <c r="J618" s="13">
        <v>45951</v>
      </c>
      <c r="K618" s="13">
        <v>46023</v>
      </c>
      <c r="L618" t="s">
        <v>454</v>
      </c>
      <c r="M618" t="s">
        <v>56</v>
      </c>
      <c r="N618">
        <v>71052360</v>
      </c>
    </row>
    <row r="619" spans="1:14" x14ac:dyDescent="0.25">
      <c r="A619">
        <v>57352945</v>
      </c>
      <c r="B619" t="s">
        <v>990</v>
      </c>
      <c r="C619" t="s">
        <v>2146</v>
      </c>
      <c r="D619" t="s">
        <v>2147</v>
      </c>
      <c r="E619">
        <v>8645549487</v>
      </c>
      <c r="F619" t="s">
        <v>667</v>
      </c>
      <c r="G619" t="s">
        <v>668</v>
      </c>
      <c r="I619" t="s">
        <v>37</v>
      </c>
      <c r="J619" s="13">
        <v>45951</v>
      </c>
      <c r="K619" s="13">
        <v>46023</v>
      </c>
      <c r="L619" t="s">
        <v>533</v>
      </c>
      <c r="M619" t="s">
        <v>60</v>
      </c>
      <c r="N619">
        <v>71052731</v>
      </c>
    </row>
    <row r="620" spans="1:14" x14ac:dyDescent="0.25">
      <c r="A620">
        <v>57353070</v>
      </c>
      <c r="B620" t="s">
        <v>2148</v>
      </c>
      <c r="C620" t="s">
        <v>2149</v>
      </c>
      <c r="D620" t="s">
        <v>2150</v>
      </c>
      <c r="E620">
        <v>3523603392</v>
      </c>
      <c r="F620" t="s">
        <v>821</v>
      </c>
      <c r="G620" t="s">
        <v>822</v>
      </c>
      <c r="I620" t="s">
        <v>823</v>
      </c>
      <c r="J620" s="13">
        <v>45951</v>
      </c>
      <c r="K620" s="13">
        <v>46023</v>
      </c>
      <c r="L620" t="s">
        <v>497</v>
      </c>
      <c r="M620" t="s">
        <v>56</v>
      </c>
      <c r="N620">
        <v>71052804</v>
      </c>
    </row>
    <row r="621" spans="1:14" x14ac:dyDescent="0.25">
      <c r="A621">
        <v>57353731</v>
      </c>
      <c r="B621" t="s">
        <v>2151</v>
      </c>
      <c r="C621" t="s">
        <v>564</v>
      </c>
      <c r="D621" t="s">
        <v>2152</v>
      </c>
      <c r="E621">
        <v>8035652510</v>
      </c>
      <c r="F621" t="s">
        <v>1200</v>
      </c>
      <c r="G621" t="s">
        <v>1201</v>
      </c>
      <c r="I621" t="s">
        <v>1202</v>
      </c>
      <c r="J621" s="13">
        <v>45951</v>
      </c>
      <c r="K621" s="13">
        <v>46023</v>
      </c>
      <c r="L621" t="s">
        <v>533</v>
      </c>
      <c r="M621" t="s">
        <v>56</v>
      </c>
      <c r="N621">
        <v>71053252</v>
      </c>
    </row>
    <row r="622" spans="1:14" x14ac:dyDescent="0.25">
      <c r="A622">
        <v>57353775</v>
      </c>
      <c r="B622" t="s">
        <v>980</v>
      </c>
      <c r="C622" t="s">
        <v>1258</v>
      </c>
      <c r="D622" t="s">
        <v>2153</v>
      </c>
      <c r="E622">
        <v>7735875359</v>
      </c>
      <c r="F622" t="s">
        <v>474</v>
      </c>
      <c r="G622" t="s">
        <v>475</v>
      </c>
      <c r="I622" t="s">
        <v>132</v>
      </c>
      <c r="J622" s="13">
        <v>45951</v>
      </c>
      <c r="K622" s="13">
        <v>46023</v>
      </c>
      <c r="L622" t="s">
        <v>470</v>
      </c>
      <c r="M622" t="s">
        <v>56</v>
      </c>
      <c r="N622">
        <v>71053290</v>
      </c>
    </row>
    <row r="623" spans="1:14" x14ac:dyDescent="0.25">
      <c r="A623">
        <v>57354239</v>
      </c>
      <c r="B623" t="s">
        <v>2154</v>
      </c>
      <c r="C623" t="s">
        <v>2155</v>
      </c>
      <c r="D623" t="s">
        <v>2156</v>
      </c>
      <c r="E623">
        <v>7736733981</v>
      </c>
      <c r="F623" t="s">
        <v>790</v>
      </c>
      <c r="G623" t="s">
        <v>791</v>
      </c>
      <c r="I623" t="s">
        <v>119</v>
      </c>
      <c r="J623" s="13">
        <v>45951</v>
      </c>
      <c r="K623" s="13">
        <v>46023</v>
      </c>
      <c r="L623" t="s">
        <v>470</v>
      </c>
      <c r="M623" t="s">
        <v>55</v>
      </c>
      <c r="N623">
        <v>71053297</v>
      </c>
    </row>
    <row r="624" spans="1:14" x14ac:dyDescent="0.25">
      <c r="A624">
        <v>57354887</v>
      </c>
      <c r="B624" t="s">
        <v>1038</v>
      </c>
      <c r="C624" t="s">
        <v>2157</v>
      </c>
      <c r="D624" t="s">
        <v>2158</v>
      </c>
      <c r="E624">
        <v>3347874979</v>
      </c>
      <c r="F624" t="s">
        <v>462</v>
      </c>
      <c r="G624" t="s">
        <v>463</v>
      </c>
      <c r="I624" t="s">
        <v>39</v>
      </c>
      <c r="J624" s="13">
        <v>45951</v>
      </c>
      <c r="K624" s="13">
        <v>46023</v>
      </c>
      <c r="L624" t="s">
        <v>450</v>
      </c>
      <c r="M624" t="s">
        <v>56</v>
      </c>
      <c r="N624">
        <v>71053984</v>
      </c>
    </row>
    <row r="625" spans="1:14" x14ac:dyDescent="0.25">
      <c r="A625">
        <v>57355335</v>
      </c>
      <c r="B625" t="s">
        <v>476</v>
      </c>
      <c r="C625" t="s">
        <v>2159</v>
      </c>
      <c r="D625" t="s">
        <v>2160</v>
      </c>
      <c r="E625">
        <v>3618773368</v>
      </c>
      <c r="F625" t="s">
        <v>1142</v>
      </c>
      <c r="G625" t="s">
        <v>1143</v>
      </c>
      <c r="I625" t="s">
        <v>124</v>
      </c>
      <c r="J625" s="13">
        <v>45951</v>
      </c>
      <c r="K625" s="13">
        <v>46023</v>
      </c>
      <c r="L625" t="s">
        <v>444</v>
      </c>
      <c r="M625" t="s">
        <v>55</v>
      </c>
      <c r="N625">
        <v>71054195</v>
      </c>
    </row>
    <row r="626" spans="1:14" x14ac:dyDescent="0.25">
      <c r="A626">
        <v>57357024</v>
      </c>
      <c r="B626" t="s">
        <v>2161</v>
      </c>
      <c r="C626" t="s">
        <v>2162</v>
      </c>
      <c r="D626" t="s">
        <v>2163</v>
      </c>
      <c r="E626">
        <v>3613187203</v>
      </c>
      <c r="F626" t="s">
        <v>423</v>
      </c>
      <c r="G626" t="s">
        <v>424</v>
      </c>
      <c r="I626" t="s">
        <v>46</v>
      </c>
      <c r="J626" s="13">
        <v>45951</v>
      </c>
      <c r="K626" s="13">
        <v>46023</v>
      </c>
      <c r="L626" t="s">
        <v>444</v>
      </c>
      <c r="M626" t="s">
        <v>56</v>
      </c>
      <c r="N626">
        <v>71055349</v>
      </c>
    </row>
    <row r="627" spans="1:14" x14ac:dyDescent="0.25">
      <c r="A627">
        <v>57357139</v>
      </c>
      <c r="B627" t="s">
        <v>622</v>
      </c>
      <c r="C627" t="s">
        <v>2164</v>
      </c>
      <c r="D627" t="s">
        <v>2165</v>
      </c>
      <c r="E627">
        <v>5124683294</v>
      </c>
      <c r="F627" t="s">
        <v>693</v>
      </c>
      <c r="G627" t="s">
        <v>694</v>
      </c>
      <c r="I627" t="s">
        <v>103</v>
      </c>
      <c r="J627" s="13">
        <v>45951</v>
      </c>
      <c r="K627" s="13">
        <v>46023</v>
      </c>
      <c r="L627" t="s">
        <v>444</v>
      </c>
      <c r="M627" t="s">
        <v>56</v>
      </c>
      <c r="N627">
        <v>71055456</v>
      </c>
    </row>
    <row r="628" spans="1:14" x14ac:dyDescent="0.25">
      <c r="A628">
        <v>57357262</v>
      </c>
      <c r="B628" t="s">
        <v>1406</v>
      </c>
      <c r="C628" t="s">
        <v>2166</v>
      </c>
      <c r="D628" t="s">
        <v>2167</v>
      </c>
      <c r="E628">
        <v>5208333960</v>
      </c>
      <c r="F628" t="s">
        <v>821</v>
      </c>
      <c r="G628" t="s">
        <v>822</v>
      </c>
      <c r="I628" t="s">
        <v>823</v>
      </c>
      <c r="J628" s="13">
        <v>45951</v>
      </c>
      <c r="K628" s="13">
        <v>46023</v>
      </c>
      <c r="L628" t="s">
        <v>1179</v>
      </c>
      <c r="M628" t="s">
        <v>58</v>
      </c>
      <c r="N628">
        <v>71055598</v>
      </c>
    </row>
    <row r="629" spans="1:14" x14ac:dyDescent="0.25">
      <c r="A629">
        <v>57357528</v>
      </c>
      <c r="B629" t="s">
        <v>879</v>
      </c>
      <c r="C629" t="s">
        <v>2168</v>
      </c>
      <c r="D629" t="s">
        <v>2169</v>
      </c>
      <c r="E629">
        <v>3049313156</v>
      </c>
      <c r="F629" t="s">
        <v>1013</v>
      </c>
      <c r="G629" t="s">
        <v>1014</v>
      </c>
      <c r="I629" t="s">
        <v>43</v>
      </c>
      <c r="J629" s="13">
        <v>45951</v>
      </c>
      <c r="K629" s="13">
        <v>46023</v>
      </c>
      <c r="L629" t="s">
        <v>1188</v>
      </c>
      <c r="M629" t="s">
        <v>56</v>
      </c>
      <c r="N629">
        <v>71056064</v>
      </c>
    </row>
    <row r="630" spans="1:14" x14ac:dyDescent="0.25">
      <c r="A630">
        <v>58025463</v>
      </c>
      <c r="B630" t="s">
        <v>2170</v>
      </c>
      <c r="C630" t="s">
        <v>2171</v>
      </c>
      <c r="D630" t="s">
        <v>2172</v>
      </c>
      <c r="E630">
        <v>9562200816</v>
      </c>
      <c r="F630" t="s">
        <v>780</v>
      </c>
      <c r="G630" t="s">
        <v>781</v>
      </c>
      <c r="I630" t="s">
        <v>20</v>
      </c>
      <c r="J630" s="13">
        <v>45972</v>
      </c>
      <c r="K630" s="13">
        <v>46023</v>
      </c>
      <c r="L630" t="s">
        <v>444</v>
      </c>
      <c r="M630" t="s">
        <v>56</v>
      </c>
      <c r="N630">
        <v>71056108</v>
      </c>
    </row>
    <row r="631" spans="1:14" x14ac:dyDescent="0.25">
      <c r="A631">
        <v>57357598</v>
      </c>
      <c r="B631" t="s">
        <v>1663</v>
      </c>
      <c r="C631" t="s">
        <v>2173</v>
      </c>
      <c r="D631" t="s">
        <v>2174</v>
      </c>
      <c r="E631">
        <v>5206779406</v>
      </c>
      <c r="F631" t="s">
        <v>1345</v>
      </c>
      <c r="G631" t="s">
        <v>799</v>
      </c>
      <c r="I631" t="s">
        <v>47</v>
      </c>
      <c r="J631" s="13">
        <v>45951</v>
      </c>
      <c r="K631" s="13">
        <v>46023</v>
      </c>
      <c r="L631" t="s">
        <v>1179</v>
      </c>
      <c r="M631" t="s">
        <v>54</v>
      </c>
      <c r="N631">
        <v>71056113</v>
      </c>
    </row>
    <row r="632" spans="1:14" x14ac:dyDescent="0.25">
      <c r="A632">
        <v>57357620</v>
      </c>
      <c r="B632" t="s">
        <v>1035</v>
      </c>
      <c r="C632" t="s">
        <v>2175</v>
      </c>
      <c r="D632" t="s">
        <v>2176</v>
      </c>
      <c r="E632">
        <v>4805723927</v>
      </c>
      <c r="F632" t="s">
        <v>807</v>
      </c>
      <c r="G632" t="s">
        <v>808</v>
      </c>
      <c r="I632" t="s">
        <v>33</v>
      </c>
      <c r="J632" s="13">
        <v>45951</v>
      </c>
      <c r="K632" s="13">
        <v>46023</v>
      </c>
      <c r="L632" t="s">
        <v>1179</v>
      </c>
      <c r="M632" t="s">
        <v>54</v>
      </c>
      <c r="N632">
        <v>71056130</v>
      </c>
    </row>
    <row r="633" spans="1:14" x14ac:dyDescent="0.25">
      <c r="A633">
        <v>57357631</v>
      </c>
      <c r="B633" t="s">
        <v>2177</v>
      </c>
      <c r="C633" t="s">
        <v>1702</v>
      </c>
      <c r="D633" t="s">
        <v>2178</v>
      </c>
      <c r="E633">
        <v>8502910009</v>
      </c>
      <c r="F633" t="s">
        <v>1225</v>
      </c>
      <c r="G633" t="s">
        <v>1226</v>
      </c>
      <c r="I633" t="s">
        <v>1227</v>
      </c>
      <c r="J633" s="13">
        <v>45951</v>
      </c>
      <c r="K633" s="13">
        <v>46023</v>
      </c>
      <c r="L633" t="s">
        <v>497</v>
      </c>
      <c r="M633" t="s">
        <v>56</v>
      </c>
      <c r="N633">
        <v>71056144</v>
      </c>
    </row>
    <row r="634" spans="1:14" x14ac:dyDescent="0.25">
      <c r="A634">
        <v>57358029</v>
      </c>
      <c r="B634" t="s">
        <v>530</v>
      </c>
      <c r="C634" t="s">
        <v>1258</v>
      </c>
      <c r="D634" t="s">
        <v>2179</v>
      </c>
      <c r="E634">
        <v>7043453865</v>
      </c>
      <c r="F634" t="s">
        <v>416</v>
      </c>
      <c r="G634" t="s">
        <v>417</v>
      </c>
      <c r="I634" t="s">
        <v>26</v>
      </c>
      <c r="J634" s="13">
        <v>45951</v>
      </c>
      <c r="K634" s="13">
        <v>46023</v>
      </c>
      <c r="L634" t="s">
        <v>533</v>
      </c>
      <c r="M634" t="s">
        <v>55</v>
      </c>
      <c r="N634">
        <v>71057166</v>
      </c>
    </row>
    <row r="635" spans="1:14" x14ac:dyDescent="0.25">
      <c r="A635">
        <v>57358308</v>
      </c>
      <c r="B635" t="s">
        <v>2180</v>
      </c>
      <c r="C635" t="s">
        <v>2181</v>
      </c>
      <c r="D635" t="s">
        <v>2182</v>
      </c>
      <c r="E635">
        <v>5045331692</v>
      </c>
      <c r="F635" t="s">
        <v>592</v>
      </c>
      <c r="G635" t="s">
        <v>593</v>
      </c>
      <c r="I635" t="s">
        <v>115</v>
      </c>
      <c r="J635" s="13">
        <v>45951</v>
      </c>
      <c r="K635" s="13">
        <v>46023</v>
      </c>
      <c r="L635" t="s">
        <v>612</v>
      </c>
      <c r="M635" t="s">
        <v>59</v>
      </c>
      <c r="N635">
        <v>71057335</v>
      </c>
    </row>
    <row r="636" spans="1:14" x14ac:dyDescent="0.25">
      <c r="A636">
        <v>57358585</v>
      </c>
      <c r="B636" t="s">
        <v>2143</v>
      </c>
      <c r="C636" t="s">
        <v>2183</v>
      </c>
      <c r="D636" t="s">
        <v>2184</v>
      </c>
      <c r="E636">
        <v>3524192548</v>
      </c>
      <c r="F636" t="s">
        <v>828</v>
      </c>
      <c r="G636" t="s">
        <v>1148</v>
      </c>
      <c r="I636" t="s">
        <v>17</v>
      </c>
      <c r="J636" s="13">
        <v>45951</v>
      </c>
      <c r="K636" s="13">
        <v>46023</v>
      </c>
      <c r="L636" t="s">
        <v>497</v>
      </c>
      <c r="M636" t="s">
        <v>56</v>
      </c>
      <c r="N636">
        <v>71057465</v>
      </c>
    </row>
    <row r="637" spans="1:14" x14ac:dyDescent="0.25">
      <c r="A637">
        <v>57358967</v>
      </c>
      <c r="B637" t="s">
        <v>2185</v>
      </c>
      <c r="C637" t="s">
        <v>2186</v>
      </c>
      <c r="D637" t="s">
        <v>2187</v>
      </c>
      <c r="E637">
        <v>2763295697</v>
      </c>
      <c r="F637" t="s">
        <v>667</v>
      </c>
      <c r="G637" t="s">
        <v>668</v>
      </c>
      <c r="I637" t="s">
        <v>37</v>
      </c>
      <c r="J637" s="13">
        <v>45951</v>
      </c>
      <c r="K637" s="13">
        <v>46023</v>
      </c>
      <c r="L637" t="s">
        <v>454</v>
      </c>
      <c r="M637" t="s">
        <v>58</v>
      </c>
      <c r="N637">
        <v>71057777</v>
      </c>
    </row>
    <row r="638" spans="1:14" x14ac:dyDescent="0.25">
      <c r="A638">
        <v>57359664</v>
      </c>
      <c r="B638" t="s">
        <v>633</v>
      </c>
      <c r="C638" t="s">
        <v>2188</v>
      </c>
      <c r="D638" t="s">
        <v>2189</v>
      </c>
      <c r="E638">
        <v>7402161337</v>
      </c>
      <c r="F638" t="s">
        <v>628</v>
      </c>
      <c r="G638" t="s">
        <v>629</v>
      </c>
      <c r="I638" t="s">
        <v>24</v>
      </c>
      <c r="J638" s="13">
        <v>45951</v>
      </c>
      <c r="K638" s="13">
        <v>46023</v>
      </c>
      <c r="L638" t="s">
        <v>418</v>
      </c>
      <c r="M638" t="s">
        <v>60</v>
      </c>
      <c r="N638">
        <v>71059121</v>
      </c>
    </row>
    <row r="639" spans="1:14" x14ac:dyDescent="0.25">
      <c r="A639">
        <v>57359861</v>
      </c>
      <c r="B639" t="s">
        <v>2190</v>
      </c>
      <c r="C639" t="s">
        <v>2191</v>
      </c>
      <c r="D639" t="s">
        <v>2192</v>
      </c>
      <c r="E639">
        <v>3213778058</v>
      </c>
      <c r="F639" t="s">
        <v>474</v>
      </c>
      <c r="G639" t="s">
        <v>475</v>
      </c>
      <c r="I639" t="s">
        <v>132</v>
      </c>
      <c r="J639" s="13">
        <v>45951</v>
      </c>
      <c r="K639" s="13">
        <v>46023</v>
      </c>
      <c r="L639" t="s">
        <v>1179</v>
      </c>
      <c r="M639" t="s">
        <v>59</v>
      </c>
      <c r="N639">
        <v>71059189</v>
      </c>
    </row>
    <row r="640" spans="1:14" x14ac:dyDescent="0.25">
      <c r="A640">
        <v>57359922</v>
      </c>
      <c r="B640" t="s">
        <v>2193</v>
      </c>
      <c r="C640" t="s">
        <v>2194</v>
      </c>
      <c r="D640" t="s">
        <v>2195</v>
      </c>
      <c r="E640">
        <v>5126500677</v>
      </c>
      <c r="F640" t="s">
        <v>928</v>
      </c>
      <c r="G640" t="s">
        <v>929</v>
      </c>
      <c r="I640" t="s">
        <v>30</v>
      </c>
      <c r="J640" s="13">
        <v>45951</v>
      </c>
      <c r="K640" s="13">
        <v>46023</v>
      </c>
      <c r="L640" t="s">
        <v>444</v>
      </c>
      <c r="M640" t="s">
        <v>56</v>
      </c>
      <c r="N640">
        <v>71059213</v>
      </c>
    </row>
    <row r="641" spans="1:14" x14ac:dyDescent="0.25">
      <c r="A641">
        <v>57360448</v>
      </c>
      <c r="B641" t="s">
        <v>604</v>
      </c>
      <c r="C641" t="s">
        <v>2196</v>
      </c>
      <c r="D641" t="s">
        <v>2197</v>
      </c>
      <c r="E641">
        <v>2293095960</v>
      </c>
      <c r="F641" t="s">
        <v>790</v>
      </c>
      <c r="G641" t="s">
        <v>791</v>
      </c>
      <c r="I641" t="s">
        <v>119</v>
      </c>
      <c r="J641" s="13">
        <v>45951</v>
      </c>
      <c r="K641" s="13">
        <v>46023</v>
      </c>
      <c r="L641" t="s">
        <v>621</v>
      </c>
      <c r="M641" t="s">
        <v>58</v>
      </c>
      <c r="N641">
        <v>71059488</v>
      </c>
    </row>
    <row r="642" spans="1:14" x14ac:dyDescent="0.25">
      <c r="A642">
        <v>57360508</v>
      </c>
      <c r="B642" t="s">
        <v>2198</v>
      </c>
      <c r="C642" t="s">
        <v>2199</v>
      </c>
      <c r="D642" t="s">
        <v>2200</v>
      </c>
      <c r="E642">
        <v>6028790268</v>
      </c>
      <c r="F642" t="s">
        <v>993</v>
      </c>
      <c r="G642" t="s">
        <v>994</v>
      </c>
      <c r="I642" t="s">
        <v>995</v>
      </c>
      <c r="J642" s="13">
        <v>45951</v>
      </c>
      <c r="K642" s="13">
        <v>46023</v>
      </c>
      <c r="L642" t="s">
        <v>1179</v>
      </c>
      <c r="M642" t="s">
        <v>55</v>
      </c>
      <c r="N642">
        <v>71059557</v>
      </c>
    </row>
    <row r="643" spans="1:14" x14ac:dyDescent="0.25">
      <c r="A643">
        <v>57360917</v>
      </c>
      <c r="B643" t="s">
        <v>1033</v>
      </c>
      <c r="C643" t="s">
        <v>2201</v>
      </c>
      <c r="D643" t="s">
        <v>2202</v>
      </c>
      <c r="E643">
        <v>9209484000</v>
      </c>
      <c r="F643" t="s">
        <v>1444</v>
      </c>
      <c r="G643" t="s">
        <v>1445</v>
      </c>
      <c r="I643" t="s">
        <v>1446</v>
      </c>
      <c r="J643" s="13">
        <v>45951</v>
      </c>
      <c r="K643" s="13">
        <v>46023</v>
      </c>
      <c r="L643" t="s">
        <v>675</v>
      </c>
      <c r="M643" t="s">
        <v>58</v>
      </c>
      <c r="N643">
        <v>71059742</v>
      </c>
    </row>
    <row r="644" spans="1:14" x14ac:dyDescent="0.25">
      <c r="A644">
        <v>57360992</v>
      </c>
      <c r="B644" t="s">
        <v>2203</v>
      </c>
      <c r="C644" t="s">
        <v>2204</v>
      </c>
      <c r="D644" t="s">
        <v>2205</v>
      </c>
      <c r="E644">
        <v>2252219853</v>
      </c>
      <c r="F644" t="s">
        <v>842</v>
      </c>
      <c r="G644" t="s">
        <v>843</v>
      </c>
      <c r="I644" t="s">
        <v>98</v>
      </c>
      <c r="J644" s="13">
        <v>45951</v>
      </c>
      <c r="K644" s="13">
        <v>46023</v>
      </c>
      <c r="L644" t="s">
        <v>612</v>
      </c>
      <c r="M644" t="s">
        <v>56</v>
      </c>
      <c r="N644">
        <v>71059783</v>
      </c>
    </row>
    <row r="645" spans="1:14" x14ac:dyDescent="0.25">
      <c r="A645">
        <v>57361020</v>
      </c>
      <c r="B645" t="s">
        <v>2206</v>
      </c>
      <c r="C645" t="s">
        <v>2207</v>
      </c>
      <c r="D645" t="s">
        <v>2208</v>
      </c>
      <c r="E645">
        <v>4098280293</v>
      </c>
      <c r="F645" t="s">
        <v>574</v>
      </c>
      <c r="G645" t="s">
        <v>575</v>
      </c>
      <c r="I645" t="s">
        <v>14</v>
      </c>
      <c r="J645" s="13">
        <v>45951</v>
      </c>
      <c r="K645" s="13">
        <v>46023</v>
      </c>
      <c r="L645" t="s">
        <v>612</v>
      </c>
      <c r="M645" t="s">
        <v>56</v>
      </c>
      <c r="N645">
        <v>71059807</v>
      </c>
    </row>
    <row r="646" spans="1:14" x14ac:dyDescent="0.25">
      <c r="A646">
        <v>57361137</v>
      </c>
      <c r="B646" t="s">
        <v>748</v>
      </c>
      <c r="C646" t="s">
        <v>2209</v>
      </c>
      <c r="D646" t="s">
        <v>2210</v>
      </c>
      <c r="E646">
        <v>3368378237</v>
      </c>
      <c r="F646" t="s">
        <v>1086</v>
      </c>
      <c r="G646" t="s">
        <v>1087</v>
      </c>
      <c r="I646" t="s">
        <v>1088</v>
      </c>
      <c r="J646" s="13">
        <v>45951</v>
      </c>
      <c r="K646" s="13">
        <v>46023</v>
      </c>
      <c r="L646" t="s">
        <v>603</v>
      </c>
      <c r="M646" t="s">
        <v>59</v>
      </c>
      <c r="N646">
        <v>71059883</v>
      </c>
    </row>
    <row r="647" spans="1:14" x14ac:dyDescent="0.25">
      <c r="A647">
        <v>57361774</v>
      </c>
      <c r="B647" t="s">
        <v>2211</v>
      </c>
      <c r="C647" t="s">
        <v>2212</v>
      </c>
      <c r="D647" t="s">
        <v>2213</v>
      </c>
      <c r="E647">
        <v>8282463215</v>
      </c>
      <c r="F647" t="s">
        <v>957</v>
      </c>
      <c r="G647" t="s">
        <v>958</v>
      </c>
      <c r="H647" t="s">
        <v>959</v>
      </c>
      <c r="I647" t="s">
        <v>960</v>
      </c>
      <c r="J647" s="13">
        <v>45951</v>
      </c>
      <c r="K647" s="13">
        <v>46023</v>
      </c>
      <c r="L647" t="s">
        <v>603</v>
      </c>
      <c r="M647" t="s">
        <v>58</v>
      </c>
      <c r="N647">
        <v>71060335</v>
      </c>
    </row>
    <row r="648" spans="1:14" x14ac:dyDescent="0.25">
      <c r="A648">
        <v>57361727</v>
      </c>
      <c r="B648" t="s">
        <v>2214</v>
      </c>
      <c r="C648" t="s">
        <v>2215</v>
      </c>
      <c r="D648" t="s">
        <v>2216</v>
      </c>
      <c r="E648">
        <v>8322727082</v>
      </c>
      <c r="F648" t="s">
        <v>1003</v>
      </c>
      <c r="G648" t="s">
        <v>1004</v>
      </c>
      <c r="I648" t="s">
        <v>89</v>
      </c>
      <c r="J648" s="13">
        <v>45951</v>
      </c>
      <c r="K648" s="13">
        <v>46023</v>
      </c>
      <c r="L648" t="s">
        <v>444</v>
      </c>
      <c r="M648" t="s">
        <v>59</v>
      </c>
      <c r="N648">
        <v>71060338</v>
      </c>
    </row>
    <row r="649" spans="1:14" x14ac:dyDescent="0.25">
      <c r="A649">
        <v>57361962</v>
      </c>
      <c r="B649" t="s">
        <v>650</v>
      </c>
      <c r="C649" t="s">
        <v>2217</v>
      </c>
      <c r="D649" t="s">
        <v>2218</v>
      </c>
      <c r="E649">
        <v>9109346779</v>
      </c>
      <c r="F649" t="s">
        <v>1200</v>
      </c>
      <c r="G649" t="s">
        <v>1201</v>
      </c>
      <c r="I649" t="s">
        <v>1202</v>
      </c>
      <c r="J649" s="13">
        <v>45951</v>
      </c>
      <c r="K649" s="13">
        <v>46023</v>
      </c>
      <c r="L649" t="s">
        <v>603</v>
      </c>
      <c r="M649" t="s">
        <v>58</v>
      </c>
      <c r="N649">
        <v>71060547</v>
      </c>
    </row>
    <row r="650" spans="1:14" x14ac:dyDescent="0.25">
      <c r="A650">
        <v>57363007</v>
      </c>
      <c r="B650" t="s">
        <v>586</v>
      </c>
      <c r="C650" t="s">
        <v>2219</v>
      </c>
      <c r="D650" t="s">
        <v>2220</v>
      </c>
      <c r="E650">
        <v>2522870880</v>
      </c>
      <c r="F650" t="s">
        <v>615</v>
      </c>
      <c r="G650" t="s">
        <v>616</v>
      </c>
      <c r="I650" t="s">
        <v>617</v>
      </c>
      <c r="J650" s="13">
        <v>45951</v>
      </c>
      <c r="K650" s="13">
        <v>46023</v>
      </c>
      <c r="L650" t="s">
        <v>603</v>
      </c>
      <c r="M650" t="s">
        <v>56</v>
      </c>
      <c r="N650">
        <v>71061292</v>
      </c>
    </row>
    <row r="651" spans="1:14" x14ac:dyDescent="0.25">
      <c r="A651">
        <v>57363107</v>
      </c>
      <c r="B651" t="s">
        <v>2221</v>
      </c>
      <c r="C651" t="s">
        <v>2222</v>
      </c>
      <c r="D651" t="s">
        <v>2223</v>
      </c>
      <c r="E651">
        <v>8174953118</v>
      </c>
      <c r="F651" t="s">
        <v>828</v>
      </c>
      <c r="G651" t="s">
        <v>1148</v>
      </c>
      <c r="I651" t="s">
        <v>17</v>
      </c>
      <c r="J651" s="13">
        <v>45951</v>
      </c>
      <c r="K651" s="13">
        <v>46023</v>
      </c>
      <c r="L651" t="s">
        <v>444</v>
      </c>
      <c r="M651" t="s">
        <v>56</v>
      </c>
      <c r="N651">
        <v>71061371</v>
      </c>
    </row>
    <row r="652" spans="1:14" x14ac:dyDescent="0.25">
      <c r="A652">
        <v>57363241</v>
      </c>
      <c r="B652" t="s">
        <v>2224</v>
      </c>
      <c r="C652" t="s">
        <v>1126</v>
      </c>
      <c r="D652" t="s">
        <v>2225</v>
      </c>
      <c r="E652">
        <v>6062056584</v>
      </c>
      <c r="F652" t="s">
        <v>693</v>
      </c>
      <c r="G652" t="s">
        <v>694</v>
      </c>
      <c r="I652" t="s">
        <v>103</v>
      </c>
      <c r="J652" s="13">
        <v>45951</v>
      </c>
      <c r="K652" s="13">
        <v>46023</v>
      </c>
      <c r="L652" t="s">
        <v>490</v>
      </c>
      <c r="M652" t="s">
        <v>61</v>
      </c>
      <c r="N652">
        <v>71061482</v>
      </c>
    </row>
    <row r="653" spans="1:14" x14ac:dyDescent="0.25">
      <c r="A653">
        <v>57363673</v>
      </c>
      <c r="B653" t="s">
        <v>2226</v>
      </c>
      <c r="C653" t="s">
        <v>2227</v>
      </c>
      <c r="D653" t="s">
        <v>2228</v>
      </c>
      <c r="F653" t="s">
        <v>551</v>
      </c>
      <c r="G653" t="s">
        <v>552</v>
      </c>
      <c r="I653" t="s">
        <v>42</v>
      </c>
      <c r="J653" s="13">
        <v>45951</v>
      </c>
      <c r="K653" s="13">
        <v>46023</v>
      </c>
      <c r="L653" t="s">
        <v>444</v>
      </c>
      <c r="M653" t="s">
        <v>56</v>
      </c>
      <c r="N653">
        <v>71061506</v>
      </c>
    </row>
    <row r="654" spans="1:14" x14ac:dyDescent="0.25">
      <c r="A654">
        <v>57363480</v>
      </c>
      <c r="B654" t="s">
        <v>445</v>
      </c>
      <c r="C654" t="s">
        <v>1145</v>
      </c>
      <c r="D654" t="s">
        <v>2229</v>
      </c>
      <c r="E654">
        <v>7707285189</v>
      </c>
      <c r="F654" t="s">
        <v>821</v>
      </c>
      <c r="G654" t="s">
        <v>822</v>
      </c>
      <c r="I654" t="s">
        <v>823</v>
      </c>
      <c r="J654" s="13">
        <v>45951</v>
      </c>
      <c r="K654" s="13">
        <v>46023</v>
      </c>
      <c r="L654" t="s">
        <v>621</v>
      </c>
      <c r="M654" t="s">
        <v>55</v>
      </c>
      <c r="N654">
        <v>71061651</v>
      </c>
    </row>
    <row r="655" spans="1:14" x14ac:dyDescent="0.25">
      <c r="A655">
        <v>57363499</v>
      </c>
      <c r="B655" t="s">
        <v>888</v>
      </c>
      <c r="C655" t="s">
        <v>2230</v>
      </c>
      <c r="D655" t="s">
        <v>2231</v>
      </c>
      <c r="E655">
        <v>8645233284</v>
      </c>
      <c r="F655" t="s">
        <v>1013</v>
      </c>
      <c r="G655" t="s">
        <v>1014</v>
      </c>
      <c r="I655" t="s">
        <v>43</v>
      </c>
      <c r="J655" s="13">
        <v>45951</v>
      </c>
      <c r="K655" s="13">
        <v>46023</v>
      </c>
      <c r="L655" t="s">
        <v>533</v>
      </c>
      <c r="M655" t="s">
        <v>56</v>
      </c>
      <c r="N655">
        <v>71061673</v>
      </c>
    </row>
    <row r="656" spans="1:14" x14ac:dyDescent="0.25">
      <c r="A656">
        <v>57364146</v>
      </c>
      <c r="B656" t="s">
        <v>2232</v>
      </c>
      <c r="C656" t="s">
        <v>2233</v>
      </c>
      <c r="D656" t="s">
        <v>2234</v>
      </c>
      <c r="E656">
        <v>4805446795</v>
      </c>
      <c r="F656" t="s">
        <v>423</v>
      </c>
      <c r="G656" t="s">
        <v>424</v>
      </c>
      <c r="I656" t="s">
        <v>46</v>
      </c>
      <c r="J656" s="13">
        <v>45951</v>
      </c>
      <c r="K656" s="13">
        <v>46023</v>
      </c>
      <c r="L656" t="s">
        <v>1179</v>
      </c>
      <c r="M656" t="s">
        <v>56</v>
      </c>
      <c r="N656">
        <v>71061753</v>
      </c>
    </row>
    <row r="657" spans="1:14" x14ac:dyDescent="0.25">
      <c r="A657">
        <v>57364105</v>
      </c>
      <c r="B657" t="s">
        <v>2235</v>
      </c>
      <c r="C657" t="s">
        <v>2236</v>
      </c>
      <c r="D657" t="s">
        <v>2237</v>
      </c>
      <c r="E657">
        <v>7144225313</v>
      </c>
      <c r="F657" t="s">
        <v>842</v>
      </c>
      <c r="G657" t="s">
        <v>843</v>
      </c>
      <c r="I657" t="s">
        <v>98</v>
      </c>
      <c r="J657" s="13">
        <v>45951</v>
      </c>
      <c r="K657" s="13">
        <v>46023</v>
      </c>
      <c r="L657" t="s">
        <v>483</v>
      </c>
      <c r="M657" t="s">
        <v>58</v>
      </c>
      <c r="N657">
        <v>71062004</v>
      </c>
    </row>
    <row r="658" spans="1:14" x14ac:dyDescent="0.25">
      <c r="A658">
        <v>57364111</v>
      </c>
      <c r="B658" t="s">
        <v>2238</v>
      </c>
      <c r="C658" t="s">
        <v>2239</v>
      </c>
      <c r="D658" t="s">
        <v>2240</v>
      </c>
      <c r="E658">
        <v>9562258008</v>
      </c>
      <c r="F658" t="s">
        <v>1147</v>
      </c>
      <c r="G658" t="s">
        <v>1148</v>
      </c>
      <c r="I658" t="s">
        <v>41</v>
      </c>
      <c r="J658" s="13">
        <v>45951</v>
      </c>
      <c r="K658" s="13">
        <v>46023</v>
      </c>
      <c r="L658" t="s">
        <v>444</v>
      </c>
      <c r="M658" t="s">
        <v>55</v>
      </c>
      <c r="N658">
        <v>71062008</v>
      </c>
    </row>
    <row r="659" spans="1:14" x14ac:dyDescent="0.25">
      <c r="A659">
        <v>60924244</v>
      </c>
      <c r="B659" t="s">
        <v>1234</v>
      </c>
      <c r="C659" t="s">
        <v>2241</v>
      </c>
      <c r="D659" t="s">
        <v>2242</v>
      </c>
      <c r="E659">
        <v>5202456978</v>
      </c>
      <c r="F659" t="s">
        <v>815</v>
      </c>
      <c r="G659" t="s">
        <v>816</v>
      </c>
      <c r="I659" t="s">
        <v>23</v>
      </c>
      <c r="J659" s="13">
        <v>46078</v>
      </c>
      <c r="K659" s="13">
        <v>46082</v>
      </c>
      <c r="L659" t="s">
        <v>1179</v>
      </c>
      <c r="M659" t="s">
        <v>55</v>
      </c>
      <c r="N659">
        <v>71062015</v>
      </c>
    </row>
    <row r="660" spans="1:14" x14ac:dyDescent="0.25">
      <c r="A660">
        <v>57364246</v>
      </c>
      <c r="B660" t="s">
        <v>586</v>
      </c>
      <c r="C660" t="s">
        <v>1300</v>
      </c>
      <c r="D660" t="s">
        <v>2243</v>
      </c>
      <c r="E660">
        <v>5139635668</v>
      </c>
      <c r="F660" t="s">
        <v>649</v>
      </c>
      <c r="G660" t="s">
        <v>650</v>
      </c>
      <c r="I660" t="s">
        <v>28</v>
      </c>
      <c r="J660" s="13">
        <v>45951</v>
      </c>
      <c r="K660" s="13">
        <v>46023</v>
      </c>
      <c r="L660" t="s">
        <v>418</v>
      </c>
      <c r="M660" t="s">
        <v>58</v>
      </c>
      <c r="N660">
        <v>71062088</v>
      </c>
    </row>
    <row r="661" spans="1:14" x14ac:dyDescent="0.25">
      <c r="A661">
        <v>57364581</v>
      </c>
      <c r="B661" t="s">
        <v>2244</v>
      </c>
      <c r="C661" t="s">
        <v>2245</v>
      </c>
      <c r="D661" t="s">
        <v>2246</v>
      </c>
      <c r="E661">
        <v>9288564158</v>
      </c>
      <c r="F661" t="s">
        <v>474</v>
      </c>
      <c r="G661" t="s">
        <v>475</v>
      </c>
      <c r="I661" t="s">
        <v>132</v>
      </c>
      <c r="J661" s="13">
        <v>45951</v>
      </c>
      <c r="K661" s="13">
        <v>46023</v>
      </c>
      <c r="L661" t="s">
        <v>1179</v>
      </c>
      <c r="M661" t="s">
        <v>59</v>
      </c>
      <c r="N661">
        <v>71062290</v>
      </c>
    </row>
    <row r="662" spans="1:14" x14ac:dyDescent="0.25">
      <c r="A662">
        <v>57364838</v>
      </c>
      <c r="B662" t="s">
        <v>2247</v>
      </c>
      <c r="C662" t="s">
        <v>1258</v>
      </c>
      <c r="D662" t="s">
        <v>2248</v>
      </c>
      <c r="E662">
        <v>4044031338</v>
      </c>
      <c r="F662" t="s">
        <v>928</v>
      </c>
      <c r="G662" t="s">
        <v>929</v>
      </c>
      <c r="I662" t="s">
        <v>30</v>
      </c>
      <c r="J662" s="13">
        <v>45951</v>
      </c>
      <c r="K662" s="13">
        <v>46023</v>
      </c>
      <c r="L662" t="s">
        <v>621</v>
      </c>
      <c r="M662" t="s">
        <v>58</v>
      </c>
      <c r="N662">
        <v>71062458</v>
      </c>
    </row>
    <row r="663" spans="1:14" x14ac:dyDescent="0.25">
      <c r="A663">
        <v>57365014</v>
      </c>
      <c r="B663" t="s">
        <v>560</v>
      </c>
      <c r="C663" t="s">
        <v>2249</v>
      </c>
      <c r="D663" t="s">
        <v>2250</v>
      </c>
      <c r="E663">
        <v>5204401050</v>
      </c>
      <c r="F663" t="s">
        <v>993</v>
      </c>
      <c r="G663" t="s">
        <v>994</v>
      </c>
      <c r="I663" t="s">
        <v>995</v>
      </c>
      <c r="J663" s="13">
        <v>45951</v>
      </c>
      <c r="K663" s="13">
        <v>46023</v>
      </c>
      <c r="L663" t="s">
        <v>1179</v>
      </c>
      <c r="M663" t="s">
        <v>59</v>
      </c>
      <c r="N663">
        <v>71062582</v>
      </c>
    </row>
    <row r="664" spans="1:14" x14ac:dyDescent="0.25">
      <c r="A664">
        <v>57365198</v>
      </c>
      <c r="B664" t="s">
        <v>1089</v>
      </c>
      <c r="C664" t="s">
        <v>2251</v>
      </c>
      <c r="D664" t="s">
        <v>2252</v>
      </c>
      <c r="E664">
        <v>6024830741</v>
      </c>
      <c r="F664" t="s">
        <v>807</v>
      </c>
      <c r="G664" t="s">
        <v>808</v>
      </c>
      <c r="I664" t="s">
        <v>33</v>
      </c>
      <c r="J664" s="13">
        <v>45951</v>
      </c>
      <c r="K664" s="13">
        <v>46023</v>
      </c>
      <c r="L664" t="s">
        <v>1179</v>
      </c>
      <c r="M664" t="s">
        <v>54</v>
      </c>
      <c r="N664">
        <v>71062694</v>
      </c>
    </row>
    <row r="665" spans="1:14" x14ac:dyDescent="0.25">
      <c r="A665">
        <v>57366135</v>
      </c>
      <c r="B665" t="s">
        <v>1316</v>
      </c>
      <c r="C665" t="s">
        <v>735</v>
      </c>
      <c r="D665" t="s">
        <v>2253</v>
      </c>
      <c r="E665">
        <v>7068329232</v>
      </c>
      <c r="F665" t="s">
        <v>1225</v>
      </c>
      <c r="G665" t="s">
        <v>1226</v>
      </c>
      <c r="I665" t="s">
        <v>1227</v>
      </c>
      <c r="J665" s="13">
        <v>45951</v>
      </c>
      <c r="K665" s="13">
        <v>46023</v>
      </c>
      <c r="L665" t="s">
        <v>621</v>
      </c>
      <c r="M665" t="s">
        <v>56</v>
      </c>
      <c r="N665">
        <v>71063386</v>
      </c>
    </row>
    <row r="666" spans="1:14" x14ac:dyDescent="0.25">
      <c r="A666">
        <v>57366479</v>
      </c>
      <c r="B666" t="s">
        <v>2254</v>
      </c>
      <c r="C666" t="s">
        <v>2255</v>
      </c>
      <c r="D666" t="s">
        <v>2256</v>
      </c>
      <c r="E666">
        <v>7655052248</v>
      </c>
      <c r="F666" t="s">
        <v>815</v>
      </c>
      <c r="G666" t="s">
        <v>816</v>
      </c>
      <c r="I666" t="s">
        <v>23</v>
      </c>
      <c r="J666" s="13">
        <v>45951</v>
      </c>
      <c r="K666" s="13">
        <v>46023</v>
      </c>
      <c r="L666" t="s">
        <v>440</v>
      </c>
      <c r="M666" t="s">
        <v>419</v>
      </c>
      <c r="N666">
        <v>71063635</v>
      </c>
    </row>
    <row r="667" spans="1:14" x14ac:dyDescent="0.25">
      <c r="A667">
        <v>57368456</v>
      </c>
      <c r="B667" t="s">
        <v>2257</v>
      </c>
      <c r="C667" t="s">
        <v>2258</v>
      </c>
      <c r="D667" t="s">
        <v>2259</v>
      </c>
      <c r="E667">
        <v>7655052248</v>
      </c>
      <c r="F667" t="s">
        <v>815</v>
      </c>
      <c r="G667" t="s">
        <v>816</v>
      </c>
      <c r="I667" t="s">
        <v>23</v>
      </c>
      <c r="J667" s="13">
        <v>45951</v>
      </c>
      <c r="K667" s="13">
        <v>46023</v>
      </c>
      <c r="L667" t="s">
        <v>440</v>
      </c>
      <c r="M667" t="s">
        <v>419</v>
      </c>
      <c r="N667">
        <v>71065329</v>
      </c>
    </row>
    <row r="668" spans="1:14" x14ac:dyDescent="0.25">
      <c r="A668">
        <v>57369090</v>
      </c>
      <c r="B668" t="s">
        <v>2260</v>
      </c>
      <c r="C668" t="s">
        <v>2261</v>
      </c>
      <c r="D668" t="s">
        <v>2262</v>
      </c>
      <c r="E668">
        <v>4404532468</v>
      </c>
      <c r="F668" t="s">
        <v>1003</v>
      </c>
      <c r="G668" t="s">
        <v>1004</v>
      </c>
      <c r="I668" t="s">
        <v>89</v>
      </c>
      <c r="J668" s="13">
        <v>45951</v>
      </c>
      <c r="K668" s="13">
        <v>46023</v>
      </c>
      <c r="L668" t="s">
        <v>418</v>
      </c>
      <c r="M668" t="s">
        <v>59</v>
      </c>
      <c r="N668">
        <v>71065733</v>
      </c>
    </row>
    <row r="669" spans="1:14" x14ac:dyDescent="0.25">
      <c r="A669">
        <v>57370148</v>
      </c>
      <c r="B669" t="s">
        <v>2263</v>
      </c>
      <c r="C669" t="s">
        <v>1118</v>
      </c>
      <c r="D669" t="s">
        <v>2264</v>
      </c>
      <c r="E669">
        <v>3186805660</v>
      </c>
      <c r="F669" t="s">
        <v>705</v>
      </c>
      <c r="G669" t="s">
        <v>706</v>
      </c>
      <c r="I669" t="s">
        <v>12</v>
      </c>
      <c r="J669" s="13">
        <v>45951</v>
      </c>
      <c r="K669" s="13">
        <v>46023</v>
      </c>
      <c r="L669" t="s">
        <v>539</v>
      </c>
      <c r="M669" t="s">
        <v>59</v>
      </c>
      <c r="N669">
        <v>71066627</v>
      </c>
    </row>
    <row r="670" spans="1:14" x14ac:dyDescent="0.25">
      <c r="A670">
        <v>57371413</v>
      </c>
      <c r="B670" t="s">
        <v>431</v>
      </c>
      <c r="C670" t="s">
        <v>2143</v>
      </c>
      <c r="D670" t="s">
        <v>2265</v>
      </c>
      <c r="E670">
        <v>8283712943</v>
      </c>
      <c r="F670" t="s">
        <v>957</v>
      </c>
      <c r="G670" t="s">
        <v>958</v>
      </c>
      <c r="H670" t="s">
        <v>959</v>
      </c>
      <c r="I670" t="s">
        <v>960</v>
      </c>
      <c r="J670" s="13">
        <v>45951</v>
      </c>
      <c r="K670" s="13">
        <v>46023</v>
      </c>
      <c r="L670" t="s">
        <v>603</v>
      </c>
      <c r="M670" t="s">
        <v>61</v>
      </c>
      <c r="N670">
        <v>71067610</v>
      </c>
    </row>
    <row r="671" spans="1:14" x14ac:dyDescent="0.25">
      <c r="A671">
        <v>57371745</v>
      </c>
      <c r="B671" t="s">
        <v>2266</v>
      </c>
      <c r="C671" t="s">
        <v>2267</v>
      </c>
      <c r="D671" t="s">
        <v>2268</v>
      </c>
      <c r="E671">
        <v>5204565893</v>
      </c>
      <c r="F671" t="s">
        <v>592</v>
      </c>
      <c r="G671" t="s">
        <v>593</v>
      </c>
      <c r="I671" t="s">
        <v>115</v>
      </c>
      <c r="J671" s="13">
        <v>45951</v>
      </c>
      <c r="K671" s="13">
        <v>46023</v>
      </c>
      <c r="L671" t="s">
        <v>1179</v>
      </c>
      <c r="M671" t="s">
        <v>58</v>
      </c>
      <c r="N671">
        <v>71067871</v>
      </c>
    </row>
    <row r="672" spans="1:14" x14ac:dyDescent="0.25">
      <c r="A672">
        <v>57371928</v>
      </c>
      <c r="B672" t="s">
        <v>2269</v>
      </c>
      <c r="C672" t="s">
        <v>2270</v>
      </c>
      <c r="D672" t="s">
        <v>2271</v>
      </c>
      <c r="E672">
        <v>9177955981</v>
      </c>
      <c r="F672" t="s">
        <v>474</v>
      </c>
      <c r="G672" t="s">
        <v>475</v>
      </c>
      <c r="I672" t="s">
        <v>132</v>
      </c>
      <c r="J672" s="13">
        <v>45951</v>
      </c>
      <c r="K672" s="13">
        <v>46023</v>
      </c>
      <c r="L672" t="s">
        <v>1179</v>
      </c>
      <c r="M672" t="s">
        <v>59</v>
      </c>
      <c r="N672">
        <v>71067993</v>
      </c>
    </row>
    <row r="673" spans="1:14" x14ac:dyDescent="0.25">
      <c r="A673">
        <v>57372051</v>
      </c>
      <c r="B673" t="s">
        <v>2272</v>
      </c>
      <c r="C673" t="s">
        <v>2273</v>
      </c>
      <c r="D673" t="s">
        <v>2274</v>
      </c>
      <c r="E673">
        <v>2245738776</v>
      </c>
      <c r="F673" t="s">
        <v>574</v>
      </c>
      <c r="G673" t="s">
        <v>575</v>
      </c>
      <c r="I673" t="s">
        <v>14</v>
      </c>
      <c r="J673" s="13">
        <v>45951</v>
      </c>
      <c r="K673" s="13">
        <v>46023</v>
      </c>
      <c r="L673" t="s">
        <v>470</v>
      </c>
      <c r="M673" t="s">
        <v>60</v>
      </c>
      <c r="N673">
        <v>71068074</v>
      </c>
    </row>
    <row r="674" spans="1:14" x14ac:dyDescent="0.25">
      <c r="A674">
        <v>57372058</v>
      </c>
      <c r="B674" t="s">
        <v>2275</v>
      </c>
      <c r="C674" t="s">
        <v>2071</v>
      </c>
      <c r="D674" t="s">
        <v>2276</v>
      </c>
      <c r="E674">
        <v>9857032484</v>
      </c>
      <c r="F674" t="s">
        <v>1267</v>
      </c>
      <c r="G674" t="s">
        <v>1268</v>
      </c>
      <c r="I674" t="s">
        <v>1269</v>
      </c>
      <c r="J674" s="13">
        <v>45951</v>
      </c>
      <c r="K674" s="13">
        <v>46023</v>
      </c>
      <c r="L674" t="s">
        <v>612</v>
      </c>
      <c r="M674" t="s">
        <v>56</v>
      </c>
      <c r="N674">
        <v>71068077</v>
      </c>
    </row>
    <row r="675" spans="1:14" x14ac:dyDescent="0.25">
      <c r="A675">
        <v>57372586</v>
      </c>
      <c r="B675" t="s">
        <v>2277</v>
      </c>
      <c r="C675" t="s">
        <v>2278</v>
      </c>
      <c r="D675" t="s">
        <v>2279</v>
      </c>
      <c r="E675">
        <v>2562248891</v>
      </c>
      <c r="F675" t="s">
        <v>1142</v>
      </c>
      <c r="G675" t="s">
        <v>1143</v>
      </c>
      <c r="I675" t="s">
        <v>124</v>
      </c>
      <c r="J675" s="13">
        <v>45951</v>
      </c>
      <c r="K675" s="13">
        <v>46023</v>
      </c>
      <c r="L675" t="s">
        <v>450</v>
      </c>
      <c r="M675" t="s">
        <v>56</v>
      </c>
      <c r="N675">
        <v>71068386</v>
      </c>
    </row>
    <row r="676" spans="1:14" x14ac:dyDescent="0.25">
      <c r="A676">
        <v>57372693</v>
      </c>
      <c r="B676" t="s">
        <v>2280</v>
      </c>
      <c r="C676" t="s">
        <v>2281</v>
      </c>
      <c r="D676" t="s">
        <v>2282</v>
      </c>
      <c r="E676">
        <v>8434784824</v>
      </c>
      <c r="F676" t="s">
        <v>615</v>
      </c>
      <c r="G676" t="s">
        <v>616</v>
      </c>
      <c r="I676" t="s">
        <v>617</v>
      </c>
      <c r="J676" s="13">
        <v>45951</v>
      </c>
      <c r="K676" s="13">
        <v>46023</v>
      </c>
      <c r="L676" t="s">
        <v>533</v>
      </c>
      <c r="M676" t="s">
        <v>58</v>
      </c>
      <c r="N676">
        <v>71068453</v>
      </c>
    </row>
    <row r="677" spans="1:14" x14ac:dyDescent="0.25">
      <c r="A677">
        <v>57373224</v>
      </c>
      <c r="B677" t="s">
        <v>2283</v>
      </c>
      <c r="C677" t="s">
        <v>2284</v>
      </c>
      <c r="D677" t="s">
        <v>2285</v>
      </c>
      <c r="E677">
        <v>6232179476</v>
      </c>
      <c r="F677" t="s">
        <v>569</v>
      </c>
      <c r="G677" t="s">
        <v>570</v>
      </c>
      <c r="I677" t="s">
        <v>34</v>
      </c>
      <c r="J677" s="13">
        <v>45951</v>
      </c>
      <c r="K677" s="13">
        <v>46023</v>
      </c>
      <c r="L677" t="s">
        <v>1179</v>
      </c>
      <c r="M677" t="s">
        <v>54</v>
      </c>
      <c r="N677">
        <v>71068769</v>
      </c>
    </row>
    <row r="678" spans="1:14" x14ac:dyDescent="0.25">
      <c r="A678">
        <v>57373379</v>
      </c>
      <c r="B678" t="s">
        <v>2286</v>
      </c>
      <c r="C678" t="s">
        <v>1886</v>
      </c>
      <c r="D678" t="s">
        <v>2287</v>
      </c>
      <c r="E678">
        <v>3364233514</v>
      </c>
      <c r="F678" t="s">
        <v>684</v>
      </c>
      <c r="G678" t="s">
        <v>685</v>
      </c>
      <c r="I678" t="s">
        <v>686</v>
      </c>
      <c r="J678" s="13">
        <v>45951</v>
      </c>
      <c r="K678" s="13">
        <v>46023</v>
      </c>
      <c r="L678" t="s">
        <v>603</v>
      </c>
      <c r="M678" t="s">
        <v>59</v>
      </c>
      <c r="N678">
        <v>71068810</v>
      </c>
    </row>
    <row r="679" spans="1:14" x14ac:dyDescent="0.25">
      <c r="A679">
        <v>57373328</v>
      </c>
      <c r="B679" t="s">
        <v>2288</v>
      </c>
      <c r="C679" t="s">
        <v>2289</v>
      </c>
      <c r="D679" t="s">
        <v>2290</v>
      </c>
      <c r="E679">
        <v>8032694644</v>
      </c>
      <c r="F679" t="s">
        <v>474</v>
      </c>
      <c r="G679" t="s">
        <v>475</v>
      </c>
      <c r="I679" t="s">
        <v>132</v>
      </c>
      <c r="J679" s="13">
        <v>45951</v>
      </c>
      <c r="K679" s="13">
        <v>46023</v>
      </c>
      <c r="L679" t="s">
        <v>533</v>
      </c>
      <c r="M679" t="s">
        <v>61</v>
      </c>
      <c r="N679">
        <v>71068853</v>
      </c>
    </row>
    <row r="680" spans="1:14" x14ac:dyDescent="0.25">
      <c r="A680">
        <v>57373444</v>
      </c>
      <c r="B680" t="s">
        <v>909</v>
      </c>
      <c r="C680" t="s">
        <v>2291</v>
      </c>
      <c r="D680" t="s">
        <v>2292</v>
      </c>
      <c r="E680">
        <v>3107824686</v>
      </c>
      <c r="F680" t="s">
        <v>928</v>
      </c>
      <c r="G680" t="s">
        <v>929</v>
      </c>
      <c r="I680" t="s">
        <v>30</v>
      </c>
      <c r="J680" s="13">
        <v>45951</v>
      </c>
      <c r="K680" s="13">
        <v>46023</v>
      </c>
      <c r="L680" t="s">
        <v>483</v>
      </c>
      <c r="M680" t="s">
        <v>419</v>
      </c>
      <c r="N680">
        <v>71068925</v>
      </c>
    </row>
    <row r="681" spans="1:14" x14ac:dyDescent="0.25">
      <c r="A681">
        <v>57373673</v>
      </c>
      <c r="B681" t="s">
        <v>1100</v>
      </c>
      <c r="C681" t="s">
        <v>1129</v>
      </c>
      <c r="D681" t="s">
        <v>2293</v>
      </c>
      <c r="E681">
        <v>2524740505</v>
      </c>
      <c r="F681" t="s">
        <v>649</v>
      </c>
      <c r="G681" t="s">
        <v>650</v>
      </c>
      <c r="I681" t="s">
        <v>28</v>
      </c>
      <c r="J681" s="13">
        <v>45951</v>
      </c>
      <c r="K681" s="13">
        <v>46023</v>
      </c>
      <c r="L681" t="s">
        <v>603</v>
      </c>
      <c r="M681" t="s">
        <v>58</v>
      </c>
      <c r="N681">
        <v>71069164</v>
      </c>
    </row>
    <row r="682" spans="1:14" x14ac:dyDescent="0.25">
      <c r="A682">
        <v>57374173</v>
      </c>
      <c r="B682" t="s">
        <v>1675</v>
      </c>
      <c r="C682" t="s">
        <v>2294</v>
      </c>
      <c r="D682" t="s">
        <v>2295</v>
      </c>
      <c r="E682">
        <v>6082093325</v>
      </c>
      <c r="F682" t="s">
        <v>462</v>
      </c>
      <c r="G682" t="s">
        <v>463</v>
      </c>
      <c r="I682" t="s">
        <v>39</v>
      </c>
      <c r="J682" s="13">
        <v>45951</v>
      </c>
      <c r="K682" s="13">
        <v>46023</v>
      </c>
      <c r="L682" t="s">
        <v>470</v>
      </c>
      <c r="M682" t="s">
        <v>59</v>
      </c>
      <c r="N682">
        <v>71069460</v>
      </c>
    </row>
    <row r="683" spans="1:14" x14ac:dyDescent="0.25">
      <c r="A683">
        <v>57374641</v>
      </c>
      <c r="B683" t="s">
        <v>2296</v>
      </c>
      <c r="C683" t="s">
        <v>2297</v>
      </c>
      <c r="D683" t="s">
        <v>2298</v>
      </c>
      <c r="E683">
        <v>5203060844</v>
      </c>
      <c r="F683" t="s">
        <v>798</v>
      </c>
      <c r="G683" t="s">
        <v>799</v>
      </c>
      <c r="I683" t="s">
        <v>800</v>
      </c>
      <c r="J683" s="13">
        <v>45951</v>
      </c>
      <c r="K683" s="13">
        <v>46023</v>
      </c>
      <c r="L683" t="s">
        <v>1179</v>
      </c>
      <c r="M683" t="s">
        <v>59</v>
      </c>
      <c r="N683">
        <v>71069835</v>
      </c>
    </row>
    <row r="684" spans="1:14" x14ac:dyDescent="0.25">
      <c r="A684">
        <v>57375616</v>
      </c>
      <c r="B684" t="s">
        <v>2299</v>
      </c>
      <c r="C684" t="s">
        <v>2300</v>
      </c>
      <c r="D684" t="s">
        <v>2301</v>
      </c>
      <c r="E684">
        <v>5026504400</v>
      </c>
      <c r="F684" t="s">
        <v>1003</v>
      </c>
      <c r="G684" t="s">
        <v>1004</v>
      </c>
      <c r="I684" t="s">
        <v>89</v>
      </c>
      <c r="J684" s="13">
        <v>45951</v>
      </c>
      <c r="K684" s="13">
        <v>46023</v>
      </c>
      <c r="L684" t="s">
        <v>490</v>
      </c>
      <c r="M684" t="s">
        <v>59</v>
      </c>
      <c r="N684">
        <v>71070446</v>
      </c>
    </row>
    <row r="685" spans="1:14" x14ac:dyDescent="0.25">
      <c r="A685">
        <v>57375983</v>
      </c>
      <c r="B685" t="s">
        <v>1038</v>
      </c>
      <c r="C685" t="s">
        <v>2302</v>
      </c>
      <c r="D685" t="s">
        <v>2303</v>
      </c>
      <c r="E685">
        <v>2109352837</v>
      </c>
      <c r="F685" t="s">
        <v>1147</v>
      </c>
      <c r="G685" t="s">
        <v>1148</v>
      </c>
      <c r="I685" t="s">
        <v>41</v>
      </c>
      <c r="J685" s="13">
        <v>45951</v>
      </c>
      <c r="K685" s="13">
        <v>46023</v>
      </c>
      <c r="L685" t="s">
        <v>444</v>
      </c>
      <c r="M685" t="s">
        <v>59</v>
      </c>
      <c r="N685">
        <v>71071259</v>
      </c>
    </row>
    <row r="686" spans="1:14" x14ac:dyDescent="0.25">
      <c r="A686">
        <v>57376358</v>
      </c>
      <c r="B686" t="s">
        <v>676</v>
      </c>
      <c r="C686" t="s">
        <v>2304</v>
      </c>
      <c r="D686" t="s">
        <v>2305</v>
      </c>
      <c r="E686">
        <v>7625432521</v>
      </c>
      <c r="F686" t="s">
        <v>790</v>
      </c>
      <c r="G686" t="s">
        <v>791</v>
      </c>
      <c r="I686" t="s">
        <v>119</v>
      </c>
      <c r="J686" s="13">
        <v>45951</v>
      </c>
      <c r="K686" s="13">
        <v>46023</v>
      </c>
      <c r="L686" t="s">
        <v>621</v>
      </c>
      <c r="M686" t="s">
        <v>59</v>
      </c>
      <c r="N686">
        <v>71071550</v>
      </c>
    </row>
    <row r="687" spans="1:14" x14ac:dyDescent="0.25">
      <c r="A687">
        <v>57376324</v>
      </c>
      <c r="B687" t="s">
        <v>2306</v>
      </c>
      <c r="C687" t="s">
        <v>2307</v>
      </c>
      <c r="D687" t="s">
        <v>2308</v>
      </c>
      <c r="E687">
        <v>7049237100</v>
      </c>
      <c r="F687" t="s">
        <v>574</v>
      </c>
      <c r="G687" t="s">
        <v>575</v>
      </c>
      <c r="I687" t="s">
        <v>14</v>
      </c>
      <c r="J687" s="13">
        <v>45951</v>
      </c>
      <c r="K687" s="13">
        <v>46023</v>
      </c>
      <c r="L687" t="s">
        <v>454</v>
      </c>
      <c r="M687" t="s">
        <v>419</v>
      </c>
      <c r="N687">
        <v>71071556</v>
      </c>
    </row>
    <row r="688" spans="1:14" x14ac:dyDescent="0.25">
      <c r="A688">
        <v>57376325</v>
      </c>
      <c r="B688" t="s">
        <v>1208</v>
      </c>
      <c r="C688" t="s">
        <v>2309</v>
      </c>
      <c r="D688" t="s">
        <v>2310</v>
      </c>
      <c r="E688">
        <v>2564279570</v>
      </c>
      <c r="F688" t="s">
        <v>1142</v>
      </c>
      <c r="G688" t="s">
        <v>1143</v>
      </c>
      <c r="I688" t="s">
        <v>124</v>
      </c>
      <c r="J688" s="13">
        <v>45951</v>
      </c>
      <c r="K688" s="13">
        <v>46023</v>
      </c>
      <c r="L688" t="s">
        <v>483</v>
      </c>
      <c r="M688" t="s">
        <v>56</v>
      </c>
      <c r="N688">
        <v>71071557</v>
      </c>
    </row>
    <row r="689" spans="1:14" x14ac:dyDescent="0.25">
      <c r="A689">
        <v>57376426</v>
      </c>
      <c r="B689" t="s">
        <v>2311</v>
      </c>
      <c r="C689" t="s">
        <v>2312</v>
      </c>
      <c r="D689" t="s">
        <v>2313</v>
      </c>
      <c r="E689">
        <v>4802741970</v>
      </c>
      <c r="F689" t="s">
        <v>807</v>
      </c>
      <c r="G689" t="s">
        <v>808</v>
      </c>
      <c r="I689" t="s">
        <v>33</v>
      </c>
      <c r="J689" s="13">
        <v>45951</v>
      </c>
      <c r="K689" s="13">
        <v>46023</v>
      </c>
      <c r="L689" t="s">
        <v>1179</v>
      </c>
      <c r="M689" t="s">
        <v>54</v>
      </c>
      <c r="N689">
        <v>71071627</v>
      </c>
    </row>
    <row r="690" spans="1:14" x14ac:dyDescent="0.25">
      <c r="A690">
        <v>57376578</v>
      </c>
      <c r="B690" t="s">
        <v>1515</v>
      </c>
      <c r="C690" t="s">
        <v>2314</v>
      </c>
      <c r="D690" t="s">
        <v>2315</v>
      </c>
      <c r="E690">
        <v>9856303585</v>
      </c>
      <c r="F690" t="s">
        <v>615</v>
      </c>
      <c r="G690" t="s">
        <v>616</v>
      </c>
      <c r="I690" t="s">
        <v>617</v>
      </c>
      <c r="J690" s="13">
        <v>45951</v>
      </c>
      <c r="K690" s="13">
        <v>46023</v>
      </c>
      <c r="L690" t="s">
        <v>612</v>
      </c>
      <c r="M690" t="s">
        <v>58</v>
      </c>
      <c r="N690">
        <v>71071757</v>
      </c>
    </row>
    <row r="691" spans="1:14" x14ac:dyDescent="0.25">
      <c r="A691">
        <v>57376647</v>
      </c>
      <c r="B691" t="s">
        <v>1144</v>
      </c>
      <c r="C691" t="s">
        <v>2316</v>
      </c>
      <c r="D691" t="s">
        <v>2317</v>
      </c>
      <c r="E691">
        <v>6025007132</v>
      </c>
      <c r="F691" t="s">
        <v>1345</v>
      </c>
      <c r="G691" t="s">
        <v>799</v>
      </c>
      <c r="I691" t="s">
        <v>47</v>
      </c>
      <c r="J691" s="13">
        <v>45951</v>
      </c>
      <c r="K691" s="13">
        <v>46023</v>
      </c>
      <c r="L691" t="s">
        <v>1179</v>
      </c>
      <c r="M691" t="s">
        <v>54</v>
      </c>
      <c r="N691">
        <v>71072361</v>
      </c>
    </row>
    <row r="692" spans="1:14" x14ac:dyDescent="0.25">
      <c r="A692">
        <v>57376962</v>
      </c>
      <c r="B692" t="s">
        <v>2318</v>
      </c>
      <c r="C692" t="s">
        <v>2319</v>
      </c>
      <c r="D692" t="s">
        <v>2320</v>
      </c>
      <c r="E692">
        <v>7024169303</v>
      </c>
      <c r="F692" t="s">
        <v>780</v>
      </c>
      <c r="G692" t="s">
        <v>781</v>
      </c>
      <c r="I692" t="s">
        <v>20</v>
      </c>
      <c r="J692" s="13">
        <v>45951</v>
      </c>
      <c r="K692" s="13">
        <v>46023</v>
      </c>
      <c r="L692" t="s">
        <v>483</v>
      </c>
      <c r="M692" t="s">
        <v>56</v>
      </c>
      <c r="N692">
        <v>71073113</v>
      </c>
    </row>
    <row r="693" spans="1:14" x14ac:dyDescent="0.25">
      <c r="A693">
        <v>57377423</v>
      </c>
      <c r="B693" t="s">
        <v>548</v>
      </c>
      <c r="C693" t="s">
        <v>2321</v>
      </c>
      <c r="D693" t="s">
        <v>2322</v>
      </c>
      <c r="E693">
        <v>8479026559</v>
      </c>
      <c r="F693" t="s">
        <v>416</v>
      </c>
      <c r="G693" t="s">
        <v>417</v>
      </c>
      <c r="I693" t="s">
        <v>26</v>
      </c>
      <c r="J693" s="13">
        <v>45951</v>
      </c>
      <c r="K693" s="13">
        <v>46023</v>
      </c>
      <c r="L693" t="s">
        <v>497</v>
      </c>
      <c r="M693" t="s">
        <v>58</v>
      </c>
      <c r="N693">
        <v>71073457</v>
      </c>
    </row>
    <row r="694" spans="1:14" x14ac:dyDescent="0.25">
      <c r="A694">
        <v>57377610</v>
      </c>
      <c r="B694" t="s">
        <v>2323</v>
      </c>
      <c r="C694" t="s">
        <v>619</v>
      </c>
      <c r="D694" t="s">
        <v>2324</v>
      </c>
      <c r="E694">
        <v>4193106662</v>
      </c>
      <c r="F694" t="s">
        <v>649</v>
      </c>
      <c r="G694" t="s">
        <v>650</v>
      </c>
      <c r="I694" t="s">
        <v>28</v>
      </c>
      <c r="J694" s="13">
        <v>45951</v>
      </c>
      <c r="K694" s="13">
        <v>46023</v>
      </c>
      <c r="L694" t="s">
        <v>418</v>
      </c>
      <c r="M694" t="s">
        <v>56</v>
      </c>
      <c r="N694">
        <v>71073571</v>
      </c>
    </row>
    <row r="695" spans="1:14" x14ac:dyDescent="0.25">
      <c r="A695">
        <v>57377866</v>
      </c>
      <c r="B695" t="s">
        <v>1527</v>
      </c>
      <c r="C695" t="s">
        <v>2325</v>
      </c>
      <c r="D695" t="s">
        <v>2326</v>
      </c>
      <c r="E695">
        <v>5133206854</v>
      </c>
      <c r="F695" t="s">
        <v>790</v>
      </c>
      <c r="G695" t="s">
        <v>791</v>
      </c>
      <c r="I695" t="s">
        <v>119</v>
      </c>
      <c r="J695" s="13">
        <v>45951</v>
      </c>
      <c r="K695" s="13">
        <v>46023</v>
      </c>
      <c r="L695" t="s">
        <v>418</v>
      </c>
      <c r="M695" t="s">
        <v>56</v>
      </c>
      <c r="N695">
        <v>71073651</v>
      </c>
    </row>
    <row r="696" spans="1:14" x14ac:dyDescent="0.25">
      <c r="A696">
        <v>57377792</v>
      </c>
      <c r="B696" t="s">
        <v>980</v>
      </c>
      <c r="C696" t="s">
        <v>2327</v>
      </c>
      <c r="D696" t="s">
        <v>2328</v>
      </c>
      <c r="E696">
        <v>6788577219</v>
      </c>
      <c r="F696" t="s">
        <v>1142</v>
      </c>
      <c r="G696" t="s">
        <v>1143</v>
      </c>
      <c r="I696" t="s">
        <v>124</v>
      </c>
      <c r="J696" s="13">
        <v>45951</v>
      </c>
      <c r="K696" s="13">
        <v>46023</v>
      </c>
      <c r="L696" t="s">
        <v>434</v>
      </c>
      <c r="M696" t="s">
        <v>59</v>
      </c>
      <c r="N696">
        <v>71073785</v>
      </c>
    </row>
    <row r="697" spans="1:14" x14ac:dyDescent="0.25">
      <c r="A697">
        <v>57377851</v>
      </c>
      <c r="B697" t="s">
        <v>2329</v>
      </c>
      <c r="C697" t="s">
        <v>2330</v>
      </c>
      <c r="D697" t="s">
        <v>2331</v>
      </c>
      <c r="E697">
        <v>4076000386</v>
      </c>
      <c r="F697" t="s">
        <v>615</v>
      </c>
      <c r="G697" t="s">
        <v>616</v>
      </c>
      <c r="I697" t="s">
        <v>617</v>
      </c>
      <c r="J697" s="13">
        <v>45951</v>
      </c>
      <c r="K697" s="13">
        <v>46023</v>
      </c>
      <c r="L697" t="s">
        <v>497</v>
      </c>
      <c r="M697" t="s">
        <v>56</v>
      </c>
      <c r="N697">
        <v>71073823</v>
      </c>
    </row>
    <row r="698" spans="1:14" x14ac:dyDescent="0.25">
      <c r="A698">
        <v>57378041</v>
      </c>
      <c r="B698" t="s">
        <v>2332</v>
      </c>
      <c r="C698" t="s">
        <v>2333</v>
      </c>
      <c r="D698" t="s">
        <v>2334</v>
      </c>
      <c r="E698">
        <v>7578135533</v>
      </c>
      <c r="F698" t="s">
        <v>592</v>
      </c>
      <c r="G698" t="s">
        <v>593</v>
      </c>
      <c r="I698" t="s">
        <v>115</v>
      </c>
      <c r="J698" s="13">
        <v>45951</v>
      </c>
      <c r="K698" s="13">
        <v>46023</v>
      </c>
      <c r="L698" t="s">
        <v>454</v>
      </c>
      <c r="M698" t="s">
        <v>419</v>
      </c>
      <c r="N698">
        <v>71073909</v>
      </c>
    </row>
    <row r="699" spans="1:14" x14ac:dyDescent="0.25">
      <c r="A699">
        <v>57378365</v>
      </c>
      <c r="B699" t="s">
        <v>2335</v>
      </c>
      <c r="C699" t="s">
        <v>2336</v>
      </c>
      <c r="D699" t="s">
        <v>2337</v>
      </c>
      <c r="E699">
        <v>3184848061</v>
      </c>
      <c r="F699" t="s">
        <v>649</v>
      </c>
      <c r="G699" t="s">
        <v>650</v>
      </c>
      <c r="I699" t="s">
        <v>28</v>
      </c>
      <c r="J699" s="13">
        <v>45951</v>
      </c>
      <c r="K699" s="13">
        <v>46023</v>
      </c>
      <c r="L699" t="s">
        <v>612</v>
      </c>
      <c r="M699" t="s">
        <v>58</v>
      </c>
      <c r="N699">
        <v>71074130</v>
      </c>
    </row>
    <row r="700" spans="1:14" x14ac:dyDescent="0.25">
      <c r="A700">
        <v>57380964</v>
      </c>
      <c r="B700" t="s">
        <v>2338</v>
      </c>
      <c r="C700" t="s">
        <v>2339</v>
      </c>
      <c r="D700" t="s">
        <v>2340</v>
      </c>
      <c r="E700">
        <v>2145547870</v>
      </c>
      <c r="F700" t="s">
        <v>1200</v>
      </c>
      <c r="G700" t="s">
        <v>1201</v>
      </c>
      <c r="I700" t="s">
        <v>1202</v>
      </c>
      <c r="J700" s="13">
        <v>45952</v>
      </c>
      <c r="K700" s="13">
        <v>46023</v>
      </c>
      <c r="L700" t="s">
        <v>444</v>
      </c>
      <c r="M700" t="s">
        <v>55</v>
      </c>
      <c r="N700">
        <v>71076141</v>
      </c>
    </row>
    <row r="701" spans="1:14" x14ac:dyDescent="0.25">
      <c r="A701">
        <v>57381291</v>
      </c>
      <c r="B701" t="s">
        <v>2341</v>
      </c>
      <c r="C701" t="s">
        <v>2062</v>
      </c>
      <c r="D701" t="s">
        <v>2342</v>
      </c>
      <c r="E701">
        <v>3188539455</v>
      </c>
      <c r="F701" t="s">
        <v>842</v>
      </c>
      <c r="G701" t="s">
        <v>843</v>
      </c>
      <c r="I701" t="s">
        <v>98</v>
      </c>
      <c r="J701" s="13">
        <v>45952</v>
      </c>
      <c r="K701" s="13">
        <v>46023</v>
      </c>
      <c r="L701" t="s">
        <v>612</v>
      </c>
      <c r="M701" t="s">
        <v>58</v>
      </c>
      <c r="N701">
        <v>71076385</v>
      </c>
    </row>
    <row r="702" spans="1:14" x14ac:dyDescent="0.25">
      <c r="A702">
        <v>57381735</v>
      </c>
      <c r="B702" t="s">
        <v>1566</v>
      </c>
      <c r="C702" t="s">
        <v>964</v>
      </c>
      <c r="D702" t="s">
        <v>2343</v>
      </c>
      <c r="E702">
        <v>7573437011</v>
      </c>
      <c r="F702" t="s">
        <v>462</v>
      </c>
      <c r="G702" t="s">
        <v>463</v>
      </c>
      <c r="I702" t="s">
        <v>39</v>
      </c>
      <c r="J702" s="13">
        <v>45952</v>
      </c>
      <c r="K702" s="13">
        <v>46023</v>
      </c>
      <c r="L702" t="s">
        <v>418</v>
      </c>
      <c r="M702" t="s">
        <v>59</v>
      </c>
      <c r="N702">
        <v>71076671</v>
      </c>
    </row>
    <row r="703" spans="1:14" x14ac:dyDescent="0.25">
      <c r="A703">
        <v>57381888</v>
      </c>
      <c r="B703" t="s">
        <v>787</v>
      </c>
      <c r="C703" t="s">
        <v>2344</v>
      </c>
      <c r="D703" t="s">
        <v>2345</v>
      </c>
      <c r="E703">
        <v>2193809194</v>
      </c>
      <c r="F703" t="s">
        <v>537</v>
      </c>
      <c r="G703" t="s">
        <v>538</v>
      </c>
      <c r="I703" t="s">
        <v>49</v>
      </c>
      <c r="J703" s="13">
        <v>45952</v>
      </c>
      <c r="K703" s="13">
        <v>46023</v>
      </c>
      <c r="L703" t="s">
        <v>440</v>
      </c>
      <c r="M703" t="s">
        <v>59</v>
      </c>
      <c r="N703">
        <v>71076778</v>
      </c>
    </row>
    <row r="704" spans="1:14" x14ac:dyDescent="0.25">
      <c r="A704">
        <v>57381891</v>
      </c>
      <c r="B704" t="s">
        <v>2346</v>
      </c>
      <c r="C704" t="s">
        <v>2347</v>
      </c>
      <c r="D704" t="s">
        <v>2348</v>
      </c>
      <c r="E704">
        <v>8307777704</v>
      </c>
      <c r="F704" t="s">
        <v>928</v>
      </c>
      <c r="G704" t="s">
        <v>929</v>
      </c>
      <c r="I704" t="s">
        <v>30</v>
      </c>
      <c r="J704" s="13">
        <v>45952</v>
      </c>
      <c r="K704" s="13">
        <v>46023</v>
      </c>
      <c r="L704" t="s">
        <v>444</v>
      </c>
      <c r="M704" t="s">
        <v>59</v>
      </c>
      <c r="N704">
        <v>71076783</v>
      </c>
    </row>
    <row r="705" spans="1:14" x14ac:dyDescent="0.25">
      <c r="A705">
        <v>57381975</v>
      </c>
      <c r="B705" t="s">
        <v>552</v>
      </c>
      <c r="C705" t="s">
        <v>619</v>
      </c>
      <c r="D705" t="s">
        <v>2349</v>
      </c>
      <c r="E705">
        <v>7068801185</v>
      </c>
      <c r="F705" t="s">
        <v>1142</v>
      </c>
      <c r="G705" t="s">
        <v>1143</v>
      </c>
      <c r="I705" t="s">
        <v>124</v>
      </c>
      <c r="J705" s="13">
        <v>45952</v>
      </c>
      <c r="K705" s="13">
        <v>46023</v>
      </c>
      <c r="L705" t="s">
        <v>621</v>
      </c>
      <c r="M705" t="s">
        <v>56</v>
      </c>
      <c r="N705">
        <v>71076835</v>
      </c>
    </row>
    <row r="706" spans="1:14" x14ac:dyDescent="0.25">
      <c r="A706">
        <v>57382025</v>
      </c>
      <c r="B706" t="s">
        <v>2193</v>
      </c>
      <c r="C706" t="s">
        <v>1258</v>
      </c>
      <c r="D706" t="s">
        <v>2350</v>
      </c>
      <c r="E706">
        <v>4043883489</v>
      </c>
      <c r="F706" t="s">
        <v>1003</v>
      </c>
      <c r="G706" t="s">
        <v>1004</v>
      </c>
      <c r="I706" t="s">
        <v>89</v>
      </c>
      <c r="J706" s="13">
        <v>45952</v>
      </c>
      <c r="K706" s="13">
        <v>46023</v>
      </c>
      <c r="L706" t="s">
        <v>621</v>
      </c>
      <c r="M706" t="s">
        <v>56</v>
      </c>
      <c r="N706">
        <v>71076868</v>
      </c>
    </row>
    <row r="707" spans="1:14" x14ac:dyDescent="0.25">
      <c r="A707">
        <v>57382230</v>
      </c>
      <c r="B707" t="s">
        <v>476</v>
      </c>
      <c r="C707" t="s">
        <v>2351</v>
      </c>
      <c r="D707" t="s">
        <v>2352</v>
      </c>
      <c r="E707">
        <v>8506020599</v>
      </c>
      <c r="F707" t="s">
        <v>684</v>
      </c>
      <c r="G707" t="s">
        <v>685</v>
      </c>
      <c r="I707" t="s">
        <v>686</v>
      </c>
      <c r="J707" s="13">
        <v>45952</v>
      </c>
      <c r="K707" s="13">
        <v>46023</v>
      </c>
      <c r="L707" t="s">
        <v>497</v>
      </c>
      <c r="M707" t="s">
        <v>56</v>
      </c>
      <c r="N707">
        <v>71077012</v>
      </c>
    </row>
    <row r="708" spans="1:14" x14ac:dyDescent="0.25">
      <c r="A708">
        <v>57382254</v>
      </c>
      <c r="B708" t="s">
        <v>1872</v>
      </c>
      <c r="C708" t="s">
        <v>2353</v>
      </c>
      <c r="D708" t="s">
        <v>2354</v>
      </c>
      <c r="E708">
        <v>2078068656</v>
      </c>
      <c r="F708" t="s">
        <v>416</v>
      </c>
      <c r="G708" t="s">
        <v>417</v>
      </c>
      <c r="I708" t="s">
        <v>26</v>
      </c>
      <c r="J708" s="13">
        <v>45952</v>
      </c>
      <c r="K708" s="13">
        <v>46023</v>
      </c>
      <c r="L708" t="s">
        <v>941</v>
      </c>
      <c r="M708" t="s">
        <v>56</v>
      </c>
      <c r="N708">
        <v>71077042</v>
      </c>
    </row>
    <row r="709" spans="1:14" x14ac:dyDescent="0.25">
      <c r="A709">
        <v>57382417</v>
      </c>
      <c r="B709" t="s">
        <v>1041</v>
      </c>
      <c r="C709" t="s">
        <v>2299</v>
      </c>
      <c r="D709" t="s">
        <v>2355</v>
      </c>
      <c r="E709">
        <v>8032926637</v>
      </c>
      <c r="F709" t="s">
        <v>790</v>
      </c>
      <c r="G709" t="s">
        <v>791</v>
      </c>
      <c r="I709" t="s">
        <v>119</v>
      </c>
      <c r="J709" s="13">
        <v>45952</v>
      </c>
      <c r="K709" s="13">
        <v>46023</v>
      </c>
      <c r="L709" t="s">
        <v>470</v>
      </c>
      <c r="M709" t="s">
        <v>56</v>
      </c>
      <c r="N709">
        <v>71077166</v>
      </c>
    </row>
    <row r="710" spans="1:14" x14ac:dyDescent="0.25">
      <c r="A710">
        <v>57382409</v>
      </c>
      <c r="B710" t="s">
        <v>1784</v>
      </c>
      <c r="C710" t="s">
        <v>2356</v>
      </c>
      <c r="D710" t="s">
        <v>2357</v>
      </c>
      <c r="E710">
        <v>3862652539</v>
      </c>
      <c r="F710" t="s">
        <v>798</v>
      </c>
      <c r="G710" t="s">
        <v>799</v>
      </c>
      <c r="I710" t="s">
        <v>800</v>
      </c>
      <c r="J710" s="13">
        <v>45952</v>
      </c>
      <c r="K710" s="13">
        <v>46023</v>
      </c>
      <c r="L710" t="s">
        <v>497</v>
      </c>
      <c r="M710" t="s">
        <v>58</v>
      </c>
      <c r="N710">
        <v>71077180</v>
      </c>
    </row>
    <row r="711" spans="1:14" x14ac:dyDescent="0.25">
      <c r="A711">
        <v>57382419</v>
      </c>
      <c r="B711" t="s">
        <v>1089</v>
      </c>
      <c r="C711" t="s">
        <v>2358</v>
      </c>
      <c r="D711" t="s">
        <v>2359</v>
      </c>
      <c r="E711">
        <v>3186479409</v>
      </c>
      <c r="F711" t="s">
        <v>569</v>
      </c>
      <c r="G711" t="s">
        <v>570</v>
      </c>
      <c r="I711" t="s">
        <v>34</v>
      </c>
      <c r="J711" s="13">
        <v>45952</v>
      </c>
      <c r="K711" s="13">
        <v>46023</v>
      </c>
      <c r="L711" t="s">
        <v>612</v>
      </c>
      <c r="M711" t="s">
        <v>58</v>
      </c>
      <c r="N711">
        <v>71077184</v>
      </c>
    </row>
    <row r="712" spans="1:14" x14ac:dyDescent="0.25">
      <c r="A712">
        <v>57382529</v>
      </c>
      <c r="B712" t="s">
        <v>2360</v>
      </c>
      <c r="C712" t="s">
        <v>2361</v>
      </c>
      <c r="D712" t="s">
        <v>2362</v>
      </c>
      <c r="E712">
        <v>2252664849</v>
      </c>
      <c r="F712" t="s">
        <v>592</v>
      </c>
      <c r="G712" t="s">
        <v>593</v>
      </c>
      <c r="I712" t="s">
        <v>115</v>
      </c>
      <c r="J712" s="13">
        <v>45952</v>
      </c>
      <c r="K712" s="13">
        <v>46023</v>
      </c>
      <c r="L712" t="s">
        <v>612</v>
      </c>
      <c r="M712" t="s">
        <v>56</v>
      </c>
      <c r="N712">
        <v>71077259</v>
      </c>
    </row>
    <row r="713" spans="1:14" x14ac:dyDescent="0.25">
      <c r="A713">
        <v>57382862</v>
      </c>
      <c r="B713" t="s">
        <v>1991</v>
      </c>
      <c r="C713" t="s">
        <v>2363</v>
      </c>
      <c r="D713" t="s">
        <v>2364</v>
      </c>
      <c r="E713">
        <v>7083210520</v>
      </c>
      <c r="F713" t="s">
        <v>448</v>
      </c>
      <c r="G713" t="s">
        <v>449</v>
      </c>
      <c r="I713" t="s">
        <v>31</v>
      </c>
      <c r="J713" s="13">
        <v>45952</v>
      </c>
      <c r="K713" s="13">
        <v>46023</v>
      </c>
      <c r="L713" t="s">
        <v>470</v>
      </c>
      <c r="M713" t="s">
        <v>56</v>
      </c>
      <c r="N713">
        <v>71077494</v>
      </c>
    </row>
    <row r="714" spans="1:14" x14ac:dyDescent="0.25">
      <c r="A714">
        <v>57383101</v>
      </c>
      <c r="B714" t="s">
        <v>2365</v>
      </c>
      <c r="C714" t="s">
        <v>2366</v>
      </c>
      <c r="D714" t="s">
        <v>2367</v>
      </c>
      <c r="E714">
        <v>2076740030</v>
      </c>
      <c r="F714" t="s">
        <v>1444</v>
      </c>
      <c r="G714" t="s">
        <v>1445</v>
      </c>
      <c r="I714" t="s">
        <v>1446</v>
      </c>
      <c r="J714" s="13">
        <v>45952</v>
      </c>
      <c r="K714" s="13">
        <v>46023</v>
      </c>
      <c r="L714" t="s">
        <v>941</v>
      </c>
      <c r="M714" t="s">
        <v>419</v>
      </c>
      <c r="N714">
        <v>71077674</v>
      </c>
    </row>
    <row r="715" spans="1:14" x14ac:dyDescent="0.25">
      <c r="A715">
        <v>57384078</v>
      </c>
      <c r="B715" t="s">
        <v>1176</v>
      </c>
      <c r="C715" t="s">
        <v>2368</v>
      </c>
      <c r="D715" t="s">
        <v>2369</v>
      </c>
      <c r="E715">
        <v>6362097669</v>
      </c>
      <c r="F715" t="s">
        <v>693</v>
      </c>
      <c r="G715" t="s">
        <v>694</v>
      </c>
      <c r="I715" t="s">
        <v>103</v>
      </c>
      <c r="J715" s="13">
        <v>45952</v>
      </c>
      <c r="K715" s="13">
        <v>46023</v>
      </c>
      <c r="L715" t="s">
        <v>434</v>
      </c>
      <c r="M715" t="s">
        <v>56</v>
      </c>
      <c r="N715">
        <v>71078811</v>
      </c>
    </row>
    <row r="716" spans="1:14" x14ac:dyDescent="0.25">
      <c r="A716">
        <v>57385222</v>
      </c>
      <c r="B716" t="s">
        <v>2370</v>
      </c>
      <c r="C716" t="s">
        <v>2371</v>
      </c>
      <c r="D716" t="s">
        <v>2372</v>
      </c>
      <c r="E716">
        <v>7276927708</v>
      </c>
      <c r="F716" t="s">
        <v>574</v>
      </c>
      <c r="G716" t="s">
        <v>575</v>
      </c>
      <c r="I716" t="s">
        <v>14</v>
      </c>
      <c r="J716" s="13">
        <v>45952</v>
      </c>
      <c r="K716" s="13">
        <v>46023</v>
      </c>
      <c r="L716" t="s">
        <v>497</v>
      </c>
      <c r="M716" t="s">
        <v>56</v>
      </c>
      <c r="N716">
        <v>71079526</v>
      </c>
    </row>
    <row r="717" spans="1:14" x14ac:dyDescent="0.25">
      <c r="A717">
        <v>57385542</v>
      </c>
      <c r="B717" t="s">
        <v>2373</v>
      </c>
      <c r="C717" t="s">
        <v>2374</v>
      </c>
      <c r="D717" t="s">
        <v>2375</v>
      </c>
      <c r="E717">
        <v>2247161350</v>
      </c>
      <c r="F717" t="s">
        <v>423</v>
      </c>
      <c r="G717" t="s">
        <v>424</v>
      </c>
      <c r="I717" t="s">
        <v>46</v>
      </c>
      <c r="J717" s="13">
        <v>45952</v>
      </c>
      <c r="K717" s="13">
        <v>46023</v>
      </c>
      <c r="L717" t="s">
        <v>470</v>
      </c>
      <c r="M717" t="s">
        <v>60</v>
      </c>
      <c r="N717">
        <v>71079574</v>
      </c>
    </row>
    <row r="718" spans="1:14" x14ac:dyDescent="0.25">
      <c r="A718">
        <v>57385469</v>
      </c>
      <c r="B718" t="s">
        <v>1373</v>
      </c>
      <c r="C718" t="s">
        <v>2376</v>
      </c>
      <c r="D718" t="s">
        <v>2377</v>
      </c>
      <c r="E718">
        <v>9048923343</v>
      </c>
      <c r="F718" t="s">
        <v>474</v>
      </c>
      <c r="G718" t="s">
        <v>475</v>
      </c>
      <c r="I718" t="s">
        <v>132</v>
      </c>
      <c r="J718" s="13">
        <v>45952</v>
      </c>
      <c r="K718" s="13">
        <v>46023</v>
      </c>
      <c r="L718" t="s">
        <v>497</v>
      </c>
      <c r="M718" t="s">
        <v>56</v>
      </c>
      <c r="N718">
        <v>71079715</v>
      </c>
    </row>
    <row r="719" spans="1:14" x14ac:dyDescent="0.25">
      <c r="A719">
        <v>57385789</v>
      </c>
      <c r="B719" t="s">
        <v>1385</v>
      </c>
      <c r="C719" t="s">
        <v>1173</v>
      </c>
      <c r="D719" t="s">
        <v>2378</v>
      </c>
      <c r="E719">
        <v>6824450111</v>
      </c>
      <c r="F719" t="s">
        <v>649</v>
      </c>
      <c r="G719" t="s">
        <v>650</v>
      </c>
      <c r="I719" t="s">
        <v>28</v>
      </c>
      <c r="J719" s="13">
        <v>45952</v>
      </c>
      <c r="K719" s="13">
        <v>46023</v>
      </c>
      <c r="L719" t="s">
        <v>444</v>
      </c>
      <c r="M719" t="s">
        <v>55</v>
      </c>
      <c r="N719">
        <v>71079921</v>
      </c>
    </row>
    <row r="720" spans="1:14" x14ac:dyDescent="0.25">
      <c r="A720">
        <v>57385944</v>
      </c>
      <c r="B720" t="s">
        <v>1448</v>
      </c>
      <c r="C720" t="s">
        <v>2379</v>
      </c>
      <c r="D720" t="s">
        <v>2380</v>
      </c>
      <c r="E720">
        <v>4349427945</v>
      </c>
      <c r="F720" t="s">
        <v>684</v>
      </c>
      <c r="G720" t="s">
        <v>685</v>
      </c>
      <c r="I720" t="s">
        <v>686</v>
      </c>
      <c r="J720" s="13">
        <v>45952</v>
      </c>
      <c r="K720" s="13">
        <v>46023</v>
      </c>
      <c r="L720" t="s">
        <v>454</v>
      </c>
      <c r="M720" t="s">
        <v>419</v>
      </c>
      <c r="N720">
        <v>71080012</v>
      </c>
    </row>
    <row r="721" spans="1:14" x14ac:dyDescent="0.25">
      <c r="A721">
        <v>57386009</v>
      </c>
      <c r="B721" t="s">
        <v>2381</v>
      </c>
      <c r="C721" t="s">
        <v>2382</v>
      </c>
      <c r="D721" t="s">
        <v>2383</v>
      </c>
      <c r="E721">
        <v>6024250869</v>
      </c>
      <c r="F721" t="s">
        <v>993</v>
      </c>
      <c r="G721" t="s">
        <v>994</v>
      </c>
      <c r="I721" t="s">
        <v>995</v>
      </c>
      <c r="J721" s="13">
        <v>45952</v>
      </c>
      <c r="K721" s="13">
        <v>46023</v>
      </c>
      <c r="L721" t="s">
        <v>1179</v>
      </c>
      <c r="M721" t="s">
        <v>59</v>
      </c>
      <c r="N721">
        <v>71080074</v>
      </c>
    </row>
    <row r="722" spans="1:14" x14ac:dyDescent="0.25">
      <c r="A722">
        <v>57386041</v>
      </c>
      <c r="B722" t="s">
        <v>2384</v>
      </c>
      <c r="C722" t="s">
        <v>564</v>
      </c>
      <c r="D722" t="s">
        <v>2385</v>
      </c>
      <c r="E722">
        <v>5742296830</v>
      </c>
      <c r="F722" t="s">
        <v>815</v>
      </c>
      <c r="G722" t="s">
        <v>816</v>
      </c>
      <c r="I722" t="s">
        <v>23</v>
      </c>
      <c r="J722" s="13">
        <v>45952</v>
      </c>
      <c r="K722" s="13">
        <v>46023</v>
      </c>
      <c r="L722" t="s">
        <v>440</v>
      </c>
      <c r="M722" t="s">
        <v>419</v>
      </c>
      <c r="N722">
        <v>71080105</v>
      </c>
    </row>
    <row r="723" spans="1:14" x14ac:dyDescent="0.25">
      <c r="A723">
        <v>57386228</v>
      </c>
      <c r="B723" t="s">
        <v>2277</v>
      </c>
      <c r="C723" t="s">
        <v>1258</v>
      </c>
      <c r="D723" t="s">
        <v>2386</v>
      </c>
      <c r="E723">
        <v>9796802539</v>
      </c>
      <c r="F723" t="s">
        <v>1013</v>
      </c>
      <c r="G723" t="s">
        <v>1014</v>
      </c>
      <c r="I723" t="s">
        <v>43</v>
      </c>
      <c r="J723" s="13">
        <v>45952</v>
      </c>
      <c r="K723" s="13">
        <v>46023</v>
      </c>
      <c r="L723" t="s">
        <v>444</v>
      </c>
      <c r="M723" t="s">
        <v>58</v>
      </c>
      <c r="N723">
        <v>71080253</v>
      </c>
    </row>
    <row r="724" spans="1:14" x14ac:dyDescent="0.25">
      <c r="A724">
        <v>57386350</v>
      </c>
      <c r="B724" t="s">
        <v>2387</v>
      </c>
      <c r="C724" t="s">
        <v>2388</v>
      </c>
      <c r="D724" t="s">
        <v>2389</v>
      </c>
      <c r="E724">
        <v>5205616261</v>
      </c>
      <c r="F724" t="s">
        <v>1345</v>
      </c>
      <c r="G724" t="s">
        <v>799</v>
      </c>
      <c r="I724" t="s">
        <v>47</v>
      </c>
      <c r="J724" s="13">
        <v>45952</v>
      </c>
      <c r="K724" s="13">
        <v>46023</v>
      </c>
      <c r="L724" t="s">
        <v>1179</v>
      </c>
      <c r="M724" t="s">
        <v>54</v>
      </c>
      <c r="N724">
        <v>71080362</v>
      </c>
    </row>
    <row r="725" spans="1:14" x14ac:dyDescent="0.25">
      <c r="A725">
        <v>57386553</v>
      </c>
      <c r="B725" t="s">
        <v>2277</v>
      </c>
      <c r="C725" t="s">
        <v>2390</v>
      </c>
      <c r="D725" t="s">
        <v>2391</v>
      </c>
      <c r="E725">
        <v>9453494042</v>
      </c>
      <c r="F725" t="s">
        <v>842</v>
      </c>
      <c r="G725" t="s">
        <v>843</v>
      </c>
      <c r="I725" t="s">
        <v>98</v>
      </c>
      <c r="J725" s="13">
        <v>45952</v>
      </c>
      <c r="K725" s="13">
        <v>46023</v>
      </c>
      <c r="L725" t="s">
        <v>444</v>
      </c>
      <c r="M725" t="s">
        <v>56</v>
      </c>
      <c r="N725">
        <v>71080520</v>
      </c>
    </row>
    <row r="726" spans="1:14" x14ac:dyDescent="0.25">
      <c r="A726">
        <v>57387128</v>
      </c>
      <c r="B726" t="s">
        <v>2392</v>
      </c>
      <c r="C726" t="s">
        <v>2393</v>
      </c>
      <c r="D726" t="s">
        <v>2394</v>
      </c>
      <c r="E726">
        <v>6186387530</v>
      </c>
      <c r="F726" t="s">
        <v>423</v>
      </c>
      <c r="G726" t="s">
        <v>424</v>
      </c>
      <c r="I726" t="s">
        <v>46</v>
      </c>
      <c r="J726" s="13">
        <v>45952</v>
      </c>
      <c r="K726" s="13">
        <v>46023</v>
      </c>
      <c r="L726" t="s">
        <v>470</v>
      </c>
      <c r="M726" t="s">
        <v>60</v>
      </c>
      <c r="N726">
        <v>71080744</v>
      </c>
    </row>
    <row r="727" spans="1:14" x14ac:dyDescent="0.25">
      <c r="A727">
        <v>57387012</v>
      </c>
      <c r="B727" t="s">
        <v>2395</v>
      </c>
      <c r="C727" t="s">
        <v>2396</v>
      </c>
      <c r="D727" t="s">
        <v>2397</v>
      </c>
      <c r="E727">
        <v>7024673367</v>
      </c>
      <c r="F727" t="s">
        <v>780</v>
      </c>
      <c r="G727" t="s">
        <v>781</v>
      </c>
      <c r="I727" t="s">
        <v>20</v>
      </c>
      <c r="J727" s="13">
        <v>45952</v>
      </c>
      <c r="K727" s="13">
        <v>46023</v>
      </c>
      <c r="L727" t="s">
        <v>483</v>
      </c>
      <c r="M727" t="s">
        <v>56</v>
      </c>
      <c r="N727">
        <v>71080886</v>
      </c>
    </row>
    <row r="728" spans="1:14" x14ac:dyDescent="0.25">
      <c r="A728">
        <v>57387528</v>
      </c>
      <c r="B728" t="s">
        <v>888</v>
      </c>
      <c r="C728" t="s">
        <v>981</v>
      </c>
      <c r="D728" t="s">
        <v>2398</v>
      </c>
      <c r="E728">
        <v>7062996304</v>
      </c>
      <c r="F728" t="s">
        <v>628</v>
      </c>
      <c r="G728" t="s">
        <v>629</v>
      </c>
      <c r="I728" t="s">
        <v>24</v>
      </c>
      <c r="J728" s="13">
        <v>45952</v>
      </c>
      <c r="K728" s="13">
        <v>46023</v>
      </c>
      <c r="L728" t="s">
        <v>621</v>
      </c>
      <c r="M728" t="s">
        <v>58</v>
      </c>
      <c r="N728">
        <v>71081242</v>
      </c>
    </row>
    <row r="729" spans="1:14" x14ac:dyDescent="0.25">
      <c r="A729">
        <v>57388315</v>
      </c>
      <c r="B729" t="s">
        <v>1342</v>
      </c>
      <c r="C729" t="s">
        <v>1343</v>
      </c>
      <c r="D729" t="s">
        <v>1344</v>
      </c>
      <c r="E729">
        <v>9282231978</v>
      </c>
      <c r="F729" t="s">
        <v>1345</v>
      </c>
      <c r="G729" t="s">
        <v>799</v>
      </c>
      <c r="I729" t="s">
        <v>47</v>
      </c>
      <c r="J729" s="13">
        <v>45945</v>
      </c>
      <c r="K729" s="13">
        <v>46023</v>
      </c>
      <c r="L729" t="s">
        <v>1179</v>
      </c>
      <c r="M729" t="s">
        <v>54</v>
      </c>
      <c r="N729">
        <v>71081489</v>
      </c>
    </row>
    <row r="730" spans="1:14" x14ac:dyDescent="0.25">
      <c r="A730">
        <v>57387952</v>
      </c>
      <c r="B730" t="s">
        <v>2399</v>
      </c>
      <c r="C730" t="s">
        <v>2400</v>
      </c>
      <c r="D730" t="s">
        <v>2401</v>
      </c>
      <c r="E730">
        <v>2622592283</v>
      </c>
      <c r="F730" t="s">
        <v>1003</v>
      </c>
      <c r="G730" t="s">
        <v>1004</v>
      </c>
      <c r="I730" t="s">
        <v>89</v>
      </c>
      <c r="J730" s="13">
        <v>45952</v>
      </c>
      <c r="K730" s="13">
        <v>46023</v>
      </c>
      <c r="L730" t="s">
        <v>675</v>
      </c>
      <c r="M730" t="s">
        <v>58</v>
      </c>
      <c r="N730">
        <v>71081521</v>
      </c>
    </row>
    <row r="731" spans="1:14" x14ac:dyDescent="0.25">
      <c r="A731">
        <v>57388809</v>
      </c>
      <c r="B731" t="s">
        <v>2402</v>
      </c>
      <c r="C731" t="s">
        <v>2403</v>
      </c>
      <c r="D731" t="s">
        <v>2404</v>
      </c>
      <c r="E731">
        <v>8038172504</v>
      </c>
      <c r="F731" t="s">
        <v>551</v>
      </c>
      <c r="G731" t="s">
        <v>552</v>
      </c>
      <c r="I731" t="s">
        <v>42</v>
      </c>
      <c r="J731" s="13">
        <v>45952</v>
      </c>
      <c r="K731" s="13">
        <v>46023</v>
      </c>
      <c r="L731" t="s">
        <v>533</v>
      </c>
      <c r="M731" t="s">
        <v>60</v>
      </c>
      <c r="N731">
        <v>71082096</v>
      </c>
    </row>
    <row r="732" spans="1:14" x14ac:dyDescent="0.25">
      <c r="A732">
        <v>57388736</v>
      </c>
      <c r="B732" t="s">
        <v>2405</v>
      </c>
      <c r="C732" t="s">
        <v>2059</v>
      </c>
      <c r="D732" t="s">
        <v>2406</v>
      </c>
      <c r="E732">
        <v>3612834666</v>
      </c>
      <c r="F732" t="s">
        <v>828</v>
      </c>
      <c r="G732" t="s">
        <v>1148</v>
      </c>
      <c r="I732" t="s">
        <v>17</v>
      </c>
      <c r="J732" s="13">
        <v>45952</v>
      </c>
      <c r="K732" s="13">
        <v>46023</v>
      </c>
      <c r="L732" t="s">
        <v>444</v>
      </c>
      <c r="M732" t="s">
        <v>56</v>
      </c>
      <c r="N732">
        <v>71082131</v>
      </c>
    </row>
    <row r="733" spans="1:14" x14ac:dyDescent="0.25">
      <c r="A733">
        <v>57388784</v>
      </c>
      <c r="B733" t="s">
        <v>1524</v>
      </c>
      <c r="C733" t="s">
        <v>1228</v>
      </c>
      <c r="D733" t="s">
        <v>2407</v>
      </c>
      <c r="E733">
        <v>7579443266</v>
      </c>
      <c r="F733" t="s">
        <v>1200</v>
      </c>
      <c r="G733" t="s">
        <v>1201</v>
      </c>
      <c r="I733" t="s">
        <v>1202</v>
      </c>
      <c r="J733" s="13">
        <v>45952</v>
      </c>
      <c r="K733" s="13">
        <v>46023</v>
      </c>
      <c r="L733" t="s">
        <v>454</v>
      </c>
      <c r="M733" t="s">
        <v>56</v>
      </c>
      <c r="N733">
        <v>71082158</v>
      </c>
    </row>
    <row r="734" spans="1:14" x14ac:dyDescent="0.25">
      <c r="A734">
        <v>57389029</v>
      </c>
      <c r="B734" t="s">
        <v>2408</v>
      </c>
      <c r="C734" t="s">
        <v>2409</v>
      </c>
      <c r="D734" t="s">
        <v>2410</v>
      </c>
      <c r="E734">
        <v>6023426860</v>
      </c>
      <c r="F734" t="s">
        <v>474</v>
      </c>
      <c r="G734" t="s">
        <v>475</v>
      </c>
      <c r="I734" t="s">
        <v>132</v>
      </c>
      <c r="J734" s="13">
        <v>45952</v>
      </c>
      <c r="K734" s="13">
        <v>46023</v>
      </c>
      <c r="L734" t="s">
        <v>1179</v>
      </c>
      <c r="M734" t="s">
        <v>54</v>
      </c>
      <c r="N734">
        <v>71082357</v>
      </c>
    </row>
    <row r="735" spans="1:14" x14ac:dyDescent="0.25">
      <c r="A735">
        <v>57389137</v>
      </c>
      <c r="B735" t="s">
        <v>524</v>
      </c>
      <c r="C735" t="s">
        <v>1287</v>
      </c>
      <c r="D735" t="s">
        <v>2411</v>
      </c>
      <c r="E735">
        <v>9402200519</v>
      </c>
      <c r="F735" t="s">
        <v>770</v>
      </c>
      <c r="G735" t="s">
        <v>771</v>
      </c>
      <c r="I735" t="s">
        <v>25</v>
      </c>
      <c r="J735" s="13">
        <v>45952</v>
      </c>
      <c r="K735" s="13">
        <v>46023</v>
      </c>
      <c r="L735" t="s">
        <v>444</v>
      </c>
      <c r="M735" t="s">
        <v>56</v>
      </c>
      <c r="N735">
        <v>71082444</v>
      </c>
    </row>
    <row r="736" spans="1:14" x14ac:dyDescent="0.25">
      <c r="A736">
        <v>57389305</v>
      </c>
      <c r="B736" t="s">
        <v>737</v>
      </c>
      <c r="C736" t="s">
        <v>1865</v>
      </c>
      <c r="D736" t="s">
        <v>2412</v>
      </c>
      <c r="E736">
        <v>9413123317</v>
      </c>
      <c r="F736" t="s">
        <v>684</v>
      </c>
      <c r="G736" t="s">
        <v>685</v>
      </c>
      <c r="I736" t="s">
        <v>686</v>
      </c>
      <c r="J736" s="13">
        <v>45952</v>
      </c>
      <c r="K736" s="13">
        <v>46023</v>
      </c>
      <c r="L736" t="s">
        <v>497</v>
      </c>
      <c r="M736" t="s">
        <v>56</v>
      </c>
      <c r="N736">
        <v>71082537</v>
      </c>
    </row>
    <row r="737" spans="1:14" x14ac:dyDescent="0.25">
      <c r="A737">
        <v>57389429</v>
      </c>
      <c r="B737" t="s">
        <v>2413</v>
      </c>
      <c r="C737" t="s">
        <v>2414</v>
      </c>
      <c r="D737" t="s">
        <v>2415</v>
      </c>
      <c r="E737" t="s">
        <v>2416</v>
      </c>
      <c r="F737" t="s">
        <v>1147</v>
      </c>
      <c r="G737" t="s">
        <v>1148</v>
      </c>
      <c r="I737" t="s">
        <v>41</v>
      </c>
      <c r="J737" s="13">
        <v>45952</v>
      </c>
      <c r="K737" s="13">
        <v>46023</v>
      </c>
      <c r="L737" t="s">
        <v>612</v>
      </c>
      <c r="M737" t="s">
        <v>56</v>
      </c>
      <c r="N737">
        <v>71082654</v>
      </c>
    </row>
    <row r="738" spans="1:14" x14ac:dyDescent="0.25">
      <c r="A738">
        <v>57389599</v>
      </c>
      <c r="B738" t="s">
        <v>1759</v>
      </c>
      <c r="C738" t="s">
        <v>1065</v>
      </c>
      <c r="D738" t="s">
        <v>2417</v>
      </c>
      <c r="E738">
        <v>9832085970</v>
      </c>
      <c r="F738" t="s">
        <v>790</v>
      </c>
      <c r="G738" t="s">
        <v>791</v>
      </c>
      <c r="I738" t="s">
        <v>119</v>
      </c>
      <c r="J738" s="13">
        <v>45952</v>
      </c>
      <c r="K738" s="13">
        <v>46023</v>
      </c>
      <c r="L738" t="s">
        <v>539</v>
      </c>
      <c r="M738" t="s">
        <v>56</v>
      </c>
      <c r="N738">
        <v>71083098</v>
      </c>
    </row>
    <row r="739" spans="1:14" x14ac:dyDescent="0.25">
      <c r="A739">
        <v>57390025</v>
      </c>
      <c r="B739" t="s">
        <v>2418</v>
      </c>
      <c r="C739" t="s">
        <v>2419</v>
      </c>
      <c r="D739" t="s">
        <v>2420</v>
      </c>
      <c r="E739">
        <v>3175078635</v>
      </c>
      <c r="F739" t="s">
        <v>821</v>
      </c>
      <c r="G739" t="s">
        <v>822</v>
      </c>
      <c r="I739" t="s">
        <v>823</v>
      </c>
      <c r="J739" s="13">
        <v>45952</v>
      </c>
      <c r="K739" s="13">
        <v>46023</v>
      </c>
      <c r="L739" t="s">
        <v>440</v>
      </c>
      <c r="M739" t="s">
        <v>58</v>
      </c>
      <c r="N739">
        <v>71083681</v>
      </c>
    </row>
    <row r="740" spans="1:14" x14ac:dyDescent="0.25">
      <c r="A740">
        <v>57390192</v>
      </c>
      <c r="B740" t="s">
        <v>2421</v>
      </c>
      <c r="C740" t="s">
        <v>2422</v>
      </c>
      <c r="D740" t="s">
        <v>2423</v>
      </c>
      <c r="E740">
        <v>7373984207</v>
      </c>
      <c r="F740" t="s">
        <v>1142</v>
      </c>
      <c r="G740" t="s">
        <v>1143</v>
      </c>
      <c r="I740" t="s">
        <v>124</v>
      </c>
      <c r="J740" s="13">
        <v>45952</v>
      </c>
      <c r="K740" s="13">
        <v>46023</v>
      </c>
      <c r="L740" t="s">
        <v>444</v>
      </c>
      <c r="M740" t="s">
        <v>56</v>
      </c>
      <c r="N740">
        <v>71084243</v>
      </c>
    </row>
    <row r="741" spans="1:14" x14ac:dyDescent="0.25">
      <c r="A741">
        <v>57390292</v>
      </c>
      <c r="B741" t="s">
        <v>604</v>
      </c>
      <c r="C741" t="s">
        <v>2424</v>
      </c>
      <c r="D741" t="s">
        <v>2425</v>
      </c>
      <c r="E741">
        <v>2529047510</v>
      </c>
      <c r="F741" t="s">
        <v>693</v>
      </c>
      <c r="G741" t="s">
        <v>694</v>
      </c>
      <c r="I741" t="s">
        <v>103</v>
      </c>
      <c r="J741" s="13">
        <v>45952</v>
      </c>
      <c r="K741" s="13">
        <v>46023</v>
      </c>
      <c r="L741" t="s">
        <v>444</v>
      </c>
      <c r="M741" t="s">
        <v>56</v>
      </c>
      <c r="N741">
        <v>71084337</v>
      </c>
    </row>
    <row r="742" spans="1:14" x14ac:dyDescent="0.25">
      <c r="A742">
        <v>57390360</v>
      </c>
      <c r="B742" t="s">
        <v>1029</v>
      </c>
      <c r="C742" t="s">
        <v>2426</v>
      </c>
      <c r="D742" t="s">
        <v>2427</v>
      </c>
      <c r="E742">
        <v>6232901336</v>
      </c>
      <c r="F742" t="s">
        <v>766</v>
      </c>
      <c r="G742" t="s">
        <v>767</v>
      </c>
      <c r="I742" t="s">
        <v>88</v>
      </c>
      <c r="J742" s="13">
        <v>45952</v>
      </c>
      <c r="K742" s="13">
        <v>46023</v>
      </c>
      <c r="L742" t="s">
        <v>1179</v>
      </c>
      <c r="M742" t="s">
        <v>54</v>
      </c>
      <c r="N742">
        <v>71084404</v>
      </c>
    </row>
    <row r="743" spans="1:14" x14ac:dyDescent="0.25">
      <c r="A743">
        <v>59828279</v>
      </c>
      <c r="B743" t="s">
        <v>2428</v>
      </c>
      <c r="C743" t="s">
        <v>619</v>
      </c>
      <c r="D743" t="s">
        <v>2429</v>
      </c>
      <c r="E743" t="s">
        <v>2430</v>
      </c>
      <c r="F743" t="s">
        <v>842</v>
      </c>
      <c r="G743" t="s">
        <v>843</v>
      </c>
      <c r="I743" t="s">
        <v>98</v>
      </c>
      <c r="J743" s="13">
        <v>46044</v>
      </c>
      <c r="K743" s="13">
        <v>46054</v>
      </c>
      <c r="L743" t="s">
        <v>444</v>
      </c>
      <c r="M743" t="s">
        <v>56</v>
      </c>
      <c r="N743">
        <v>71084466</v>
      </c>
    </row>
    <row r="744" spans="1:14" x14ac:dyDescent="0.25">
      <c r="A744">
        <v>57390584</v>
      </c>
      <c r="B744" t="s">
        <v>1038</v>
      </c>
      <c r="C744" t="s">
        <v>2431</v>
      </c>
      <c r="D744" t="s">
        <v>2432</v>
      </c>
      <c r="E744">
        <v>9193569949</v>
      </c>
      <c r="F744" t="s">
        <v>667</v>
      </c>
      <c r="G744" t="s">
        <v>668</v>
      </c>
      <c r="I744" t="s">
        <v>37</v>
      </c>
      <c r="J744" s="13">
        <v>45952</v>
      </c>
      <c r="K744" s="13">
        <v>46023</v>
      </c>
      <c r="L744" t="s">
        <v>603</v>
      </c>
      <c r="M744" t="s">
        <v>58</v>
      </c>
      <c r="N744">
        <v>71084565</v>
      </c>
    </row>
    <row r="745" spans="1:14" x14ac:dyDescent="0.25">
      <c r="A745">
        <v>57390764</v>
      </c>
      <c r="B745" t="s">
        <v>600</v>
      </c>
      <c r="C745" t="s">
        <v>707</v>
      </c>
      <c r="D745" t="s">
        <v>2433</v>
      </c>
      <c r="E745">
        <v>9282918041</v>
      </c>
      <c r="F745" t="s">
        <v>474</v>
      </c>
      <c r="G745" t="s">
        <v>475</v>
      </c>
      <c r="I745" t="s">
        <v>132</v>
      </c>
      <c r="J745" s="13">
        <v>45952</v>
      </c>
      <c r="K745" s="13">
        <v>46023</v>
      </c>
      <c r="L745" t="s">
        <v>1179</v>
      </c>
      <c r="M745" t="s">
        <v>59</v>
      </c>
      <c r="N745">
        <v>71084686</v>
      </c>
    </row>
    <row r="746" spans="1:14" x14ac:dyDescent="0.25">
      <c r="A746">
        <v>57390777</v>
      </c>
      <c r="B746" t="s">
        <v>1041</v>
      </c>
      <c r="C746" t="s">
        <v>2434</v>
      </c>
      <c r="D746" t="s">
        <v>2435</v>
      </c>
      <c r="E746">
        <v>6025569253</v>
      </c>
      <c r="F746" t="s">
        <v>993</v>
      </c>
      <c r="G746" t="s">
        <v>994</v>
      </c>
      <c r="I746" t="s">
        <v>995</v>
      </c>
      <c r="J746" s="13">
        <v>45952</v>
      </c>
      <c r="K746" s="13">
        <v>46023</v>
      </c>
      <c r="L746" t="s">
        <v>1179</v>
      </c>
      <c r="M746" t="s">
        <v>54</v>
      </c>
      <c r="N746">
        <v>71084699</v>
      </c>
    </row>
    <row r="747" spans="1:14" x14ac:dyDescent="0.25">
      <c r="A747">
        <v>57391151</v>
      </c>
      <c r="B747" t="s">
        <v>2436</v>
      </c>
      <c r="C747" t="s">
        <v>1065</v>
      </c>
      <c r="D747" t="s">
        <v>2437</v>
      </c>
      <c r="E747">
        <v>7274015942</v>
      </c>
      <c r="F747" t="s">
        <v>1003</v>
      </c>
      <c r="G747" t="s">
        <v>1004</v>
      </c>
      <c r="I747" t="s">
        <v>89</v>
      </c>
      <c r="J747" s="13">
        <v>45952</v>
      </c>
      <c r="K747" s="13">
        <v>46023</v>
      </c>
      <c r="L747" t="s">
        <v>497</v>
      </c>
      <c r="M747" t="s">
        <v>56</v>
      </c>
      <c r="N747">
        <v>71085316</v>
      </c>
    </row>
    <row r="748" spans="1:14" x14ac:dyDescent="0.25">
      <c r="A748">
        <v>57391231</v>
      </c>
      <c r="B748" t="s">
        <v>1038</v>
      </c>
      <c r="C748" t="s">
        <v>2438</v>
      </c>
      <c r="D748" t="s">
        <v>2439</v>
      </c>
      <c r="E748">
        <v>6024351781</v>
      </c>
      <c r="F748" t="s">
        <v>807</v>
      </c>
      <c r="G748" t="s">
        <v>808</v>
      </c>
      <c r="I748" t="s">
        <v>33</v>
      </c>
      <c r="J748" s="13">
        <v>45952</v>
      </c>
      <c r="K748" s="13">
        <v>46023</v>
      </c>
      <c r="L748" t="s">
        <v>1179</v>
      </c>
      <c r="M748" t="s">
        <v>54</v>
      </c>
      <c r="N748">
        <v>71085377</v>
      </c>
    </row>
    <row r="749" spans="1:14" x14ac:dyDescent="0.25">
      <c r="A749">
        <v>57391363</v>
      </c>
      <c r="B749" t="s">
        <v>1401</v>
      </c>
      <c r="C749" t="s">
        <v>2440</v>
      </c>
      <c r="D749" t="s">
        <v>2441</v>
      </c>
      <c r="E749">
        <v>6023091680</v>
      </c>
      <c r="F749" t="s">
        <v>462</v>
      </c>
      <c r="G749" t="s">
        <v>463</v>
      </c>
      <c r="I749" t="s">
        <v>39</v>
      </c>
      <c r="J749" s="13">
        <v>45952</v>
      </c>
      <c r="K749" s="13">
        <v>46023</v>
      </c>
      <c r="L749" t="s">
        <v>1179</v>
      </c>
      <c r="M749" t="s">
        <v>54</v>
      </c>
      <c r="N749">
        <v>71085482</v>
      </c>
    </row>
    <row r="750" spans="1:14" x14ac:dyDescent="0.25">
      <c r="A750">
        <v>57391834</v>
      </c>
      <c r="B750" t="s">
        <v>2442</v>
      </c>
      <c r="C750" t="s">
        <v>2443</v>
      </c>
      <c r="D750" t="s">
        <v>2444</v>
      </c>
      <c r="E750">
        <v>9046549438</v>
      </c>
      <c r="F750" t="s">
        <v>798</v>
      </c>
      <c r="G750" t="s">
        <v>799</v>
      </c>
      <c r="I750" t="s">
        <v>800</v>
      </c>
      <c r="J750" s="13">
        <v>45952</v>
      </c>
      <c r="K750" s="13">
        <v>46023</v>
      </c>
      <c r="L750" t="s">
        <v>497</v>
      </c>
      <c r="M750" t="s">
        <v>59</v>
      </c>
      <c r="N750">
        <v>71085866</v>
      </c>
    </row>
    <row r="751" spans="1:14" x14ac:dyDescent="0.25">
      <c r="A751">
        <v>57392719</v>
      </c>
      <c r="B751" t="s">
        <v>2445</v>
      </c>
      <c r="C751" t="s">
        <v>2446</v>
      </c>
      <c r="D751" t="s">
        <v>2447</v>
      </c>
      <c r="E751">
        <v>9285169138</v>
      </c>
      <c r="F751" t="s">
        <v>1267</v>
      </c>
      <c r="G751" t="s">
        <v>1268</v>
      </c>
      <c r="I751" t="s">
        <v>1269</v>
      </c>
      <c r="J751" s="13">
        <v>45952</v>
      </c>
      <c r="K751" s="13">
        <v>46023</v>
      </c>
      <c r="L751" t="s">
        <v>1179</v>
      </c>
      <c r="M751" t="s">
        <v>56</v>
      </c>
      <c r="N751">
        <v>71086458</v>
      </c>
    </row>
    <row r="752" spans="1:14" x14ac:dyDescent="0.25">
      <c r="A752">
        <v>57393128</v>
      </c>
      <c r="B752" t="s">
        <v>604</v>
      </c>
      <c r="C752" t="s">
        <v>716</v>
      </c>
      <c r="D752" t="s">
        <v>2448</v>
      </c>
      <c r="E752">
        <v>6232297704</v>
      </c>
      <c r="F752" t="s">
        <v>423</v>
      </c>
      <c r="G752" t="s">
        <v>424</v>
      </c>
      <c r="I752" t="s">
        <v>46</v>
      </c>
      <c r="J752" s="13">
        <v>45952</v>
      </c>
      <c r="K752" s="13">
        <v>46023</v>
      </c>
      <c r="L752" t="s">
        <v>1179</v>
      </c>
      <c r="M752" t="s">
        <v>54</v>
      </c>
      <c r="N752">
        <v>71086679</v>
      </c>
    </row>
    <row r="753" spans="1:14" x14ac:dyDescent="0.25">
      <c r="A753">
        <v>57393106</v>
      </c>
      <c r="B753" t="s">
        <v>2449</v>
      </c>
      <c r="C753" t="s">
        <v>2450</v>
      </c>
      <c r="D753" t="s">
        <v>2451</v>
      </c>
      <c r="E753">
        <v>4344147642</v>
      </c>
      <c r="F753" t="s">
        <v>416</v>
      </c>
      <c r="G753" t="s">
        <v>417</v>
      </c>
      <c r="I753" t="s">
        <v>26</v>
      </c>
      <c r="J753" s="13">
        <v>45952</v>
      </c>
      <c r="K753" s="13">
        <v>46023</v>
      </c>
      <c r="L753" t="s">
        <v>454</v>
      </c>
      <c r="M753" t="s">
        <v>419</v>
      </c>
      <c r="N753">
        <v>71086687</v>
      </c>
    </row>
    <row r="754" spans="1:14" x14ac:dyDescent="0.25">
      <c r="A754">
        <v>57393253</v>
      </c>
      <c r="B754" t="s">
        <v>980</v>
      </c>
      <c r="C754" t="s">
        <v>1292</v>
      </c>
      <c r="D754" t="s">
        <v>2452</v>
      </c>
      <c r="E754">
        <v>7083108129</v>
      </c>
      <c r="F754" t="s">
        <v>448</v>
      </c>
      <c r="G754" t="s">
        <v>449</v>
      </c>
      <c r="I754" t="s">
        <v>31</v>
      </c>
      <c r="J754" s="13">
        <v>45952</v>
      </c>
      <c r="K754" s="13">
        <v>46023</v>
      </c>
      <c r="L754" t="s">
        <v>470</v>
      </c>
      <c r="M754" t="s">
        <v>59</v>
      </c>
      <c r="N754">
        <v>71086803</v>
      </c>
    </row>
    <row r="755" spans="1:14" x14ac:dyDescent="0.25">
      <c r="A755">
        <v>57393791</v>
      </c>
      <c r="B755" t="s">
        <v>2346</v>
      </c>
      <c r="C755" t="s">
        <v>2453</v>
      </c>
      <c r="D755" t="s">
        <v>2454</v>
      </c>
      <c r="E755">
        <v>7209095954</v>
      </c>
      <c r="F755" t="s">
        <v>684</v>
      </c>
      <c r="G755" t="s">
        <v>685</v>
      </c>
      <c r="I755" t="s">
        <v>686</v>
      </c>
      <c r="J755" s="13">
        <v>45952</v>
      </c>
      <c r="K755" s="13">
        <v>46023</v>
      </c>
      <c r="L755" t="s">
        <v>539</v>
      </c>
      <c r="M755" t="s">
        <v>58</v>
      </c>
      <c r="N755">
        <v>71087113</v>
      </c>
    </row>
    <row r="756" spans="1:14" x14ac:dyDescent="0.25">
      <c r="A756">
        <v>57393923</v>
      </c>
      <c r="B756" t="s">
        <v>902</v>
      </c>
      <c r="C756" t="s">
        <v>2455</v>
      </c>
      <c r="D756" t="s">
        <v>2456</v>
      </c>
      <c r="E756">
        <v>9313847096</v>
      </c>
      <c r="F756" t="s">
        <v>628</v>
      </c>
      <c r="G756" t="s">
        <v>629</v>
      </c>
      <c r="I756" t="s">
        <v>24</v>
      </c>
      <c r="J756" s="13">
        <v>45952</v>
      </c>
      <c r="K756" s="13">
        <v>46023</v>
      </c>
      <c r="L756" t="s">
        <v>479</v>
      </c>
      <c r="M756" t="s">
        <v>58</v>
      </c>
      <c r="N756">
        <v>71087213</v>
      </c>
    </row>
    <row r="757" spans="1:14" x14ac:dyDescent="0.25">
      <c r="A757">
        <v>57393953</v>
      </c>
      <c r="B757" t="s">
        <v>1118</v>
      </c>
      <c r="C757" t="s">
        <v>2457</v>
      </c>
      <c r="D757" t="s">
        <v>2458</v>
      </c>
      <c r="E757">
        <v>3527025664</v>
      </c>
      <c r="F757" t="s">
        <v>592</v>
      </c>
      <c r="G757" t="s">
        <v>593</v>
      </c>
      <c r="I757" t="s">
        <v>115</v>
      </c>
      <c r="J757" s="13">
        <v>45952</v>
      </c>
      <c r="K757" s="13">
        <v>46023</v>
      </c>
      <c r="L757" t="s">
        <v>497</v>
      </c>
      <c r="M757" t="s">
        <v>59</v>
      </c>
      <c r="N757">
        <v>71087240</v>
      </c>
    </row>
    <row r="758" spans="1:14" x14ac:dyDescent="0.25">
      <c r="A758">
        <v>57394053</v>
      </c>
      <c r="B758" t="s">
        <v>2459</v>
      </c>
      <c r="C758" t="s">
        <v>2460</v>
      </c>
      <c r="D758" t="s">
        <v>2461</v>
      </c>
      <c r="E758">
        <v>3056398421</v>
      </c>
      <c r="F758" t="s">
        <v>828</v>
      </c>
      <c r="G758" t="s">
        <v>1148</v>
      </c>
      <c r="I758" t="s">
        <v>17</v>
      </c>
      <c r="J758" s="13">
        <v>45952</v>
      </c>
      <c r="K758" s="13">
        <v>46023</v>
      </c>
      <c r="L758" t="s">
        <v>497</v>
      </c>
      <c r="M758" t="s">
        <v>58</v>
      </c>
      <c r="N758">
        <v>71087301</v>
      </c>
    </row>
    <row r="759" spans="1:14" x14ac:dyDescent="0.25">
      <c r="A759">
        <v>57394067</v>
      </c>
      <c r="B759" t="s">
        <v>1658</v>
      </c>
      <c r="C759" t="s">
        <v>2462</v>
      </c>
      <c r="D759" t="s">
        <v>2463</v>
      </c>
      <c r="E759">
        <v>9015177050</v>
      </c>
      <c r="F759" t="s">
        <v>537</v>
      </c>
      <c r="G759" t="s">
        <v>538</v>
      </c>
      <c r="I759" t="s">
        <v>49</v>
      </c>
      <c r="J759" s="13">
        <v>45952</v>
      </c>
      <c r="K759" s="13">
        <v>46023</v>
      </c>
      <c r="L759" t="s">
        <v>539</v>
      </c>
      <c r="M759" t="s">
        <v>59</v>
      </c>
      <c r="N759">
        <v>71087308</v>
      </c>
    </row>
    <row r="760" spans="1:14" x14ac:dyDescent="0.25">
      <c r="A760">
        <v>57394285</v>
      </c>
      <c r="B760" t="s">
        <v>2464</v>
      </c>
      <c r="C760" t="s">
        <v>2465</v>
      </c>
      <c r="D760" t="s">
        <v>2466</v>
      </c>
      <c r="E760">
        <v>8304813034</v>
      </c>
      <c r="F760" t="s">
        <v>693</v>
      </c>
      <c r="G760" t="s">
        <v>694</v>
      </c>
      <c r="I760" t="s">
        <v>103</v>
      </c>
      <c r="J760" s="13">
        <v>45952</v>
      </c>
      <c r="K760" s="13">
        <v>46023</v>
      </c>
      <c r="L760" t="s">
        <v>444</v>
      </c>
      <c r="M760" t="s">
        <v>59</v>
      </c>
      <c r="N760">
        <v>71087435</v>
      </c>
    </row>
    <row r="761" spans="1:14" x14ac:dyDescent="0.25">
      <c r="A761">
        <v>59476188</v>
      </c>
      <c r="B761" t="s">
        <v>2323</v>
      </c>
      <c r="C761" t="s">
        <v>2467</v>
      </c>
      <c r="D761" t="s">
        <v>2468</v>
      </c>
      <c r="E761">
        <v>3094045414</v>
      </c>
      <c r="F761" t="s">
        <v>551</v>
      </c>
      <c r="G761" t="s">
        <v>552</v>
      </c>
      <c r="I761" t="s">
        <v>42</v>
      </c>
      <c r="J761" s="13">
        <v>46034</v>
      </c>
      <c r="K761" s="13">
        <v>46055</v>
      </c>
      <c r="L761" t="s">
        <v>470</v>
      </c>
      <c r="M761" t="s">
        <v>58</v>
      </c>
      <c r="N761">
        <v>71087606</v>
      </c>
    </row>
    <row r="762" spans="1:14" x14ac:dyDescent="0.25">
      <c r="A762">
        <v>57394781</v>
      </c>
      <c r="B762" t="s">
        <v>2469</v>
      </c>
      <c r="C762" t="s">
        <v>2470</v>
      </c>
      <c r="D762" t="s">
        <v>2471</v>
      </c>
      <c r="E762">
        <v>5205108174</v>
      </c>
      <c r="F762" t="s">
        <v>615</v>
      </c>
      <c r="G762" t="s">
        <v>616</v>
      </c>
      <c r="I762" t="s">
        <v>617</v>
      </c>
      <c r="J762" s="13">
        <v>45952</v>
      </c>
      <c r="K762" s="13">
        <v>46023</v>
      </c>
      <c r="L762" t="s">
        <v>1179</v>
      </c>
      <c r="M762" t="s">
        <v>59</v>
      </c>
      <c r="N762">
        <v>71087721</v>
      </c>
    </row>
    <row r="763" spans="1:14" x14ac:dyDescent="0.25">
      <c r="A763">
        <v>57395361</v>
      </c>
      <c r="B763" t="s">
        <v>2472</v>
      </c>
      <c r="C763" t="s">
        <v>2473</v>
      </c>
      <c r="D763" t="s">
        <v>2474</v>
      </c>
      <c r="E763">
        <v>7729854199</v>
      </c>
      <c r="F763" t="s">
        <v>928</v>
      </c>
      <c r="G763" t="s">
        <v>929</v>
      </c>
      <c r="I763" t="s">
        <v>30</v>
      </c>
      <c r="J763" s="13">
        <v>45952</v>
      </c>
      <c r="K763" s="13">
        <v>46023</v>
      </c>
      <c r="L763" t="s">
        <v>497</v>
      </c>
      <c r="M763" t="s">
        <v>58</v>
      </c>
      <c r="N763">
        <v>71088099</v>
      </c>
    </row>
    <row r="764" spans="1:14" x14ac:dyDescent="0.25">
      <c r="A764">
        <v>57395517</v>
      </c>
      <c r="B764" t="s">
        <v>2475</v>
      </c>
      <c r="C764" t="s">
        <v>2476</v>
      </c>
      <c r="D764" t="s">
        <v>2477</v>
      </c>
      <c r="E764">
        <v>6196319951</v>
      </c>
      <c r="F764" t="s">
        <v>807</v>
      </c>
      <c r="G764" t="s">
        <v>808</v>
      </c>
      <c r="I764" t="s">
        <v>33</v>
      </c>
      <c r="J764" s="13">
        <v>45952</v>
      </c>
      <c r="K764" s="13">
        <v>46023</v>
      </c>
      <c r="L764" t="s">
        <v>1179</v>
      </c>
      <c r="M764" t="s">
        <v>54</v>
      </c>
      <c r="N764">
        <v>71088348</v>
      </c>
    </row>
    <row r="765" spans="1:14" x14ac:dyDescent="0.25">
      <c r="A765">
        <v>57395613</v>
      </c>
      <c r="B765" t="s">
        <v>2418</v>
      </c>
      <c r="C765" t="s">
        <v>2478</v>
      </c>
      <c r="D765" t="s">
        <v>2479</v>
      </c>
      <c r="E765">
        <v>4402251896</v>
      </c>
      <c r="F765" t="s">
        <v>1013</v>
      </c>
      <c r="G765" t="s">
        <v>1014</v>
      </c>
      <c r="I765" t="s">
        <v>43</v>
      </c>
      <c r="J765" s="13">
        <v>45952</v>
      </c>
      <c r="K765" s="13">
        <v>46023</v>
      </c>
      <c r="L765" t="s">
        <v>418</v>
      </c>
      <c r="M765" t="s">
        <v>419</v>
      </c>
      <c r="N765">
        <v>71088397</v>
      </c>
    </row>
    <row r="766" spans="1:14" x14ac:dyDescent="0.25">
      <c r="A766">
        <v>57395694</v>
      </c>
      <c r="B766" t="s">
        <v>724</v>
      </c>
      <c r="C766" t="s">
        <v>2480</v>
      </c>
      <c r="D766" t="s">
        <v>2481</v>
      </c>
      <c r="E766">
        <v>6023195892</v>
      </c>
      <c r="F766" t="s">
        <v>766</v>
      </c>
      <c r="G766" t="s">
        <v>767</v>
      </c>
      <c r="I766" t="s">
        <v>88</v>
      </c>
      <c r="J766" s="13">
        <v>45952</v>
      </c>
      <c r="K766" s="13">
        <v>46023</v>
      </c>
      <c r="L766" t="s">
        <v>1179</v>
      </c>
      <c r="M766" t="s">
        <v>54</v>
      </c>
      <c r="N766">
        <v>71088452</v>
      </c>
    </row>
    <row r="767" spans="1:14" x14ac:dyDescent="0.25">
      <c r="A767">
        <v>57395725</v>
      </c>
      <c r="B767" t="s">
        <v>1635</v>
      </c>
      <c r="C767" t="s">
        <v>2482</v>
      </c>
      <c r="D767" t="s">
        <v>2483</v>
      </c>
      <c r="E767">
        <v>2055776755</v>
      </c>
      <c r="F767" t="s">
        <v>574</v>
      </c>
      <c r="G767" t="s">
        <v>575</v>
      </c>
      <c r="I767" t="s">
        <v>14</v>
      </c>
      <c r="J767" s="13">
        <v>45952</v>
      </c>
      <c r="K767" s="13">
        <v>46023</v>
      </c>
      <c r="L767" t="s">
        <v>450</v>
      </c>
      <c r="M767" t="s">
        <v>55</v>
      </c>
      <c r="N767">
        <v>71088475</v>
      </c>
    </row>
    <row r="768" spans="1:14" x14ac:dyDescent="0.25">
      <c r="A768">
        <v>57395816</v>
      </c>
      <c r="B768" t="s">
        <v>1255</v>
      </c>
      <c r="C768" t="s">
        <v>2484</v>
      </c>
      <c r="D768" t="s">
        <v>2485</v>
      </c>
      <c r="E768">
        <v>5207058430</v>
      </c>
      <c r="F768" t="s">
        <v>1345</v>
      </c>
      <c r="G768" t="s">
        <v>799</v>
      </c>
      <c r="I768" t="s">
        <v>47</v>
      </c>
      <c r="J768" s="13">
        <v>45952</v>
      </c>
      <c r="K768" s="13">
        <v>46023</v>
      </c>
      <c r="L768" t="s">
        <v>1179</v>
      </c>
      <c r="M768" t="s">
        <v>54</v>
      </c>
      <c r="N768">
        <v>71088536</v>
      </c>
    </row>
    <row r="769" spans="1:14" x14ac:dyDescent="0.25">
      <c r="A769">
        <v>57396005</v>
      </c>
      <c r="B769" t="s">
        <v>712</v>
      </c>
      <c r="C769" t="s">
        <v>2272</v>
      </c>
      <c r="D769" t="s">
        <v>2486</v>
      </c>
      <c r="E769">
        <v>6789344217</v>
      </c>
      <c r="F769" t="s">
        <v>790</v>
      </c>
      <c r="G769" t="s">
        <v>791</v>
      </c>
      <c r="I769" t="s">
        <v>119</v>
      </c>
      <c r="J769" s="13">
        <v>45952</v>
      </c>
      <c r="K769" s="13">
        <v>46023</v>
      </c>
      <c r="L769" t="s">
        <v>621</v>
      </c>
      <c r="M769" t="s">
        <v>56</v>
      </c>
      <c r="N769">
        <v>71088605</v>
      </c>
    </row>
    <row r="770" spans="1:14" x14ac:dyDescent="0.25">
      <c r="A770">
        <v>57396268</v>
      </c>
      <c r="B770" t="s">
        <v>517</v>
      </c>
      <c r="C770" t="s">
        <v>1795</v>
      </c>
      <c r="D770" t="s">
        <v>2487</v>
      </c>
      <c r="E770">
        <v>6025449004</v>
      </c>
      <c r="F770" t="s">
        <v>821</v>
      </c>
      <c r="G770" t="s">
        <v>822</v>
      </c>
      <c r="I770" t="s">
        <v>823</v>
      </c>
      <c r="J770" s="13">
        <v>45952</v>
      </c>
      <c r="K770" s="13">
        <v>46023</v>
      </c>
      <c r="L770" t="s">
        <v>1179</v>
      </c>
      <c r="M770" t="s">
        <v>55</v>
      </c>
      <c r="N770">
        <v>71088792</v>
      </c>
    </row>
    <row r="771" spans="1:14" x14ac:dyDescent="0.25">
      <c r="A771">
        <v>57396540</v>
      </c>
      <c r="B771" t="s">
        <v>431</v>
      </c>
      <c r="C771" t="s">
        <v>2488</v>
      </c>
      <c r="D771" t="s">
        <v>2489</v>
      </c>
      <c r="E771">
        <v>3364967100</v>
      </c>
      <c r="F771" t="s">
        <v>416</v>
      </c>
      <c r="G771" t="s">
        <v>417</v>
      </c>
      <c r="I771" t="s">
        <v>26</v>
      </c>
      <c r="J771" s="13">
        <v>45952</v>
      </c>
      <c r="K771" s="13">
        <v>46023</v>
      </c>
      <c r="L771" t="s">
        <v>603</v>
      </c>
      <c r="M771" t="s">
        <v>58</v>
      </c>
      <c r="N771">
        <v>71088941</v>
      </c>
    </row>
    <row r="772" spans="1:14" x14ac:dyDescent="0.25">
      <c r="A772">
        <v>57396667</v>
      </c>
      <c r="B772" t="s">
        <v>2490</v>
      </c>
      <c r="C772" t="s">
        <v>2491</v>
      </c>
      <c r="D772" t="s">
        <v>2492</v>
      </c>
      <c r="E772">
        <v>3049603861</v>
      </c>
      <c r="F772" t="s">
        <v>423</v>
      </c>
      <c r="G772" t="s">
        <v>424</v>
      </c>
      <c r="I772" t="s">
        <v>46</v>
      </c>
      <c r="J772" s="13">
        <v>45952</v>
      </c>
      <c r="K772" s="13">
        <v>46023</v>
      </c>
      <c r="L772" t="s">
        <v>1188</v>
      </c>
      <c r="M772" t="s">
        <v>58</v>
      </c>
      <c r="N772">
        <v>71088966</v>
      </c>
    </row>
    <row r="773" spans="1:14" x14ac:dyDescent="0.25">
      <c r="A773">
        <v>57396637</v>
      </c>
      <c r="B773" t="s">
        <v>2493</v>
      </c>
      <c r="C773" t="s">
        <v>2494</v>
      </c>
      <c r="D773" t="s">
        <v>2495</v>
      </c>
      <c r="E773">
        <v>9108184488</v>
      </c>
      <c r="F773" t="s">
        <v>1067</v>
      </c>
      <c r="G773" t="s">
        <v>1068</v>
      </c>
      <c r="I773" t="s">
        <v>35</v>
      </c>
      <c r="J773" s="13">
        <v>45952</v>
      </c>
      <c r="K773" s="13">
        <v>46023</v>
      </c>
      <c r="L773" t="s">
        <v>603</v>
      </c>
      <c r="M773" t="s">
        <v>61</v>
      </c>
      <c r="N773">
        <v>71089010</v>
      </c>
    </row>
    <row r="774" spans="1:14" x14ac:dyDescent="0.25">
      <c r="A774">
        <v>57396665</v>
      </c>
      <c r="B774" t="s">
        <v>712</v>
      </c>
      <c r="C774" t="s">
        <v>2496</v>
      </c>
      <c r="D774" t="s">
        <v>2497</v>
      </c>
      <c r="E774">
        <v>4805224872</v>
      </c>
      <c r="F774" t="s">
        <v>842</v>
      </c>
      <c r="G774" t="s">
        <v>1213</v>
      </c>
      <c r="I774" t="s">
        <v>1214</v>
      </c>
      <c r="J774" s="13">
        <v>45952</v>
      </c>
      <c r="K774" s="13">
        <v>46023</v>
      </c>
      <c r="L774" t="s">
        <v>1179</v>
      </c>
      <c r="M774" t="s">
        <v>54</v>
      </c>
      <c r="N774">
        <v>71089041</v>
      </c>
    </row>
    <row r="775" spans="1:14" x14ac:dyDescent="0.25">
      <c r="A775">
        <v>57396675</v>
      </c>
      <c r="B775" t="s">
        <v>1434</v>
      </c>
      <c r="C775" t="s">
        <v>2498</v>
      </c>
      <c r="D775" t="s">
        <v>2499</v>
      </c>
      <c r="E775">
        <v>6788767032</v>
      </c>
      <c r="F775" t="s">
        <v>1142</v>
      </c>
      <c r="G775" t="s">
        <v>1143</v>
      </c>
      <c r="I775" t="s">
        <v>124</v>
      </c>
      <c r="J775" s="13">
        <v>45952</v>
      </c>
      <c r="K775" s="13">
        <v>46023</v>
      </c>
      <c r="L775" t="s">
        <v>621</v>
      </c>
      <c r="M775" t="s">
        <v>58</v>
      </c>
      <c r="N775">
        <v>71089048</v>
      </c>
    </row>
    <row r="776" spans="1:14" x14ac:dyDescent="0.25">
      <c r="A776">
        <v>57396768</v>
      </c>
      <c r="B776" t="s">
        <v>1518</v>
      </c>
      <c r="C776" t="s">
        <v>2500</v>
      </c>
      <c r="D776" t="s">
        <v>2501</v>
      </c>
      <c r="E776">
        <v>6023166692</v>
      </c>
      <c r="F776" t="s">
        <v>474</v>
      </c>
      <c r="G776" t="s">
        <v>475</v>
      </c>
      <c r="I776" t="s">
        <v>132</v>
      </c>
      <c r="J776" s="13">
        <v>45952</v>
      </c>
      <c r="K776" s="13">
        <v>46023</v>
      </c>
      <c r="L776" t="s">
        <v>1179</v>
      </c>
      <c r="M776" t="s">
        <v>59</v>
      </c>
      <c r="N776">
        <v>71089114</v>
      </c>
    </row>
    <row r="777" spans="1:14" x14ac:dyDescent="0.25">
      <c r="A777">
        <v>57396791</v>
      </c>
      <c r="B777" t="s">
        <v>1038</v>
      </c>
      <c r="C777" t="s">
        <v>1258</v>
      </c>
      <c r="D777" t="s">
        <v>2502</v>
      </c>
      <c r="E777">
        <v>9252041694</v>
      </c>
      <c r="F777" t="s">
        <v>1225</v>
      </c>
      <c r="G777" t="s">
        <v>1226</v>
      </c>
      <c r="I777" t="s">
        <v>1227</v>
      </c>
      <c r="J777" s="13">
        <v>45952</v>
      </c>
      <c r="K777" s="13">
        <v>46023</v>
      </c>
      <c r="L777" t="s">
        <v>621</v>
      </c>
      <c r="M777" t="s">
        <v>55</v>
      </c>
      <c r="N777">
        <v>71089127</v>
      </c>
    </row>
    <row r="778" spans="1:14" x14ac:dyDescent="0.25">
      <c r="A778">
        <v>57398027</v>
      </c>
      <c r="B778" t="s">
        <v>2503</v>
      </c>
      <c r="C778" t="s">
        <v>2504</v>
      </c>
      <c r="D778" t="s">
        <v>2505</v>
      </c>
      <c r="E778">
        <v>5024020091</v>
      </c>
      <c r="F778" t="s">
        <v>746</v>
      </c>
      <c r="G778" t="s">
        <v>747</v>
      </c>
      <c r="I778" t="s">
        <v>27</v>
      </c>
      <c r="J778" s="13">
        <v>45952</v>
      </c>
      <c r="K778" s="13">
        <v>46023</v>
      </c>
      <c r="L778" t="s">
        <v>490</v>
      </c>
      <c r="M778" t="s">
        <v>59</v>
      </c>
      <c r="N778">
        <v>71089372</v>
      </c>
    </row>
    <row r="779" spans="1:14" x14ac:dyDescent="0.25">
      <c r="A779">
        <v>57397522</v>
      </c>
      <c r="B779" t="s">
        <v>2506</v>
      </c>
      <c r="C779" t="s">
        <v>1798</v>
      </c>
      <c r="D779" t="s">
        <v>2507</v>
      </c>
      <c r="E779">
        <v>8034972528</v>
      </c>
      <c r="F779" t="s">
        <v>667</v>
      </c>
      <c r="G779" t="s">
        <v>668</v>
      </c>
      <c r="I779" t="s">
        <v>37</v>
      </c>
      <c r="J779" s="13">
        <v>45952</v>
      </c>
      <c r="K779" s="13">
        <v>46023</v>
      </c>
      <c r="L779" t="s">
        <v>533</v>
      </c>
      <c r="M779" t="s">
        <v>56</v>
      </c>
      <c r="N779">
        <v>71089584</v>
      </c>
    </row>
    <row r="780" spans="1:14" x14ac:dyDescent="0.25">
      <c r="A780">
        <v>57398661</v>
      </c>
      <c r="B780" t="s">
        <v>2508</v>
      </c>
      <c r="C780" t="s">
        <v>2509</v>
      </c>
      <c r="D780" t="s">
        <v>2510</v>
      </c>
      <c r="E780">
        <v>2762452758</v>
      </c>
      <c r="F780" t="s">
        <v>957</v>
      </c>
      <c r="G780" t="s">
        <v>958</v>
      </c>
      <c r="H780" t="s">
        <v>959</v>
      </c>
      <c r="I780" t="s">
        <v>960</v>
      </c>
      <c r="J780" s="13">
        <v>45952</v>
      </c>
      <c r="K780" s="13">
        <v>46023</v>
      </c>
      <c r="L780" t="s">
        <v>454</v>
      </c>
      <c r="M780" t="s">
        <v>58</v>
      </c>
      <c r="N780">
        <v>71089903</v>
      </c>
    </row>
    <row r="781" spans="1:14" x14ac:dyDescent="0.25">
      <c r="A781">
        <v>57398051</v>
      </c>
      <c r="B781" t="s">
        <v>1747</v>
      </c>
      <c r="C781" t="s">
        <v>1292</v>
      </c>
      <c r="D781" t="s">
        <v>2511</v>
      </c>
      <c r="E781">
        <v>2076277382</v>
      </c>
      <c r="F781" t="s">
        <v>780</v>
      </c>
      <c r="G781" t="s">
        <v>781</v>
      </c>
      <c r="I781" t="s">
        <v>20</v>
      </c>
      <c r="J781" s="13">
        <v>45952</v>
      </c>
      <c r="K781" s="13">
        <v>46023</v>
      </c>
      <c r="L781" t="s">
        <v>941</v>
      </c>
      <c r="M781" t="s">
        <v>61</v>
      </c>
      <c r="N781">
        <v>71089946</v>
      </c>
    </row>
    <row r="782" spans="1:14" x14ac:dyDescent="0.25">
      <c r="A782">
        <v>57398140</v>
      </c>
      <c r="B782" t="s">
        <v>2512</v>
      </c>
      <c r="C782" t="s">
        <v>2513</v>
      </c>
      <c r="D782" t="s">
        <v>2514</v>
      </c>
      <c r="E782">
        <v>9015136629</v>
      </c>
      <c r="F782" t="s">
        <v>569</v>
      </c>
      <c r="G782" t="s">
        <v>570</v>
      </c>
      <c r="I782" t="s">
        <v>34</v>
      </c>
      <c r="J782" s="13">
        <v>45952</v>
      </c>
      <c r="K782" s="13">
        <v>46023</v>
      </c>
      <c r="L782" t="s">
        <v>479</v>
      </c>
      <c r="M782" t="s">
        <v>58</v>
      </c>
      <c r="N782">
        <v>71090016</v>
      </c>
    </row>
    <row r="783" spans="1:14" x14ac:dyDescent="0.25">
      <c r="A783">
        <v>57398608</v>
      </c>
      <c r="B783" t="s">
        <v>2515</v>
      </c>
      <c r="C783" t="s">
        <v>2516</v>
      </c>
      <c r="D783" t="s">
        <v>2517</v>
      </c>
      <c r="E783">
        <v>7573446824</v>
      </c>
      <c r="F783" t="s">
        <v>551</v>
      </c>
      <c r="G783" t="s">
        <v>552</v>
      </c>
      <c r="I783" t="s">
        <v>42</v>
      </c>
      <c r="J783" s="13">
        <v>45952</v>
      </c>
      <c r="K783" s="13">
        <v>46023</v>
      </c>
      <c r="L783" t="s">
        <v>454</v>
      </c>
      <c r="M783" t="s">
        <v>419</v>
      </c>
      <c r="N783">
        <v>71090214</v>
      </c>
    </row>
    <row r="784" spans="1:14" x14ac:dyDescent="0.25">
      <c r="A784">
        <v>58167933</v>
      </c>
      <c r="B784" t="s">
        <v>476</v>
      </c>
      <c r="C784" t="s">
        <v>2518</v>
      </c>
      <c r="D784" t="s">
        <v>2519</v>
      </c>
      <c r="E784">
        <v>3527404141</v>
      </c>
      <c r="F784" t="s">
        <v>628</v>
      </c>
      <c r="G784" t="s">
        <v>629</v>
      </c>
      <c r="I784" t="s">
        <v>24</v>
      </c>
      <c r="J784" s="13">
        <v>45978</v>
      </c>
      <c r="K784" s="13">
        <v>46023</v>
      </c>
      <c r="L784" t="s">
        <v>497</v>
      </c>
      <c r="M784" t="s">
        <v>59</v>
      </c>
      <c r="N784">
        <v>71090405</v>
      </c>
    </row>
    <row r="785" spans="1:14" x14ac:dyDescent="0.25">
      <c r="A785">
        <v>57399070</v>
      </c>
      <c r="B785" t="s">
        <v>2520</v>
      </c>
      <c r="C785" t="s">
        <v>2521</v>
      </c>
      <c r="D785" t="s">
        <v>2522</v>
      </c>
      <c r="E785">
        <v>3367624383</v>
      </c>
      <c r="F785" t="s">
        <v>684</v>
      </c>
      <c r="G785" t="s">
        <v>685</v>
      </c>
      <c r="I785" t="s">
        <v>686</v>
      </c>
      <c r="J785" s="13">
        <v>45952</v>
      </c>
      <c r="K785" s="13">
        <v>46023</v>
      </c>
      <c r="L785" t="s">
        <v>603</v>
      </c>
      <c r="M785" t="s">
        <v>56</v>
      </c>
      <c r="N785">
        <v>71090523</v>
      </c>
    </row>
    <row r="786" spans="1:14" x14ac:dyDescent="0.25">
      <c r="A786">
        <v>57399202</v>
      </c>
      <c r="B786" t="s">
        <v>2523</v>
      </c>
      <c r="C786" t="s">
        <v>2524</v>
      </c>
      <c r="D786" t="s">
        <v>2525</v>
      </c>
      <c r="E786">
        <v>5617390021</v>
      </c>
      <c r="F786" t="s">
        <v>1003</v>
      </c>
      <c r="G786" t="s">
        <v>1004</v>
      </c>
      <c r="I786" t="s">
        <v>89</v>
      </c>
      <c r="J786" s="13">
        <v>45952</v>
      </c>
      <c r="K786" s="13">
        <v>46023</v>
      </c>
      <c r="L786" t="s">
        <v>621</v>
      </c>
      <c r="M786" t="s">
        <v>58</v>
      </c>
      <c r="N786">
        <v>71090605</v>
      </c>
    </row>
    <row r="787" spans="1:14" x14ac:dyDescent="0.25">
      <c r="A787">
        <v>57399414</v>
      </c>
      <c r="B787" t="s">
        <v>2526</v>
      </c>
      <c r="C787" t="s">
        <v>2521</v>
      </c>
      <c r="D787" t="s">
        <v>2527</v>
      </c>
      <c r="E787">
        <v>8043099488</v>
      </c>
      <c r="F787" t="s">
        <v>416</v>
      </c>
      <c r="G787" t="s">
        <v>417</v>
      </c>
      <c r="I787" t="s">
        <v>26</v>
      </c>
      <c r="J787" s="13">
        <v>45952</v>
      </c>
      <c r="K787" s="13">
        <v>46023</v>
      </c>
      <c r="L787" t="s">
        <v>454</v>
      </c>
      <c r="M787" t="s">
        <v>419</v>
      </c>
      <c r="N787">
        <v>71090705</v>
      </c>
    </row>
    <row r="788" spans="1:14" x14ac:dyDescent="0.25">
      <c r="A788">
        <v>57399452</v>
      </c>
      <c r="B788" t="s">
        <v>702</v>
      </c>
      <c r="C788" t="s">
        <v>2528</v>
      </c>
      <c r="D788" t="s">
        <v>2529</v>
      </c>
      <c r="E788">
        <v>5128391556</v>
      </c>
      <c r="F788" t="s">
        <v>1200</v>
      </c>
      <c r="G788" t="s">
        <v>1201</v>
      </c>
      <c r="I788" t="s">
        <v>1202</v>
      </c>
      <c r="J788" s="13">
        <v>45952</v>
      </c>
      <c r="K788" s="13">
        <v>46023</v>
      </c>
      <c r="L788" t="s">
        <v>444</v>
      </c>
      <c r="M788" t="s">
        <v>59</v>
      </c>
      <c r="N788">
        <v>71090735</v>
      </c>
    </row>
    <row r="789" spans="1:14" x14ac:dyDescent="0.25">
      <c r="A789">
        <v>57399952</v>
      </c>
      <c r="B789" t="s">
        <v>1797</v>
      </c>
      <c r="C789" t="s">
        <v>2530</v>
      </c>
      <c r="D789" t="s">
        <v>2531</v>
      </c>
      <c r="E789">
        <v>3044765776</v>
      </c>
      <c r="F789" t="s">
        <v>423</v>
      </c>
      <c r="G789" t="s">
        <v>424</v>
      </c>
      <c r="I789" t="s">
        <v>46</v>
      </c>
      <c r="J789" s="13">
        <v>45952</v>
      </c>
      <c r="K789" s="13">
        <v>46023</v>
      </c>
      <c r="L789" t="s">
        <v>1188</v>
      </c>
      <c r="M789" t="s">
        <v>56</v>
      </c>
      <c r="N789">
        <v>71091073</v>
      </c>
    </row>
    <row r="790" spans="1:14" x14ac:dyDescent="0.25">
      <c r="A790">
        <v>57399986</v>
      </c>
      <c r="B790" t="s">
        <v>2532</v>
      </c>
      <c r="C790" t="s">
        <v>2533</v>
      </c>
      <c r="D790" t="s">
        <v>2534</v>
      </c>
      <c r="E790">
        <v>5203733414</v>
      </c>
      <c r="F790" t="s">
        <v>474</v>
      </c>
      <c r="G790" t="s">
        <v>475</v>
      </c>
      <c r="I790" t="s">
        <v>132</v>
      </c>
      <c r="J790" s="13">
        <v>45952</v>
      </c>
      <c r="K790" s="13">
        <v>46023</v>
      </c>
      <c r="L790" t="s">
        <v>1179</v>
      </c>
      <c r="M790" t="s">
        <v>59</v>
      </c>
      <c r="N790">
        <v>71091100</v>
      </c>
    </row>
    <row r="791" spans="1:14" x14ac:dyDescent="0.25">
      <c r="A791">
        <v>57400037</v>
      </c>
      <c r="B791" t="s">
        <v>865</v>
      </c>
      <c r="C791" t="s">
        <v>2535</v>
      </c>
      <c r="D791" t="s">
        <v>2536</v>
      </c>
      <c r="E791">
        <v>2166340372</v>
      </c>
      <c r="F791" t="s">
        <v>615</v>
      </c>
      <c r="G791" t="s">
        <v>616</v>
      </c>
      <c r="I791" t="s">
        <v>617</v>
      </c>
      <c r="J791" s="13">
        <v>45952</v>
      </c>
      <c r="K791" s="13">
        <v>46023</v>
      </c>
      <c r="L791" t="s">
        <v>418</v>
      </c>
      <c r="M791" t="s">
        <v>59</v>
      </c>
      <c r="N791">
        <v>71091442</v>
      </c>
    </row>
    <row r="792" spans="1:14" x14ac:dyDescent="0.25">
      <c r="A792">
        <v>57400180</v>
      </c>
      <c r="B792" t="s">
        <v>604</v>
      </c>
      <c r="C792" t="s">
        <v>2537</v>
      </c>
      <c r="D792" t="s">
        <v>2538</v>
      </c>
      <c r="E792">
        <v>5206786298</v>
      </c>
      <c r="F792" t="s">
        <v>766</v>
      </c>
      <c r="G792" t="s">
        <v>767</v>
      </c>
      <c r="I792" t="s">
        <v>88</v>
      </c>
      <c r="J792" s="13">
        <v>45952</v>
      </c>
      <c r="K792" s="13">
        <v>46023</v>
      </c>
      <c r="L792" t="s">
        <v>1179</v>
      </c>
      <c r="M792" t="s">
        <v>54</v>
      </c>
      <c r="N792">
        <v>71091539</v>
      </c>
    </row>
    <row r="793" spans="1:14" x14ac:dyDescent="0.25">
      <c r="A793">
        <v>57400300</v>
      </c>
      <c r="B793" t="s">
        <v>476</v>
      </c>
      <c r="C793" t="s">
        <v>2539</v>
      </c>
      <c r="D793" t="s">
        <v>2540</v>
      </c>
      <c r="E793">
        <v>3185941709</v>
      </c>
      <c r="F793" t="s">
        <v>448</v>
      </c>
      <c r="G793" t="s">
        <v>449</v>
      </c>
      <c r="I793" t="s">
        <v>31</v>
      </c>
      <c r="J793" s="13">
        <v>45952</v>
      </c>
      <c r="K793" s="13">
        <v>46023</v>
      </c>
      <c r="L793" t="s">
        <v>612</v>
      </c>
      <c r="M793" t="s">
        <v>56</v>
      </c>
      <c r="N793">
        <v>71091590</v>
      </c>
    </row>
    <row r="794" spans="1:14" x14ac:dyDescent="0.25">
      <c r="A794">
        <v>57400417</v>
      </c>
      <c r="B794" t="s">
        <v>2541</v>
      </c>
      <c r="C794" t="s">
        <v>964</v>
      </c>
      <c r="D794" t="s">
        <v>2542</v>
      </c>
      <c r="E794">
        <v>2294607459</v>
      </c>
      <c r="F794" t="s">
        <v>1398</v>
      </c>
      <c r="G794" t="s">
        <v>1399</v>
      </c>
      <c r="I794" t="s">
        <v>1400</v>
      </c>
      <c r="J794" s="13">
        <v>45952</v>
      </c>
      <c r="K794" s="13">
        <v>46023</v>
      </c>
      <c r="L794" t="s">
        <v>621</v>
      </c>
      <c r="M794" t="s">
        <v>58</v>
      </c>
      <c r="N794">
        <v>71091676</v>
      </c>
    </row>
    <row r="795" spans="1:14" x14ac:dyDescent="0.25">
      <c r="A795">
        <v>57400428</v>
      </c>
      <c r="B795" t="s">
        <v>2543</v>
      </c>
      <c r="C795" t="s">
        <v>2544</v>
      </c>
      <c r="D795" t="s">
        <v>2545</v>
      </c>
      <c r="E795">
        <v>5203105396</v>
      </c>
      <c r="F795" t="s">
        <v>842</v>
      </c>
      <c r="G795" t="s">
        <v>1213</v>
      </c>
      <c r="I795" t="s">
        <v>1214</v>
      </c>
      <c r="J795" s="13">
        <v>45952</v>
      </c>
      <c r="K795" s="13">
        <v>46023</v>
      </c>
      <c r="L795" t="s">
        <v>1179</v>
      </c>
      <c r="M795" t="s">
        <v>54</v>
      </c>
      <c r="N795">
        <v>71091698</v>
      </c>
    </row>
    <row r="796" spans="1:14" x14ac:dyDescent="0.25">
      <c r="A796">
        <v>57400569</v>
      </c>
      <c r="B796" t="s">
        <v>1663</v>
      </c>
      <c r="C796" t="s">
        <v>2546</v>
      </c>
      <c r="D796" t="s">
        <v>2547</v>
      </c>
      <c r="E796">
        <v>8172018472</v>
      </c>
      <c r="F796" t="s">
        <v>790</v>
      </c>
      <c r="G796" t="s">
        <v>791</v>
      </c>
      <c r="I796" t="s">
        <v>119</v>
      </c>
      <c r="J796" s="13">
        <v>45952</v>
      </c>
      <c r="K796" s="13">
        <v>46023</v>
      </c>
      <c r="L796" t="s">
        <v>444</v>
      </c>
      <c r="M796" t="s">
        <v>56</v>
      </c>
      <c r="N796">
        <v>71091782</v>
      </c>
    </row>
    <row r="797" spans="1:14" x14ac:dyDescent="0.25">
      <c r="A797">
        <v>57400681</v>
      </c>
      <c r="B797" t="s">
        <v>2548</v>
      </c>
      <c r="C797" t="s">
        <v>2549</v>
      </c>
      <c r="D797" t="s">
        <v>2550</v>
      </c>
      <c r="E797">
        <v>7039699010</v>
      </c>
      <c r="F797" t="s">
        <v>684</v>
      </c>
      <c r="G797" t="s">
        <v>685</v>
      </c>
      <c r="I797" t="s">
        <v>686</v>
      </c>
      <c r="J797" s="13">
        <v>45952</v>
      </c>
      <c r="K797" s="13">
        <v>46023</v>
      </c>
      <c r="L797" t="s">
        <v>454</v>
      </c>
      <c r="M797" t="s">
        <v>56</v>
      </c>
      <c r="N797">
        <v>71091860</v>
      </c>
    </row>
    <row r="798" spans="1:14" x14ac:dyDescent="0.25">
      <c r="A798">
        <v>57400717</v>
      </c>
      <c r="B798" t="s">
        <v>2551</v>
      </c>
      <c r="C798" t="s">
        <v>2552</v>
      </c>
      <c r="D798" t="s">
        <v>2553</v>
      </c>
      <c r="E798">
        <v>2245635910</v>
      </c>
      <c r="F798" t="s">
        <v>574</v>
      </c>
      <c r="G798" t="s">
        <v>575</v>
      </c>
      <c r="I798" t="s">
        <v>14</v>
      </c>
      <c r="J798" s="13">
        <v>45952</v>
      </c>
      <c r="K798" s="13">
        <v>46023</v>
      </c>
      <c r="L798" t="s">
        <v>470</v>
      </c>
      <c r="M798" t="s">
        <v>61</v>
      </c>
      <c r="N798">
        <v>71091911</v>
      </c>
    </row>
    <row r="799" spans="1:14" x14ac:dyDescent="0.25">
      <c r="A799">
        <v>57400860</v>
      </c>
      <c r="B799" t="s">
        <v>2554</v>
      </c>
      <c r="C799" t="s">
        <v>1448</v>
      </c>
      <c r="D799" t="s">
        <v>2555</v>
      </c>
      <c r="E799">
        <v>6026209404</v>
      </c>
      <c r="F799" t="s">
        <v>423</v>
      </c>
      <c r="G799" t="s">
        <v>424</v>
      </c>
      <c r="I799" t="s">
        <v>46</v>
      </c>
      <c r="J799" s="13">
        <v>45952</v>
      </c>
      <c r="K799" s="13">
        <v>46023</v>
      </c>
      <c r="L799" t="s">
        <v>1179</v>
      </c>
      <c r="M799" t="s">
        <v>59</v>
      </c>
      <c r="N799">
        <v>71092003</v>
      </c>
    </row>
    <row r="800" spans="1:14" x14ac:dyDescent="0.25">
      <c r="A800">
        <v>57400898</v>
      </c>
      <c r="B800" t="s">
        <v>1809</v>
      </c>
      <c r="C800" t="s">
        <v>2556</v>
      </c>
      <c r="D800" t="s">
        <v>2557</v>
      </c>
      <c r="E800">
        <v>7706951134</v>
      </c>
      <c r="F800" t="s">
        <v>628</v>
      </c>
      <c r="G800" t="s">
        <v>629</v>
      </c>
      <c r="I800" t="s">
        <v>24</v>
      </c>
      <c r="J800" s="13">
        <v>45952</v>
      </c>
      <c r="K800" s="13">
        <v>46023</v>
      </c>
      <c r="L800" t="s">
        <v>621</v>
      </c>
      <c r="M800" t="s">
        <v>56</v>
      </c>
      <c r="N800">
        <v>71092041</v>
      </c>
    </row>
    <row r="801" spans="1:14" x14ac:dyDescent="0.25">
      <c r="A801">
        <v>57400927</v>
      </c>
      <c r="B801" t="s">
        <v>2254</v>
      </c>
      <c r="C801" t="s">
        <v>2558</v>
      </c>
      <c r="D801" t="s">
        <v>2559</v>
      </c>
      <c r="E801">
        <v>3163919298</v>
      </c>
      <c r="F801" t="s">
        <v>667</v>
      </c>
      <c r="G801" t="s">
        <v>668</v>
      </c>
      <c r="I801" t="s">
        <v>37</v>
      </c>
      <c r="J801" s="13">
        <v>45952</v>
      </c>
      <c r="K801" s="13">
        <v>46023</v>
      </c>
      <c r="L801" t="s">
        <v>520</v>
      </c>
      <c r="M801" t="s">
        <v>58</v>
      </c>
      <c r="N801">
        <v>71092065</v>
      </c>
    </row>
    <row r="802" spans="1:14" x14ac:dyDescent="0.25">
      <c r="A802">
        <v>57401031</v>
      </c>
      <c r="B802" t="s">
        <v>718</v>
      </c>
      <c r="C802" t="s">
        <v>564</v>
      </c>
      <c r="D802" t="s">
        <v>2560</v>
      </c>
      <c r="E802">
        <v>9283509505</v>
      </c>
      <c r="F802" t="s">
        <v>780</v>
      </c>
      <c r="G802" t="s">
        <v>781</v>
      </c>
      <c r="I802" t="s">
        <v>20</v>
      </c>
      <c r="J802" s="13">
        <v>45952</v>
      </c>
      <c r="K802" s="13">
        <v>46023</v>
      </c>
      <c r="L802" t="s">
        <v>1179</v>
      </c>
      <c r="M802" t="s">
        <v>61</v>
      </c>
      <c r="N802">
        <v>71092152</v>
      </c>
    </row>
    <row r="803" spans="1:14" x14ac:dyDescent="0.25">
      <c r="A803">
        <v>57401038</v>
      </c>
      <c r="B803" t="s">
        <v>2561</v>
      </c>
      <c r="C803" t="s">
        <v>2562</v>
      </c>
      <c r="D803" t="s">
        <v>2563</v>
      </c>
      <c r="E803">
        <v>8134098826</v>
      </c>
      <c r="F803" t="s">
        <v>870</v>
      </c>
      <c r="G803" t="s">
        <v>871</v>
      </c>
      <c r="I803" t="s">
        <v>872</v>
      </c>
      <c r="J803" s="13">
        <v>45952</v>
      </c>
      <c r="K803" s="13">
        <v>46023</v>
      </c>
      <c r="L803" t="s">
        <v>497</v>
      </c>
      <c r="M803" t="s">
        <v>58</v>
      </c>
      <c r="N803">
        <v>71092158</v>
      </c>
    </row>
    <row r="804" spans="1:14" x14ac:dyDescent="0.25">
      <c r="A804">
        <v>60054947</v>
      </c>
      <c r="B804" t="s">
        <v>1226</v>
      </c>
      <c r="C804" t="s">
        <v>2564</v>
      </c>
      <c r="D804" t="s">
        <v>2565</v>
      </c>
      <c r="E804">
        <v>7043493019</v>
      </c>
      <c r="F804" t="s">
        <v>448</v>
      </c>
      <c r="G804" t="s">
        <v>449</v>
      </c>
      <c r="I804" t="s">
        <v>31</v>
      </c>
      <c r="J804" s="13">
        <v>46051</v>
      </c>
      <c r="K804" s="13">
        <v>46054</v>
      </c>
      <c r="L804" t="s">
        <v>603</v>
      </c>
      <c r="M804" t="s">
        <v>56</v>
      </c>
      <c r="N804">
        <v>71092166</v>
      </c>
    </row>
    <row r="805" spans="1:14" x14ac:dyDescent="0.25">
      <c r="A805">
        <v>57401094</v>
      </c>
      <c r="B805" t="s">
        <v>1566</v>
      </c>
      <c r="C805" t="s">
        <v>2566</v>
      </c>
      <c r="D805" t="s">
        <v>2567</v>
      </c>
      <c r="E805">
        <v>9103916701</v>
      </c>
      <c r="F805" t="s">
        <v>798</v>
      </c>
      <c r="G805" t="s">
        <v>799</v>
      </c>
      <c r="I805" t="s">
        <v>800</v>
      </c>
      <c r="J805" s="13">
        <v>45952</v>
      </c>
      <c r="K805" s="13">
        <v>46023</v>
      </c>
      <c r="L805" t="s">
        <v>603</v>
      </c>
      <c r="M805" t="s">
        <v>58</v>
      </c>
      <c r="N805">
        <v>71092206</v>
      </c>
    </row>
    <row r="806" spans="1:14" x14ac:dyDescent="0.25">
      <c r="A806">
        <v>57401101</v>
      </c>
      <c r="B806" t="s">
        <v>2568</v>
      </c>
      <c r="C806" t="s">
        <v>2569</v>
      </c>
      <c r="D806" t="s">
        <v>2570</v>
      </c>
      <c r="E806">
        <v>9283164513</v>
      </c>
      <c r="F806" t="s">
        <v>615</v>
      </c>
      <c r="G806" t="s">
        <v>616</v>
      </c>
      <c r="I806" t="s">
        <v>617</v>
      </c>
      <c r="J806" s="13">
        <v>45952</v>
      </c>
      <c r="K806" s="13">
        <v>46023</v>
      </c>
      <c r="L806" t="s">
        <v>1179</v>
      </c>
      <c r="M806" t="s">
        <v>61</v>
      </c>
      <c r="N806">
        <v>71092208</v>
      </c>
    </row>
    <row r="807" spans="1:14" x14ac:dyDescent="0.25">
      <c r="A807">
        <v>57401148</v>
      </c>
      <c r="B807" t="s">
        <v>1089</v>
      </c>
      <c r="C807" t="s">
        <v>2571</v>
      </c>
      <c r="D807" t="s">
        <v>2572</v>
      </c>
      <c r="E807">
        <v>3217043753</v>
      </c>
      <c r="F807" t="s">
        <v>569</v>
      </c>
      <c r="G807" t="s">
        <v>570</v>
      </c>
      <c r="I807" t="s">
        <v>34</v>
      </c>
      <c r="J807" s="13">
        <v>45952</v>
      </c>
      <c r="K807" s="13">
        <v>46023</v>
      </c>
      <c r="L807" t="s">
        <v>497</v>
      </c>
      <c r="M807" t="s">
        <v>59</v>
      </c>
      <c r="N807">
        <v>71092243</v>
      </c>
    </row>
    <row r="808" spans="1:14" x14ac:dyDescent="0.25">
      <c r="A808">
        <v>57401167</v>
      </c>
      <c r="B808" t="s">
        <v>2573</v>
      </c>
      <c r="C808" t="s">
        <v>2574</v>
      </c>
      <c r="D808" t="s">
        <v>2575</v>
      </c>
      <c r="E808">
        <v>4809391651</v>
      </c>
      <c r="F808" t="s">
        <v>993</v>
      </c>
      <c r="G808" t="s">
        <v>994</v>
      </c>
      <c r="I808" t="s">
        <v>995</v>
      </c>
      <c r="J808" s="13">
        <v>45952</v>
      </c>
      <c r="K808" s="13">
        <v>46023</v>
      </c>
      <c r="L808" t="s">
        <v>1179</v>
      </c>
      <c r="M808" t="s">
        <v>59</v>
      </c>
      <c r="N808">
        <v>71092259</v>
      </c>
    </row>
    <row r="809" spans="1:14" x14ac:dyDescent="0.25">
      <c r="A809">
        <v>57401337</v>
      </c>
      <c r="B809" t="s">
        <v>2526</v>
      </c>
      <c r="C809" t="s">
        <v>2576</v>
      </c>
      <c r="D809" t="s">
        <v>2577</v>
      </c>
      <c r="E809">
        <v>2519307036</v>
      </c>
      <c r="F809" t="s">
        <v>815</v>
      </c>
      <c r="G809" t="s">
        <v>816</v>
      </c>
      <c r="I809" t="s">
        <v>23</v>
      </c>
      <c r="J809" s="13">
        <v>45952</v>
      </c>
      <c r="K809" s="13">
        <v>46023</v>
      </c>
      <c r="L809" t="s">
        <v>450</v>
      </c>
      <c r="M809" t="s">
        <v>59</v>
      </c>
      <c r="N809">
        <v>71092382</v>
      </c>
    </row>
    <row r="810" spans="1:14" x14ac:dyDescent="0.25">
      <c r="A810">
        <v>57401604</v>
      </c>
      <c r="B810" t="s">
        <v>1445</v>
      </c>
      <c r="C810" t="s">
        <v>2578</v>
      </c>
      <c r="D810" t="s">
        <v>2579</v>
      </c>
      <c r="E810">
        <v>5402228112</v>
      </c>
      <c r="F810" t="s">
        <v>684</v>
      </c>
      <c r="G810" t="s">
        <v>685</v>
      </c>
      <c r="I810" t="s">
        <v>686</v>
      </c>
      <c r="J810" s="13">
        <v>45952</v>
      </c>
      <c r="K810" s="13">
        <v>46023</v>
      </c>
      <c r="L810" t="s">
        <v>454</v>
      </c>
      <c r="M810" t="s">
        <v>419</v>
      </c>
      <c r="N810">
        <v>71093092</v>
      </c>
    </row>
    <row r="811" spans="1:14" x14ac:dyDescent="0.25">
      <c r="A811">
        <v>57401769</v>
      </c>
      <c r="B811" t="s">
        <v>2387</v>
      </c>
      <c r="C811" t="s">
        <v>2580</v>
      </c>
      <c r="D811" t="s">
        <v>2581</v>
      </c>
      <c r="E811">
        <v>5134037081</v>
      </c>
      <c r="F811" t="s">
        <v>569</v>
      </c>
      <c r="G811" t="s">
        <v>570</v>
      </c>
      <c r="I811" t="s">
        <v>34</v>
      </c>
      <c r="J811" s="13">
        <v>45952</v>
      </c>
      <c r="K811" s="13">
        <v>46023</v>
      </c>
      <c r="L811" t="s">
        <v>1179</v>
      </c>
      <c r="M811" t="s">
        <v>54</v>
      </c>
      <c r="N811">
        <v>71093223</v>
      </c>
    </row>
    <row r="812" spans="1:14" x14ac:dyDescent="0.25">
      <c r="A812">
        <v>57402131</v>
      </c>
      <c r="B812" t="s">
        <v>1297</v>
      </c>
      <c r="C812" t="s">
        <v>2582</v>
      </c>
      <c r="D812" t="s">
        <v>2583</v>
      </c>
      <c r="E812">
        <v>5202884446</v>
      </c>
      <c r="F812" t="s">
        <v>1147</v>
      </c>
      <c r="G812" t="s">
        <v>1148</v>
      </c>
      <c r="I812" t="s">
        <v>41</v>
      </c>
      <c r="J812" s="13">
        <v>45952</v>
      </c>
      <c r="K812" s="13">
        <v>46023</v>
      </c>
      <c r="L812" t="s">
        <v>1179</v>
      </c>
      <c r="M812" t="s">
        <v>58</v>
      </c>
      <c r="N812">
        <v>71093458</v>
      </c>
    </row>
    <row r="813" spans="1:14" x14ac:dyDescent="0.25">
      <c r="A813">
        <v>57406325</v>
      </c>
      <c r="B813" t="s">
        <v>852</v>
      </c>
      <c r="C813" t="s">
        <v>2077</v>
      </c>
      <c r="D813" t="s">
        <v>2584</v>
      </c>
      <c r="E813">
        <v>2527637444</v>
      </c>
      <c r="F813" t="s">
        <v>462</v>
      </c>
      <c r="G813" t="s">
        <v>463</v>
      </c>
      <c r="I813" t="s">
        <v>39</v>
      </c>
      <c r="J813" s="13">
        <v>45953</v>
      </c>
      <c r="K813" s="13">
        <v>46023</v>
      </c>
      <c r="L813" t="s">
        <v>603</v>
      </c>
      <c r="M813" t="s">
        <v>56</v>
      </c>
      <c r="N813">
        <v>71096411</v>
      </c>
    </row>
    <row r="814" spans="1:14" x14ac:dyDescent="0.25">
      <c r="A814">
        <v>57406939</v>
      </c>
      <c r="B814" t="s">
        <v>1370</v>
      </c>
      <c r="C814" t="s">
        <v>2585</v>
      </c>
      <c r="D814" t="s">
        <v>2586</v>
      </c>
      <c r="E814">
        <v>9193708240</v>
      </c>
      <c r="F814" t="s">
        <v>423</v>
      </c>
      <c r="G814" t="s">
        <v>424</v>
      </c>
      <c r="I814" t="s">
        <v>46</v>
      </c>
      <c r="J814" s="13">
        <v>45953</v>
      </c>
      <c r="K814" s="13">
        <v>46023</v>
      </c>
      <c r="L814" t="s">
        <v>418</v>
      </c>
      <c r="M814" t="s">
        <v>55</v>
      </c>
      <c r="N814">
        <v>71096692</v>
      </c>
    </row>
    <row r="815" spans="1:14" x14ac:dyDescent="0.25">
      <c r="A815">
        <v>57406913</v>
      </c>
      <c r="B815" t="s">
        <v>2587</v>
      </c>
      <c r="C815" t="s">
        <v>506</v>
      </c>
      <c r="D815" t="s">
        <v>2588</v>
      </c>
      <c r="E815">
        <v>4233316800</v>
      </c>
      <c r="F815" t="s">
        <v>705</v>
      </c>
      <c r="G815" t="s">
        <v>706</v>
      </c>
      <c r="I815" t="s">
        <v>12</v>
      </c>
      <c r="J815" s="13">
        <v>45953</v>
      </c>
      <c r="K815" s="13">
        <v>46023</v>
      </c>
      <c r="L815" t="s">
        <v>444</v>
      </c>
      <c r="M815" t="s">
        <v>55</v>
      </c>
      <c r="N815">
        <v>71096762</v>
      </c>
    </row>
    <row r="816" spans="1:14" x14ac:dyDescent="0.25">
      <c r="A816">
        <v>57407167</v>
      </c>
      <c r="B816" t="s">
        <v>1784</v>
      </c>
      <c r="C816" t="s">
        <v>2589</v>
      </c>
      <c r="D816" t="s">
        <v>2590</v>
      </c>
      <c r="E816">
        <v>2255234297</v>
      </c>
      <c r="F816" t="s">
        <v>693</v>
      </c>
      <c r="G816" t="s">
        <v>694</v>
      </c>
      <c r="I816" t="s">
        <v>103</v>
      </c>
      <c r="J816" s="13">
        <v>45953</v>
      </c>
      <c r="K816" s="13">
        <v>46023</v>
      </c>
      <c r="L816" t="s">
        <v>612</v>
      </c>
      <c r="M816" t="s">
        <v>56</v>
      </c>
      <c r="N816">
        <v>71096959</v>
      </c>
    </row>
    <row r="817" spans="1:14" x14ac:dyDescent="0.25">
      <c r="A817">
        <v>57407639</v>
      </c>
      <c r="B817" t="s">
        <v>1024</v>
      </c>
      <c r="C817" t="s">
        <v>1203</v>
      </c>
      <c r="D817" t="s">
        <v>2591</v>
      </c>
      <c r="E817">
        <v>4043992453</v>
      </c>
      <c r="F817" t="s">
        <v>842</v>
      </c>
      <c r="G817" t="s">
        <v>843</v>
      </c>
      <c r="I817" t="s">
        <v>98</v>
      </c>
      <c r="J817" s="13">
        <v>45953</v>
      </c>
      <c r="K817" s="13">
        <v>46023</v>
      </c>
      <c r="L817" t="s">
        <v>621</v>
      </c>
      <c r="M817" t="s">
        <v>56</v>
      </c>
      <c r="N817">
        <v>71097357</v>
      </c>
    </row>
    <row r="818" spans="1:14" x14ac:dyDescent="0.25">
      <c r="A818">
        <v>57407910</v>
      </c>
      <c r="B818" t="s">
        <v>445</v>
      </c>
      <c r="C818" t="s">
        <v>2592</v>
      </c>
      <c r="D818" t="s">
        <v>2593</v>
      </c>
      <c r="E818">
        <v>6789494200</v>
      </c>
      <c r="F818" t="s">
        <v>684</v>
      </c>
      <c r="G818" t="s">
        <v>685</v>
      </c>
      <c r="I818" t="s">
        <v>686</v>
      </c>
      <c r="J818" s="13">
        <v>45953</v>
      </c>
      <c r="K818" s="13">
        <v>46023</v>
      </c>
      <c r="L818" t="s">
        <v>621</v>
      </c>
      <c r="M818" t="s">
        <v>60</v>
      </c>
      <c r="N818">
        <v>71097508</v>
      </c>
    </row>
    <row r="819" spans="1:14" x14ac:dyDescent="0.25">
      <c r="A819">
        <v>57408626</v>
      </c>
      <c r="B819" t="s">
        <v>836</v>
      </c>
      <c r="C819" t="s">
        <v>2594</v>
      </c>
      <c r="D819" t="s">
        <v>2595</v>
      </c>
      <c r="E819">
        <v>7736754093</v>
      </c>
      <c r="F819" t="s">
        <v>551</v>
      </c>
      <c r="G819" t="s">
        <v>552</v>
      </c>
      <c r="I819" t="s">
        <v>42</v>
      </c>
      <c r="J819" s="13">
        <v>45953</v>
      </c>
      <c r="K819" s="13">
        <v>46023</v>
      </c>
      <c r="L819" t="s">
        <v>470</v>
      </c>
      <c r="M819" t="s">
        <v>60</v>
      </c>
      <c r="N819">
        <v>71097839</v>
      </c>
    </row>
    <row r="820" spans="1:14" x14ac:dyDescent="0.25">
      <c r="A820">
        <v>57408918</v>
      </c>
      <c r="B820" t="s">
        <v>2596</v>
      </c>
      <c r="C820" t="s">
        <v>1300</v>
      </c>
      <c r="D820" t="s">
        <v>2597</v>
      </c>
      <c r="E820">
        <v>8722010057</v>
      </c>
      <c r="F820" t="s">
        <v>790</v>
      </c>
      <c r="G820" t="s">
        <v>791</v>
      </c>
      <c r="I820" t="s">
        <v>119</v>
      </c>
      <c r="J820" s="13">
        <v>45953</v>
      </c>
      <c r="K820" s="13">
        <v>46023</v>
      </c>
      <c r="L820" t="s">
        <v>470</v>
      </c>
      <c r="M820" t="s">
        <v>56</v>
      </c>
      <c r="N820">
        <v>71098148</v>
      </c>
    </row>
    <row r="821" spans="1:14" x14ac:dyDescent="0.25">
      <c r="A821">
        <v>57410509</v>
      </c>
      <c r="B821" t="s">
        <v>1515</v>
      </c>
      <c r="C821" t="s">
        <v>2598</v>
      </c>
      <c r="D821" t="s">
        <v>2599</v>
      </c>
      <c r="E821">
        <v>2075571717</v>
      </c>
      <c r="F821" t="s">
        <v>1142</v>
      </c>
      <c r="G821" t="s">
        <v>1143</v>
      </c>
      <c r="I821" t="s">
        <v>124</v>
      </c>
      <c r="J821" s="13">
        <v>45953</v>
      </c>
      <c r="K821" s="13">
        <v>46023</v>
      </c>
      <c r="L821" t="s">
        <v>941</v>
      </c>
      <c r="M821" t="s">
        <v>61</v>
      </c>
      <c r="N821">
        <v>71100872</v>
      </c>
    </row>
    <row r="822" spans="1:14" x14ac:dyDescent="0.25">
      <c r="A822">
        <v>57410853</v>
      </c>
      <c r="B822" t="s">
        <v>2600</v>
      </c>
      <c r="C822" t="s">
        <v>2601</v>
      </c>
      <c r="D822" t="s">
        <v>2602</v>
      </c>
      <c r="E822">
        <v>3168065863</v>
      </c>
      <c r="F822" t="s">
        <v>775</v>
      </c>
      <c r="G822" t="s">
        <v>776</v>
      </c>
      <c r="I822" t="s">
        <v>22</v>
      </c>
      <c r="J822" s="13">
        <v>45953</v>
      </c>
      <c r="K822" s="13">
        <v>46023</v>
      </c>
      <c r="L822" t="s">
        <v>520</v>
      </c>
      <c r="M822" t="s">
        <v>56</v>
      </c>
      <c r="N822">
        <v>71101094</v>
      </c>
    </row>
    <row r="823" spans="1:14" x14ac:dyDescent="0.25">
      <c r="A823">
        <v>57410989</v>
      </c>
      <c r="B823" t="s">
        <v>524</v>
      </c>
      <c r="C823" t="s">
        <v>2603</v>
      </c>
      <c r="D823" t="s">
        <v>2604</v>
      </c>
      <c r="E823">
        <v>7068298839</v>
      </c>
      <c r="F823" t="s">
        <v>770</v>
      </c>
      <c r="G823" t="s">
        <v>771</v>
      </c>
      <c r="I823" t="s">
        <v>25</v>
      </c>
      <c r="J823" s="13">
        <v>45953</v>
      </c>
      <c r="K823" s="13">
        <v>46023</v>
      </c>
      <c r="L823" t="s">
        <v>621</v>
      </c>
      <c r="M823" t="s">
        <v>59</v>
      </c>
      <c r="N823">
        <v>71101200</v>
      </c>
    </row>
    <row r="824" spans="1:14" x14ac:dyDescent="0.25">
      <c r="A824">
        <v>57412427</v>
      </c>
      <c r="B824" t="s">
        <v>812</v>
      </c>
      <c r="C824" t="s">
        <v>2605</v>
      </c>
      <c r="D824" t="s">
        <v>2606</v>
      </c>
      <c r="E824">
        <v>8702912578</v>
      </c>
      <c r="F824" t="s">
        <v>615</v>
      </c>
      <c r="G824" t="s">
        <v>616</v>
      </c>
      <c r="I824" t="s">
        <v>617</v>
      </c>
      <c r="J824" s="13">
        <v>45953</v>
      </c>
      <c r="K824" s="13">
        <v>46023</v>
      </c>
      <c r="L824" t="s">
        <v>553</v>
      </c>
      <c r="M824" t="s">
        <v>56</v>
      </c>
      <c r="N824">
        <v>71102437</v>
      </c>
    </row>
    <row r="825" spans="1:14" x14ac:dyDescent="0.25">
      <c r="A825">
        <v>57413417</v>
      </c>
      <c r="B825" t="s">
        <v>2607</v>
      </c>
      <c r="C825" t="s">
        <v>2608</v>
      </c>
      <c r="D825" t="s">
        <v>2609</v>
      </c>
      <c r="E825">
        <v>3045595452</v>
      </c>
      <c r="F825" t="s">
        <v>1013</v>
      </c>
      <c r="G825" t="s">
        <v>1014</v>
      </c>
      <c r="I825" t="s">
        <v>43</v>
      </c>
      <c r="J825" s="13">
        <v>45953</v>
      </c>
      <c r="K825" s="13">
        <v>46023</v>
      </c>
      <c r="L825" t="s">
        <v>1188</v>
      </c>
      <c r="M825" t="s">
        <v>58</v>
      </c>
      <c r="N825">
        <v>71103237</v>
      </c>
    </row>
    <row r="826" spans="1:14" x14ac:dyDescent="0.25">
      <c r="A826">
        <v>57413873</v>
      </c>
      <c r="B826" t="s">
        <v>2610</v>
      </c>
      <c r="C826" t="s">
        <v>2611</v>
      </c>
      <c r="D826" t="s">
        <v>2612</v>
      </c>
      <c r="E826">
        <v>9038188401</v>
      </c>
      <c r="F826" t="s">
        <v>423</v>
      </c>
      <c r="G826" t="s">
        <v>424</v>
      </c>
      <c r="I826" t="s">
        <v>46</v>
      </c>
      <c r="J826" s="13">
        <v>45953</v>
      </c>
      <c r="K826" s="13">
        <v>46023</v>
      </c>
      <c r="L826" t="s">
        <v>444</v>
      </c>
      <c r="M826" t="s">
        <v>58</v>
      </c>
      <c r="N826">
        <v>71103516</v>
      </c>
    </row>
    <row r="827" spans="1:14" x14ac:dyDescent="0.25">
      <c r="A827">
        <v>57413969</v>
      </c>
      <c r="B827" t="s">
        <v>2613</v>
      </c>
      <c r="C827" t="s">
        <v>2614</v>
      </c>
      <c r="D827" t="s">
        <v>2615</v>
      </c>
      <c r="E827">
        <v>9288973150</v>
      </c>
      <c r="F827" t="s">
        <v>474</v>
      </c>
      <c r="G827" t="s">
        <v>475</v>
      </c>
      <c r="I827" t="s">
        <v>132</v>
      </c>
      <c r="J827" s="13">
        <v>45953</v>
      </c>
      <c r="K827" s="13">
        <v>46023</v>
      </c>
      <c r="L827" t="s">
        <v>1179</v>
      </c>
      <c r="M827" t="s">
        <v>56</v>
      </c>
      <c r="N827">
        <v>71103619</v>
      </c>
    </row>
    <row r="828" spans="1:14" x14ac:dyDescent="0.25">
      <c r="A828">
        <v>57414271</v>
      </c>
      <c r="B828" t="s">
        <v>1978</v>
      </c>
      <c r="C828" t="s">
        <v>1292</v>
      </c>
      <c r="D828" t="s">
        <v>2616</v>
      </c>
      <c r="E828">
        <v>3048958853</v>
      </c>
      <c r="F828" t="s">
        <v>667</v>
      </c>
      <c r="G828" t="s">
        <v>668</v>
      </c>
      <c r="I828" t="s">
        <v>37</v>
      </c>
      <c r="J828" s="13">
        <v>45953</v>
      </c>
      <c r="K828" s="13">
        <v>46023</v>
      </c>
      <c r="L828" t="s">
        <v>1188</v>
      </c>
      <c r="M828" t="s">
        <v>56</v>
      </c>
      <c r="N828">
        <v>71103888</v>
      </c>
    </row>
    <row r="829" spans="1:14" x14ac:dyDescent="0.25">
      <c r="A829">
        <v>57414458</v>
      </c>
      <c r="B829" t="s">
        <v>521</v>
      </c>
      <c r="C829" t="s">
        <v>2617</v>
      </c>
      <c r="D829" t="s">
        <v>2618</v>
      </c>
      <c r="E829">
        <v>3219179967</v>
      </c>
      <c r="F829" t="s">
        <v>1067</v>
      </c>
      <c r="G829" t="s">
        <v>1068</v>
      </c>
      <c r="I829" t="s">
        <v>35</v>
      </c>
      <c r="J829" s="13">
        <v>45953</v>
      </c>
      <c r="K829" s="13">
        <v>46023</v>
      </c>
      <c r="L829" t="s">
        <v>497</v>
      </c>
      <c r="M829" t="s">
        <v>58</v>
      </c>
      <c r="N829">
        <v>71104038</v>
      </c>
    </row>
    <row r="830" spans="1:14" x14ac:dyDescent="0.25">
      <c r="A830">
        <v>57414766</v>
      </c>
      <c r="B830" t="s">
        <v>2619</v>
      </c>
      <c r="C830" t="s">
        <v>2175</v>
      </c>
      <c r="D830" t="s">
        <v>2620</v>
      </c>
      <c r="E830">
        <v>7373971668</v>
      </c>
      <c r="F830" t="s">
        <v>649</v>
      </c>
      <c r="G830" t="s">
        <v>650</v>
      </c>
      <c r="I830" t="s">
        <v>28</v>
      </c>
      <c r="J830" s="13">
        <v>45953</v>
      </c>
      <c r="K830" s="13">
        <v>46023</v>
      </c>
      <c r="L830" t="s">
        <v>444</v>
      </c>
      <c r="M830" t="s">
        <v>59</v>
      </c>
      <c r="N830">
        <v>71104294</v>
      </c>
    </row>
    <row r="831" spans="1:14" x14ac:dyDescent="0.25">
      <c r="A831">
        <v>57414913</v>
      </c>
      <c r="B831" t="s">
        <v>2180</v>
      </c>
      <c r="C831" t="s">
        <v>2621</v>
      </c>
      <c r="D831" t="s">
        <v>2622</v>
      </c>
      <c r="E831">
        <v>2143342322</v>
      </c>
      <c r="F831" t="s">
        <v>693</v>
      </c>
      <c r="G831" t="s">
        <v>694</v>
      </c>
      <c r="I831" t="s">
        <v>103</v>
      </c>
      <c r="J831" s="13">
        <v>45953</v>
      </c>
      <c r="K831" s="13">
        <v>46023</v>
      </c>
      <c r="L831" t="s">
        <v>434</v>
      </c>
      <c r="M831" t="s">
        <v>56</v>
      </c>
      <c r="N831">
        <v>71104402</v>
      </c>
    </row>
    <row r="832" spans="1:14" x14ac:dyDescent="0.25">
      <c r="A832">
        <v>57415146</v>
      </c>
      <c r="B832" t="s">
        <v>867</v>
      </c>
      <c r="C832" t="s">
        <v>957</v>
      </c>
      <c r="D832" t="s">
        <v>2623</v>
      </c>
      <c r="E832">
        <v>7045001168</v>
      </c>
      <c r="F832" t="s">
        <v>684</v>
      </c>
      <c r="G832" t="s">
        <v>685</v>
      </c>
      <c r="I832" t="s">
        <v>686</v>
      </c>
      <c r="J832" s="13">
        <v>45953</v>
      </c>
      <c r="K832" s="13">
        <v>46023</v>
      </c>
      <c r="L832" t="s">
        <v>603</v>
      </c>
      <c r="M832" t="s">
        <v>59</v>
      </c>
      <c r="N832">
        <v>71104480</v>
      </c>
    </row>
    <row r="833" spans="1:14" x14ac:dyDescent="0.25">
      <c r="A833">
        <v>57415762</v>
      </c>
      <c r="B833" t="s">
        <v>2624</v>
      </c>
      <c r="C833" t="s">
        <v>2625</v>
      </c>
      <c r="D833" t="s">
        <v>2626</v>
      </c>
      <c r="E833">
        <v>6783465330</v>
      </c>
      <c r="F833" t="s">
        <v>842</v>
      </c>
      <c r="G833" t="s">
        <v>843</v>
      </c>
      <c r="I833" t="s">
        <v>98</v>
      </c>
      <c r="J833" s="13">
        <v>45953</v>
      </c>
      <c r="K833" s="13">
        <v>46023</v>
      </c>
      <c r="L833" t="s">
        <v>621</v>
      </c>
      <c r="M833" t="s">
        <v>56</v>
      </c>
      <c r="N833">
        <v>71105110</v>
      </c>
    </row>
    <row r="834" spans="1:14" x14ac:dyDescent="0.25">
      <c r="A834">
        <v>57415913</v>
      </c>
      <c r="B834" t="s">
        <v>2627</v>
      </c>
      <c r="C834" t="s">
        <v>2628</v>
      </c>
      <c r="D834" t="s">
        <v>2629</v>
      </c>
      <c r="E834">
        <v>3184214536</v>
      </c>
      <c r="F834" t="s">
        <v>798</v>
      </c>
      <c r="G834" t="s">
        <v>799</v>
      </c>
      <c r="I834" t="s">
        <v>800</v>
      </c>
      <c r="J834" s="13">
        <v>45953</v>
      </c>
      <c r="K834" s="13">
        <v>46023</v>
      </c>
      <c r="L834" t="s">
        <v>612</v>
      </c>
      <c r="M834" t="s">
        <v>56</v>
      </c>
      <c r="N834">
        <v>71105235</v>
      </c>
    </row>
    <row r="835" spans="1:14" x14ac:dyDescent="0.25">
      <c r="A835">
        <v>57415990</v>
      </c>
      <c r="B835" t="s">
        <v>1566</v>
      </c>
      <c r="C835" t="s">
        <v>1870</v>
      </c>
      <c r="D835" t="s">
        <v>2630</v>
      </c>
      <c r="E835">
        <v>2177120237</v>
      </c>
      <c r="F835" t="s">
        <v>592</v>
      </c>
      <c r="G835" t="s">
        <v>593</v>
      </c>
      <c r="I835" t="s">
        <v>115</v>
      </c>
      <c r="J835" s="13">
        <v>45953</v>
      </c>
      <c r="K835" s="13">
        <v>46023</v>
      </c>
      <c r="L835" t="s">
        <v>470</v>
      </c>
      <c r="M835" t="s">
        <v>60</v>
      </c>
      <c r="N835">
        <v>71105304</v>
      </c>
    </row>
    <row r="836" spans="1:14" x14ac:dyDescent="0.25">
      <c r="A836">
        <v>57417480</v>
      </c>
      <c r="B836" t="s">
        <v>480</v>
      </c>
      <c r="C836" t="s">
        <v>2631</v>
      </c>
      <c r="D836" t="s">
        <v>2632</v>
      </c>
      <c r="E836">
        <v>8167237329</v>
      </c>
      <c r="F836" t="s">
        <v>551</v>
      </c>
      <c r="G836" t="s">
        <v>552</v>
      </c>
      <c r="I836" t="s">
        <v>42</v>
      </c>
      <c r="J836" s="13">
        <v>45953</v>
      </c>
      <c r="K836" s="13">
        <v>46023</v>
      </c>
      <c r="L836" t="s">
        <v>434</v>
      </c>
      <c r="M836" t="s">
        <v>58</v>
      </c>
      <c r="N836">
        <v>71106350</v>
      </c>
    </row>
    <row r="837" spans="1:14" x14ac:dyDescent="0.25">
      <c r="A837">
        <v>57418841</v>
      </c>
      <c r="B837" t="s">
        <v>980</v>
      </c>
      <c r="C837" t="s">
        <v>2633</v>
      </c>
      <c r="D837" t="s">
        <v>2634</v>
      </c>
      <c r="E837">
        <v>7262421224</v>
      </c>
      <c r="F837" t="s">
        <v>1147</v>
      </c>
      <c r="G837" t="s">
        <v>1148</v>
      </c>
      <c r="I837" t="s">
        <v>41</v>
      </c>
      <c r="J837" s="13">
        <v>45953</v>
      </c>
      <c r="K837" s="13">
        <v>46023</v>
      </c>
      <c r="L837" t="s">
        <v>444</v>
      </c>
      <c r="M837" t="s">
        <v>59</v>
      </c>
      <c r="N837">
        <v>71107719</v>
      </c>
    </row>
    <row r="838" spans="1:14" x14ac:dyDescent="0.25">
      <c r="A838">
        <v>57418996</v>
      </c>
      <c r="B838" t="s">
        <v>1213</v>
      </c>
      <c r="C838" t="s">
        <v>1053</v>
      </c>
      <c r="D838" t="s">
        <v>2635</v>
      </c>
      <c r="E838">
        <v>7207016537</v>
      </c>
      <c r="F838" t="s">
        <v>462</v>
      </c>
      <c r="G838" t="s">
        <v>463</v>
      </c>
      <c r="I838" t="s">
        <v>39</v>
      </c>
      <c r="J838" s="13">
        <v>45953</v>
      </c>
      <c r="K838" s="13">
        <v>46023</v>
      </c>
      <c r="L838" t="s">
        <v>539</v>
      </c>
      <c r="M838" t="s">
        <v>59</v>
      </c>
      <c r="N838">
        <v>71107829</v>
      </c>
    </row>
    <row r="839" spans="1:14" x14ac:dyDescent="0.25">
      <c r="A839">
        <v>57419574</v>
      </c>
      <c r="B839" t="s">
        <v>2636</v>
      </c>
      <c r="C839" t="s">
        <v>2637</v>
      </c>
      <c r="D839" t="s">
        <v>2638</v>
      </c>
      <c r="E839">
        <v>6028258771</v>
      </c>
      <c r="F839" t="s">
        <v>423</v>
      </c>
      <c r="G839" t="s">
        <v>424</v>
      </c>
      <c r="I839" t="s">
        <v>46</v>
      </c>
      <c r="J839" s="13">
        <v>45953</v>
      </c>
      <c r="K839" s="13">
        <v>46023</v>
      </c>
      <c r="L839" t="s">
        <v>1179</v>
      </c>
      <c r="M839" t="s">
        <v>59</v>
      </c>
      <c r="N839">
        <v>71107970</v>
      </c>
    </row>
    <row r="840" spans="1:14" x14ac:dyDescent="0.25">
      <c r="A840">
        <v>57419460</v>
      </c>
      <c r="B840" t="s">
        <v>2639</v>
      </c>
      <c r="C840" t="s">
        <v>2640</v>
      </c>
      <c r="D840" t="s">
        <v>2641</v>
      </c>
      <c r="E840">
        <v>9705608039</v>
      </c>
      <c r="F840" t="s">
        <v>628</v>
      </c>
      <c r="G840" t="s">
        <v>629</v>
      </c>
      <c r="I840" t="s">
        <v>24</v>
      </c>
      <c r="J840" s="13">
        <v>45953</v>
      </c>
      <c r="K840" s="13">
        <v>46023</v>
      </c>
      <c r="L840" t="s">
        <v>539</v>
      </c>
      <c r="M840" t="s">
        <v>58</v>
      </c>
      <c r="N840">
        <v>71108087</v>
      </c>
    </row>
    <row r="841" spans="1:14" x14ac:dyDescent="0.25">
      <c r="A841">
        <v>57419621</v>
      </c>
      <c r="B841" t="s">
        <v>2642</v>
      </c>
      <c r="C841" t="s">
        <v>2643</v>
      </c>
      <c r="D841" t="s">
        <v>2644</v>
      </c>
      <c r="E841">
        <v>6154283059</v>
      </c>
      <c r="F841" t="s">
        <v>705</v>
      </c>
      <c r="G841" t="s">
        <v>706</v>
      </c>
      <c r="I841" t="s">
        <v>12</v>
      </c>
      <c r="J841" s="13">
        <v>45953</v>
      </c>
      <c r="K841" s="13">
        <v>46023</v>
      </c>
      <c r="L841" t="s">
        <v>479</v>
      </c>
      <c r="M841" t="s">
        <v>59</v>
      </c>
      <c r="N841">
        <v>71108165</v>
      </c>
    </row>
    <row r="842" spans="1:14" x14ac:dyDescent="0.25">
      <c r="A842">
        <v>57419868</v>
      </c>
      <c r="B842" t="s">
        <v>2645</v>
      </c>
      <c r="C842" t="s">
        <v>2488</v>
      </c>
      <c r="D842" t="s">
        <v>2646</v>
      </c>
      <c r="E842">
        <v>6146152083</v>
      </c>
      <c r="F842" t="s">
        <v>780</v>
      </c>
      <c r="G842" t="s">
        <v>781</v>
      </c>
      <c r="I842" t="s">
        <v>20</v>
      </c>
      <c r="J842" s="13">
        <v>45953</v>
      </c>
      <c r="K842" s="13">
        <v>46023</v>
      </c>
      <c r="L842" t="s">
        <v>418</v>
      </c>
      <c r="M842" t="s">
        <v>59</v>
      </c>
      <c r="N842">
        <v>71108322</v>
      </c>
    </row>
    <row r="843" spans="1:14" x14ac:dyDescent="0.25">
      <c r="A843">
        <v>57419901</v>
      </c>
      <c r="B843" t="s">
        <v>1228</v>
      </c>
      <c r="C843" t="s">
        <v>2647</v>
      </c>
      <c r="D843" t="s">
        <v>2648</v>
      </c>
      <c r="E843">
        <v>2174128548</v>
      </c>
      <c r="F843" t="s">
        <v>416</v>
      </c>
      <c r="G843" t="s">
        <v>417</v>
      </c>
      <c r="I843" t="s">
        <v>26</v>
      </c>
      <c r="J843" s="13">
        <v>45953</v>
      </c>
      <c r="K843" s="13">
        <v>46023</v>
      </c>
      <c r="L843" t="s">
        <v>470</v>
      </c>
      <c r="M843" t="s">
        <v>58</v>
      </c>
      <c r="N843">
        <v>71108334</v>
      </c>
    </row>
    <row r="844" spans="1:14" x14ac:dyDescent="0.25">
      <c r="A844">
        <v>57419954</v>
      </c>
      <c r="B844" t="s">
        <v>2649</v>
      </c>
      <c r="C844" t="s">
        <v>2650</v>
      </c>
      <c r="D844" t="s">
        <v>2651</v>
      </c>
      <c r="E844">
        <v>3183312743</v>
      </c>
      <c r="F844" t="s">
        <v>574</v>
      </c>
      <c r="G844" t="s">
        <v>575</v>
      </c>
      <c r="I844" t="s">
        <v>14</v>
      </c>
      <c r="J844" s="13">
        <v>45953</v>
      </c>
      <c r="K844" s="13">
        <v>46023</v>
      </c>
      <c r="L844" t="s">
        <v>612</v>
      </c>
      <c r="M844" t="s">
        <v>56</v>
      </c>
      <c r="N844">
        <v>71108375</v>
      </c>
    </row>
    <row r="845" spans="1:14" x14ac:dyDescent="0.25">
      <c r="A845">
        <v>57420601</v>
      </c>
      <c r="B845" t="s">
        <v>925</v>
      </c>
      <c r="C845" t="s">
        <v>2652</v>
      </c>
      <c r="D845" t="s">
        <v>2653</v>
      </c>
      <c r="E845">
        <v>7579492099</v>
      </c>
      <c r="F845" t="s">
        <v>957</v>
      </c>
      <c r="G845" t="s">
        <v>958</v>
      </c>
      <c r="H845" t="s">
        <v>959</v>
      </c>
      <c r="I845" t="s">
        <v>960</v>
      </c>
      <c r="J845" s="13">
        <v>45953</v>
      </c>
      <c r="K845" s="13">
        <v>46023</v>
      </c>
      <c r="L845" t="s">
        <v>454</v>
      </c>
      <c r="M845" t="s">
        <v>56</v>
      </c>
      <c r="N845">
        <v>71108654</v>
      </c>
    </row>
    <row r="846" spans="1:14" x14ac:dyDescent="0.25">
      <c r="A846">
        <v>57420287</v>
      </c>
      <c r="B846" t="s">
        <v>2654</v>
      </c>
      <c r="C846" t="s">
        <v>2655</v>
      </c>
      <c r="D846" t="s">
        <v>2656</v>
      </c>
      <c r="E846">
        <v>3303291173</v>
      </c>
      <c r="F846" t="s">
        <v>928</v>
      </c>
      <c r="G846" t="s">
        <v>929</v>
      </c>
      <c r="I846" t="s">
        <v>30</v>
      </c>
      <c r="J846" s="13">
        <v>45953</v>
      </c>
      <c r="K846" s="13">
        <v>46023</v>
      </c>
      <c r="L846" t="s">
        <v>418</v>
      </c>
      <c r="M846" t="s">
        <v>59</v>
      </c>
      <c r="N846">
        <v>71108679</v>
      </c>
    </row>
    <row r="847" spans="1:14" x14ac:dyDescent="0.25">
      <c r="A847">
        <v>57420682</v>
      </c>
      <c r="B847" t="s">
        <v>2657</v>
      </c>
      <c r="C847" t="s">
        <v>2658</v>
      </c>
      <c r="D847" t="s">
        <v>2659</v>
      </c>
      <c r="E847">
        <v>5026632633</v>
      </c>
      <c r="F847" t="s">
        <v>746</v>
      </c>
      <c r="G847" t="s">
        <v>747</v>
      </c>
      <c r="I847" t="s">
        <v>27</v>
      </c>
      <c r="J847" s="13">
        <v>45953</v>
      </c>
      <c r="K847" s="13">
        <v>46023</v>
      </c>
      <c r="L847" t="s">
        <v>490</v>
      </c>
      <c r="M847" t="s">
        <v>59</v>
      </c>
      <c r="N847">
        <v>71108828</v>
      </c>
    </row>
    <row r="848" spans="1:14" x14ac:dyDescent="0.25">
      <c r="A848">
        <v>57420743</v>
      </c>
      <c r="B848" t="s">
        <v>804</v>
      </c>
      <c r="C848" t="s">
        <v>2660</v>
      </c>
      <c r="D848" t="s">
        <v>2661</v>
      </c>
      <c r="E848">
        <v>4808828883</v>
      </c>
      <c r="F848" t="s">
        <v>870</v>
      </c>
      <c r="G848" t="s">
        <v>871</v>
      </c>
      <c r="I848" t="s">
        <v>872</v>
      </c>
      <c r="J848" s="13">
        <v>45953</v>
      </c>
      <c r="K848" s="13">
        <v>46023</v>
      </c>
      <c r="L848" t="s">
        <v>1179</v>
      </c>
      <c r="M848" t="s">
        <v>58</v>
      </c>
      <c r="N848">
        <v>71109033</v>
      </c>
    </row>
    <row r="849" spans="1:14" x14ac:dyDescent="0.25">
      <c r="A849">
        <v>57420822</v>
      </c>
      <c r="B849" t="s">
        <v>2662</v>
      </c>
      <c r="C849" t="s">
        <v>1385</v>
      </c>
      <c r="D849" t="s">
        <v>2663</v>
      </c>
      <c r="E849">
        <v>2249669272</v>
      </c>
      <c r="F849" t="s">
        <v>790</v>
      </c>
      <c r="G849" t="s">
        <v>791</v>
      </c>
      <c r="I849" t="s">
        <v>119</v>
      </c>
      <c r="J849" s="13">
        <v>45953</v>
      </c>
      <c r="K849" s="13">
        <v>46023</v>
      </c>
      <c r="L849" t="s">
        <v>470</v>
      </c>
      <c r="M849" t="s">
        <v>59</v>
      </c>
      <c r="N849">
        <v>71109073</v>
      </c>
    </row>
    <row r="850" spans="1:14" x14ac:dyDescent="0.25">
      <c r="A850">
        <v>57420990</v>
      </c>
      <c r="B850" t="s">
        <v>2664</v>
      </c>
      <c r="C850" t="s">
        <v>2665</v>
      </c>
      <c r="D850" t="s">
        <v>2666</v>
      </c>
      <c r="E850">
        <v>7204859259</v>
      </c>
      <c r="F850" t="s">
        <v>684</v>
      </c>
      <c r="G850" t="s">
        <v>685</v>
      </c>
      <c r="I850" t="s">
        <v>686</v>
      </c>
      <c r="J850" s="13">
        <v>45953</v>
      </c>
      <c r="K850" s="13">
        <v>46023</v>
      </c>
      <c r="L850" t="s">
        <v>539</v>
      </c>
      <c r="M850" t="s">
        <v>56</v>
      </c>
      <c r="N850">
        <v>71109178</v>
      </c>
    </row>
    <row r="851" spans="1:14" x14ac:dyDescent="0.25">
      <c r="A851">
        <v>57421082</v>
      </c>
      <c r="B851" t="s">
        <v>2667</v>
      </c>
      <c r="C851" t="s">
        <v>2668</v>
      </c>
      <c r="D851" t="s">
        <v>2669</v>
      </c>
      <c r="E851">
        <v>9439960096</v>
      </c>
      <c r="F851" t="s">
        <v>842</v>
      </c>
      <c r="G851" t="s">
        <v>843</v>
      </c>
      <c r="I851" t="s">
        <v>98</v>
      </c>
      <c r="J851" s="13">
        <v>45953</v>
      </c>
      <c r="K851" s="13">
        <v>46023</v>
      </c>
      <c r="L851" t="s">
        <v>621</v>
      </c>
      <c r="M851" t="s">
        <v>59</v>
      </c>
      <c r="N851">
        <v>71109245</v>
      </c>
    </row>
    <row r="852" spans="1:14" x14ac:dyDescent="0.25">
      <c r="A852">
        <v>57421468</v>
      </c>
      <c r="B852" t="s">
        <v>431</v>
      </c>
      <c r="C852" t="s">
        <v>2670</v>
      </c>
      <c r="D852" t="s">
        <v>2671</v>
      </c>
      <c r="E852">
        <v>3187621221</v>
      </c>
      <c r="F852" t="s">
        <v>693</v>
      </c>
      <c r="G852" t="s">
        <v>694</v>
      </c>
      <c r="I852" t="s">
        <v>103</v>
      </c>
      <c r="J852" s="13">
        <v>45953</v>
      </c>
      <c r="K852" s="13">
        <v>46023</v>
      </c>
      <c r="L852" t="s">
        <v>612</v>
      </c>
      <c r="M852" t="s">
        <v>56</v>
      </c>
      <c r="N852">
        <v>71109482</v>
      </c>
    </row>
    <row r="853" spans="1:14" x14ac:dyDescent="0.25">
      <c r="A853">
        <v>57421601</v>
      </c>
      <c r="B853" t="s">
        <v>1334</v>
      </c>
      <c r="C853" t="s">
        <v>2672</v>
      </c>
      <c r="D853" t="s">
        <v>2673</v>
      </c>
      <c r="E853">
        <v>5202476860</v>
      </c>
      <c r="F853" t="s">
        <v>1003</v>
      </c>
      <c r="G853" t="s">
        <v>1004</v>
      </c>
      <c r="I853" t="s">
        <v>89</v>
      </c>
      <c r="J853" s="13">
        <v>45953</v>
      </c>
      <c r="K853" s="13">
        <v>46023</v>
      </c>
      <c r="L853" t="s">
        <v>1179</v>
      </c>
      <c r="M853" t="s">
        <v>59</v>
      </c>
      <c r="N853">
        <v>71109559</v>
      </c>
    </row>
    <row r="854" spans="1:14" x14ac:dyDescent="0.25">
      <c r="A854">
        <v>57421970</v>
      </c>
      <c r="B854" t="s">
        <v>2674</v>
      </c>
      <c r="C854" t="s">
        <v>610</v>
      </c>
      <c r="D854" t="s">
        <v>2675</v>
      </c>
      <c r="E854">
        <v>9565981445</v>
      </c>
      <c r="F854" t="s">
        <v>649</v>
      </c>
      <c r="G854" t="s">
        <v>650</v>
      </c>
      <c r="I854" t="s">
        <v>28</v>
      </c>
      <c r="J854" s="13">
        <v>45953</v>
      </c>
      <c r="K854" s="13">
        <v>46023</v>
      </c>
      <c r="L854" t="s">
        <v>444</v>
      </c>
      <c r="M854" t="s">
        <v>55</v>
      </c>
      <c r="N854">
        <v>71109808</v>
      </c>
    </row>
    <row r="855" spans="1:14" x14ac:dyDescent="0.25">
      <c r="A855">
        <v>57422418</v>
      </c>
      <c r="B855" t="s">
        <v>2676</v>
      </c>
      <c r="C855" t="s">
        <v>1538</v>
      </c>
      <c r="D855" t="s">
        <v>2677</v>
      </c>
      <c r="E855">
        <v>7623081543</v>
      </c>
      <c r="F855" t="s">
        <v>770</v>
      </c>
      <c r="G855" t="s">
        <v>771</v>
      </c>
      <c r="I855" t="s">
        <v>25</v>
      </c>
      <c r="J855" s="13">
        <v>45953</v>
      </c>
      <c r="K855" s="13">
        <v>46023</v>
      </c>
      <c r="L855" t="s">
        <v>621</v>
      </c>
      <c r="M855" t="s">
        <v>58</v>
      </c>
      <c r="N855">
        <v>71110125</v>
      </c>
    </row>
    <row r="856" spans="1:14" x14ac:dyDescent="0.25">
      <c r="A856">
        <v>57422645</v>
      </c>
      <c r="B856" t="s">
        <v>885</v>
      </c>
      <c r="C856" t="s">
        <v>2678</v>
      </c>
      <c r="D856" t="s">
        <v>2679</v>
      </c>
      <c r="E856">
        <v>6063353511</v>
      </c>
      <c r="F856" t="s">
        <v>815</v>
      </c>
      <c r="G856" t="s">
        <v>816</v>
      </c>
      <c r="I856" t="s">
        <v>23</v>
      </c>
      <c r="J856" s="13">
        <v>45953</v>
      </c>
      <c r="K856" s="13">
        <v>46023</v>
      </c>
      <c r="L856" t="s">
        <v>490</v>
      </c>
      <c r="M856" t="s">
        <v>59</v>
      </c>
      <c r="N856">
        <v>71110293</v>
      </c>
    </row>
    <row r="857" spans="1:14" x14ac:dyDescent="0.25">
      <c r="A857">
        <v>57422823</v>
      </c>
      <c r="B857" t="s">
        <v>1643</v>
      </c>
      <c r="C857" t="s">
        <v>52</v>
      </c>
      <c r="D857" t="s">
        <v>2680</v>
      </c>
      <c r="E857">
        <v>4236462974</v>
      </c>
      <c r="F857" t="s">
        <v>569</v>
      </c>
      <c r="G857" t="s">
        <v>570</v>
      </c>
      <c r="I857" t="s">
        <v>34</v>
      </c>
      <c r="J857" s="13">
        <v>45953</v>
      </c>
      <c r="K857" s="13">
        <v>46023</v>
      </c>
      <c r="L857" t="s">
        <v>603</v>
      </c>
      <c r="M857" t="s">
        <v>56</v>
      </c>
      <c r="N857">
        <v>71110397</v>
      </c>
    </row>
    <row r="858" spans="1:14" x14ac:dyDescent="0.25">
      <c r="A858">
        <v>57422895</v>
      </c>
      <c r="B858" t="s">
        <v>2681</v>
      </c>
      <c r="C858" t="s">
        <v>799</v>
      </c>
      <c r="D858" t="s">
        <v>2682</v>
      </c>
      <c r="E858">
        <v>5208702454</v>
      </c>
      <c r="F858" t="s">
        <v>423</v>
      </c>
      <c r="G858" t="s">
        <v>424</v>
      </c>
      <c r="I858" t="s">
        <v>46</v>
      </c>
      <c r="J858" s="13">
        <v>45953</v>
      </c>
      <c r="K858" s="13">
        <v>46023</v>
      </c>
      <c r="L858" t="s">
        <v>1179</v>
      </c>
      <c r="M858" t="s">
        <v>54</v>
      </c>
      <c r="N858">
        <v>71110424</v>
      </c>
    </row>
    <row r="859" spans="1:14" x14ac:dyDescent="0.25">
      <c r="A859">
        <v>57423335</v>
      </c>
      <c r="B859" t="s">
        <v>672</v>
      </c>
      <c r="C859" t="s">
        <v>2521</v>
      </c>
      <c r="D859" t="s">
        <v>2683</v>
      </c>
      <c r="E859">
        <v>3368232954</v>
      </c>
      <c r="F859" t="s">
        <v>684</v>
      </c>
      <c r="G859" t="s">
        <v>685</v>
      </c>
      <c r="I859" t="s">
        <v>686</v>
      </c>
      <c r="J859" s="13">
        <v>45953</v>
      </c>
      <c r="K859" s="13">
        <v>46023</v>
      </c>
      <c r="L859" t="s">
        <v>603</v>
      </c>
      <c r="M859" t="s">
        <v>56</v>
      </c>
      <c r="N859">
        <v>71110671</v>
      </c>
    </row>
    <row r="860" spans="1:14" x14ac:dyDescent="0.25">
      <c r="A860">
        <v>62819820</v>
      </c>
      <c r="B860" t="s">
        <v>420</v>
      </c>
      <c r="C860" t="s">
        <v>2684</v>
      </c>
      <c r="D860" t="s">
        <v>2685</v>
      </c>
      <c r="E860">
        <v>9416233301</v>
      </c>
      <c r="F860" t="s">
        <v>448</v>
      </c>
      <c r="G860" t="s">
        <v>449</v>
      </c>
      <c r="I860" t="s">
        <v>31</v>
      </c>
      <c r="J860" s="13">
        <v>46125</v>
      </c>
      <c r="K860" s="13">
        <v>46143</v>
      </c>
      <c r="L860" t="s">
        <v>497</v>
      </c>
      <c r="M860" t="s">
        <v>58</v>
      </c>
      <c r="N860">
        <v>71110813</v>
      </c>
    </row>
    <row r="861" spans="1:14" x14ac:dyDescent="0.25">
      <c r="A861">
        <v>57424067</v>
      </c>
      <c r="B861" t="s">
        <v>2686</v>
      </c>
      <c r="C861" t="s">
        <v>2687</v>
      </c>
      <c r="D861" t="s">
        <v>2688</v>
      </c>
      <c r="E861">
        <v>9726895525</v>
      </c>
      <c r="F861" t="s">
        <v>842</v>
      </c>
      <c r="G861" t="s">
        <v>843</v>
      </c>
      <c r="I861" t="s">
        <v>98</v>
      </c>
      <c r="J861" s="13">
        <v>45953</v>
      </c>
      <c r="K861" s="13">
        <v>46023</v>
      </c>
      <c r="L861" t="s">
        <v>444</v>
      </c>
      <c r="M861" t="s">
        <v>58</v>
      </c>
      <c r="N861">
        <v>71111143</v>
      </c>
    </row>
    <row r="862" spans="1:14" x14ac:dyDescent="0.25">
      <c r="A862">
        <v>57424119</v>
      </c>
      <c r="B862" t="s">
        <v>548</v>
      </c>
      <c r="C862" t="s">
        <v>2207</v>
      </c>
      <c r="D862" t="s">
        <v>2689</v>
      </c>
      <c r="E862">
        <v>9378562907</v>
      </c>
      <c r="F862" t="s">
        <v>574</v>
      </c>
      <c r="G862" t="s">
        <v>575</v>
      </c>
      <c r="I862" t="s">
        <v>14</v>
      </c>
      <c r="J862" s="13">
        <v>45953</v>
      </c>
      <c r="K862" s="13">
        <v>46023</v>
      </c>
      <c r="L862" t="s">
        <v>418</v>
      </c>
      <c r="M862" t="s">
        <v>60</v>
      </c>
      <c r="N862">
        <v>71111178</v>
      </c>
    </row>
    <row r="863" spans="1:14" x14ac:dyDescent="0.25">
      <c r="A863">
        <v>57424164</v>
      </c>
      <c r="B863" t="s">
        <v>2690</v>
      </c>
      <c r="C863" t="s">
        <v>2691</v>
      </c>
      <c r="D863" t="s">
        <v>2692</v>
      </c>
      <c r="E863">
        <v>5134760844</v>
      </c>
      <c r="F863" t="s">
        <v>1013</v>
      </c>
      <c r="G863" t="s">
        <v>1014</v>
      </c>
      <c r="I863" t="s">
        <v>43</v>
      </c>
      <c r="J863" s="13">
        <v>45953</v>
      </c>
      <c r="K863" s="13">
        <v>46023</v>
      </c>
      <c r="L863" t="s">
        <v>418</v>
      </c>
      <c r="M863" t="s">
        <v>58</v>
      </c>
      <c r="N863">
        <v>71111201</v>
      </c>
    </row>
    <row r="864" spans="1:14" x14ac:dyDescent="0.25">
      <c r="A864">
        <v>57424618</v>
      </c>
      <c r="B864" t="s">
        <v>600</v>
      </c>
      <c r="C864" t="s">
        <v>564</v>
      </c>
      <c r="D864" t="s">
        <v>2693</v>
      </c>
      <c r="E864">
        <v>5202757711</v>
      </c>
      <c r="F864" t="s">
        <v>1345</v>
      </c>
      <c r="G864" t="s">
        <v>799</v>
      </c>
      <c r="I864" t="s">
        <v>47</v>
      </c>
      <c r="J864" s="13">
        <v>45953</v>
      </c>
      <c r="K864" s="13">
        <v>46023</v>
      </c>
      <c r="L864" t="s">
        <v>1179</v>
      </c>
      <c r="M864" t="s">
        <v>59</v>
      </c>
      <c r="N864">
        <v>71111374</v>
      </c>
    </row>
    <row r="865" spans="1:14" x14ac:dyDescent="0.25">
      <c r="A865">
        <v>57424711</v>
      </c>
      <c r="B865" t="s">
        <v>521</v>
      </c>
      <c r="C865" t="s">
        <v>530</v>
      </c>
      <c r="D865" t="s">
        <v>2694</v>
      </c>
      <c r="E865">
        <v>9283105969</v>
      </c>
      <c r="F865" t="s">
        <v>775</v>
      </c>
      <c r="G865" t="s">
        <v>776</v>
      </c>
      <c r="I865" t="s">
        <v>22</v>
      </c>
      <c r="J865" s="13">
        <v>45953</v>
      </c>
      <c r="K865" s="13">
        <v>46023</v>
      </c>
      <c r="L865" t="s">
        <v>1179</v>
      </c>
      <c r="M865" t="s">
        <v>54</v>
      </c>
      <c r="N865">
        <v>71111419</v>
      </c>
    </row>
    <row r="866" spans="1:14" x14ac:dyDescent="0.25">
      <c r="A866">
        <v>57425951</v>
      </c>
      <c r="B866" t="s">
        <v>517</v>
      </c>
      <c r="C866" t="s">
        <v>2695</v>
      </c>
      <c r="D866" t="s">
        <v>2696</v>
      </c>
      <c r="F866" t="s">
        <v>423</v>
      </c>
      <c r="G866" t="s">
        <v>424</v>
      </c>
      <c r="I866" t="s">
        <v>46</v>
      </c>
      <c r="J866" s="13">
        <v>45953</v>
      </c>
      <c r="K866" s="13">
        <v>46023</v>
      </c>
      <c r="L866" t="s">
        <v>1179</v>
      </c>
      <c r="M866" t="s">
        <v>54</v>
      </c>
      <c r="N866">
        <v>71111541</v>
      </c>
    </row>
    <row r="867" spans="1:14" x14ac:dyDescent="0.25">
      <c r="A867">
        <v>57426169</v>
      </c>
      <c r="B867" t="s">
        <v>1041</v>
      </c>
      <c r="C867" t="s">
        <v>2697</v>
      </c>
      <c r="D867" t="s">
        <v>2698</v>
      </c>
      <c r="E867">
        <v>6023340267</v>
      </c>
      <c r="F867" t="s">
        <v>462</v>
      </c>
      <c r="G867" t="s">
        <v>463</v>
      </c>
      <c r="I867" t="s">
        <v>39</v>
      </c>
      <c r="J867" s="13">
        <v>45953</v>
      </c>
      <c r="K867" s="13">
        <v>46023</v>
      </c>
      <c r="L867" t="s">
        <v>1179</v>
      </c>
      <c r="M867" t="s">
        <v>54</v>
      </c>
      <c r="N867">
        <v>71112731</v>
      </c>
    </row>
    <row r="868" spans="1:14" x14ac:dyDescent="0.25">
      <c r="A868">
        <v>57426612</v>
      </c>
      <c r="B868" t="s">
        <v>2699</v>
      </c>
      <c r="C868" t="s">
        <v>2700</v>
      </c>
      <c r="D868" t="s">
        <v>2701</v>
      </c>
      <c r="E868">
        <v>4043377398</v>
      </c>
      <c r="F868" t="s">
        <v>821</v>
      </c>
      <c r="G868" t="s">
        <v>822</v>
      </c>
      <c r="I868" t="s">
        <v>823</v>
      </c>
      <c r="J868" s="13">
        <v>45953</v>
      </c>
      <c r="K868" s="13">
        <v>46023</v>
      </c>
      <c r="L868" t="s">
        <v>621</v>
      </c>
      <c r="M868" t="s">
        <v>56</v>
      </c>
      <c r="N868">
        <v>71112988</v>
      </c>
    </row>
    <row r="869" spans="1:14" x14ac:dyDescent="0.25">
      <c r="A869">
        <v>57427001</v>
      </c>
      <c r="B869" t="s">
        <v>1106</v>
      </c>
      <c r="C869" t="s">
        <v>2702</v>
      </c>
      <c r="D869" t="s">
        <v>2703</v>
      </c>
      <c r="E869">
        <v>5204441152</v>
      </c>
      <c r="F869" t="s">
        <v>615</v>
      </c>
      <c r="G869" t="s">
        <v>616</v>
      </c>
      <c r="I869" t="s">
        <v>617</v>
      </c>
      <c r="J869" s="13">
        <v>45953</v>
      </c>
      <c r="K869" s="13">
        <v>46023</v>
      </c>
      <c r="L869" t="s">
        <v>1179</v>
      </c>
      <c r="M869" t="s">
        <v>55</v>
      </c>
      <c r="N869">
        <v>71113246</v>
      </c>
    </row>
    <row r="870" spans="1:14" x14ac:dyDescent="0.25">
      <c r="A870">
        <v>57427108</v>
      </c>
      <c r="B870" t="s">
        <v>645</v>
      </c>
      <c r="C870" t="s">
        <v>2704</v>
      </c>
      <c r="D870" t="s">
        <v>2705</v>
      </c>
      <c r="E870">
        <v>5014995302</v>
      </c>
      <c r="F870" t="s">
        <v>649</v>
      </c>
      <c r="G870" t="s">
        <v>650</v>
      </c>
      <c r="I870" t="s">
        <v>28</v>
      </c>
      <c r="J870" s="13">
        <v>45953</v>
      </c>
      <c r="K870" s="13">
        <v>46023</v>
      </c>
      <c r="L870" t="s">
        <v>553</v>
      </c>
      <c r="M870" t="s">
        <v>56</v>
      </c>
      <c r="N870">
        <v>71113306</v>
      </c>
    </row>
    <row r="871" spans="1:14" x14ac:dyDescent="0.25">
      <c r="A871">
        <v>57427550</v>
      </c>
      <c r="B871" t="s">
        <v>498</v>
      </c>
      <c r="C871" t="s">
        <v>2706</v>
      </c>
      <c r="D871" t="s">
        <v>2707</v>
      </c>
      <c r="E871">
        <v>3362607001</v>
      </c>
      <c r="F871" t="s">
        <v>416</v>
      </c>
      <c r="G871" t="s">
        <v>417</v>
      </c>
      <c r="I871" t="s">
        <v>26</v>
      </c>
      <c r="J871" s="13">
        <v>45953</v>
      </c>
      <c r="K871" s="13">
        <v>46023</v>
      </c>
      <c r="L871" t="s">
        <v>603</v>
      </c>
      <c r="M871" t="s">
        <v>59</v>
      </c>
      <c r="N871">
        <v>71113392</v>
      </c>
    </row>
    <row r="872" spans="1:14" x14ac:dyDescent="0.25">
      <c r="A872">
        <v>57427803</v>
      </c>
      <c r="B872" t="s">
        <v>1316</v>
      </c>
      <c r="C872" t="s">
        <v>1287</v>
      </c>
      <c r="D872" t="s">
        <v>2708</v>
      </c>
      <c r="E872">
        <v>5203391604</v>
      </c>
      <c r="F872" t="s">
        <v>474</v>
      </c>
      <c r="G872" t="s">
        <v>475</v>
      </c>
      <c r="I872" t="s">
        <v>132</v>
      </c>
      <c r="J872" s="13">
        <v>45953</v>
      </c>
      <c r="K872" s="13">
        <v>46023</v>
      </c>
      <c r="L872" t="s">
        <v>1179</v>
      </c>
      <c r="M872" t="s">
        <v>59</v>
      </c>
      <c r="N872">
        <v>71113571</v>
      </c>
    </row>
    <row r="873" spans="1:14" x14ac:dyDescent="0.25">
      <c r="A873">
        <v>57428426</v>
      </c>
      <c r="B873" t="s">
        <v>1853</v>
      </c>
      <c r="C873" t="s">
        <v>2709</v>
      </c>
      <c r="D873" t="s">
        <v>2710</v>
      </c>
      <c r="E873">
        <v>5207360220</v>
      </c>
      <c r="F873" t="s">
        <v>993</v>
      </c>
      <c r="G873" t="s">
        <v>994</v>
      </c>
      <c r="I873" t="s">
        <v>995</v>
      </c>
      <c r="J873" s="13">
        <v>45953</v>
      </c>
      <c r="K873" s="13">
        <v>46023</v>
      </c>
      <c r="L873" t="s">
        <v>1179</v>
      </c>
      <c r="M873" t="s">
        <v>59</v>
      </c>
      <c r="N873">
        <v>71113954</v>
      </c>
    </row>
    <row r="874" spans="1:14" x14ac:dyDescent="0.25">
      <c r="A874">
        <v>57428651</v>
      </c>
      <c r="B874" t="s">
        <v>2711</v>
      </c>
      <c r="C874" t="s">
        <v>2712</v>
      </c>
      <c r="D874" t="s">
        <v>2713</v>
      </c>
      <c r="E874">
        <v>5202493873</v>
      </c>
      <c r="F874" t="s">
        <v>842</v>
      </c>
      <c r="G874" t="s">
        <v>1213</v>
      </c>
      <c r="I874" t="s">
        <v>1214</v>
      </c>
      <c r="J874" s="13">
        <v>45953</v>
      </c>
      <c r="K874" s="13">
        <v>46023</v>
      </c>
      <c r="L874" t="s">
        <v>1179</v>
      </c>
      <c r="M874" t="s">
        <v>54</v>
      </c>
      <c r="N874">
        <v>71114092</v>
      </c>
    </row>
    <row r="875" spans="1:14" x14ac:dyDescent="0.25">
      <c r="A875">
        <v>57429021</v>
      </c>
      <c r="B875" t="s">
        <v>586</v>
      </c>
      <c r="C875" t="s">
        <v>2714</v>
      </c>
      <c r="D875" t="s">
        <v>2715</v>
      </c>
      <c r="E875">
        <v>4802344320</v>
      </c>
      <c r="F875" t="s">
        <v>462</v>
      </c>
      <c r="G875" t="s">
        <v>463</v>
      </c>
      <c r="I875" t="s">
        <v>39</v>
      </c>
      <c r="J875" s="13">
        <v>45953</v>
      </c>
      <c r="K875" s="13">
        <v>46023</v>
      </c>
      <c r="L875" t="s">
        <v>1179</v>
      </c>
      <c r="M875" t="s">
        <v>54</v>
      </c>
      <c r="N875">
        <v>71114342</v>
      </c>
    </row>
    <row r="876" spans="1:14" x14ac:dyDescent="0.25">
      <c r="A876">
        <v>57429214</v>
      </c>
      <c r="B876" t="s">
        <v>2311</v>
      </c>
      <c r="C876" t="s">
        <v>707</v>
      </c>
      <c r="D876" t="s">
        <v>2716</v>
      </c>
      <c r="E876">
        <v>2074581431</v>
      </c>
      <c r="F876" t="s">
        <v>574</v>
      </c>
      <c r="G876" t="s">
        <v>575</v>
      </c>
      <c r="I876" t="s">
        <v>14</v>
      </c>
      <c r="J876" s="13">
        <v>45953</v>
      </c>
      <c r="K876" s="13">
        <v>46023</v>
      </c>
      <c r="L876" t="s">
        <v>941</v>
      </c>
      <c r="M876" t="s">
        <v>419</v>
      </c>
      <c r="N876">
        <v>71114482</v>
      </c>
    </row>
    <row r="877" spans="1:14" x14ac:dyDescent="0.25">
      <c r="A877">
        <v>57429215</v>
      </c>
      <c r="B877" t="s">
        <v>1365</v>
      </c>
      <c r="C877" t="s">
        <v>2717</v>
      </c>
      <c r="D877" t="s">
        <v>2718</v>
      </c>
      <c r="E877">
        <v>6145825598</v>
      </c>
      <c r="F877" t="s">
        <v>628</v>
      </c>
      <c r="G877" t="s">
        <v>629</v>
      </c>
      <c r="I877" t="s">
        <v>24</v>
      </c>
      <c r="J877" s="13">
        <v>45953</v>
      </c>
      <c r="K877" s="13">
        <v>46023</v>
      </c>
      <c r="L877" t="s">
        <v>418</v>
      </c>
      <c r="M877" t="s">
        <v>56</v>
      </c>
      <c r="N877">
        <v>71114483</v>
      </c>
    </row>
    <row r="878" spans="1:14" x14ac:dyDescent="0.25">
      <c r="A878">
        <v>57429455</v>
      </c>
      <c r="B878" t="s">
        <v>2719</v>
      </c>
      <c r="C878" t="s">
        <v>1287</v>
      </c>
      <c r="D878" t="s">
        <v>2720</v>
      </c>
      <c r="E878">
        <v>5402362530</v>
      </c>
      <c r="F878" t="s">
        <v>798</v>
      </c>
      <c r="G878" t="s">
        <v>799</v>
      </c>
      <c r="I878" t="s">
        <v>800</v>
      </c>
      <c r="J878" s="13">
        <v>45953</v>
      </c>
      <c r="K878" s="13">
        <v>46023</v>
      </c>
      <c r="L878" t="s">
        <v>454</v>
      </c>
      <c r="M878" t="s">
        <v>58</v>
      </c>
      <c r="N878">
        <v>71114618</v>
      </c>
    </row>
    <row r="879" spans="1:14" x14ac:dyDescent="0.25">
      <c r="A879">
        <v>57429532</v>
      </c>
      <c r="B879" t="s">
        <v>2721</v>
      </c>
      <c r="C879" t="s">
        <v>2722</v>
      </c>
      <c r="D879" t="s">
        <v>2723</v>
      </c>
      <c r="E879">
        <v>6028860878</v>
      </c>
      <c r="F879" t="s">
        <v>423</v>
      </c>
      <c r="G879" t="s">
        <v>424</v>
      </c>
      <c r="I879" t="s">
        <v>46</v>
      </c>
      <c r="J879" s="13">
        <v>45953</v>
      </c>
      <c r="K879" s="13">
        <v>46023</v>
      </c>
      <c r="L879" t="s">
        <v>1179</v>
      </c>
      <c r="M879" t="s">
        <v>59</v>
      </c>
      <c r="N879">
        <v>71114641</v>
      </c>
    </row>
    <row r="880" spans="1:14" x14ac:dyDescent="0.25">
      <c r="A880">
        <v>57429773</v>
      </c>
      <c r="B880" t="s">
        <v>2724</v>
      </c>
      <c r="C880" t="s">
        <v>2725</v>
      </c>
      <c r="D880" t="s">
        <v>2726</v>
      </c>
      <c r="E880">
        <v>2192902316</v>
      </c>
      <c r="F880" t="s">
        <v>592</v>
      </c>
      <c r="G880" t="s">
        <v>593</v>
      </c>
      <c r="I880" t="s">
        <v>115</v>
      </c>
      <c r="J880" s="13">
        <v>45953</v>
      </c>
      <c r="K880" s="13">
        <v>46023</v>
      </c>
      <c r="L880" t="s">
        <v>440</v>
      </c>
      <c r="M880" t="s">
        <v>56</v>
      </c>
      <c r="N880">
        <v>71114804</v>
      </c>
    </row>
    <row r="881" spans="1:14" x14ac:dyDescent="0.25">
      <c r="A881">
        <v>57429957</v>
      </c>
      <c r="B881" t="s">
        <v>909</v>
      </c>
      <c r="C881" t="s">
        <v>1073</v>
      </c>
      <c r="D881" t="s">
        <v>2727</v>
      </c>
      <c r="E881">
        <v>5207320962</v>
      </c>
      <c r="F881" t="s">
        <v>474</v>
      </c>
      <c r="G881" t="s">
        <v>475</v>
      </c>
      <c r="I881" t="s">
        <v>132</v>
      </c>
      <c r="J881" s="13">
        <v>45953</v>
      </c>
      <c r="K881" s="13">
        <v>46023</v>
      </c>
      <c r="L881" t="s">
        <v>1179</v>
      </c>
      <c r="M881" t="s">
        <v>54</v>
      </c>
      <c r="N881">
        <v>71114918</v>
      </c>
    </row>
    <row r="882" spans="1:14" x14ac:dyDescent="0.25">
      <c r="A882">
        <v>57429983</v>
      </c>
      <c r="B882" t="s">
        <v>2728</v>
      </c>
      <c r="C882" t="s">
        <v>2729</v>
      </c>
      <c r="D882" t="s">
        <v>2730</v>
      </c>
      <c r="E882">
        <v>6024863990</v>
      </c>
      <c r="F882" t="s">
        <v>775</v>
      </c>
      <c r="G882" t="s">
        <v>776</v>
      </c>
      <c r="I882" t="s">
        <v>22</v>
      </c>
      <c r="J882" s="13">
        <v>45953</v>
      </c>
      <c r="K882" s="13">
        <v>46023</v>
      </c>
      <c r="L882" t="s">
        <v>1179</v>
      </c>
      <c r="M882" t="s">
        <v>59</v>
      </c>
      <c r="N882">
        <v>71114933</v>
      </c>
    </row>
    <row r="883" spans="1:14" x14ac:dyDescent="0.25">
      <c r="A883">
        <v>57430093</v>
      </c>
      <c r="B883" t="s">
        <v>2731</v>
      </c>
      <c r="C883" t="s">
        <v>2732</v>
      </c>
      <c r="D883" t="s">
        <v>2733</v>
      </c>
      <c r="E883">
        <v>9153550865</v>
      </c>
      <c r="F883" t="s">
        <v>842</v>
      </c>
      <c r="G883" t="s">
        <v>843</v>
      </c>
      <c r="I883" t="s">
        <v>98</v>
      </c>
      <c r="J883" s="13">
        <v>45953</v>
      </c>
      <c r="K883" s="13">
        <v>46023</v>
      </c>
      <c r="L883" t="s">
        <v>444</v>
      </c>
      <c r="M883" t="s">
        <v>56</v>
      </c>
      <c r="N883">
        <v>71114991</v>
      </c>
    </row>
    <row r="884" spans="1:14" x14ac:dyDescent="0.25">
      <c r="A884">
        <v>57430240</v>
      </c>
      <c r="B884" t="s">
        <v>431</v>
      </c>
      <c r="C884" t="s">
        <v>1073</v>
      </c>
      <c r="D884" t="s">
        <v>2734</v>
      </c>
      <c r="E884">
        <v>6187670274</v>
      </c>
      <c r="F884" t="s">
        <v>551</v>
      </c>
      <c r="G884" t="s">
        <v>552</v>
      </c>
      <c r="I884" t="s">
        <v>42</v>
      </c>
      <c r="J884" s="13">
        <v>45953</v>
      </c>
      <c r="K884" s="13">
        <v>46023</v>
      </c>
      <c r="L884" t="s">
        <v>470</v>
      </c>
      <c r="M884" t="s">
        <v>60</v>
      </c>
      <c r="N884">
        <v>71115052</v>
      </c>
    </row>
    <row r="885" spans="1:14" x14ac:dyDescent="0.25">
      <c r="A885">
        <v>57430214</v>
      </c>
      <c r="B885" t="s">
        <v>951</v>
      </c>
      <c r="C885" t="s">
        <v>2735</v>
      </c>
      <c r="D885" t="s">
        <v>2736</v>
      </c>
      <c r="E885">
        <v>8652831599</v>
      </c>
      <c r="F885" t="s">
        <v>828</v>
      </c>
      <c r="G885" t="s">
        <v>1148</v>
      </c>
      <c r="I885" t="s">
        <v>17</v>
      </c>
      <c r="J885" s="13">
        <v>45953</v>
      </c>
      <c r="K885" s="13">
        <v>46023</v>
      </c>
      <c r="L885" t="s">
        <v>479</v>
      </c>
      <c r="M885" t="s">
        <v>58</v>
      </c>
      <c r="N885">
        <v>71115056</v>
      </c>
    </row>
    <row r="886" spans="1:14" x14ac:dyDescent="0.25">
      <c r="A886">
        <v>57430232</v>
      </c>
      <c r="B886" t="s">
        <v>2737</v>
      </c>
      <c r="C886" t="s">
        <v>2738</v>
      </c>
      <c r="D886" t="s">
        <v>2739</v>
      </c>
      <c r="E886">
        <v>3373314495</v>
      </c>
      <c r="F886" t="s">
        <v>578</v>
      </c>
      <c r="G886" t="s">
        <v>579</v>
      </c>
      <c r="I886" t="s">
        <v>15</v>
      </c>
      <c r="J886" s="13">
        <v>45953</v>
      </c>
      <c r="K886" s="13">
        <v>46023</v>
      </c>
      <c r="L886" t="s">
        <v>612</v>
      </c>
      <c r="M886" t="s">
        <v>61</v>
      </c>
      <c r="N886">
        <v>71115066</v>
      </c>
    </row>
    <row r="887" spans="1:14" x14ac:dyDescent="0.25">
      <c r="A887">
        <v>57430947</v>
      </c>
      <c r="B887" t="s">
        <v>2740</v>
      </c>
      <c r="C887" t="s">
        <v>2741</v>
      </c>
      <c r="D887" t="s">
        <v>2742</v>
      </c>
      <c r="E887" t="s">
        <v>2743</v>
      </c>
      <c r="F887" t="s">
        <v>423</v>
      </c>
      <c r="G887" t="s">
        <v>424</v>
      </c>
      <c r="I887" t="s">
        <v>46</v>
      </c>
      <c r="J887" s="13">
        <v>45953</v>
      </c>
      <c r="K887" s="13">
        <v>46023</v>
      </c>
      <c r="L887" t="s">
        <v>1179</v>
      </c>
      <c r="M887" t="s">
        <v>54</v>
      </c>
      <c r="N887">
        <v>71115095</v>
      </c>
    </row>
    <row r="888" spans="1:14" x14ac:dyDescent="0.25">
      <c r="A888">
        <v>57430291</v>
      </c>
      <c r="B888" t="s">
        <v>1385</v>
      </c>
      <c r="C888" t="s">
        <v>713</v>
      </c>
      <c r="D888" t="s">
        <v>2744</v>
      </c>
      <c r="E888">
        <v>4233646134</v>
      </c>
      <c r="F888" t="s">
        <v>705</v>
      </c>
      <c r="G888" t="s">
        <v>706</v>
      </c>
      <c r="I888" t="s">
        <v>12</v>
      </c>
      <c r="J888" s="13">
        <v>45953</v>
      </c>
      <c r="K888" s="13">
        <v>46023</v>
      </c>
      <c r="L888" t="s">
        <v>479</v>
      </c>
      <c r="M888" t="s">
        <v>59</v>
      </c>
      <c r="N888">
        <v>71115101</v>
      </c>
    </row>
    <row r="889" spans="1:14" x14ac:dyDescent="0.25">
      <c r="A889">
        <v>57430491</v>
      </c>
      <c r="B889" t="s">
        <v>2745</v>
      </c>
      <c r="C889" t="s">
        <v>2746</v>
      </c>
      <c r="D889" t="s">
        <v>2747</v>
      </c>
      <c r="E889">
        <v>3046406265</v>
      </c>
      <c r="F889" t="s">
        <v>1142</v>
      </c>
      <c r="G889" t="s">
        <v>1143</v>
      </c>
      <c r="I889" t="s">
        <v>124</v>
      </c>
      <c r="J889" s="13">
        <v>45953</v>
      </c>
      <c r="K889" s="13">
        <v>46023</v>
      </c>
      <c r="L889" t="s">
        <v>1188</v>
      </c>
      <c r="M889" t="s">
        <v>56</v>
      </c>
      <c r="N889">
        <v>71115224</v>
      </c>
    </row>
    <row r="890" spans="1:14" x14ac:dyDescent="0.25">
      <c r="A890">
        <v>57430524</v>
      </c>
      <c r="B890" t="s">
        <v>552</v>
      </c>
      <c r="C890" t="s">
        <v>2748</v>
      </c>
      <c r="D890" t="s">
        <v>2749</v>
      </c>
      <c r="E890">
        <v>2055296174</v>
      </c>
      <c r="F890" t="s">
        <v>615</v>
      </c>
      <c r="G890" t="s">
        <v>616</v>
      </c>
      <c r="I890" t="s">
        <v>617</v>
      </c>
      <c r="J890" s="13">
        <v>45953</v>
      </c>
      <c r="K890" s="13">
        <v>46023</v>
      </c>
      <c r="L890" t="s">
        <v>450</v>
      </c>
      <c r="M890" t="s">
        <v>59</v>
      </c>
      <c r="N890">
        <v>71115246</v>
      </c>
    </row>
    <row r="891" spans="1:14" x14ac:dyDescent="0.25">
      <c r="A891">
        <v>57430589</v>
      </c>
      <c r="B891" t="s">
        <v>724</v>
      </c>
      <c r="C891" t="s">
        <v>2750</v>
      </c>
      <c r="D891" t="s">
        <v>2751</v>
      </c>
      <c r="E891">
        <v>6028907272</v>
      </c>
      <c r="F891" t="s">
        <v>766</v>
      </c>
      <c r="G891" t="s">
        <v>767</v>
      </c>
      <c r="I891" t="s">
        <v>88</v>
      </c>
      <c r="J891" s="13">
        <v>45953</v>
      </c>
      <c r="K891" s="13">
        <v>46023</v>
      </c>
      <c r="L891" t="s">
        <v>1179</v>
      </c>
      <c r="M891" t="s">
        <v>54</v>
      </c>
      <c r="N891">
        <v>71115283</v>
      </c>
    </row>
    <row r="892" spans="1:14" x14ac:dyDescent="0.25">
      <c r="A892">
        <v>57430676</v>
      </c>
      <c r="B892" t="s">
        <v>2752</v>
      </c>
      <c r="C892" t="s">
        <v>2753</v>
      </c>
      <c r="D892" t="s">
        <v>2754</v>
      </c>
      <c r="E892">
        <v>6025189046</v>
      </c>
      <c r="F892" t="s">
        <v>1345</v>
      </c>
      <c r="G892" t="s">
        <v>799</v>
      </c>
      <c r="I892" t="s">
        <v>47</v>
      </c>
      <c r="J892" s="13">
        <v>45953</v>
      </c>
      <c r="K892" s="13">
        <v>46023</v>
      </c>
      <c r="L892" t="s">
        <v>1179</v>
      </c>
      <c r="M892" t="s">
        <v>56</v>
      </c>
      <c r="N892">
        <v>71115336</v>
      </c>
    </row>
    <row r="893" spans="1:14" x14ac:dyDescent="0.25">
      <c r="A893">
        <v>57430794</v>
      </c>
      <c r="B893" t="s">
        <v>2755</v>
      </c>
      <c r="C893" t="s">
        <v>1287</v>
      </c>
      <c r="D893" t="s">
        <v>2756</v>
      </c>
      <c r="E893">
        <v>9852125920</v>
      </c>
      <c r="F893" t="s">
        <v>821</v>
      </c>
      <c r="G893" t="s">
        <v>822</v>
      </c>
      <c r="I893" t="s">
        <v>823</v>
      </c>
      <c r="J893" s="13">
        <v>45953</v>
      </c>
      <c r="K893" s="13">
        <v>46023</v>
      </c>
      <c r="L893" t="s">
        <v>612</v>
      </c>
      <c r="M893" t="s">
        <v>58</v>
      </c>
      <c r="N893">
        <v>71115413</v>
      </c>
    </row>
    <row r="894" spans="1:14" x14ac:dyDescent="0.25">
      <c r="A894">
        <v>57430968</v>
      </c>
      <c r="B894" t="s">
        <v>672</v>
      </c>
      <c r="C894" t="s">
        <v>2757</v>
      </c>
      <c r="D894" t="s">
        <v>2758</v>
      </c>
      <c r="E894">
        <v>5204208712</v>
      </c>
      <c r="F894" t="s">
        <v>462</v>
      </c>
      <c r="G894" t="s">
        <v>463</v>
      </c>
      <c r="I894" t="s">
        <v>39</v>
      </c>
      <c r="J894" s="13">
        <v>45953</v>
      </c>
      <c r="K894" s="13">
        <v>46023</v>
      </c>
      <c r="L894" t="s">
        <v>1179</v>
      </c>
      <c r="M894" t="s">
        <v>54</v>
      </c>
      <c r="N894">
        <v>71115537</v>
      </c>
    </row>
    <row r="895" spans="1:14" x14ac:dyDescent="0.25">
      <c r="A895">
        <v>57430971</v>
      </c>
      <c r="B895" t="s">
        <v>2759</v>
      </c>
      <c r="C895" t="s">
        <v>643</v>
      </c>
      <c r="D895" t="s">
        <v>2760</v>
      </c>
      <c r="E895">
        <v>6028262704</v>
      </c>
      <c r="F895" t="s">
        <v>569</v>
      </c>
      <c r="G895" t="s">
        <v>570</v>
      </c>
      <c r="I895" t="s">
        <v>34</v>
      </c>
      <c r="J895" s="13">
        <v>45953</v>
      </c>
      <c r="K895" s="13">
        <v>46023</v>
      </c>
      <c r="L895" t="s">
        <v>1179</v>
      </c>
      <c r="M895" t="s">
        <v>54</v>
      </c>
      <c r="N895">
        <v>71115546</v>
      </c>
    </row>
    <row r="896" spans="1:14" x14ac:dyDescent="0.25">
      <c r="A896">
        <v>57430979</v>
      </c>
      <c r="B896" t="s">
        <v>2761</v>
      </c>
      <c r="C896" t="s">
        <v>2762</v>
      </c>
      <c r="D896" t="s">
        <v>2763</v>
      </c>
      <c r="E896">
        <v>8543338267</v>
      </c>
      <c r="F896" t="s">
        <v>1267</v>
      </c>
      <c r="G896" t="s">
        <v>1268</v>
      </c>
      <c r="I896" t="s">
        <v>1269</v>
      </c>
      <c r="J896" s="13">
        <v>45953</v>
      </c>
      <c r="K896" s="13">
        <v>46023</v>
      </c>
      <c r="L896" t="s">
        <v>533</v>
      </c>
      <c r="M896" t="s">
        <v>56</v>
      </c>
      <c r="N896">
        <v>71115549</v>
      </c>
    </row>
    <row r="897" spans="1:14" x14ac:dyDescent="0.25">
      <c r="A897">
        <v>57431046</v>
      </c>
      <c r="B897" t="s">
        <v>2764</v>
      </c>
      <c r="C897" t="s">
        <v>2765</v>
      </c>
      <c r="D897" t="s">
        <v>2766</v>
      </c>
      <c r="E897">
        <v>8436804843</v>
      </c>
      <c r="F897" t="s">
        <v>1200</v>
      </c>
      <c r="G897" t="s">
        <v>1201</v>
      </c>
      <c r="I897" t="s">
        <v>1202</v>
      </c>
      <c r="J897" s="13">
        <v>45953</v>
      </c>
      <c r="K897" s="13">
        <v>46023</v>
      </c>
      <c r="L897" t="s">
        <v>533</v>
      </c>
      <c r="M897" t="s">
        <v>56</v>
      </c>
      <c r="N897">
        <v>71115596</v>
      </c>
    </row>
    <row r="898" spans="1:14" x14ac:dyDescent="0.25">
      <c r="A898">
        <v>57431076</v>
      </c>
      <c r="B898" t="s">
        <v>2399</v>
      </c>
      <c r="C898" t="s">
        <v>2767</v>
      </c>
      <c r="D898" t="s">
        <v>2768</v>
      </c>
      <c r="E898">
        <v>8326892928</v>
      </c>
      <c r="F898" t="s">
        <v>628</v>
      </c>
      <c r="G898" t="s">
        <v>629</v>
      </c>
      <c r="I898" t="s">
        <v>24</v>
      </c>
      <c r="J898" s="13">
        <v>45953</v>
      </c>
      <c r="K898" s="13">
        <v>46023</v>
      </c>
      <c r="L898" t="s">
        <v>612</v>
      </c>
      <c r="M898" t="s">
        <v>58</v>
      </c>
      <c r="N898">
        <v>71115616</v>
      </c>
    </row>
    <row r="899" spans="1:14" x14ac:dyDescent="0.25">
      <c r="A899">
        <v>57431942</v>
      </c>
      <c r="B899" t="s">
        <v>2769</v>
      </c>
      <c r="C899" t="s">
        <v>1203</v>
      </c>
      <c r="D899" t="s">
        <v>2770</v>
      </c>
      <c r="E899">
        <v>7065083224</v>
      </c>
      <c r="F899" t="s">
        <v>416</v>
      </c>
      <c r="G899" t="s">
        <v>417</v>
      </c>
      <c r="I899" t="s">
        <v>26</v>
      </c>
      <c r="J899" s="13">
        <v>45953</v>
      </c>
      <c r="K899" s="13">
        <v>46023</v>
      </c>
      <c r="L899" t="s">
        <v>621</v>
      </c>
      <c r="M899" t="s">
        <v>58</v>
      </c>
      <c r="N899">
        <v>71116004</v>
      </c>
    </row>
    <row r="900" spans="1:14" x14ac:dyDescent="0.25">
      <c r="A900">
        <v>57431793</v>
      </c>
      <c r="B900" t="s">
        <v>2771</v>
      </c>
      <c r="C900" t="s">
        <v>2772</v>
      </c>
      <c r="D900" t="s">
        <v>2773</v>
      </c>
      <c r="E900">
        <v>8049636735</v>
      </c>
      <c r="F900" t="s">
        <v>423</v>
      </c>
      <c r="G900" t="s">
        <v>424</v>
      </c>
      <c r="I900" t="s">
        <v>46</v>
      </c>
      <c r="J900" s="13">
        <v>45953</v>
      </c>
      <c r="K900" s="13">
        <v>46023</v>
      </c>
      <c r="L900" t="s">
        <v>454</v>
      </c>
      <c r="M900" t="s">
        <v>419</v>
      </c>
      <c r="N900">
        <v>71116096</v>
      </c>
    </row>
    <row r="901" spans="1:14" x14ac:dyDescent="0.25">
      <c r="A901">
        <v>57431773</v>
      </c>
      <c r="B901" t="s">
        <v>2774</v>
      </c>
      <c r="C901" t="s">
        <v>2775</v>
      </c>
      <c r="D901" t="s">
        <v>2776</v>
      </c>
      <c r="E901">
        <v>5043128443</v>
      </c>
      <c r="F901" t="s">
        <v>705</v>
      </c>
      <c r="G901" t="s">
        <v>706</v>
      </c>
      <c r="I901" t="s">
        <v>12</v>
      </c>
      <c r="J901" s="13">
        <v>45953</v>
      </c>
      <c r="K901" s="13">
        <v>46023</v>
      </c>
      <c r="L901" t="s">
        <v>612</v>
      </c>
      <c r="M901" t="s">
        <v>56</v>
      </c>
      <c r="N901">
        <v>71116100</v>
      </c>
    </row>
    <row r="902" spans="1:14" x14ac:dyDescent="0.25">
      <c r="A902">
        <v>57431889</v>
      </c>
      <c r="B902" t="s">
        <v>2777</v>
      </c>
      <c r="C902" t="s">
        <v>903</v>
      </c>
      <c r="D902" t="s">
        <v>2778</v>
      </c>
      <c r="F902" t="s">
        <v>1147</v>
      </c>
      <c r="G902" t="s">
        <v>1148</v>
      </c>
      <c r="I902" t="s">
        <v>41</v>
      </c>
      <c r="J902" s="13">
        <v>45953</v>
      </c>
      <c r="K902" s="13">
        <v>46023</v>
      </c>
      <c r="L902" t="s">
        <v>444</v>
      </c>
      <c r="M902" t="s">
        <v>419</v>
      </c>
      <c r="N902">
        <v>71116160</v>
      </c>
    </row>
    <row r="903" spans="1:14" x14ac:dyDescent="0.25">
      <c r="A903">
        <v>57431915</v>
      </c>
      <c r="B903" t="s">
        <v>1089</v>
      </c>
      <c r="C903" t="s">
        <v>564</v>
      </c>
      <c r="D903" t="s">
        <v>2779</v>
      </c>
      <c r="E903">
        <v>3043050755</v>
      </c>
      <c r="F903" t="s">
        <v>574</v>
      </c>
      <c r="G903" t="s">
        <v>575</v>
      </c>
      <c r="I903" t="s">
        <v>14</v>
      </c>
      <c r="J903" s="13">
        <v>45953</v>
      </c>
      <c r="K903" s="13">
        <v>46023</v>
      </c>
      <c r="L903" t="s">
        <v>1188</v>
      </c>
      <c r="M903" t="s">
        <v>56</v>
      </c>
      <c r="N903">
        <v>71116174</v>
      </c>
    </row>
    <row r="904" spans="1:14" x14ac:dyDescent="0.25">
      <c r="A904">
        <v>57432083</v>
      </c>
      <c r="B904" t="s">
        <v>1522</v>
      </c>
      <c r="C904" t="s">
        <v>2780</v>
      </c>
      <c r="D904" t="s">
        <v>2781</v>
      </c>
      <c r="E904">
        <v>5045139862</v>
      </c>
      <c r="F904" t="s">
        <v>1142</v>
      </c>
      <c r="G904" t="s">
        <v>1143</v>
      </c>
      <c r="I904" t="s">
        <v>124</v>
      </c>
      <c r="J904" s="13">
        <v>45953</v>
      </c>
      <c r="K904" s="13">
        <v>46023</v>
      </c>
      <c r="L904" t="s">
        <v>612</v>
      </c>
      <c r="M904" t="s">
        <v>58</v>
      </c>
      <c r="N904">
        <v>71116287</v>
      </c>
    </row>
    <row r="905" spans="1:14" x14ac:dyDescent="0.25">
      <c r="A905">
        <v>57432585</v>
      </c>
      <c r="B905" t="s">
        <v>2782</v>
      </c>
      <c r="C905" t="s">
        <v>2783</v>
      </c>
      <c r="D905" t="s">
        <v>2784</v>
      </c>
      <c r="E905">
        <v>6028496144</v>
      </c>
      <c r="F905" t="s">
        <v>1345</v>
      </c>
      <c r="G905" t="s">
        <v>799</v>
      </c>
      <c r="I905" t="s">
        <v>47</v>
      </c>
      <c r="J905" s="13">
        <v>45953</v>
      </c>
      <c r="K905" s="13">
        <v>46023</v>
      </c>
      <c r="L905" t="s">
        <v>1179</v>
      </c>
      <c r="M905" t="s">
        <v>56</v>
      </c>
      <c r="N905">
        <v>71116558</v>
      </c>
    </row>
    <row r="906" spans="1:14" x14ac:dyDescent="0.25">
      <c r="A906">
        <v>57435876</v>
      </c>
      <c r="B906" t="s">
        <v>709</v>
      </c>
      <c r="C906" t="s">
        <v>2785</v>
      </c>
      <c r="D906" t="s">
        <v>2786</v>
      </c>
      <c r="E906">
        <v>2527240456</v>
      </c>
      <c r="F906" t="s">
        <v>474</v>
      </c>
      <c r="G906" t="s">
        <v>475</v>
      </c>
      <c r="I906" t="s">
        <v>132</v>
      </c>
      <c r="J906" s="13">
        <v>45954</v>
      </c>
      <c r="K906" s="13">
        <v>46023</v>
      </c>
      <c r="L906" t="s">
        <v>603</v>
      </c>
      <c r="M906" t="s">
        <v>56</v>
      </c>
      <c r="N906">
        <v>71118731</v>
      </c>
    </row>
    <row r="907" spans="1:14" x14ac:dyDescent="0.25">
      <c r="A907">
        <v>57435956</v>
      </c>
      <c r="B907" t="s">
        <v>2263</v>
      </c>
      <c r="C907" t="s">
        <v>2787</v>
      </c>
      <c r="D907" t="s">
        <v>2788</v>
      </c>
      <c r="E907">
        <v>3182455057</v>
      </c>
      <c r="F907" t="s">
        <v>1013</v>
      </c>
      <c r="G907" t="s">
        <v>1014</v>
      </c>
      <c r="I907" t="s">
        <v>43</v>
      </c>
      <c r="J907" s="13">
        <v>45954</v>
      </c>
      <c r="K907" s="13">
        <v>46023</v>
      </c>
      <c r="L907" t="s">
        <v>612</v>
      </c>
      <c r="M907" t="s">
        <v>56</v>
      </c>
      <c r="N907">
        <v>71118792</v>
      </c>
    </row>
    <row r="908" spans="1:14" x14ac:dyDescent="0.25">
      <c r="A908">
        <v>57436505</v>
      </c>
      <c r="B908" t="s">
        <v>888</v>
      </c>
      <c r="C908" t="s">
        <v>2399</v>
      </c>
      <c r="D908" t="s">
        <v>2789</v>
      </c>
      <c r="E908">
        <v>8654664827</v>
      </c>
      <c r="F908" t="s">
        <v>462</v>
      </c>
      <c r="G908" t="s">
        <v>463</v>
      </c>
      <c r="I908" t="s">
        <v>39</v>
      </c>
      <c r="J908" s="13">
        <v>45954</v>
      </c>
      <c r="K908" s="13">
        <v>46023</v>
      </c>
      <c r="L908" t="s">
        <v>479</v>
      </c>
      <c r="M908" t="s">
        <v>59</v>
      </c>
      <c r="N908">
        <v>71119092</v>
      </c>
    </row>
    <row r="909" spans="1:14" x14ac:dyDescent="0.25">
      <c r="A909">
        <v>57438177</v>
      </c>
      <c r="B909" t="s">
        <v>1309</v>
      </c>
      <c r="C909" t="s">
        <v>1300</v>
      </c>
      <c r="D909" t="s">
        <v>2790</v>
      </c>
      <c r="E909">
        <v>8659733756</v>
      </c>
      <c r="F909" t="s">
        <v>649</v>
      </c>
      <c r="G909" t="s">
        <v>650</v>
      </c>
      <c r="I909" t="s">
        <v>28</v>
      </c>
      <c r="J909" s="13">
        <v>45954</v>
      </c>
      <c r="K909" s="13">
        <v>46023</v>
      </c>
      <c r="L909" t="s">
        <v>479</v>
      </c>
      <c r="M909" t="s">
        <v>59</v>
      </c>
      <c r="N909">
        <v>71120297</v>
      </c>
    </row>
    <row r="910" spans="1:14" x14ac:dyDescent="0.25">
      <c r="A910">
        <v>57438579</v>
      </c>
      <c r="B910" t="s">
        <v>2791</v>
      </c>
      <c r="C910" t="s">
        <v>2792</v>
      </c>
      <c r="D910" t="s">
        <v>2793</v>
      </c>
      <c r="E910">
        <v>9793658790</v>
      </c>
      <c r="F910" t="s">
        <v>780</v>
      </c>
      <c r="G910" t="s">
        <v>781</v>
      </c>
      <c r="I910" t="s">
        <v>20</v>
      </c>
      <c r="J910" s="13">
        <v>45954</v>
      </c>
      <c r="K910" s="13">
        <v>46023</v>
      </c>
      <c r="L910" t="s">
        <v>444</v>
      </c>
      <c r="M910" t="s">
        <v>55</v>
      </c>
      <c r="N910">
        <v>71120552</v>
      </c>
    </row>
    <row r="911" spans="1:14" x14ac:dyDescent="0.25">
      <c r="A911">
        <v>57439067</v>
      </c>
      <c r="B911" t="s">
        <v>2794</v>
      </c>
      <c r="C911" t="s">
        <v>2795</v>
      </c>
      <c r="D911" t="s">
        <v>2796</v>
      </c>
      <c r="E911">
        <v>2514231568</v>
      </c>
      <c r="F911" t="s">
        <v>790</v>
      </c>
      <c r="G911" t="s">
        <v>791</v>
      </c>
      <c r="I911" t="s">
        <v>119</v>
      </c>
      <c r="J911" s="13">
        <v>45954</v>
      </c>
      <c r="K911" s="13">
        <v>46023</v>
      </c>
      <c r="L911" t="s">
        <v>450</v>
      </c>
      <c r="M911" t="s">
        <v>56</v>
      </c>
      <c r="N911">
        <v>71120828</v>
      </c>
    </row>
    <row r="912" spans="1:14" x14ac:dyDescent="0.25">
      <c r="A912">
        <v>57439120</v>
      </c>
      <c r="B912" t="s">
        <v>2797</v>
      </c>
      <c r="C912" t="s">
        <v>2798</v>
      </c>
      <c r="D912" t="s">
        <v>2799</v>
      </c>
      <c r="E912">
        <v>5202233685</v>
      </c>
      <c r="F912" t="s">
        <v>766</v>
      </c>
      <c r="G912" t="s">
        <v>767</v>
      </c>
      <c r="I912" t="s">
        <v>88</v>
      </c>
      <c r="J912" s="13">
        <v>45954</v>
      </c>
      <c r="K912" s="13">
        <v>46023</v>
      </c>
      <c r="L912" t="s">
        <v>1179</v>
      </c>
      <c r="M912" t="s">
        <v>54</v>
      </c>
      <c r="N912">
        <v>71120883</v>
      </c>
    </row>
    <row r="913" spans="1:14" x14ac:dyDescent="0.25">
      <c r="A913">
        <v>57439144</v>
      </c>
      <c r="B913" t="s">
        <v>1144</v>
      </c>
      <c r="C913" t="s">
        <v>2800</v>
      </c>
      <c r="D913" t="s">
        <v>2801</v>
      </c>
      <c r="E913">
        <v>2149295083</v>
      </c>
      <c r="F913" t="s">
        <v>1200</v>
      </c>
      <c r="G913" t="s">
        <v>1201</v>
      </c>
      <c r="I913" t="s">
        <v>1202</v>
      </c>
      <c r="J913" s="13">
        <v>45954</v>
      </c>
      <c r="K913" s="13">
        <v>46023</v>
      </c>
      <c r="L913" t="s">
        <v>444</v>
      </c>
      <c r="M913" t="s">
        <v>55</v>
      </c>
      <c r="N913">
        <v>71120908</v>
      </c>
    </row>
    <row r="914" spans="1:14" x14ac:dyDescent="0.25">
      <c r="A914">
        <v>57439267</v>
      </c>
      <c r="B914" t="s">
        <v>1160</v>
      </c>
      <c r="C914" t="s">
        <v>2802</v>
      </c>
      <c r="D914" t="s">
        <v>2803</v>
      </c>
      <c r="E914">
        <v>8167991027</v>
      </c>
      <c r="F914" t="s">
        <v>1142</v>
      </c>
      <c r="G914" t="s">
        <v>1143</v>
      </c>
      <c r="I914" t="s">
        <v>124</v>
      </c>
      <c r="J914" s="13">
        <v>45954</v>
      </c>
      <c r="K914" s="13">
        <v>46023</v>
      </c>
      <c r="L914" t="s">
        <v>434</v>
      </c>
      <c r="M914" t="s">
        <v>60</v>
      </c>
      <c r="N914">
        <v>71120999</v>
      </c>
    </row>
    <row r="915" spans="1:14" x14ac:dyDescent="0.25">
      <c r="A915">
        <v>57439289</v>
      </c>
      <c r="B915" t="s">
        <v>1167</v>
      </c>
      <c r="C915" t="s">
        <v>2804</v>
      </c>
      <c r="D915" t="s">
        <v>2805</v>
      </c>
      <c r="E915">
        <v>2817724622</v>
      </c>
      <c r="F915" t="s">
        <v>615</v>
      </c>
      <c r="G915" t="s">
        <v>616</v>
      </c>
      <c r="I915" t="s">
        <v>617</v>
      </c>
      <c r="J915" s="13">
        <v>45954</v>
      </c>
      <c r="K915" s="13">
        <v>46023</v>
      </c>
      <c r="L915" t="s">
        <v>533</v>
      </c>
      <c r="M915" t="s">
        <v>58</v>
      </c>
      <c r="N915">
        <v>71121019</v>
      </c>
    </row>
    <row r="916" spans="1:14" x14ac:dyDescent="0.25">
      <c r="A916">
        <v>57439317</v>
      </c>
      <c r="B916" t="s">
        <v>2806</v>
      </c>
      <c r="C916" t="s">
        <v>2807</v>
      </c>
      <c r="D916" t="s">
        <v>2808</v>
      </c>
      <c r="E916">
        <v>5615695662</v>
      </c>
      <c r="F916" t="s">
        <v>1003</v>
      </c>
      <c r="G916" t="s">
        <v>1004</v>
      </c>
      <c r="I916" t="s">
        <v>89</v>
      </c>
      <c r="J916" s="13">
        <v>45954</v>
      </c>
      <c r="K916" s="13">
        <v>46023</v>
      </c>
      <c r="L916" t="s">
        <v>497</v>
      </c>
      <c r="M916" t="s">
        <v>56</v>
      </c>
      <c r="N916">
        <v>71121037</v>
      </c>
    </row>
    <row r="917" spans="1:14" x14ac:dyDescent="0.25">
      <c r="A917">
        <v>58182223</v>
      </c>
      <c r="B917" t="s">
        <v>1316</v>
      </c>
      <c r="C917" t="s">
        <v>1203</v>
      </c>
      <c r="D917" t="s">
        <v>2809</v>
      </c>
      <c r="E917">
        <v>7065136720</v>
      </c>
      <c r="F917" t="s">
        <v>821</v>
      </c>
      <c r="G917" t="s">
        <v>822</v>
      </c>
      <c r="I917" t="s">
        <v>823</v>
      </c>
      <c r="J917" s="13">
        <v>45979</v>
      </c>
      <c r="K917" s="13">
        <v>46023</v>
      </c>
      <c r="L917" t="s">
        <v>470</v>
      </c>
      <c r="M917" t="s">
        <v>62</v>
      </c>
      <c r="N917">
        <v>71121221</v>
      </c>
    </row>
    <row r="918" spans="1:14" x14ac:dyDescent="0.25">
      <c r="A918">
        <v>57439861</v>
      </c>
      <c r="B918" t="s">
        <v>2810</v>
      </c>
      <c r="C918" t="s">
        <v>2811</v>
      </c>
      <c r="D918" t="s">
        <v>2812</v>
      </c>
      <c r="E918">
        <v>3362555116</v>
      </c>
      <c r="F918" t="s">
        <v>957</v>
      </c>
      <c r="G918" t="s">
        <v>958</v>
      </c>
      <c r="H918" t="s">
        <v>959</v>
      </c>
      <c r="I918" t="s">
        <v>960</v>
      </c>
      <c r="J918" s="13">
        <v>45954</v>
      </c>
      <c r="K918" s="13">
        <v>46023</v>
      </c>
      <c r="L918" t="s">
        <v>603</v>
      </c>
      <c r="M918" t="s">
        <v>56</v>
      </c>
      <c r="N918">
        <v>71121240</v>
      </c>
    </row>
    <row r="919" spans="1:14" x14ac:dyDescent="0.25">
      <c r="A919">
        <v>57439677</v>
      </c>
      <c r="B919" t="s">
        <v>2387</v>
      </c>
      <c r="C919" t="s">
        <v>2813</v>
      </c>
      <c r="D919" t="s">
        <v>2814</v>
      </c>
      <c r="E919">
        <v>8124997107</v>
      </c>
      <c r="F919" t="s">
        <v>474</v>
      </c>
      <c r="G919" t="s">
        <v>475</v>
      </c>
      <c r="I919" t="s">
        <v>132</v>
      </c>
      <c r="J919" s="13">
        <v>45954</v>
      </c>
      <c r="K919" s="13">
        <v>46023</v>
      </c>
      <c r="L919" t="s">
        <v>440</v>
      </c>
      <c r="M919" t="s">
        <v>56</v>
      </c>
      <c r="N919">
        <v>71121268</v>
      </c>
    </row>
    <row r="920" spans="1:14" x14ac:dyDescent="0.25">
      <c r="A920">
        <v>57439912</v>
      </c>
      <c r="B920" t="s">
        <v>2815</v>
      </c>
      <c r="C920" t="s">
        <v>2816</v>
      </c>
      <c r="D920" t="s">
        <v>2817</v>
      </c>
      <c r="E920">
        <v>8152134947</v>
      </c>
      <c r="F920" t="s">
        <v>423</v>
      </c>
      <c r="G920" t="s">
        <v>424</v>
      </c>
      <c r="I920" t="s">
        <v>46</v>
      </c>
      <c r="J920" s="13">
        <v>45954</v>
      </c>
      <c r="K920" s="13">
        <v>46023</v>
      </c>
      <c r="L920" t="s">
        <v>470</v>
      </c>
      <c r="M920" t="s">
        <v>58</v>
      </c>
      <c r="N920">
        <v>71121401</v>
      </c>
    </row>
    <row r="921" spans="1:14" x14ac:dyDescent="0.25">
      <c r="A921">
        <v>57440199</v>
      </c>
      <c r="B921" t="s">
        <v>2071</v>
      </c>
      <c r="C921" t="s">
        <v>2818</v>
      </c>
      <c r="D921" t="s">
        <v>2819</v>
      </c>
      <c r="E921">
        <v>8166474829</v>
      </c>
      <c r="F921" t="s">
        <v>842</v>
      </c>
      <c r="G921" t="s">
        <v>843</v>
      </c>
      <c r="I921" t="s">
        <v>98</v>
      </c>
      <c r="J921" s="13">
        <v>45954</v>
      </c>
      <c r="K921" s="13">
        <v>46023</v>
      </c>
      <c r="L921" t="s">
        <v>434</v>
      </c>
      <c r="M921" t="s">
        <v>59</v>
      </c>
      <c r="N921">
        <v>71121647</v>
      </c>
    </row>
    <row r="922" spans="1:14" x14ac:dyDescent="0.25">
      <c r="A922">
        <v>57444449</v>
      </c>
      <c r="B922" t="s">
        <v>2820</v>
      </c>
      <c r="C922" t="s">
        <v>2821</v>
      </c>
      <c r="D922" t="s">
        <v>2822</v>
      </c>
      <c r="E922">
        <v>9795290237</v>
      </c>
      <c r="F922" t="s">
        <v>1147</v>
      </c>
      <c r="G922" t="s">
        <v>1148</v>
      </c>
      <c r="I922" t="s">
        <v>41</v>
      </c>
      <c r="J922" s="13">
        <v>45954</v>
      </c>
      <c r="K922" s="13">
        <v>46023</v>
      </c>
      <c r="L922" t="s">
        <v>444</v>
      </c>
      <c r="M922" t="s">
        <v>419</v>
      </c>
      <c r="N922">
        <v>71124129</v>
      </c>
    </row>
    <row r="923" spans="1:14" x14ac:dyDescent="0.25">
      <c r="A923">
        <v>57441092</v>
      </c>
      <c r="B923" t="s">
        <v>1167</v>
      </c>
      <c r="C923" t="s">
        <v>2823</v>
      </c>
      <c r="D923" t="s">
        <v>2824</v>
      </c>
      <c r="E923" t="s">
        <v>2825</v>
      </c>
      <c r="F923" t="s">
        <v>569</v>
      </c>
      <c r="G923" t="s">
        <v>570</v>
      </c>
      <c r="I923" t="s">
        <v>34</v>
      </c>
      <c r="J923" s="13">
        <v>45954</v>
      </c>
      <c r="K923" s="13">
        <v>46023</v>
      </c>
      <c r="L923" t="s">
        <v>941</v>
      </c>
      <c r="M923" t="s">
        <v>61</v>
      </c>
      <c r="N923">
        <v>71124181</v>
      </c>
    </row>
    <row r="924" spans="1:14" x14ac:dyDescent="0.25">
      <c r="A924">
        <v>57441134</v>
      </c>
      <c r="B924" t="s">
        <v>672</v>
      </c>
      <c r="C924" t="s">
        <v>2826</v>
      </c>
      <c r="D924" t="s">
        <v>2827</v>
      </c>
      <c r="E924">
        <v>2196889397</v>
      </c>
      <c r="F924" t="s">
        <v>775</v>
      </c>
      <c r="G924" t="s">
        <v>776</v>
      </c>
      <c r="I924" t="s">
        <v>22</v>
      </c>
      <c r="J924" s="13">
        <v>45954</v>
      </c>
      <c r="K924" s="13">
        <v>46023</v>
      </c>
      <c r="L924" t="s">
        <v>440</v>
      </c>
      <c r="M924" t="s">
        <v>58</v>
      </c>
      <c r="N924">
        <v>71124506</v>
      </c>
    </row>
    <row r="925" spans="1:14" x14ac:dyDescent="0.25">
      <c r="A925">
        <v>57499890</v>
      </c>
      <c r="B925" t="s">
        <v>431</v>
      </c>
      <c r="C925" t="s">
        <v>1258</v>
      </c>
      <c r="D925" t="s">
        <v>2828</v>
      </c>
      <c r="E925">
        <v>4806943295</v>
      </c>
      <c r="F925" t="s">
        <v>807</v>
      </c>
      <c r="G925" t="s">
        <v>808</v>
      </c>
      <c r="I925" t="s">
        <v>33</v>
      </c>
      <c r="J925" s="13">
        <v>45957</v>
      </c>
      <c r="K925" s="13">
        <v>46023</v>
      </c>
      <c r="L925" t="s">
        <v>1179</v>
      </c>
      <c r="M925" t="s">
        <v>59</v>
      </c>
      <c r="N925">
        <v>71126153</v>
      </c>
    </row>
    <row r="926" spans="1:14" x14ac:dyDescent="0.25">
      <c r="A926">
        <v>57441958</v>
      </c>
      <c r="B926" t="s">
        <v>1784</v>
      </c>
      <c r="C926" t="s">
        <v>2829</v>
      </c>
      <c r="D926" t="s">
        <v>2830</v>
      </c>
      <c r="E926">
        <v>8172581687</v>
      </c>
      <c r="F926" t="s">
        <v>693</v>
      </c>
      <c r="G926" t="s">
        <v>694</v>
      </c>
      <c r="I926" t="s">
        <v>103</v>
      </c>
      <c r="J926" s="13">
        <v>45954</v>
      </c>
      <c r="K926" s="13">
        <v>46023</v>
      </c>
      <c r="L926" t="s">
        <v>444</v>
      </c>
      <c r="M926" t="s">
        <v>55</v>
      </c>
      <c r="N926">
        <v>71128515</v>
      </c>
    </row>
    <row r="927" spans="1:14" x14ac:dyDescent="0.25">
      <c r="A927">
        <v>57441995</v>
      </c>
      <c r="B927" t="s">
        <v>530</v>
      </c>
      <c r="C927" t="s">
        <v>2831</v>
      </c>
      <c r="D927" t="s">
        <v>2832</v>
      </c>
      <c r="E927">
        <v>6183017102</v>
      </c>
      <c r="F927" t="s">
        <v>416</v>
      </c>
      <c r="G927" t="s">
        <v>417</v>
      </c>
      <c r="I927" t="s">
        <v>26</v>
      </c>
      <c r="J927" s="13">
        <v>45954</v>
      </c>
      <c r="K927" s="13">
        <v>46023</v>
      </c>
      <c r="L927" t="s">
        <v>434</v>
      </c>
      <c r="M927" t="s">
        <v>56</v>
      </c>
      <c r="N927">
        <v>71128592</v>
      </c>
    </row>
    <row r="928" spans="1:14" x14ac:dyDescent="0.25">
      <c r="A928">
        <v>57442122</v>
      </c>
      <c r="B928" t="s">
        <v>2833</v>
      </c>
      <c r="C928" t="s">
        <v>2834</v>
      </c>
      <c r="D928" t="s">
        <v>2835</v>
      </c>
      <c r="E928">
        <v>7206106863</v>
      </c>
      <c r="F928" t="s">
        <v>798</v>
      </c>
      <c r="G928" t="s">
        <v>799</v>
      </c>
      <c r="I928" t="s">
        <v>800</v>
      </c>
      <c r="J928" s="13">
        <v>45954</v>
      </c>
      <c r="K928" s="13">
        <v>46023</v>
      </c>
      <c r="L928" t="s">
        <v>539</v>
      </c>
      <c r="M928" t="s">
        <v>58</v>
      </c>
      <c r="N928">
        <v>71129555</v>
      </c>
    </row>
    <row r="929" spans="1:14" x14ac:dyDescent="0.25">
      <c r="A929">
        <v>57442413</v>
      </c>
      <c r="B929" t="s">
        <v>2836</v>
      </c>
      <c r="C929" t="s">
        <v>2837</v>
      </c>
      <c r="D929" t="s">
        <v>2838</v>
      </c>
      <c r="E929">
        <v>4092293132</v>
      </c>
      <c r="F929" t="s">
        <v>592</v>
      </c>
      <c r="G929" t="s">
        <v>593</v>
      </c>
      <c r="I929" t="s">
        <v>115</v>
      </c>
      <c r="J929" s="13">
        <v>45954</v>
      </c>
      <c r="K929" s="13">
        <v>46023</v>
      </c>
      <c r="L929" t="s">
        <v>444</v>
      </c>
      <c r="M929" t="s">
        <v>55</v>
      </c>
      <c r="N929">
        <v>71131742</v>
      </c>
    </row>
    <row r="930" spans="1:14" x14ac:dyDescent="0.25">
      <c r="A930">
        <v>57442439</v>
      </c>
      <c r="B930" t="s">
        <v>2839</v>
      </c>
      <c r="C930" t="s">
        <v>2840</v>
      </c>
      <c r="D930" t="s">
        <v>2841</v>
      </c>
      <c r="E930">
        <v>4079246469</v>
      </c>
      <c r="F930" t="s">
        <v>1444</v>
      </c>
      <c r="G930" t="s">
        <v>1445</v>
      </c>
      <c r="I930" t="s">
        <v>1446</v>
      </c>
      <c r="J930" s="13">
        <v>45954</v>
      </c>
      <c r="K930" s="13">
        <v>46023</v>
      </c>
      <c r="L930" t="s">
        <v>497</v>
      </c>
      <c r="M930" t="s">
        <v>58</v>
      </c>
      <c r="N930">
        <v>71131891</v>
      </c>
    </row>
    <row r="931" spans="1:14" x14ac:dyDescent="0.25">
      <c r="A931">
        <v>57442508</v>
      </c>
      <c r="B931" t="s">
        <v>2214</v>
      </c>
      <c r="C931" t="s">
        <v>2842</v>
      </c>
      <c r="D931" t="s">
        <v>2843</v>
      </c>
      <c r="E931">
        <v>7206106863</v>
      </c>
      <c r="F931" t="s">
        <v>798</v>
      </c>
      <c r="G931" t="s">
        <v>799</v>
      </c>
      <c r="I931" t="s">
        <v>800</v>
      </c>
      <c r="J931" s="13">
        <v>45954</v>
      </c>
      <c r="K931" s="13">
        <v>46023</v>
      </c>
      <c r="L931" t="s">
        <v>539</v>
      </c>
      <c r="M931" t="s">
        <v>58</v>
      </c>
      <c r="N931">
        <v>71131895</v>
      </c>
    </row>
    <row r="932" spans="1:14" x14ac:dyDescent="0.25">
      <c r="A932">
        <v>57442806</v>
      </c>
      <c r="B932" t="s">
        <v>2844</v>
      </c>
      <c r="C932" t="s">
        <v>2845</v>
      </c>
      <c r="D932" t="s">
        <v>2846</v>
      </c>
      <c r="E932">
        <v>9286140821</v>
      </c>
      <c r="F932" t="s">
        <v>423</v>
      </c>
      <c r="G932" t="s">
        <v>424</v>
      </c>
      <c r="I932" t="s">
        <v>46</v>
      </c>
      <c r="J932" s="13">
        <v>45954</v>
      </c>
      <c r="K932" s="13">
        <v>46023</v>
      </c>
      <c r="L932" t="s">
        <v>1179</v>
      </c>
      <c r="M932" t="s">
        <v>54</v>
      </c>
      <c r="N932">
        <v>71133236</v>
      </c>
    </row>
    <row r="933" spans="1:14" x14ac:dyDescent="0.25">
      <c r="A933">
        <v>57442998</v>
      </c>
      <c r="B933" t="s">
        <v>784</v>
      </c>
      <c r="C933" t="s">
        <v>2847</v>
      </c>
      <c r="D933" t="s">
        <v>2848</v>
      </c>
      <c r="E933">
        <v>7652845426</v>
      </c>
      <c r="F933" t="s">
        <v>815</v>
      </c>
      <c r="G933" t="s">
        <v>816</v>
      </c>
      <c r="I933" t="s">
        <v>23</v>
      </c>
      <c r="J933" s="13">
        <v>45954</v>
      </c>
      <c r="K933" s="13">
        <v>46023</v>
      </c>
      <c r="L933" t="s">
        <v>440</v>
      </c>
      <c r="M933" t="s">
        <v>56</v>
      </c>
      <c r="N933">
        <v>71134698</v>
      </c>
    </row>
    <row r="934" spans="1:14" x14ac:dyDescent="0.25">
      <c r="A934">
        <v>57443000</v>
      </c>
      <c r="B934" t="s">
        <v>2849</v>
      </c>
      <c r="C934" t="s">
        <v>2850</v>
      </c>
      <c r="D934" t="s">
        <v>2851</v>
      </c>
      <c r="E934">
        <v>8649410553</v>
      </c>
      <c r="F934" t="s">
        <v>1200</v>
      </c>
      <c r="G934" t="s">
        <v>1201</v>
      </c>
      <c r="I934" t="s">
        <v>1202</v>
      </c>
      <c r="J934" s="13">
        <v>45954</v>
      </c>
      <c r="K934" s="13">
        <v>46023</v>
      </c>
      <c r="L934" t="s">
        <v>533</v>
      </c>
      <c r="M934" t="s">
        <v>56</v>
      </c>
      <c r="N934">
        <v>71134722</v>
      </c>
    </row>
    <row r="935" spans="1:14" x14ac:dyDescent="0.25">
      <c r="A935">
        <v>57443090</v>
      </c>
      <c r="B935" t="s">
        <v>2852</v>
      </c>
      <c r="C935" t="s">
        <v>2853</v>
      </c>
      <c r="D935" t="s">
        <v>2854</v>
      </c>
      <c r="E935">
        <v>4807099110</v>
      </c>
      <c r="F935" t="s">
        <v>1345</v>
      </c>
      <c r="G935" t="s">
        <v>799</v>
      </c>
      <c r="I935" t="s">
        <v>47</v>
      </c>
      <c r="J935" s="13">
        <v>45954</v>
      </c>
      <c r="K935" s="13">
        <v>46023</v>
      </c>
      <c r="L935" t="s">
        <v>1179</v>
      </c>
      <c r="M935" t="s">
        <v>54</v>
      </c>
      <c r="N935">
        <v>71135325</v>
      </c>
    </row>
    <row r="936" spans="1:14" x14ac:dyDescent="0.25">
      <c r="A936">
        <v>57443142</v>
      </c>
      <c r="B936" t="s">
        <v>2855</v>
      </c>
      <c r="C936" t="s">
        <v>1129</v>
      </c>
      <c r="D936" t="s">
        <v>2856</v>
      </c>
      <c r="E936">
        <v>4072727444</v>
      </c>
      <c r="F936" t="s">
        <v>448</v>
      </c>
      <c r="G936" t="s">
        <v>449</v>
      </c>
      <c r="I936" t="s">
        <v>31</v>
      </c>
      <c r="J936" s="13">
        <v>45954</v>
      </c>
      <c r="K936" s="13">
        <v>46023</v>
      </c>
      <c r="L936" t="s">
        <v>497</v>
      </c>
      <c r="M936" t="s">
        <v>56</v>
      </c>
      <c r="N936">
        <v>71135681</v>
      </c>
    </row>
    <row r="937" spans="1:14" x14ac:dyDescent="0.25">
      <c r="A937">
        <v>57443203</v>
      </c>
      <c r="B937" t="s">
        <v>2857</v>
      </c>
      <c r="C937" t="s">
        <v>2858</v>
      </c>
      <c r="D937" t="s">
        <v>2859</v>
      </c>
      <c r="E937">
        <v>4803298340</v>
      </c>
      <c r="F937" t="s">
        <v>770</v>
      </c>
      <c r="G937" t="s">
        <v>771</v>
      </c>
      <c r="I937" t="s">
        <v>25</v>
      </c>
      <c r="J937" s="13">
        <v>45954</v>
      </c>
      <c r="K937" s="13">
        <v>46023</v>
      </c>
      <c r="L937" t="s">
        <v>1179</v>
      </c>
      <c r="M937" t="s">
        <v>56</v>
      </c>
      <c r="N937">
        <v>71136027</v>
      </c>
    </row>
    <row r="938" spans="1:14" x14ac:dyDescent="0.25">
      <c r="A938">
        <v>57443233</v>
      </c>
      <c r="B938" t="s">
        <v>597</v>
      </c>
      <c r="C938" t="s">
        <v>2860</v>
      </c>
      <c r="D938" t="s">
        <v>2861</v>
      </c>
      <c r="E938">
        <v>9129612610</v>
      </c>
      <c r="F938" t="s">
        <v>628</v>
      </c>
      <c r="G938" t="s">
        <v>629</v>
      </c>
      <c r="I938" t="s">
        <v>24</v>
      </c>
      <c r="J938" s="13">
        <v>45954</v>
      </c>
      <c r="K938" s="13">
        <v>46023</v>
      </c>
      <c r="L938" t="s">
        <v>533</v>
      </c>
      <c r="M938" t="s">
        <v>58</v>
      </c>
      <c r="N938">
        <v>71136217</v>
      </c>
    </row>
    <row r="939" spans="1:14" x14ac:dyDescent="0.25">
      <c r="A939">
        <v>57443835</v>
      </c>
      <c r="B939" t="s">
        <v>445</v>
      </c>
      <c r="C939" t="s">
        <v>2862</v>
      </c>
      <c r="D939" t="s">
        <v>2863</v>
      </c>
      <c r="E939">
        <v>3343440576</v>
      </c>
      <c r="F939" t="s">
        <v>790</v>
      </c>
      <c r="G939" t="s">
        <v>791</v>
      </c>
      <c r="I939" t="s">
        <v>119</v>
      </c>
      <c r="J939" s="13">
        <v>45954</v>
      </c>
      <c r="K939" s="13">
        <v>46023</v>
      </c>
      <c r="L939" t="s">
        <v>450</v>
      </c>
      <c r="M939" t="s">
        <v>58</v>
      </c>
      <c r="N939">
        <v>71137543</v>
      </c>
    </row>
    <row r="940" spans="1:14" x14ac:dyDescent="0.25">
      <c r="A940">
        <v>57444524</v>
      </c>
      <c r="B940" t="s">
        <v>420</v>
      </c>
      <c r="C940" t="s">
        <v>2864</v>
      </c>
      <c r="D940" t="s">
        <v>2865</v>
      </c>
      <c r="E940">
        <v>6302766350</v>
      </c>
      <c r="F940" t="s">
        <v>551</v>
      </c>
      <c r="G940" t="s">
        <v>552</v>
      </c>
      <c r="I940" t="s">
        <v>42</v>
      </c>
      <c r="J940" s="13">
        <v>45954</v>
      </c>
      <c r="K940" s="13">
        <v>46023</v>
      </c>
      <c r="L940" t="s">
        <v>470</v>
      </c>
      <c r="M940" t="s">
        <v>58</v>
      </c>
      <c r="N940">
        <v>71141266</v>
      </c>
    </row>
    <row r="941" spans="1:14" x14ac:dyDescent="0.25">
      <c r="A941">
        <v>57444379</v>
      </c>
      <c r="B941" t="s">
        <v>812</v>
      </c>
      <c r="C941" t="s">
        <v>2866</v>
      </c>
      <c r="D941" t="s">
        <v>2867</v>
      </c>
      <c r="E941">
        <v>4809439115</v>
      </c>
      <c r="F941" t="s">
        <v>474</v>
      </c>
      <c r="G941" t="s">
        <v>475</v>
      </c>
      <c r="I941" t="s">
        <v>132</v>
      </c>
      <c r="J941" s="13">
        <v>45954</v>
      </c>
      <c r="K941" s="13">
        <v>46023</v>
      </c>
      <c r="L941" t="s">
        <v>1179</v>
      </c>
      <c r="M941" t="s">
        <v>59</v>
      </c>
      <c r="N941">
        <v>71141470</v>
      </c>
    </row>
    <row r="942" spans="1:14" x14ac:dyDescent="0.25">
      <c r="A942">
        <v>57444452</v>
      </c>
      <c r="B942" t="s">
        <v>2868</v>
      </c>
      <c r="C942" t="s">
        <v>2869</v>
      </c>
      <c r="D942" t="s">
        <v>2870</v>
      </c>
      <c r="E942">
        <v>7275577212</v>
      </c>
      <c r="F942" t="s">
        <v>1142</v>
      </c>
      <c r="G942" t="s">
        <v>1143</v>
      </c>
      <c r="I942" t="s">
        <v>124</v>
      </c>
      <c r="J942" s="13">
        <v>45954</v>
      </c>
      <c r="K942" s="13">
        <v>46023</v>
      </c>
      <c r="L942" t="s">
        <v>497</v>
      </c>
      <c r="M942" t="s">
        <v>59</v>
      </c>
      <c r="N942">
        <v>71141788</v>
      </c>
    </row>
    <row r="943" spans="1:14" x14ac:dyDescent="0.25">
      <c r="A943">
        <v>57444625</v>
      </c>
      <c r="B943" t="s">
        <v>2871</v>
      </c>
      <c r="C943" t="s">
        <v>2872</v>
      </c>
      <c r="D943" t="s">
        <v>2873</v>
      </c>
      <c r="E943">
        <v>5018181893</v>
      </c>
      <c r="F943" t="s">
        <v>705</v>
      </c>
      <c r="G943" t="s">
        <v>706</v>
      </c>
      <c r="I943" t="s">
        <v>12</v>
      </c>
      <c r="J943" s="13">
        <v>45954</v>
      </c>
      <c r="K943" s="13">
        <v>46023</v>
      </c>
      <c r="L943" t="s">
        <v>553</v>
      </c>
      <c r="M943" t="s">
        <v>61</v>
      </c>
      <c r="N943">
        <v>71142561</v>
      </c>
    </row>
    <row r="944" spans="1:14" x14ac:dyDescent="0.25">
      <c r="A944">
        <v>57444750</v>
      </c>
      <c r="B944" t="s">
        <v>1835</v>
      </c>
      <c r="C944" t="s">
        <v>2874</v>
      </c>
      <c r="D944" t="s">
        <v>2875</v>
      </c>
      <c r="E944">
        <v>7199609553</v>
      </c>
      <c r="F944" t="s">
        <v>842</v>
      </c>
      <c r="G944" t="s">
        <v>843</v>
      </c>
      <c r="I944" t="s">
        <v>98</v>
      </c>
      <c r="J944" s="13">
        <v>45954</v>
      </c>
      <c r="K944" s="13">
        <v>46023</v>
      </c>
      <c r="L944" t="s">
        <v>539</v>
      </c>
      <c r="M944" t="s">
        <v>59</v>
      </c>
      <c r="N944">
        <v>71143300</v>
      </c>
    </row>
    <row r="945" spans="1:14" x14ac:dyDescent="0.25">
      <c r="A945">
        <v>57445024</v>
      </c>
      <c r="B945" t="s">
        <v>1658</v>
      </c>
      <c r="C945" t="s">
        <v>2876</v>
      </c>
      <c r="D945" t="s">
        <v>2877</v>
      </c>
      <c r="E945">
        <v>9032379012</v>
      </c>
      <c r="F945" t="s">
        <v>780</v>
      </c>
      <c r="G945" t="s">
        <v>781</v>
      </c>
      <c r="I945" t="s">
        <v>20</v>
      </c>
      <c r="J945" s="13">
        <v>45954</v>
      </c>
      <c r="K945" s="13">
        <v>46023</v>
      </c>
      <c r="L945" t="s">
        <v>444</v>
      </c>
      <c r="M945" t="s">
        <v>56</v>
      </c>
      <c r="N945">
        <v>71145055</v>
      </c>
    </row>
    <row r="946" spans="1:14" x14ac:dyDescent="0.25">
      <c r="A946">
        <v>57445134</v>
      </c>
      <c r="B946" t="s">
        <v>2686</v>
      </c>
      <c r="C946" t="s">
        <v>2878</v>
      </c>
      <c r="D946" t="s">
        <v>2879</v>
      </c>
      <c r="E946">
        <v>2105945945</v>
      </c>
      <c r="F946" t="s">
        <v>1003</v>
      </c>
      <c r="G946" t="s">
        <v>1004</v>
      </c>
      <c r="I946" t="s">
        <v>89</v>
      </c>
      <c r="J946" s="13">
        <v>45954</v>
      </c>
      <c r="K946" s="13">
        <v>46023</v>
      </c>
      <c r="L946" t="s">
        <v>444</v>
      </c>
      <c r="M946" t="s">
        <v>59</v>
      </c>
      <c r="N946">
        <v>71145619</v>
      </c>
    </row>
    <row r="947" spans="1:14" x14ac:dyDescent="0.25">
      <c r="A947">
        <v>57445897</v>
      </c>
      <c r="B947" t="s">
        <v>1038</v>
      </c>
      <c r="C947" t="s">
        <v>2880</v>
      </c>
      <c r="D947" t="s">
        <v>2881</v>
      </c>
      <c r="E947">
        <v>6025244234</v>
      </c>
      <c r="F947" t="s">
        <v>993</v>
      </c>
      <c r="G947" t="s">
        <v>994</v>
      </c>
      <c r="I947" t="s">
        <v>995</v>
      </c>
      <c r="J947" s="13">
        <v>45954</v>
      </c>
      <c r="K947" s="13">
        <v>46023</v>
      </c>
      <c r="L947" t="s">
        <v>1179</v>
      </c>
      <c r="M947" t="s">
        <v>54</v>
      </c>
      <c r="N947">
        <v>71150133</v>
      </c>
    </row>
    <row r="948" spans="1:14" x14ac:dyDescent="0.25">
      <c r="A948">
        <v>57445926</v>
      </c>
      <c r="B948" t="s">
        <v>2882</v>
      </c>
      <c r="C948" t="s">
        <v>2883</v>
      </c>
      <c r="D948" t="s">
        <v>2884</v>
      </c>
      <c r="E948">
        <v>3528441157</v>
      </c>
      <c r="F948" t="s">
        <v>1267</v>
      </c>
      <c r="G948" t="s">
        <v>1268</v>
      </c>
      <c r="I948" t="s">
        <v>1269</v>
      </c>
      <c r="J948" s="13">
        <v>45954</v>
      </c>
      <c r="K948" s="13">
        <v>46023</v>
      </c>
      <c r="L948" t="s">
        <v>497</v>
      </c>
      <c r="M948" t="s">
        <v>56</v>
      </c>
      <c r="N948">
        <v>71150362</v>
      </c>
    </row>
    <row r="949" spans="1:14" x14ac:dyDescent="0.25">
      <c r="A949">
        <v>57446236</v>
      </c>
      <c r="B949" t="s">
        <v>2885</v>
      </c>
      <c r="C949" t="s">
        <v>2886</v>
      </c>
      <c r="D949" t="s">
        <v>2887</v>
      </c>
      <c r="E949">
        <v>4807354972</v>
      </c>
      <c r="F949" t="s">
        <v>416</v>
      </c>
      <c r="G949" t="s">
        <v>417</v>
      </c>
      <c r="I949" t="s">
        <v>26</v>
      </c>
      <c r="J949" s="13">
        <v>45954</v>
      </c>
      <c r="K949" s="13">
        <v>46023</v>
      </c>
      <c r="L949" t="s">
        <v>1179</v>
      </c>
      <c r="M949" t="s">
        <v>54</v>
      </c>
      <c r="N949">
        <v>71151475</v>
      </c>
    </row>
    <row r="950" spans="1:14" x14ac:dyDescent="0.25">
      <c r="A950">
        <v>57446409</v>
      </c>
      <c r="B950" t="s">
        <v>2600</v>
      </c>
      <c r="C950" t="s">
        <v>2888</v>
      </c>
      <c r="D950" t="s">
        <v>2889</v>
      </c>
      <c r="E950">
        <v>5014350479</v>
      </c>
      <c r="F950" t="s">
        <v>448</v>
      </c>
      <c r="G950" t="s">
        <v>449</v>
      </c>
      <c r="I950" t="s">
        <v>31</v>
      </c>
      <c r="J950" s="13">
        <v>45954</v>
      </c>
      <c r="K950" s="13">
        <v>46023</v>
      </c>
      <c r="L950" t="s">
        <v>553</v>
      </c>
      <c r="M950" t="s">
        <v>59</v>
      </c>
      <c r="N950">
        <v>71152851</v>
      </c>
    </row>
    <row r="951" spans="1:14" x14ac:dyDescent="0.25">
      <c r="A951">
        <v>57446676</v>
      </c>
      <c r="B951" t="s">
        <v>2890</v>
      </c>
      <c r="C951" t="s">
        <v>2891</v>
      </c>
      <c r="D951" t="s">
        <v>2892</v>
      </c>
      <c r="E951">
        <v>6025055108</v>
      </c>
      <c r="F951" t="s">
        <v>798</v>
      </c>
      <c r="G951" t="s">
        <v>799</v>
      </c>
      <c r="I951" t="s">
        <v>800</v>
      </c>
      <c r="J951" s="13">
        <v>45954</v>
      </c>
      <c r="K951" s="13">
        <v>46023</v>
      </c>
      <c r="L951" t="s">
        <v>1179</v>
      </c>
      <c r="M951" t="s">
        <v>58</v>
      </c>
      <c r="N951">
        <v>71154573</v>
      </c>
    </row>
    <row r="952" spans="1:14" x14ac:dyDescent="0.25">
      <c r="A952">
        <v>57447907</v>
      </c>
      <c r="B952" t="s">
        <v>2893</v>
      </c>
      <c r="C952" t="s">
        <v>2894</v>
      </c>
      <c r="D952" t="s">
        <v>2895</v>
      </c>
      <c r="E952">
        <v>5616959061</v>
      </c>
      <c r="F952" t="s">
        <v>615</v>
      </c>
      <c r="G952" t="s">
        <v>616</v>
      </c>
      <c r="I952" t="s">
        <v>617</v>
      </c>
      <c r="J952" s="13">
        <v>45954</v>
      </c>
      <c r="K952" s="13">
        <v>46023</v>
      </c>
      <c r="L952" t="s">
        <v>497</v>
      </c>
      <c r="M952" t="s">
        <v>59</v>
      </c>
      <c r="N952">
        <v>71157654</v>
      </c>
    </row>
    <row r="953" spans="1:14" x14ac:dyDescent="0.25">
      <c r="A953">
        <v>59260278</v>
      </c>
      <c r="B953" t="s">
        <v>2896</v>
      </c>
      <c r="C953" t="s">
        <v>2897</v>
      </c>
      <c r="D953" t="s">
        <v>2898</v>
      </c>
      <c r="E953">
        <v>7432076383</v>
      </c>
      <c r="F953" t="s">
        <v>592</v>
      </c>
      <c r="G953" t="s">
        <v>593</v>
      </c>
      <c r="I953" t="s">
        <v>115</v>
      </c>
      <c r="J953" s="13">
        <v>46027</v>
      </c>
      <c r="K953" s="13">
        <v>46054</v>
      </c>
      <c r="L953" t="s">
        <v>603</v>
      </c>
      <c r="M953" t="s">
        <v>59</v>
      </c>
      <c r="N953">
        <v>71158149</v>
      </c>
    </row>
    <row r="954" spans="1:14" x14ac:dyDescent="0.25">
      <c r="A954">
        <v>57448481</v>
      </c>
      <c r="B954" t="s">
        <v>521</v>
      </c>
      <c r="C954" t="s">
        <v>2059</v>
      </c>
      <c r="D954" t="s">
        <v>2899</v>
      </c>
      <c r="E954">
        <v>3254809017</v>
      </c>
      <c r="F954" t="s">
        <v>1003</v>
      </c>
      <c r="G954" t="s">
        <v>1004</v>
      </c>
      <c r="I954" t="s">
        <v>89</v>
      </c>
      <c r="J954" s="13">
        <v>45954</v>
      </c>
      <c r="K954" s="13">
        <v>46023</v>
      </c>
      <c r="L954" t="s">
        <v>444</v>
      </c>
      <c r="M954" t="s">
        <v>60</v>
      </c>
      <c r="N954">
        <v>71159342</v>
      </c>
    </row>
    <row r="955" spans="1:14" x14ac:dyDescent="0.25">
      <c r="A955">
        <v>57448535</v>
      </c>
      <c r="B955" t="s">
        <v>2900</v>
      </c>
      <c r="C955" t="s">
        <v>2901</v>
      </c>
      <c r="D955" t="s">
        <v>2902</v>
      </c>
      <c r="E955">
        <v>3045322661</v>
      </c>
      <c r="F955" t="s">
        <v>1398</v>
      </c>
      <c r="G955" t="s">
        <v>1399</v>
      </c>
      <c r="I955" t="s">
        <v>1400</v>
      </c>
      <c r="J955" s="13">
        <v>45954</v>
      </c>
      <c r="K955" s="13">
        <v>46023</v>
      </c>
      <c r="L955" t="s">
        <v>1188</v>
      </c>
      <c r="M955" t="s">
        <v>56</v>
      </c>
      <c r="N955">
        <v>71159404</v>
      </c>
    </row>
    <row r="956" spans="1:14" x14ac:dyDescent="0.25">
      <c r="A956">
        <v>58187770</v>
      </c>
      <c r="B956" t="s">
        <v>2745</v>
      </c>
      <c r="C956" t="s">
        <v>2903</v>
      </c>
      <c r="D956" t="s">
        <v>2904</v>
      </c>
      <c r="E956" t="s">
        <v>2905</v>
      </c>
      <c r="F956" t="s">
        <v>775</v>
      </c>
      <c r="G956" t="s">
        <v>776</v>
      </c>
      <c r="I956" t="s">
        <v>22</v>
      </c>
      <c r="J956" s="13">
        <v>45979</v>
      </c>
      <c r="K956" s="13">
        <v>46023</v>
      </c>
      <c r="L956" t="s">
        <v>1179</v>
      </c>
      <c r="M956" t="s">
        <v>59</v>
      </c>
      <c r="N956">
        <v>71160414</v>
      </c>
    </row>
    <row r="957" spans="1:14" x14ac:dyDescent="0.25">
      <c r="A957">
        <v>57452048</v>
      </c>
      <c r="B957" t="s">
        <v>1643</v>
      </c>
      <c r="C957" t="s">
        <v>2906</v>
      </c>
      <c r="D957" t="s">
        <v>2907</v>
      </c>
      <c r="E957">
        <v>5014003883</v>
      </c>
      <c r="F957" t="s">
        <v>448</v>
      </c>
      <c r="G957" t="s">
        <v>449</v>
      </c>
      <c r="I957" t="s">
        <v>31</v>
      </c>
      <c r="J957" s="13">
        <v>45954</v>
      </c>
      <c r="K957" s="13">
        <v>46023</v>
      </c>
      <c r="L957" t="s">
        <v>553</v>
      </c>
      <c r="M957" t="s">
        <v>59</v>
      </c>
      <c r="N957">
        <v>71160969</v>
      </c>
    </row>
    <row r="958" spans="1:14" x14ac:dyDescent="0.25">
      <c r="A958">
        <v>57452635</v>
      </c>
      <c r="B958" t="s">
        <v>1268</v>
      </c>
      <c r="C958" t="s">
        <v>2908</v>
      </c>
      <c r="D958" t="s">
        <v>2909</v>
      </c>
      <c r="E958">
        <v>4807918774</v>
      </c>
      <c r="F958" t="s">
        <v>462</v>
      </c>
      <c r="G958" t="s">
        <v>463</v>
      </c>
      <c r="I958" t="s">
        <v>39</v>
      </c>
      <c r="J958" s="13">
        <v>45954</v>
      </c>
      <c r="K958" s="13">
        <v>46023</v>
      </c>
      <c r="L958" t="s">
        <v>1179</v>
      </c>
      <c r="M958" t="s">
        <v>54</v>
      </c>
      <c r="N958">
        <v>71161095</v>
      </c>
    </row>
    <row r="959" spans="1:14" x14ac:dyDescent="0.25">
      <c r="A959">
        <v>57454358</v>
      </c>
      <c r="B959" t="s">
        <v>2910</v>
      </c>
      <c r="C959" t="s">
        <v>2911</v>
      </c>
      <c r="D959" t="s">
        <v>2912</v>
      </c>
      <c r="E959">
        <v>5203512803</v>
      </c>
      <c r="F959" t="s">
        <v>569</v>
      </c>
      <c r="G959" t="s">
        <v>570</v>
      </c>
      <c r="I959" t="s">
        <v>34</v>
      </c>
      <c r="J959" s="13">
        <v>45954</v>
      </c>
      <c r="K959" s="13">
        <v>46023</v>
      </c>
      <c r="L959" t="s">
        <v>1179</v>
      </c>
      <c r="M959" t="s">
        <v>54</v>
      </c>
      <c r="N959">
        <v>71161427</v>
      </c>
    </row>
    <row r="960" spans="1:14" x14ac:dyDescent="0.25">
      <c r="A960">
        <v>57455380</v>
      </c>
      <c r="B960" t="s">
        <v>925</v>
      </c>
      <c r="C960" t="s">
        <v>2913</v>
      </c>
      <c r="D960" t="s">
        <v>2914</v>
      </c>
      <c r="E960">
        <v>3095310873</v>
      </c>
      <c r="F960" t="s">
        <v>628</v>
      </c>
      <c r="G960" t="s">
        <v>629</v>
      </c>
      <c r="I960" t="s">
        <v>24</v>
      </c>
      <c r="J960" s="13">
        <v>45954</v>
      </c>
      <c r="K960" s="13">
        <v>46023</v>
      </c>
      <c r="L960" t="s">
        <v>470</v>
      </c>
      <c r="M960" t="s">
        <v>56</v>
      </c>
      <c r="N960">
        <v>71162495</v>
      </c>
    </row>
    <row r="961" spans="1:14" x14ac:dyDescent="0.25">
      <c r="A961">
        <v>57455916</v>
      </c>
      <c r="B961" t="s">
        <v>477</v>
      </c>
      <c r="C961" t="s">
        <v>2915</v>
      </c>
      <c r="D961" t="s">
        <v>2916</v>
      </c>
      <c r="E961">
        <v>4805406419</v>
      </c>
      <c r="F961" t="s">
        <v>423</v>
      </c>
      <c r="G961" t="s">
        <v>424</v>
      </c>
      <c r="I961" t="s">
        <v>46</v>
      </c>
      <c r="J961" s="13">
        <v>45954</v>
      </c>
      <c r="K961" s="13">
        <v>46023</v>
      </c>
      <c r="L961" t="s">
        <v>1179</v>
      </c>
      <c r="M961" t="s">
        <v>54</v>
      </c>
      <c r="N961">
        <v>71163937</v>
      </c>
    </row>
    <row r="962" spans="1:14" x14ac:dyDescent="0.25">
      <c r="A962">
        <v>57456027</v>
      </c>
      <c r="B962" t="s">
        <v>2917</v>
      </c>
      <c r="C962" t="s">
        <v>2918</v>
      </c>
      <c r="D962" t="s">
        <v>2919</v>
      </c>
      <c r="E962">
        <v>9362090933</v>
      </c>
      <c r="F962" t="s">
        <v>1013</v>
      </c>
      <c r="G962" t="s">
        <v>1014</v>
      </c>
      <c r="I962" t="s">
        <v>43</v>
      </c>
      <c r="J962" s="13">
        <v>45954</v>
      </c>
      <c r="K962" s="13">
        <v>46023</v>
      </c>
      <c r="L962" t="s">
        <v>444</v>
      </c>
      <c r="M962" t="s">
        <v>58</v>
      </c>
      <c r="N962">
        <v>71164101</v>
      </c>
    </row>
    <row r="963" spans="1:14" x14ac:dyDescent="0.25">
      <c r="A963">
        <v>57456163</v>
      </c>
      <c r="B963" t="s">
        <v>2920</v>
      </c>
      <c r="C963" t="s">
        <v>2880</v>
      </c>
      <c r="D963" t="s">
        <v>2921</v>
      </c>
      <c r="E963">
        <v>5203042373</v>
      </c>
      <c r="F963" t="s">
        <v>993</v>
      </c>
      <c r="G963" t="s">
        <v>994</v>
      </c>
      <c r="I963" t="s">
        <v>995</v>
      </c>
      <c r="J963" s="13">
        <v>45952</v>
      </c>
      <c r="K963" s="13">
        <v>46023</v>
      </c>
      <c r="L963" t="s">
        <v>1179</v>
      </c>
      <c r="M963" t="s">
        <v>54</v>
      </c>
      <c r="N963">
        <v>71164189</v>
      </c>
    </row>
    <row r="964" spans="1:14" x14ac:dyDescent="0.25">
      <c r="A964">
        <v>57456294</v>
      </c>
      <c r="B964" t="s">
        <v>2019</v>
      </c>
      <c r="C964" t="s">
        <v>2215</v>
      </c>
      <c r="D964" t="s">
        <v>2922</v>
      </c>
      <c r="E964">
        <v>8502003609</v>
      </c>
      <c r="F964" t="s">
        <v>1003</v>
      </c>
      <c r="G964" t="s">
        <v>1004</v>
      </c>
      <c r="I964" t="s">
        <v>89</v>
      </c>
      <c r="J964" s="13">
        <v>45954</v>
      </c>
      <c r="K964" s="13">
        <v>46023</v>
      </c>
      <c r="L964" t="s">
        <v>497</v>
      </c>
      <c r="M964" t="s">
        <v>56</v>
      </c>
      <c r="N964">
        <v>71164295</v>
      </c>
    </row>
    <row r="965" spans="1:14" x14ac:dyDescent="0.25">
      <c r="A965">
        <v>57457071</v>
      </c>
      <c r="B965" t="s">
        <v>2657</v>
      </c>
      <c r="C965" t="s">
        <v>2923</v>
      </c>
      <c r="D965" t="s">
        <v>2924</v>
      </c>
      <c r="E965">
        <v>5202200957</v>
      </c>
      <c r="F965" t="s">
        <v>416</v>
      </c>
      <c r="G965" t="s">
        <v>417</v>
      </c>
      <c r="I965" t="s">
        <v>26</v>
      </c>
      <c r="J965" s="13">
        <v>45954</v>
      </c>
      <c r="K965" s="13">
        <v>46023</v>
      </c>
      <c r="L965" t="s">
        <v>1179</v>
      </c>
      <c r="M965" t="s">
        <v>54</v>
      </c>
      <c r="N965">
        <v>71164730</v>
      </c>
    </row>
    <row r="966" spans="1:14" x14ac:dyDescent="0.25">
      <c r="A966">
        <v>57456937</v>
      </c>
      <c r="B966" t="s">
        <v>1905</v>
      </c>
      <c r="C966" t="s">
        <v>2925</v>
      </c>
      <c r="D966" t="s">
        <v>2926</v>
      </c>
      <c r="E966">
        <v>6192454695</v>
      </c>
      <c r="F966" t="s">
        <v>766</v>
      </c>
      <c r="G966" t="s">
        <v>767</v>
      </c>
      <c r="I966" t="s">
        <v>88</v>
      </c>
      <c r="J966" s="13">
        <v>45954</v>
      </c>
      <c r="K966" s="13">
        <v>46023</v>
      </c>
      <c r="L966" t="s">
        <v>1179</v>
      </c>
      <c r="M966" t="s">
        <v>54</v>
      </c>
      <c r="N966">
        <v>71164760</v>
      </c>
    </row>
    <row r="967" spans="1:14" x14ac:dyDescent="0.25">
      <c r="A967">
        <v>57457050</v>
      </c>
      <c r="B967" t="s">
        <v>2927</v>
      </c>
      <c r="C967" t="s">
        <v>2928</v>
      </c>
      <c r="D967" t="s">
        <v>2929</v>
      </c>
      <c r="E967">
        <v>5209341282</v>
      </c>
      <c r="F967" t="s">
        <v>1345</v>
      </c>
      <c r="G967" t="s">
        <v>799</v>
      </c>
      <c r="I967" t="s">
        <v>47</v>
      </c>
      <c r="J967" s="13">
        <v>45954</v>
      </c>
      <c r="K967" s="13">
        <v>46023</v>
      </c>
      <c r="L967" t="s">
        <v>1179</v>
      </c>
      <c r="M967" t="s">
        <v>54</v>
      </c>
      <c r="N967">
        <v>71164825</v>
      </c>
    </row>
    <row r="968" spans="1:14" x14ac:dyDescent="0.25">
      <c r="A968">
        <v>57458424</v>
      </c>
      <c r="B968" t="s">
        <v>2930</v>
      </c>
      <c r="C968" t="s">
        <v>512</v>
      </c>
      <c r="D968" t="s">
        <v>2931</v>
      </c>
      <c r="E968">
        <v>2543438150</v>
      </c>
      <c r="F968" t="s">
        <v>815</v>
      </c>
      <c r="G968" t="s">
        <v>816</v>
      </c>
      <c r="I968" t="s">
        <v>23</v>
      </c>
      <c r="J968" s="13">
        <v>45954</v>
      </c>
      <c r="K968" s="13">
        <v>46023</v>
      </c>
      <c r="L968" t="s">
        <v>444</v>
      </c>
      <c r="M968" t="s">
        <v>58</v>
      </c>
      <c r="N968">
        <v>71165074</v>
      </c>
    </row>
    <row r="969" spans="1:14" x14ac:dyDescent="0.25">
      <c r="A969">
        <v>57457603</v>
      </c>
      <c r="B969" t="s">
        <v>1658</v>
      </c>
      <c r="C969" t="s">
        <v>2932</v>
      </c>
      <c r="D969" t="s">
        <v>2933</v>
      </c>
      <c r="E969">
        <v>9728388008</v>
      </c>
      <c r="F969" t="s">
        <v>828</v>
      </c>
      <c r="G969" t="s">
        <v>1148</v>
      </c>
      <c r="I969" t="s">
        <v>17</v>
      </c>
      <c r="J969" s="13">
        <v>45954</v>
      </c>
      <c r="K969" s="13">
        <v>46023</v>
      </c>
      <c r="L969" t="s">
        <v>444</v>
      </c>
      <c r="M969" t="s">
        <v>56</v>
      </c>
      <c r="N969">
        <v>71165156</v>
      </c>
    </row>
    <row r="970" spans="1:14" x14ac:dyDescent="0.25">
      <c r="A970">
        <v>57457625</v>
      </c>
      <c r="B970" t="s">
        <v>925</v>
      </c>
      <c r="C970" t="s">
        <v>2934</v>
      </c>
      <c r="D970" t="s">
        <v>2935</v>
      </c>
      <c r="E970">
        <v>4193511262</v>
      </c>
      <c r="F970" t="s">
        <v>928</v>
      </c>
      <c r="G970" t="s">
        <v>929</v>
      </c>
      <c r="I970" t="s">
        <v>30</v>
      </c>
      <c r="J970" s="13">
        <v>45954</v>
      </c>
      <c r="K970" s="13">
        <v>46023</v>
      </c>
      <c r="L970" t="s">
        <v>418</v>
      </c>
      <c r="M970" t="s">
        <v>59</v>
      </c>
      <c r="N970">
        <v>71165174</v>
      </c>
    </row>
    <row r="971" spans="1:14" x14ac:dyDescent="0.25">
      <c r="A971">
        <v>57457735</v>
      </c>
      <c r="B971" t="s">
        <v>2936</v>
      </c>
      <c r="C971" t="s">
        <v>2937</v>
      </c>
      <c r="D971" t="s">
        <v>2938</v>
      </c>
      <c r="E971">
        <v>4804031759</v>
      </c>
      <c r="F971" t="s">
        <v>462</v>
      </c>
      <c r="G971" t="s">
        <v>463</v>
      </c>
      <c r="I971" t="s">
        <v>39</v>
      </c>
      <c r="J971" s="13">
        <v>45954</v>
      </c>
      <c r="K971" s="13">
        <v>46023</v>
      </c>
      <c r="L971" t="s">
        <v>1179</v>
      </c>
      <c r="M971" t="s">
        <v>54</v>
      </c>
      <c r="N971">
        <v>71165243</v>
      </c>
    </row>
    <row r="972" spans="1:14" x14ac:dyDescent="0.25">
      <c r="A972">
        <v>57457989</v>
      </c>
      <c r="B972" t="s">
        <v>2939</v>
      </c>
      <c r="C972" t="s">
        <v>515</v>
      </c>
      <c r="D972" t="s">
        <v>2940</v>
      </c>
      <c r="E972">
        <v>5209715420</v>
      </c>
      <c r="F972" t="s">
        <v>780</v>
      </c>
      <c r="G972" t="s">
        <v>781</v>
      </c>
      <c r="I972" t="s">
        <v>20</v>
      </c>
      <c r="J972" s="13">
        <v>45954</v>
      </c>
      <c r="K972" s="13">
        <v>46023</v>
      </c>
      <c r="L972" t="s">
        <v>1179</v>
      </c>
      <c r="M972" t="s">
        <v>61</v>
      </c>
      <c r="N972">
        <v>71165340</v>
      </c>
    </row>
    <row r="973" spans="1:14" x14ac:dyDescent="0.25">
      <c r="A973">
        <v>57457896</v>
      </c>
      <c r="B973" t="s">
        <v>1038</v>
      </c>
      <c r="C973" t="s">
        <v>2941</v>
      </c>
      <c r="D973" t="s">
        <v>2942</v>
      </c>
      <c r="E973">
        <v>8646242970</v>
      </c>
      <c r="F973" t="s">
        <v>705</v>
      </c>
      <c r="G973" t="s">
        <v>706</v>
      </c>
      <c r="I973" t="s">
        <v>12</v>
      </c>
      <c r="J973" s="13">
        <v>45954</v>
      </c>
      <c r="K973" s="13">
        <v>46023</v>
      </c>
      <c r="L973" t="s">
        <v>533</v>
      </c>
      <c r="M973" t="s">
        <v>56</v>
      </c>
      <c r="N973">
        <v>71165352</v>
      </c>
    </row>
    <row r="974" spans="1:14" x14ac:dyDescent="0.25">
      <c r="A974">
        <v>57458277</v>
      </c>
      <c r="B974" t="s">
        <v>876</v>
      </c>
      <c r="C974" t="s">
        <v>2943</v>
      </c>
      <c r="D974" t="s">
        <v>2944</v>
      </c>
      <c r="E974">
        <v>6185216418</v>
      </c>
      <c r="F974" t="s">
        <v>423</v>
      </c>
      <c r="G974" t="s">
        <v>424</v>
      </c>
      <c r="I974" t="s">
        <v>46</v>
      </c>
      <c r="J974" s="13">
        <v>45954</v>
      </c>
      <c r="K974" s="13">
        <v>46023</v>
      </c>
      <c r="L974" t="s">
        <v>470</v>
      </c>
      <c r="M974" t="s">
        <v>60</v>
      </c>
      <c r="N974">
        <v>71165554</v>
      </c>
    </row>
    <row r="975" spans="1:14" x14ac:dyDescent="0.25">
      <c r="A975">
        <v>57458455</v>
      </c>
      <c r="B975" t="s">
        <v>521</v>
      </c>
      <c r="C975" t="s">
        <v>2945</v>
      </c>
      <c r="D975" t="s">
        <v>2946</v>
      </c>
      <c r="E975">
        <v>9199221038</v>
      </c>
      <c r="F975" t="s">
        <v>684</v>
      </c>
      <c r="G975" t="s">
        <v>685</v>
      </c>
      <c r="I975" t="s">
        <v>686</v>
      </c>
      <c r="J975" s="13">
        <v>45954</v>
      </c>
      <c r="K975" s="13">
        <v>46023</v>
      </c>
      <c r="L975" t="s">
        <v>603</v>
      </c>
      <c r="M975" t="s">
        <v>56</v>
      </c>
      <c r="N975">
        <v>71165697</v>
      </c>
    </row>
    <row r="976" spans="1:14" x14ac:dyDescent="0.25">
      <c r="A976">
        <v>57458601</v>
      </c>
      <c r="B976" t="s">
        <v>2947</v>
      </c>
      <c r="C976" t="s">
        <v>2948</v>
      </c>
      <c r="D976" t="s">
        <v>2949</v>
      </c>
      <c r="E976">
        <v>2252235523</v>
      </c>
      <c r="F976" t="s">
        <v>842</v>
      </c>
      <c r="G976" t="s">
        <v>843</v>
      </c>
      <c r="I976" t="s">
        <v>98</v>
      </c>
      <c r="J976" s="13">
        <v>45954</v>
      </c>
      <c r="K976" s="13">
        <v>46023</v>
      </c>
      <c r="L976" t="s">
        <v>612</v>
      </c>
      <c r="M976" t="s">
        <v>419</v>
      </c>
      <c r="N976">
        <v>71165825</v>
      </c>
    </row>
    <row r="977" spans="1:14" x14ac:dyDescent="0.25">
      <c r="A977">
        <v>57458625</v>
      </c>
      <c r="B977" t="s">
        <v>2950</v>
      </c>
      <c r="C977" t="s">
        <v>2798</v>
      </c>
      <c r="D977" t="s">
        <v>2951</v>
      </c>
      <c r="E977">
        <v>3802873259</v>
      </c>
      <c r="F977" t="s">
        <v>628</v>
      </c>
      <c r="G977" t="s">
        <v>629</v>
      </c>
      <c r="I977" t="s">
        <v>24</v>
      </c>
      <c r="J977" s="13">
        <v>45954</v>
      </c>
      <c r="K977" s="13">
        <v>46023</v>
      </c>
      <c r="L977" t="s">
        <v>418</v>
      </c>
      <c r="M977" t="s">
        <v>58</v>
      </c>
      <c r="N977">
        <v>71165844</v>
      </c>
    </row>
    <row r="978" spans="1:14" x14ac:dyDescent="0.25">
      <c r="A978">
        <v>57458956</v>
      </c>
      <c r="B978" t="s">
        <v>1167</v>
      </c>
      <c r="C978" t="s">
        <v>2952</v>
      </c>
      <c r="D978" t="s">
        <v>2953</v>
      </c>
      <c r="E978">
        <v>6025833752</v>
      </c>
      <c r="F978" t="s">
        <v>842</v>
      </c>
      <c r="G978" t="s">
        <v>1213</v>
      </c>
      <c r="I978" t="s">
        <v>1214</v>
      </c>
      <c r="J978" s="13">
        <v>45954</v>
      </c>
      <c r="K978" s="13">
        <v>46023</v>
      </c>
      <c r="L978" t="s">
        <v>1179</v>
      </c>
      <c r="M978" t="s">
        <v>54</v>
      </c>
      <c r="N978">
        <v>71166085</v>
      </c>
    </row>
    <row r="979" spans="1:14" x14ac:dyDescent="0.25">
      <c r="A979">
        <v>57459071</v>
      </c>
      <c r="B979" t="s">
        <v>2954</v>
      </c>
      <c r="C979" t="s">
        <v>1258</v>
      </c>
      <c r="D979" t="s">
        <v>2955</v>
      </c>
      <c r="E979">
        <v>9122108846</v>
      </c>
      <c r="F979" t="s">
        <v>416</v>
      </c>
      <c r="G979" t="s">
        <v>417</v>
      </c>
      <c r="I979" t="s">
        <v>26</v>
      </c>
      <c r="J979" s="13">
        <v>45954</v>
      </c>
      <c r="K979" s="13">
        <v>46023</v>
      </c>
      <c r="L979" t="s">
        <v>520</v>
      </c>
      <c r="M979" t="s">
        <v>56</v>
      </c>
      <c r="N979">
        <v>71166166</v>
      </c>
    </row>
    <row r="980" spans="1:14" x14ac:dyDescent="0.25">
      <c r="A980">
        <v>57459066</v>
      </c>
      <c r="B980" t="s">
        <v>2956</v>
      </c>
      <c r="C980" t="s">
        <v>2957</v>
      </c>
      <c r="D980" t="s">
        <v>2958</v>
      </c>
      <c r="E980">
        <v>9546549889</v>
      </c>
      <c r="F980" t="s">
        <v>775</v>
      </c>
      <c r="G980" t="s">
        <v>776</v>
      </c>
      <c r="I980" t="s">
        <v>22</v>
      </c>
      <c r="J980" s="13">
        <v>45954</v>
      </c>
      <c r="K980" s="13">
        <v>46023</v>
      </c>
      <c r="L980" t="s">
        <v>497</v>
      </c>
      <c r="M980" t="s">
        <v>56</v>
      </c>
      <c r="N980">
        <v>71166182</v>
      </c>
    </row>
    <row r="981" spans="1:14" x14ac:dyDescent="0.25">
      <c r="A981">
        <v>57459244</v>
      </c>
      <c r="B981" t="s">
        <v>1316</v>
      </c>
      <c r="C981" t="s">
        <v>2959</v>
      </c>
      <c r="D981" t="s">
        <v>2960</v>
      </c>
      <c r="E981">
        <v>6292168440</v>
      </c>
      <c r="F981" t="s">
        <v>770</v>
      </c>
      <c r="G981" t="s">
        <v>771</v>
      </c>
      <c r="I981" t="s">
        <v>25</v>
      </c>
      <c r="J981" s="13">
        <v>45954</v>
      </c>
      <c r="K981" s="13">
        <v>46023</v>
      </c>
      <c r="L981" t="s">
        <v>497</v>
      </c>
      <c r="M981" t="s">
        <v>56</v>
      </c>
      <c r="N981">
        <v>71166328</v>
      </c>
    </row>
    <row r="982" spans="1:14" x14ac:dyDescent="0.25">
      <c r="A982">
        <v>57460249</v>
      </c>
      <c r="B982" t="s">
        <v>925</v>
      </c>
      <c r="C982" t="s">
        <v>2961</v>
      </c>
      <c r="D982" t="s">
        <v>2962</v>
      </c>
      <c r="E982">
        <v>3479724404</v>
      </c>
      <c r="F982" t="s">
        <v>957</v>
      </c>
      <c r="G982" t="s">
        <v>958</v>
      </c>
      <c r="H982" t="s">
        <v>959</v>
      </c>
      <c r="I982" t="s">
        <v>960</v>
      </c>
      <c r="J982" s="13">
        <v>45954</v>
      </c>
      <c r="K982" s="13">
        <v>46023</v>
      </c>
      <c r="L982" t="s">
        <v>454</v>
      </c>
      <c r="M982" t="s">
        <v>419</v>
      </c>
      <c r="N982">
        <v>71166388</v>
      </c>
    </row>
    <row r="983" spans="1:14" x14ac:dyDescent="0.25">
      <c r="A983">
        <v>57459534</v>
      </c>
      <c r="B983" t="s">
        <v>521</v>
      </c>
      <c r="C983" t="s">
        <v>583</v>
      </c>
      <c r="D983" t="s">
        <v>2963</v>
      </c>
      <c r="E983">
        <v>5736901304</v>
      </c>
      <c r="F983" t="s">
        <v>569</v>
      </c>
      <c r="G983" t="s">
        <v>570</v>
      </c>
      <c r="I983" t="s">
        <v>34</v>
      </c>
      <c r="J983" s="13">
        <v>45954</v>
      </c>
      <c r="K983" s="13">
        <v>46023</v>
      </c>
      <c r="L983" t="s">
        <v>434</v>
      </c>
      <c r="M983" t="s">
        <v>58</v>
      </c>
      <c r="N983">
        <v>71166545</v>
      </c>
    </row>
    <row r="984" spans="1:14" x14ac:dyDescent="0.25">
      <c r="A984">
        <v>57459739</v>
      </c>
      <c r="B984" t="s">
        <v>1115</v>
      </c>
      <c r="C984" t="s">
        <v>2964</v>
      </c>
      <c r="D984" t="s">
        <v>2965</v>
      </c>
      <c r="E984">
        <v>7206908446</v>
      </c>
      <c r="F984" t="s">
        <v>790</v>
      </c>
      <c r="G984" t="s">
        <v>791</v>
      </c>
      <c r="I984" t="s">
        <v>119</v>
      </c>
      <c r="J984" s="13">
        <v>45954</v>
      </c>
      <c r="K984" s="13">
        <v>46023</v>
      </c>
      <c r="L984" t="s">
        <v>539</v>
      </c>
      <c r="M984" t="s">
        <v>419</v>
      </c>
      <c r="N984">
        <v>71166680</v>
      </c>
    </row>
    <row r="985" spans="1:14" x14ac:dyDescent="0.25">
      <c r="A985">
        <v>57460071</v>
      </c>
      <c r="B985" t="s">
        <v>2966</v>
      </c>
      <c r="C985" t="s">
        <v>2967</v>
      </c>
      <c r="D985" t="s">
        <v>2968</v>
      </c>
      <c r="E985">
        <v>2398100354</v>
      </c>
      <c r="F985" t="s">
        <v>615</v>
      </c>
      <c r="G985" t="s">
        <v>616</v>
      </c>
      <c r="I985" t="s">
        <v>617</v>
      </c>
      <c r="J985" s="13">
        <v>45954</v>
      </c>
      <c r="K985" s="13">
        <v>46023</v>
      </c>
      <c r="L985" t="s">
        <v>497</v>
      </c>
      <c r="M985" t="s">
        <v>56</v>
      </c>
      <c r="N985">
        <v>71167031</v>
      </c>
    </row>
    <row r="986" spans="1:14" x14ac:dyDescent="0.25">
      <c r="A986">
        <v>57461434</v>
      </c>
      <c r="B986" t="s">
        <v>645</v>
      </c>
      <c r="C986" t="s">
        <v>1795</v>
      </c>
      <c r="D986" t="s">
        <v>2969</v>
      </c>
      <c r="E986">
        <v>2564833726</v>
      </c>
      <c r="F986" t="s">
        <v>423</v>
      </c>
      <c r="G986" t="s">
        <v>424</v>
      </c>
      <c r="I986" t="s">
        <v>46</v>
      </c>
      <c r="J986" s="13">
        <v>45954</v>
      </c>
      <c r="K986" s="13">
        <v>46023</v>
      </c>
      <c r="L986" t="s">
        <v>450</v>
      </c>
      <c r="M986" t="s">
        <v>59</v>
      </c>
      <c r="N986">
        <v>71167273</v>
      </c>
    </row>
    <row r="987" spans="1:14" x14ac:dyDescent="0.25">
      <c r="A987">
        <v>57461505</v>
      </c>
      <c r="B987" t="s">
        <v>2970</v>
      </c>
      <c r="C987" t="s">
        <v>2876</v>
      </c>
      <c r="D987" t="s">
        <v>2971</v>
      </c>
      <c r="E987">
        <v>4172578689</v>
      </c>
      <c r="F987" t="s">
        <v>1398</v>
      </c>
      <c r="G987" t="s">
        <v>1399</v>
      </c>
      <c r="I987" t="s">
        <v>1400</v>
      </c>
      <c r="J987" s="13">
        <v>45954</v>
      </c>
      <c r="K987" s="13">
        <v>46023</v>
      </c>
      <c r="L987" t="s">
        <v>520</v>
      </c>
      <c r="M987" t="s">
        <v>56</v>
      </c>
      <c r="N987">
        <v>71167846</v>
      </c>
    </row>
    <row r="988" spans="1:14" x14ac:dyDescent="0.25">
      <c r="A988">
        <v>57461530</v>
      </c>
      <c r="B988" t="s">
        <v>2972</v>
      </c>
      <c r="C988" t="s">
        <v>2973</v>
      </c>
      <c r="D988" t="s">
        <v>2974</v>
      </c>
      <c r="E988">
        <v>6157677906</v>
      </c>
      <c r="F988" t="s">
        <v>1444</v>
      </c>
      <c r="G988" t="s">
        <v>1445</v>
      </c>
      <c r="I988" t="s">
        <v>1446</v>
      </c>
      <c r="J988" s="13">
        <v>45954</v>
      </c>
      <c r="K988" s="13">
        <v>46023</v>
      </c>
      <c r="L988" t="s">
        <v>479</v>
      </c>
      <c r="M988" t="s">
        <v>61</v>
      </c>
      <c r="N988">
        <v>71168290</v>
      </c>
    </row>
    <row r="989" spans="1:14" x14ac:dyDescent="0.25">
      <c r="A989">
        <v>57461705</v>
      </c>
      <c r="B989" t="s">
        <v>2975</v>
      </c>
      <c r="C989" t="s">
        <v>2976</v>
      </c>
      <c r="D989" t="s">
        <v>2977</v>
      </c>
      <c r="E989">
        <v>9015033164</v>
      </c>
      <c r="F989" t="s">
        <v>1003</v>
      </c>
      <c r="G989" t="s">
        <v>1004</v>
      </c>
      <c r="I989" t="s">
        <v>89</v>
      </c>
      <c r="J989" s="13">
        <v>45954</v>
      </c>
      <c r="K989" s="13">
        <v>46023</v>
      </c>
      <c r="L989" t="s">
        <v>479</v>
      </c>
      <c r="M989" t="s">
        <v>55</v>
      </c>
      <c r="N989">
        <v>71168443</v>
      </c>
    </row>
    <row r="990" spans="1:14" x14ac:dyDescent="0.25">
      <c r="A990">
        <v>57462374</v>
      </c>
      <c r="B990" t="s">
        <v>1751</v>
      </c>
      <c r="C990" t="s">
        <v>2978</v>
      </c>
      <c r="D990" t="s">
        <v>2979</v>
      </c>
      <c r="E990">
        <v>2056410636</v>
      </c>
      <c r="F990" t="s">
        <v>1142</v>
      </c>
      <c r="G990" t="s">
        <v>1143</v>
      </c>
      <c r="I990" t="s">
        <v>124</v>
      </c>
      <c r="J990" s="13">
        <v>45954</v>
      </c>
      <c r="K990" s="13">
        <v>46023</v>
      </c>
      <c r="L990" t="s">
        <v>450</v>
      </c>
      <c r="M990" t="s">
        <v>59</v>
      </c>
      <c r="N990">
        <v>71168998</v>
      </c>
    </row>
    <row r="991" spans="1:14" x14ac:dyDescent="0.25">
      <c r="A991">
        <v>57462435</v>
      </c>
      <c r="B991" t="s">
        <v>2980</v>
      </c>
      <c r="C991" t="s">
        <v>2981</v>
      </c>
      <c r="D991" t="s">
        <v>2982</v>
      </c>
      <c r="E991">
        <v>4806164082</v>
      </c>
      <c r="F991" t="s">
        <v>1345</v>
      </c>
      <c r="G991" t="s">
        <v>799</v>
      </c>
      <c r="I991" t="s">
        <v>47</v>
      </c>
      <c r="J991" s="13">
        <v>45954</v>
      </c>
      <c r="K991" s="13">
        <v>46023</v>
      </c>
      <c r="L991" t="s">
        <v>1179</v>
      </c>
      <c r="M991" t="s">
        <v>59</v>
      </c>
      <c r="N991">
        <v>71169040</v>
      </c>
    </row>
    <row r="992" spans="1:14" x14ac:dyDescent="0.25">
      <c r="A992">
        <v>57462440</v>
      </c>
      <c r="B992" t="s">
        <v>2983</v>
      </c>
      <c r="C992" t="s">
        <v>2984</v>
      </c>
      <c r="D992" t="s">
        <v>2985</v>
      </c>
      <c r="E992">
        <v>9286001598</v>
      </c>
      <c r="F992" t="s">
        <v>766</v>
      </c>
      <c r="G992" t="s">
        <v>767</v>
      </c>
      <c r="I992" t="s">
        <v>88</v>
      </c>
      <c r="J992" s="13">
        <v>45954</v>
      </c>
      <c r="K992" s="13">
        <v>46023</v>
      </c>
      <c r="L992" t="s">
        <v>1179</v>
      </c>
      <c r="M992" t="s">
        <v>54</v>
      </c>
      <c r="N992">
        <v>71169060</v>
      </c>
    </row>
    <row r="993" spans="1:14" x14ac:dyDescent="0.25">
      <c r="A993">
        <v>57462828</v>
      </c>
      <c r="B993" t="s">
        <v>1112</v>
      </c>
      <c r="C993" t="s">
        <v>2986</v>
      </c>
      <c r="D993" t="s">
        <v>2987</v>
      </c>
      <c r="E993">
        <v>6235123442</v>
      </c>
      <c r="F993" t="s">
        <v>842</v>
      </c>
      <c r="G993" t="s">
        <v>1213</v>
      </c>
      <c r="I993" t="s">
        <v>1214</v>
      </c>
      <c r="J993" s="13">
        <v>45954</v>
      </c>
      <c r="K993" s="13">
        <v>46023</v>
      </c>
      <c r="L993" t="s">
        <v>1179</v>
      </c>
      <c r="M993" t="s">
        <v>54</v>
      </c>
      <c r="N993">
        <v>71169334</v>
      </c>
    </row>
    <row r="994" spans="1:14" x14ac:dyDescent="0.25">
      <c r="A994">
        <v>57463092</v>
      </c>
      <c r="B994" t="s">
        <v>1268</v>
      </c>
      <c r="C994" t="s">
        <v>2988</v>
      </c>
      <c r="D994" t="s">
        <v>2989</v>
      </c>
      <c r="E994">
        <v>5127999599</v>
      </c>
      <c r="F994" t="s">
        <v>780</v>
      </c>
      <c r="G994" t="s">
        <v>781</v>
      </c>
      <c r="I994" t="s">
        <v>20</v>
      </c>
      <c r="J994" s="13">
        <v>45954</v>
      </c>
      <c r="K994" s="13">
        <v>46023</v>
      </c>
      <c r="L994" t="s">
        <v>444</v>
      </c>
      <c r="M994" t="s">
        <v>59</v>
      </c>
      <c r="N994">
        <v>71169505</v>
      </c>
    </row>
    <row r="995" spans="1:14" x14ac:dyDescent="0.25">
      <c r="A995">
        <v>57464327</v>
      </c>
      <c r="B995" t="s">
        <v>2990</v>
      </c>
      <c r="C995" t="s">
        <v>1258</v>
      </c>
      <c r="D995" t="s">
        <v>2991</v>
      </c>
      <c r="E995">
        <v>7577388283</v>
      </c>
      <c r="F995" t="s">
        <v>842</v>
      </c>
      <c r="G995" t="s">
        <v>843</v>
      </c>
      <c r="I995" t="s">
        <v>98</v>
      </c>
      <c r="J995" s="13">
        <v>45954</v>
      </c>
      <c r="K995" s="13">
        <v>46023</v>
      </c>
      <c r="L995" t="s">
        <v>454</v>
      </c>
      <c r="M995" t="s">
        <v>58</v>
      </c>
      <c r="N995">
        <v>71170383</v>
      </c>
    </row>
    <row r="996" spans="1:14" x14ac:dyDescent="0.25">
      <c r="A996">
        <v>57465198</v>
      </c>
      <c r="B996" t="s">
        <v>2992</v>
      </c>
      <c r="C996" t="s">
        <v>978</v>
      </c>
      <c r="D996" t="s">
        <v>2993</v>
      </c>
      <c r="E996">
        <v>4175929791</v>
      </c>
      <c r="F996" t="s">
        <v>569</v>
      </c>
      <c r="G996" t="s">
        <v>570</v>
      </c>
      <c r="I996" t="s">
        <v>34</v>
      </c>
      <c r="J996" s="13">
        <v>45954</v>
      </c>
      <c r="K996" s="13">
        <v>46023</v>
      </c>
      <c r="L996" t="s">
        <v>434</v>
      </c>
      <c r="M996" t="s">
        <v>56</v>
      </c>
      <c r="N996">
        <v>71171052</v>
      </c>
    </row>
    <row r="997" spans="1:14" x14ac:dyDescent="0.25">
      <c r="A997">
        <v>57466688</v>
      </c>
      <c r="B997" t="s">
        <v>2994</v>
      </c>
      <c r="C997" t="s">
        <v>2995</v>
      </c>
      <c r="D997" t="s">
        <v>2996</v>
      </c>
      <c r="E997">
        <v>6025704339</v>
      </c>
      <c r="F997" t="s">
        <v>423</v>
      </c>
      <c r="G997" t="s">
        <v>424</v>
      </c>
      <c r="I997" t="s">
        <v>46</v>
      </c>
      <c r="J997" s="13">
        <v>45955</v>
      </c>
      <c r="K997" s="13">
        <v>46023</v>
      </c>
      <c r="L997" t="s">
        <v>1179</v>
      </c>
      <c r="M997" t="s">
        <v>59</v>
      </c>
      <c r="N997">
        <v>71172247</v>
      </c>
    </row>
    <row r="998" spans="1:14" x14ac:dyDescent="0.25">
      <c r="A998">
        <v>57467077</v>
      </c>
      <c r="B998" t="s">
        <v>2997</v>
      </c>
      <c r="C998" t="s">
        <v>2998</v>
      </c>
      <c r="D998" t="s">
        <v>2999</v>
      </c>
      <c r="E998">
        <v>8159976803</v>
      </c>
      <c r="F998" t="s">
        <v>993</v>
      </c>
      <c r="G998" t="s">
        <v>994</v>
      </c>
      <c r="I998" t="s">
        <v>995</v>
      </c>
      <c r="J998" s="13">
        <v>45955</v>
      </c>
      <c r="K998" s="13">
        <v>46023</v>
      </c>
      <c r="L998" t="s">
        <v>470</v>
      </c>
      <c r="M998" t="s">
        <v>61</v>
      </c>
      <c r="N998">
        <v>71172529</v>
      </c>
    </row>
    <row r="999" spans="1:14" x14ac:dyDescent="0.25">
      <c r="A999">
        <v>57467322</v>
      </c>
      <c r="B999" t="s">
        <v>3000</v>
      </c>
      <c r="C999" t="s">
        <v>1258</v>
      </c>
      <c r="D999" t="s">
        <v>3001</v>
      </c>
      <c r="E999">
        <v>7204616602</v>
      </c>
      <c r="F999" t="s">
        <v>790</v>
      </c>
      <c r="G999" t="s">
        <v>791</v>
      </c>
      <c r="I999" t="s">
        <v>119</v>
      </c>
      <c r="J999" s="13">
        <v>45955</v>
      </c>
      <c r="K999" s="13">
        <v>46023</v>
      </c>
      <c r="L999" t="s">
        <v>539</v>
      </c>
      <c r="M999" t="s">
        <v>58</v>
      </c>
      <c r="N999">
        <v>71172666</v>
      </c>
    </row>
    <row r="1000" spans="1:14" x14ac:dyDescent="0.25">
      <c r="A1000">
        <v>57467355</v>
      </c>
      <c r="B1000" t="s">
        <v>1170</v>
      </c>
      <c r="C1000" t="s">
        <v>3002</v>
      </c>
      <c r="D1000" t="s">
        <v>3003</v>
      </c>
      <c r="E1000">
        <v>9105497256</v>
      </c>
      <c r="F1000" t="s">
        <v>649</v>
      </c>
      <c r="G1000" t="s">
        <v>650</v>
      </c>
      <c r="I1000" t="s">
        <v>28</v>
      </c>
      <c r="J1000" s="13">
        <v>45955</v>
      </c>
      <c r="K1000" s="13">
        <v>46023</v>
      </c>
      <c r="L1000" t="s">
        <v>603</v>
      </c>
      <c r="M1000" t="s">
        <v>56</v>
      </c>
      <c r="N1000">
        <v>71172692</v>
      </c>
    </row>
    <row r="1001" spans="1:14" x14ac:dyDescent="0.25">
      <c r="A1001">
        <v>57467599</v>
      </c>
      <c r="B1001" t="s">
        <v>1228</v>
      </c>
      <c r="C1001" t="s">
        <v>2438</v>
      </c>
      <c r="D1001" t="s">
        <v>3004</v>
      </c>
      <c r="E1001">
        <v>2109011924</v>
      </c>
      <c r="F1001" t="s">
        <v>423</v>
      </c>
      <c r="G1001" t="s">
        <v>424</v>
      </c>
      <c r="I1001" t="s">
        <v>46</v>
      </c>
      <c r="J1001" s="13">
        <v>45955</v>
      </c>
      <c r="K1001" s="13">
        <v>46023</v>
      </c>
      <c r="L1001" t="s">
        <v>444</v>
      </c>
      <c r="M1001" t="s">
        <v>56</v>
      </c>
      <c r="N1001">
        <v>71172812</v>
      </c>
    </row>
    <row r="1002" spans="1:14" x14ac:dyDescent="0.25">
      <c r="A1002">
        <v>57467574</v>
      </c>
      <c r="B1002" t="s">
        <v>1401</v>
      </c>
      <c r="C1002" t="s">
        <v>1258</v>
      </c>
      <c r="D1002" t="s">
        <v>3005</v>
      </c>
      <c r="E1002">
        <v>4782121981</v>
      </c>
      <c r="F1002" t="s">
        <v>416</v>
      </c>
      <c r="G1002" t="s">
        <v>417</v>
      </c>
      <c r="I1002" t="s">
        <v>26</v>
      </c>
      <c r="J1002" s="13">
        <v>45955</v>
      </c>
      <c r="K1002" s="13">
        <v>46023</v>
      </c>
      <c r="L1002" t="s">
        <v>621</v>
      </c>
      <c r="M1002" t="s">
        <v>58</v>
      </c>
      <c r="N1002">
        <v>71172818</v>
      </c>
    </row>
    <row r="1003" spans="1:14" x14ac:dyDescent="0.25">
      <c r="A1003">
        <v>57467655</v>
      </c>
      <c r="B1003" t="s">
        <v>1029</v>
      </c>
      <c r="C1003" t="s">
        <v>3006</v>
      </c>
      <c r="D1003" t="s">
        <v>3007</v>
      </c>
      <c r="E1003">
        <v>8039893744</v>
      </c>
      <c r="F1003" t="s">
        <v>1147</v>
      </c>
      <c r="G1003" t="s">
        <v>1148</v>
      </c>
      <c r="I1003" t="s">
        <v>41</v>
      </c>
      <c r="J1003" s="13">
        <v>45955</v>
      </c>
      <c r="K1003" s="13">
        <v>46023</v>
      </c>
      <c r="L1003" t="s">
        <v>533</v>
      </c>
      <c r="M1003" t="s">
        <v>58</v>
      </c>
      <c r="N1003">
        <v>71172872</v>
      </c>
    </row>
    <row r="1004" spans="1:14" x14ac:dyDescent="0.25">
      <c r="A1004">
        <v>57467808</v>
      </c>
      <c r="B1004" t="s">
        <v>3008</v>
      </c>
      <c r="C1004" t="s">
        <v>3009</v>
      </c>
      <c r="D1004" t="s">
        <v>3010</v>
      </c>
      <c r="E1004">
        <v>3365097030</v>
      </c>
      <c r="F1004" t="s">
        <v>474</v>
      </c>
      <c r="G1004" t="s">
        <v>475</v>
      </c>
      <c r="I1004" t="s">
        <v>132</v>
      </c>
      <c r="J1004" s="13">
        <v>45955</v>
      </c>
      <c r="K1004" s="13">
        <v>46023</v>
      </c>
      <c r="L1004" t="s">
        <v>603</v>
      </c>
      <c r="M1004" t="s">
        <v>56</v>
      </c>
      <c r="N1004">
        <v>71172959</v>
      </c>
    </row>
    <row r="1005" spans="1:14" x14ac:dyDescent="0.25">
      <c r="A1005">
        <v>57467827</v>
      </c>
      <c r="B1005" t="s">
        <v>3011</v>
      </c>
      <c r="C1005" t="s">
        <v>3012</v>
      </c>
      <c r="D1005" t="s">
        <v>3013</v>
      </c>
      <c r="E1005">
        <v>4802700561</v>
      </c>
      <c r="F1005" t="s">
        <v>775</v>
      </c>
      <c r="G1005" t="s">
        <v>776</v>
      </c>
      <c r="I1005" t="s">
        <v>22</v>
      </c>
      <c r="J1005" s="13">
        <v>45955</v>
      </c>
      <c r="K1005" s="13">
        <v>46023</v>
      </c>
      <c r="L1005" t="s">
        <v>1179</v>
      </c>
      <c r="M1005" t="s">
        <v>55</v>
      </c>
      <c r="N1005">
        <v>71172971</v>
      </c>
    </row>
    <row r="1006" spans="1:14" x14ac:dyDescent="0.25">
      <c r="A1006">
        <v>57467859</v>
      </c>
      <c r="B1006" t="s">
        <v>3014</v>
      </c>
      <c r="C1006" t="s">
        <v>3015</v>
      </c>
      <c r="D1006" t="s">
        <v>3016</v>
      </c>
      <c r="E1006">
        <v>6026952064</v>
      </c>
      <c r="F1006" t="s">
        <v>766</v>
      </c>
      <c r="G1006" t="s">
        <v>767</v>
      </c>
      <c r="I1006" t="s">
        <v>88</v>
      </c>
      <c r="J1006" s="13">
        <v>45955</v>
      </c>
      <c r="K1006" s="13">
        <v>46023</v>
      </c>
      <c r="L1006" t="s">
        <v>1179</v>
      </c>
      <c r="M1006" t="s">
        <v>54</v>
      </c>
      <c r="N1006">
        <v>71172987</v>
      </c>
    </row>
    <row r="1007" spans="1:14" x14ac:dyDescent="0.25">
      <c r="A1007">
        <v>57468189</v>
      </c>
      <c r="B1007" t="s">
        <v>3017</v>
      </c>
      <c r="C1007" t="s">
        <v>515</v>
      </c>
      <c r="D1007" t="s">
        <v>3018</v>
      </c>
      <c r="E1007">
        <v>8133638926</v>
      </c>
      <c r="F1007" t="s">
        <v>1444</v>
      </c>
      <c r="G1007" t="s">
        <v>1445</v>
      </c>
      <c r="I1007" t="s">
        <v>1446</v>
      </c>
      <c r="J1007" s="13">
        <v>45955</v>
      </c>
      <c r="K1007" s="13">
        <v>46023</v>
      </c>
      <c r="L1007" t="s">
        <v>497</v>
      </c>
      <c r="M1007" t="s">
        <v>56</v>
      </c>
      <c r="N1007">
        <v>71173123</v>
      </c>
    </row>
    <row r="1008" spans="1:14" x14ac:dyDescent="0.25">
      <c r="A1008">
        <v>57468545</v>
      </c>
      <c r="B1008" t="s">
        <v>1522</v>
      </c>
      <c r="C1008" t="s">
        <v>2866</v>
      </c>
      <c r="D1008" t="s">
        <v>3019</v>
      </c>
      <c r="E1008">
        <v>5206613583</v>
      </c>
      <c r="F1008" t="s">
        <v>775</v>
      </c>
      <c r="G1008" t="s">
        <v>776</v>
      </c>
      <c r="I1008" t="s">
        <v>22</v>
      </c>
      <c r="J1008" s="13">
        <v>45955</v>
      </c>
      <c r="K1008" s="13">
        <v>46023</v>
      </c>
      <c r="L1008" t="s">
        <v>1179</v>
      </c>
      <c r="M1008" t="s">
        <v>58</v>
      </c>
      <c r="N1008">
        <v>71173278</v>
      </c>
    </row>
    <row r="1009" spans="1:14" x14ac:dyDescent="0.25">
      <c r="A1009">
        <v>57468581</v>
      </c>
      <c r="B1009" t="s">
        <v>715</v>
      </c>
      <c r="C1009" t="s">
        <v>837</v>
      </c>
      <c r="D1009" t="s">
        <v>3020</v>
      </c>
      <c r="E1009">
        <v>2765370128</v>
      </c>
      <c r="F1009" t="s">
        <v>649</v>
      </c>
      <c r="G1009" t="s">
        <v>650</v>
      </c>
      <c r="I1009" t="s">
        <v>28</v>
      </c>
      <c r="J1009" s="13">
        <v>45955</v>
      </c>
      <c r="K1009" s="13">
        <v>46023</v>
      </c>
      <c r="L1009" t="s">
        <v>454</v>
      </c>
      <c r="M1009" t="s">
        <v>58</v>
      </c>
      <c r="N1009">
        <v>71173305</v>
      </c>
    </row>
    <row r="1010" spans="1:14" x14ac:dyDescent="0.25">
      <c r="A1010">
        <v>57468633</v>
      </c>
      <c r="B1010" t="s">
        <v>3021</v>
      </c>
      <c r="C1010" t="s">
        <v>3022</v>
      </c>
      <c r="D1010" t="s">
        <v>3023</v>
      </c>
      <c r="E1010">
        <v>5205230760</v>
      </c>
      <c r="F1010" t="s">
        <v>1345</v>
      </c>
      <c r="G1010" t="s">
        <v>799</v>
      </c>
      <c r="I1010" t="s">
        <v>47</v>
      </c>
      <c r="J1010" s="13">
        <v>45955</v>
      </c>
      <c r="K1010" s="13">
        <v>46023</v>
      </c>
      <c r="L1010" t="s">
        <v>1179</v>
      </c>
      <c r="M1010" t="s">
        <v>54</v>
      </c>
      <c r="N1010">
        <v>71173333</v>
      </c>
    </row>
    <row r="1011" spans="1:14" x14ac:dyDescent="0.25">
      <c r="A1011">
        <v>57468682</v>
      </c>
      <c r="B1011" t="s">
        <v>672</v>
      </c>
      <c r="C1011" t="s">
        <v>2267</v>
      </c>
      <c r="D1011" t="s">
        <v>3024</v>
      </c>
      <c r="E1011">
        <v>5208009663</v>
      </c>
      <c r="F1011" t="s">
        <v>684</v>
      </c>
      <c r="G1011" t="s">
        <v>685</v>
      </c>
      <c r="I1011" t="s">
        <v>686</v>
      </c>
      <c r="J1011" s="13">
        <v>45955</v>
      </c>
      <c r="K1011" s="13">
        <v>46023</v>
      </c>
      <c r="L1011" t="s">
        <v>1179</v>
      </c>
      <c r="M1011" t="s">
        <v>55</v>
      </c>
      <c r="N1011">
        <v>71173349</v>
      </c>
    </row>
    <row r="1012" spans="1:14" x14ac:dyDescent="0.25">
      <c r="A1012">
        <v>57468679</v>
      </c>
      <c r="B1012" t="s">
        <v>3025</v>
      </c>
      <c r="C1012" t="s">
        <v>564</v>
      </c>
      <c r="D1012" t="s">
        <v>3026</v>
      </c>
      <c r="E1012">
        <v>9035065825</v>
      </c>
      <c r="F1012" t="s">
        <v>780</v>
      </c>
      <c r="G1012" t="s">
        <v>781</v>
      </c>
      <c r="I1012" t="s">
        <v>20</v>
      </c>
      <c r="J1012" s="13">
        <v>45955</v>
      </c>
      <c r="K1012" s="13">
        <v>46023</v>
      </c>
      <c r="L1012" t="s">
        <v>444</v>
      </c>
      <c r="M1012" t="s">
        <v>56</v>
      </c>
      <c r="N1012">
        <v>71173353</v>
      </c>
    </row>
    <row r="1013" spans="1:14" x14ac:dyDescent="0.25">
      <c r="A1013">
        <v>57468693</v>
      </c>
      <c r="B1013" t="s">
        <v>1509</v>
      </c>
      <c r="C1013" t="s">
        <v>3027</v>
      </c>
      <c r="D1013" t="s">
        <v>3028</v>
      </c>
      <c r="E1013">
        <v>6142303037</v>
      </c>
      <c r="F1013" t="s">
        <v>474</v>
      </c>
      <c r="G1013" t="s">
        <v>475</v>
      </c>
      <c r="I1013" t="s">
        <v>132</v>
      </c>
      <c r="J1013" s="13">
        <v>45955</v>
      </c>
      <c r="K1013" s="13">
        <v>46023</v>
      </c>
      <c r="L1013" t="s">
        <v>418</v>
      </c>
      <c r="M1013" t="s">
        <v>59</v>
      </c>
      <c r="N1013">
        <v>71173360</v>
      </c>
    </row>
    <row r="1014" spans="1:14" x14ac:dyDescent="0.25">
      <c r="A1014">
        <v>57468798</v>
      </c>
      <c r="B1014" t="s">
        <v>3029</v>
      </c>
      <c r="C1014" t="s">
        <v>3030</v>
      </c>
      <c r="D1014" t="s">
        <v>3031</v>
      </c>
      <c r="E1014">
        <v>4078810994</v>
      </c>
      <c r="F1014" t="s">
        <v>569</v>
      </c>
      <c r="G1014" t="s">
        <v>570</v>
      </c>
      <c r="I1014" t="s">
        <v>34</v>
      </c>
      <c r="J1014" s="13">
        <v>45955</v>
      </c>
      <c r="K1014" s="13">
        <v>46023</v>
      </c>
      <c r="L1014" t="s">
        <v>497</v>
      </c>
      <c r="M1014" t="s">
        <v>61</v>
      </c>
      <c r="N1014">
        <v>71173406</v>
      </c>
    </row>
    <row r="1015" spans="1:14" x14ac:dyDescent="0.25">
      <c r="A1015">
        <v>57468846</v>
      </c>
      <c r="B1015" t="s">
        <v>3032</v>
      </c>
      <c r="C1015" t="s">
        <v>416</v>
      </c>
      <c r="D1015" t="s">
        <v>3033</v>
      </c>
      <c r="E1015">
        <v>7025924376</v>
      </c>
      <c r="F1015" t="s">
        <v>993</v>
      </c>
      <c r="G1015" t="s">
        <v>994</v>
      </c>
      <c r="I1015" t="s">
        <v>995</v>
      </c>
      <c r="J1015" s="13">
        <v>45955</v>
      </c>
      <c r="K1015" s="13">
        <v>46023</v>
      </c>
      <c r="L1015" t="s">
        <v>1179</v>
      </c>
      <c r="M1015" t="s">
        <v>58</v>
      </c>
      <c r="N1015">
        <v>71173429</v>
      </c>
    </row>
    <row r="1016" spans="1:14" x14ac:dyDescent="0.25">
      <c r="A1016">
        <v>57468973</v>
      </c>
      <c r="B1016" t="s">
        <v>1554</v>
      </c>
      <c r="C1016" t="s">
        <v>3034</v>
      </c>
      <c r="D1016" t="s">
        <v>3035</v>
      </c>
      <c r="E1016">
        <v>2523502278</v>
      </c>
      <c r="F1016" t="s">
        <v>1003</v>
      </c>
      <c r="G1016" t="s">
        <v>1004</v>
      </c>
      <c r="I1016" t="s">
        <v>89</v>
      </c>
      <c r="J1016" s="13">
        <v>45955</v>
      </c>
      <c r="K1016" s="13">
        <v>46023</v>
      </c>
      <c r="L1016" t="s">
        <v>603</v>
      </c>
      <c r="M1016" t="s">
        <v>58</v>
      </c>
      <c r="N1016">
        <v>71173457</v>
      </c>
    </row>
    <row r="1017" spans="1:14" x14ac:dyDescent="0.25">
      <c r="A1017">
        <v>57469273</v>
      </c>
      <c r="B1017" t="s">
        <v>888</v>
      </c>
      <c r="C1017" t="s">
        <v>3036</v>
      </c>
      <c r="D1017" t="s">
        <v>3037</v>
      </c>
      <c r="E1017">
        <v>7573592472</v>
      </c>
      <c r="F1017" t="s">
        <v>474</v>
      </c>
      <c r="G1017" t="s">
        <v>475</v>
      </c>
      <c r="I1017" t="s">
        <v>132</v>
      </c>
      <c r="J1017" s="13">
        <v>45955</v>
      </c>
      <c r="K1017" s="13">
        <v>46023</v>
      </c>
      <c r="L1017" t="s">
        <v>454</v>
      </c>
      <c r="M1017" t="s">
        <v>56</v>
      </c>
      <c r="N1017">
        <v>71173573</v>
      </c>
    </row>
    <row r="1018" spans="1:14" x14ac:dyDescent="0.25">
      <c r="A1018">
        <v>57469371</v>
      </c>
      <c r="B1018" t="s">
        <v>3038</v>
      </c>
      <c r="C1018" t="s">
        <v>3039</v>
      </c>
      <c r="D1018" t="s">
        <v>3040</v>
      </c>
      <c r="E1018">
        <v>9289813857</v>
      </c>
      <c r="F1018" t="s">
        <v>766</v>
      </c>
      <c r="G1018" t="s">
        <v>767</v>
      </c>
      <c r="I1018" t="s">
        <v>88</v>
      </c>
      <c r="J1018" s="13">
        <v>45955</v>
      </c>
      <c r="K1018" s="13">
        <v>46023</v>
      </c>
      <c r="L1018" t="s">
        <v>1179</v>
      </c>
      <c r="M1018" t="s">
        <v>61</v>
      </c>
      <c r="N1018">
        <v>71173628</v>
      </c>
    </row>
    <row r="1019" spans="1:14" x14ac:dyDescent="0.25">
      <c r="A1019">
        <v>57469686</v>
      </c>
      <c r="B1019" t="s">
        <v>609</v>
      </c>
      <c r="C1019" t="s">
        <v>3041</v>
      </c>
      <c r="D1019" t="s">
        <v>3042</v>
      </c>
      <c r="E1019">
        <v>9045470140</v>
      </c>
      <c r="F1019" t="s">
        <v>1444</v>
      </c>
      <c r="G1019" t="s">
        <v>1445</v>
      </c>
      <c r="I1019" t="s">
        <v>1446</v>
      </c>
      <c r="J1019" s="13">
        <v>45955</v>
      </c>
      <c r="K1019" s="13">
        <v>46023</v>
      </c>
      <c r="L1019" t="s">
        <v>497</v>
      </c>
      <c r="M1019" t="s">
        <v>56</v>
      </c>
      <c r="N1019">
        <v>71173799</v>
      </c>
    </row>
    <row r="1020" spans="1:14" x14ac:dyDescent="0.25">
      <c r="A1020">
        <v>57469807</v>
      </c>
      <c r="B1020" t="s">
        <v>980</v>
      </c>
      <c r="C1020" t="s">
        <v>3043</v>
      </c>
      <c r="D1020" t="s">
        <v>3044</v>
      </c>
      <c r="E1020">
        <v>4404639219</v>
      </c>
      <c r="F1020" t="s">
        <v>684</v>
      </c>
      <c r="G1020" t="s">
        <v>685</v>
      </c>
      <c r="I1020" t="s">
        <v>686</v>
      </c>
      <c r="J1020" s="13">
        <v>45955</v>
      </c>
      <c r="K1020" s="13">
        <v>46023</v>
      </c>
      <c r="L1020" t="s">
        <v>418</v>
      </c>
      <c r="M1020" t="s">
        <v>56</v>
      </c>
      <c r="N1020">
        <v>71173867</v>
      </c>
    </row>
    <row r="1021" spans="1:14" x14ac:dyDescent="0.25">
      <c r="A1021">
        <v>57469893</v>
      </c>
      <c r="B1021" t="s">
        <v>3045</v>
      </c>
      <c r="C1021" t="s">
        <v>3046</v>
      </c>
      <c r="D1021" t="s">
        <v>3047</v>
      </c>
      <c r="E1021">
        <v>6026870786</v>
      </c>
      <c r="F1021" t="s">
        <v>780</v>
      </c>
      <c r="G1021" t="s">
        <v>781</v>
      </c>
      <c r="I1021" t="s">
        <v>20</v>
      </c>
      <c r="J1021" s="13">
        <v>45955</v>
      </c>
      <c r="K1021" s="13">
        <v>46023</v>
      </c>
      <c r="L1021" t="s">
        <v>1179</v>
      </c>
      <c r="M1021" t="s">
        <v>59</v>
      </c>
      <c r="N1021">
        <v>71173939</v>
      </c>
    </row>
    <row r="1022" spans="1:14" x14ac:dyDescent="0.25">
      <c r="A1022">
        <v>57469945</v>
      </c>
      <c r="B1022" t="s">
        <v>3048</v>
      </c>
      <c r="C1022" t="s">
        <v>3049</v>
      </c>
      <c r="D1022" t="s">
        <v>3050</v>
      </c>
      <c r="E1022">
        <v>4802163462</v>
      </c>
      <c r="F1022" t="s">
        <v>416</v>
      </c>
      <c r="G1022" t="s">
        <v>417</v>
      </c>
      <c r="I1022" t="s">
        <v>26</v>
      </c>
      <c r="J1022" s="13">
        <v>45955</v>
      </c>
      <c r="K1022" s="13">
        <v>46023</v>
      </c>
      <c r="L1022" t="s">
        <v>1179</v>
      </c>
      <c r="M1022" t="s">
        <v>54</v>
      </c>
      <c r="N1022">
        <v>71174145</v>
      </c>
    </row>
    <row r="1023" spans="1:14" x14ac:dyDescent="0.25">
      <c r="A1023">
        <v>57470026</v>
      </c>
      <c r="B1023" t="s">
        <v>2445</v>
      </c>
      <c r="C1023" t="s">
        <v>3051</v>
      </c>
      <c r="D1023" t="s">
        <v>3052</v>
      </c>
      <c r="E1023">
        <v>8702060844</v>
      </c>
      <c r="F1023" t="s">
        <v>649</v>
      </c>
      <c r="G1023" t="s">
        <v>650</v>
      </c>
      <c r="I1023" t="s">
        <v>28</v>
      </c>
      <c r="J1023" s="13">
        <v>45955</v>
      </c>
      <c r="K1023" s="13">
        <v>46023</v>
      </c>
      <c r="L1023" t="s">
        <v>553</v>
      </c>
      <c r="M1023" t="s">
        <v>56</v>
      </c>
      <c r="N1023">
        <v>71174218</v>
      </c>
    </row>
    <row r="1024" spans="1:14" x14ac:dyDescent="0.25">
      <c r="A1024">
        <v>57470380</v>
      </c>
      <c r="B1024" t="s">
        <v>2193</v>
      </c>
      <c r="C1024" t="s">
        <v>3053</v>
      </c>
      <c r="D1024" t="s">
        <v>3054</v>
      </c>
      <c r="E1024">
        <v>6028810634</v>
      </c>
      <c r="F1024" t="s">
        <v>416</v>
      </c>
      <c r="G1024" t="s">
        <v>417</v>
      </c>
      <c r="I1024" t="s">
        <v>26</v>
      </c>
      <c r="J1024" s="13">
        <v>45955</v>
      </c>
      <c r="K1024" s="13">
        <v>46023</v>
      </c>
      <c r="L1024" t="s">
        <v>1179</v>
      </c>
      <c r="M1024" t="s">
        <v>59</v>
      </c>
      <c r="N1024">
        <v>71174441</v>
      </c>
    </row>
    <row r="1025" spans="1:14" x14ac:dyDescent="0.25">
      <c r="A1025">
        <v>57470377</v>
      </c>
      <c r="B1025" t="s">
        <v>1699</v>
      </c>
      <c r="C1025" t="s">
        <v>3055</v>
      </c>
      <c r="D1025" t="s">
        <v>3056</v>
      </c>
      <c r="E1025">
        <v>3047195258</v>
      </c>
      <c r="F1025" t="s">
        <v>569</v>
      </c>
      <c r="G1025" t="s">
        <v>570</v>
      </c>
      <c r="I1025" t="s">
        <v>34</v>
      </c>
      <c r="J1025" s="13">
        <v>45955</v>
      </c>
      <c r="K1025" s="13">
        <v>46023</v>
      </c>
      <c r="L1025" t="s">
        <v>1188</v>
      </c>
      <c r="M1025" t="s">
        <v>56</v>
      </c>
      <c r="N1025">
        <v>71174442</v>
      </c>
    </row>
    <row r="1026" spans="1:14" x14ac:dyDescent="0.25">
      <c r="A1026">
        <v>57477703</v>
      </c>
      <c r="B1026" t="s">
        <v>1554</v>
      </c>
      <c r="C1026" t="s">
        <v>3057</v>
      </c>
      <c r="D1026" t="s">
        <v>3058</v>
      </c>
      <c r="E1026">
        <v>3868439914</v>
      </c>
      <c r="F1026" t="s">
        <v>474</v>
      </c>
      <c r="G1026" t="s">
        <v>475</v>
      </c>
      <c r="I1026" t="s">
        <v>132</v>
      </c>
      <c r="J1026" s="13">
        <v>45957</v>
      </c>
      <c r="K1026" s="13">
        <v>46023</v>
      </c>
      <c r="L1026" t="s">
        <v>497</v>
      </c>
      <c r="M1026" t="s">
        <v>56</v>
      </c>
      <c r="N1026">
        <v>71180310</v>
      </c>
    </row>
    <row r="1027" spans="1:14" x14ac:dyDescent="0.25">
      <c r="A1027">
        <v>57478376</v>
      </c>
      <c r="B1027" t="s">
        <v>636</v>
      </c>
      <c r="C1027" t="s">
        <v>3059</v>
      </c>
      <c r="D1027" t="s">
        <v>3060</v>
      </c>
      <c r="E1027">
        <v>8542060361</v>
      </c>
      <c r="F1027" t="s">
        <v>1398</v>
      </c>
      <c r="G1027" t="s">
        <v>1399</v>
      </c>
      <c r="I1027" t="s">
        <v>1400</v>
      </c>
      <c r="J1027" s="13">
        <v>45957</v>
      </c>
      <c r="K1027" s="13">
        <v>46023</v>
      </c>
      <c r="L1027" t="s">
        <v>533</v>
      </c>
      <c r="M1027" t="s">
        <v>56</v>
      </c>
      <c r="N1027">
        <v>71180854</v>
      </c>
    </row>
    <row r="1028" spans="1:14" x14ac:dyDescent="0.25">
      <c r="A1028">
        <v>57478993</v>
      </c>
      <c r="B1028" t="s">
        <v>3061</v>
      </c>
      <c r="C1028" t="s">
        <v>3062</v>
      </c>
      <c r="D1028" t="s">
        <v>3063</v>
      </c>
      <c r="E1028">
        <v>9545883273</v>
      </c>
      <c r="F1028" t="s">
        <v>780</v>
      </c>
      <c r="G1028" t="s">
        <v>781</v>
      </c>
      <c r="I1028" t="s">
        <v>20</v>
      </c>
      <c r="J1028" s="13">
        <v>45957</v>
      </c>
      <c r="K1028" s="13">
        <v>46023</v>
      </c>
      <c r="L1028" t="s">
        <v>497</v>
      </c>
      <c r="M1028" t="s">
        <v>56</v>
      </c>
      <c r="N1028">
        <v>71181363</v>
      </c>
    </row>
    <row r="1029" spans="1:14" x14ac:dyDescent="0.25">
      <c r="A1029">
        <v>57479300</v>
      </c>
      <c r="B1029" t="s">
        <v>3064</v>
      </c>
      <c r="C1029" t="s">
        <v>3065</v>
      </c>
      <c r="D1029" t="s">
        <v>3066</v>
      </c>
      <c r="E1029">
        <v>6292710799</v>
      </c>
      <c r="F1029" t="s">
        <v>684</v>
      </c>
      <c r="G1029" t="s">
        <v>685</v>
      </c>
      <c r="I1029" t="s">
        <v>686</v>
      </c>
      <c r="J1029" s="13">
        <v>45957</v>
      </c>
      <c r="K1029" s="13">
        <v>46023</v>
      </c>
      <c r="L1029" t="s">
        <v>479</v>
      </c>
      <c r="M1029" t="s">
        <v>58</v>
      </c>
      <c r="N1029">
        <v>71181537</v>
      </c>
    </row>
    <row r="1030" spans="1:14" x14ac:dyDescent="0.25">
      <c r="A1030">
        <v>57479273</v>
      </c>
      <c r="B1030" t="s">
        <v>3067</v>
      </c>
      <c r="C1030" t="s">
        <v>1377</v>
      </c>
      <c r="D1030" t="s">
        <v>3068</v>
      </c>
      <c r="E1030">
        <v>3142367950</v>
      </c>
      <c r="F1030" t="s">
        <v>551</v>
      </c>
      <c r="G1030" t="s">
        <v>552</v>
      </c>
      <c r="I1030" t="s">
        <v>42</v>
      </c>
      <c r="J1030" s="13">
        <v>45957</v>
      </c>
      <c r="K1030" s="13">
        <v>46023</v>
      </c>
      <c r="L1030" t="s">
        <v>434</v>
      </c>
      <c r="M1030" t="s">
        <v>56</v>
      </c>
      <c r="N1030">
        <v>71181548</v>
      </c>
    </row>
    <row r="1031" spans="1:14" x14ac:dyDescent="0.25">
      <c r="A1031">
        <v>57480462</v>
      </c>
      <c r="B1031" t="s">
        <v>1427</v>
      </c>
      <c r="C1031" t="s">
        <v>3069</v>
      </c>
      <c r="D1031" t="s">
        <v>3070</v>
      </c>
      <c r="E1031">
        <v>4472572078</v>
      </c>
      <c r="F1031" t="s">
        <v>870</v>
      </c>
      <c r="G1031" t="s">
        <v>871</v>
      </c>
      <c r="I1031" t="s">
        <v>872</v>
      </c>
      <c r="J1031" s="13">
        <v>45957</v>
      </c>
      <c r="K1031" s="13">
        <v>46023</v>
      </c>
      <c r="L1031" t="s">
        <v>470</v>
      </c>
      <c r="M1031" t="s">
        <v>61</v>
      </c>
      <c r="N1031">
        <v>71182674</v>
      </c>
    </row>
    <row r="1032" spans="1:14" x14ac:dyDescent="0.25">
      <c r="A1032">
        <v>57481496</v>
      </c>
      <c r="B1032" t="s">
        <v>3071</v>
      </c>
      <c r="C1032" t="s">
        <v>3072</v>
      </c>
      <c r="D1032" t="s">
        <v>3073</v>
      </c>
      <c r="E1032">
        <v>8647725333</v>
      </c>
      <c r="F1032" t="s">
        <v>569</v>
      </c>
      <c r="G1032" t="s">
        <v>570</v>
      </c>
      <c r="I1032" t="s">
        <v>34</v>
      </c>
      <c r="J1032" s="13">
        <v>45957</v>
      </c>
      <c r="K1032" s="13">
        <v>46023</v>
      </c>
      <c r="L1032" t="s">
        <v>533</v>
      </c>
      <c r="M1032" t="s">
        <v>56</v>
      </c>
      <c r="N1032">
        <v>71183578</v>
      </c>
    </row>
    <row r="1033" spans="1:14" x14ac:dyDescent="0.25">
      <c r="A1033">
        <v>57481985</v>
      </c>
      <c r="B1033" t="s">
        <v>1964</v>
      </c>
      <c r="C1033" t="s">
        <v>2438</v>
      </c>
      <c r="D1033" t="s">
        <v>3074</v>
      </c>
      <c r="E1033">
        <v>5124502520</v>
      </c>
      <c r="F1033" t="s">
        <v>842</v>
      </c>
      <c r="G1033" t="s">
        <v>843</v>
      </c>
      <c r="I1033" t="s">
        <v>98</v>
      </c>
      <c r="J1033" s="13">
        <v>45957</v>
      </c>
      <c r="K1033" s="13">
        <v>46023</v>
      </c>
      <c r="L1033" t="s">
        <v>444</v>
      </c>
      <c r="M1033" t="s">
        <v>56</v>
      </c>
      <c r="N1033">
        <v>71184024</v>
      </c>
    </row>
    <row r="1034" spans="1:14" x14ac:dyDescent="0.25">
      <c r="A1034">
        <v>57482706</v>
      </c>
      <c r="B1034" t="s">
        <v>3075</v>
      </c>
      <c r="C1034" t="s">
        <v>3076</v>
      </c>
      <c r="D1034" t="s">
        <v>3077</v>
      </c>
      <c r="E1034">
        <v>2109476494</v>
      </c>
      <c r="F1034" t="s">
        <v>928</v>
      </c>
      <c r="G1034" t="s">
        <v>929</v>
      </c>
      <c r="I1034" t="s">
        <v>30</v>
      </c>
      <c r="J1034" s="13">
        <v>45957</v>
      </c>
      <c r="K1034" s="13">
        <v>46023</v>
      </c>
      <c r="L1034" t="s">
        <v>444</v>
      </c>
      <c r="M1034" t="s">
        <v>55</v>
      </c>
      <c r="N1034">
        <v>71184626</v>
      </c>
    </row>
    <row r="1035" spans="1:14" x14ac:dyDescent="0.25">
      <c r="A1035">
        <v>57484007</v>
      </c>
      <c r="B1035" t="s">
        <v>3078</v>
      </c>
      <c r="C1035" t="s">
        <v>3079</v>
      </c>
      <c r="D1035" t="s">
        <v>3080</v>
      </c>
      <c r="E1035">
        <v>4409357771</v>
      </c>
      <c r="F1035" t="s">
        <v>448</v>
      </c>
      <c r="G1035" t="s">
        <v>449</v>
      </c>
      <c r="I1035" t="s">
        <v>31</v>
      </c>
      <c r="J1035" s="13">
        <v>45957</v>
      </c>
      <c r="K1035" s="13">
        <v>46023</v>
      </c>
      <c r="L1035" t="s">
        <v>418</v>
      </c>
      <c r="M1035" t="s">
        <v>56</v>
      </c>
      <c r="N1035">
        <v>71185702</v>
      </c>
    </row>
    <row r="1036" spans="1:14" x14ac:dyDescent="0.25">
      <c r="A1036">
        <v>57484861</v>
      </c>
      <c r="B1036" t="s">
        <v>593</v>
      </c>
      <c r="C1036" t="s">
        <v>3081</v>
      </c>
      <c r="D1036" t="s">
        <v>3082</v>
      </c>
      <c r="E1036">
        <v>7868572895</v>
      </c>
      <c r="F1036" t="s">
        <v>780</v>
      </c>
      <c r="G1036" t="s">
        <v>781</v>
      </c>
      <c r="I1036" t="s">
        <v>20</v>
      </c>
      <c r="J1036" s="13">
        <v>45957</v>
      </c>
      <c r="K1036" s="13">
        <v>46023</v>
      </c>
      <c r="L1036" t="s">
        <v>497</v>
      </c>
      <c r="M1036" t="s">
        <v>59</v>
      </c>
      <c r="N1036">
        <v>71186370</v>
      </c>
    </row>
    <row r="1037" spans="1:14" x14ac:dyDescent="0.25">
      <c r="A1037">
        <v>57485989</v>
      </c>
      <c r="B1037" t="s">
        <v>3083</v>
      </c>
      <c r="C1037" t="s">
        <v>3084</v>
      </c>
      <c r="D1037" t="s">
        <v>3085</v>
      </c>
      <c r="E1037">
        <v>7025598545</v>
      </c>
      <c r="F1037" t="s">
        <v>574</v>
      </c>
      <c r="G1037" t="s">
        <v>575</v>
      </c>
      <c r="I1037" t="s">
        <v>14</v>
      </c>
      <c r="J1037" s="13">
        <v>45957</v>
      </c>
      <c r="K1037" s="13">
        <v>46023</v>
      </c>
      <c r="L1037" t="s">
        <v>444</v>
      </c>
      <c r="M1037" t="s">
        <v>60</v>
      </c>
      <c r="N1037">
        <v>71187259</v>
      </c>
    </row>
    <row r="1038" spans="1:14" x14ac:dyDescent="0.25">
      <c r="A1038">
        <v>57486085</v>
      </c>
      <c r="B1038" t="s">
        <v>3086</v>
      </c>
      <c r="C1038" t="s">
        <v>643</v>
      </c>
      <c r="D1038" t="s">
        <v>3087</v>
      </c>
      <c r="E1038">
        <v>4348515370</v>
      </c>
      <c r="F1038" t="s">
        <v>667</v>
      </c>
      <c r="G1038" t="s">
        <v>668</v>
      </c>
      <c r="I1038" t="s">
        <v>37</v>
      </c>
      <c r="J1038" s="13">
        <v>45957</v>
      </c>
      <c r="K1038" s="13">
        <v>46023</v>
      </c>
      <c r="L1038" t="s">
        <v>454</v>
      </c>
      <c r="M1038" t="s">
        <v>56</v>
      </c>
      <c r="N1038">
        <v>71187339</v>
      </c>
    </row>
    <row r="1039" spans="1:14" x14ac:dyDescent="0.25">
      <c r="A1039">
        <v>57487105</v>
      </c>
      <c r="B1039" t="s">
        <v>464</v>
      </c>
      <c r="C1039" t="s">
        <v>3088</v>
      </c>
      <c r="D1039" t="s">
        <v>3089</v>
      </c>
      <c r="E1039">
        <v>3864025684</v>
      </c>
      <c r="F1039" t="s">
        <v>1067</v>
      </c>
      <c r="G1039" t="s">
        <v>1068</v>
      </c>
      <c r="I1039" t="s">
        <v>35</v>
      </c>
      <c r="J1039" s="13">
        <v>45957</v>
      </c>
      <c r="K1039" s="13">
        <v>46023</v>
      </c>
      <c r="L1039" t="s">
        <v>497</v>
      </c>
      <c r="M1039" t="s">
        <v>58</v>
      </c>
      <c r="N1039">
        <v>71188166</v>
      </c>
    </row>
    <row r="1040" spans="1:14" x14ac:dyDescent="0.25">
      <c r="A1040">
        <v>57487667</v>
      </c>
      <c r="B1040" t="s">
        <v>2006</v>
      </c>
      <c r="C1040" t="s">
        <v>2068</v>
      </c>
      <c r="D1040" t="s">
        <v>3090</v>
      </c>
      <c r="E1040">
        <v>6232310824</v>
      </c>
      <c r="F1040" t="s">
        <v>993</v>
      </c>
      <c r="G1040" t="s">
        <v>994</v>
      </c>
      <c r="I1040" t="s">
        <v>995</v>
      </c>
      <c r="J1040" s="13">
        <v>45957</v>
      </c>
      <c r="K1040" s="13">
        <v>46023</v>
      </c>
      <c r="L1040" t="s">
        <v>1179</v>
      </c>
      <c r="M1040" t="s">
        <v>54</v>
      </c>
      <c r="N1040">
        <v>71188512</v>
      </c>
    </row>
    <row r="1041" spans="1:14" x14ac:dyDescent="0.25">
      <c r="A1041">
        <v>57488194</v>
      </c>
      <c r="B1041" t="s">
        <v>3091</v>
      </c>
      <c r="C1041" t="s">
        <v>3092</v>
      </c>
      <c r="D1041" t="s">
        <v>3093</v>
      </c>
      <c r="E1041">
        <v>3372507599</v>
      </c>
      <c r="F1041" t="s">
        <v>423</v>
      </c>
      <c r="G1041" t="s">
        <v>424</v>
      </c>
      <c r="I1041" t="s">
        <v>46</v>
      </c>
      <c r="J1041" s="13">
        <v>45957</v>
      </c>
      <c r="K1041" s="13">
        <v>46023</v>
      </c>
      <c r="L1041" t="s">
        <v>612</v>
      </c>
      <c r="M1041" t="s">
        <v>58</v>
      </c>
      <c r="N1041">
        <v>71188519</v>
      </c>
    </row>
    <row r="1042" spans="1:14" x14ac:dyDescent="0.25">
      <c r="A1042">
        <v>57487957</v>
      </c>
      <c r="B1042" t="s">
        <v>3094</v>
      </c>
      <c r="C1042" t="s">
        <v>3095</v>
      </c>
      <c r="D1042" t="s">
        <v>3096</v>
      </c>
      <c r="E1042">
        <v>2566489608</v>
      </c>
      <c r="F1042" t="s">
        <v>790</v>
      </c>
      <c r="G1042" t="s">
        <v>791</v>
      </c>
      <c r="I1042" t="s">
        <v>119</v>
      </c>
      <c r="J1042" s="13">
        <v>45957</v>
      </c>
      <c r="K1042" s="13">
        <v>46023</v>
      </c>
      <c r="L1042" t="s">
        <v>450</v>
      </c>
      <c r="M1042" t="s">
        <v>58</v>
      </c>
      <c r="N1042">
        <v>71188644</v>
      </c>
    </row>
    <row r="1043" spans="1:14" x14ac:dyDescent="0.25">
      <c r="A1043">
        <v>57488356</v>
      </c>
      <c r="B1043" t="s">
        <v>3097</v>
      </c>
      <c r="C1043" t="s">
        <v>3098</v>
      </c>
      <c r="D1043" t="s">
        <v>3099</v>
      </c>
      <c r="E1043">
        <v>9282980014</v>
      </c>
      <c r="F1043" t="s">
        <v>775</v>
      </c>
      <c r="G1043" t="s">
        <v>776</v>
      </c>
      <c r="I1043" t="s">
        <v>22</v>
      </c>
      <c r="J1043" s="13">
        <v>45957</v>
      </c>
      <c r="K1043" s="13">
        <v>46023</v>
      </c>
      <c r="L1043" t="s">
        <v>1179</v>
      </c>
      <c r="M1043" t="s">
        <v>54</v>
      </c>
      <c r="N1043">
        <v>71188945</v>
      </c>
    </row>
    <row r="1044" spans="1:14" x14ac:dyDescent="0.25">
      <c r="A1044">
        <v>57488544</v>
      </c>
      <c r="B1044" t="s">
        <v>524</v>
      </c>
      <c r="C1044" t="s">
        <v>3100</v>
      </c>
      <c r="D1044" t="s">
        <v>3101</v>
      </c>
      <c r="E1044">
        <v>2524024407</v>
      </c>
      <c r="F1044" t="s">
        <v>649</v>
      </c>
      <c r="G1044" t="s">
        <v>650</v>
      </c>
      <c r="I1044" t="s">
        <v>28</v>
      </c>
      <c r="J1044" s="13">
        <v>45957</v>
      </c>
      <c r="K1044" s="13">
        <v>46023</v>
      </c>
      <c r="L1044" t="s">
        <v>1188</v>
      </c>
      <c r="M1044" t="s">
        <v>56</v>
      </c>
      <c r="N1044">
        <v>71189056</v>
      </c>
    </row>
    <row r="1045" spans="1:14" x14ac:dyDescent="0.25">
      <c r="A1045">
        <v>57488557</v>
      </c>
      <c r="B1045" t="s">
        <v>586</v>
      </c>
      <c r="C1045" t="s">
        <v>970</v>
      </c>
      <c r="D1045" t="s">
        <v>3102</v>
      </c>
      <c r="E1045">
        <v>8575409649</v>
      </c>
      <c r="F1045" t="s">
        <v>842</v>
      </c>
      <c r="G1045" t="s">
        <v>1213</v>
      </c>
      <c r="I1045" t="s">
        <v>1214</v>
      </c>
      <c r="J1045" s="13">
        <v>45957</v>
      </c>
      <c r="K1045" s="13">
        <v>46023</v>
      </c>
      <c r="L1045" t="s">
        <v>1179</v>
      </c>
      <c r="M1045" t="s">
        <v>54</v>
      </c>
      <c r="N1045">
        <v>71189062</v>
      </c>
    </row>
    <row r="1046" spans="1:14" x14ac:dyDescent="0.25">
      <c r="A1046">
        <v>57488803</v>
      </c>
      <c r="B1046" t="s">
        <v>3103</v>
      </c>
      <c r="C1046" t="s">
        <v>3104</v>
      </c>
      <c r="D1046" t="s">
        <v>3105</v>
      </c>
      <c r="E1046">
        <v>3184340233</v>
      </c>
      <c r="F1046" t="s">
        <v>462</v>
      </c>
      <c r="G1046" t="s">
        <v>463</v>
      </c>
      <c r="I1046" t="s">
        <v>39</v>
      </c>
      <c r="J1046" s="13">
        <v>45957</v>
      </c>
      <c r="K1046" s="13">
        <v>46023</v>
      </c>
      <c r="L1046" t="s">
        <v>612</v>
      </c>
      <c r="M1046" t="s">
        <v>56</v>
      </c>
      <c r="N1046">
        <v>71189248</v>
      </c>
    </row>
    <row r="1047" spans="1:14" x14ac:dyDescent="0.25">
      <c r="A1047">
        <v>57488966</v>
      </c>
      <c r="B1047" t="s">
        <v>3106</v>
      </c>
      <c r="C1047" t="s">
        <v>3107</v>
      </c>
      <c r="D1047" t="s">
        <v>3108</v>
      </c>
      <c r="E1047" t="s">
        <v>3109</v>
      </c>
      <c r="F1047" t="s">
        <v>1003</v>
      </c>
      <c r="G1047" t="s">
        <v>1004</v>
      </c>
      <c r="I1047" t="s">
        <v>89</v>
      </c>
      <c r="J1047" s="13">
        <v>45957</v>
      </c>
      <c r="K1047" s="13">
        <v>46023</v>
      </c>
      <c r="L1047" t="s">
        <v>533</v>
      </c>
      <c r="M1047" t="s">
        <v>56</v>
      </c>
      <c r="N1047">
        <v>71189373</v>
      </c>
    </row>
    <row r="1048" spans="1:14" x14ac:dyDescent="0.25">
      <c r="A1048">
        <v>57490337</v>
      </c>
      <c r="B1048" t="s">
        <v>3110</v>
      </c>
      <c r="C1048" t="s">
        <v>3111</v>
      </c>
      <c r="D1048" t="s">
        <v>3112</v>
      </c>
      <c r="E1048">
        <v>7043231409</v>
      </c>
      <c r="F1048" t="s">
        <v>1003</v>
      </c>
      <c r="G1048" t="s">
        <v>1004</v>
      </c>
      <c r="I1048" t="s">
        <v>89</v>
      </c>
      <c r="J1048" s="13">
        <v>45957</v>
      </c>
      <c r="K1048" s="13">
        <v>46023</v>
      </c>
      <c r="L1048" t="s">
        <v>533</v>
      </c>
      <c r="M1048" t="s">
        <v>58</v>
      </c>
      <c r="N1048">
        <v>71190422</v>
      </c>
    </row>
    <row r="1049" spans="1:14" x14ac:dyDescent="0.25">
      <c r="A1049">
        <v>57490479</v>
      </c>
      <c r="B1049" t="s">
        <v>3113</v>
      </c>
      <c r="C1049" t="s">
        <v>528</v>
      </c>
      <c r="D1049" t="s">
        <v>3114</v>
      </c>
      <c r="E1049">
        <v>4803766726</v>
      </c>
      <c r="F1049" t="s">
        <v>684</v>
      </c>
      <c r="G1049" t="s">
        <v>685</v>
      </c>
      <c r="I1049" t="s">
        <v>686</v>
      </c>
      <c r="J1049" s="13">
        <v>45957</v>
      </c>
      <c r="K1049" s="13">
        <v>46023</v>
      </c>
      <c r="L1049" t="s">
        <v>1179</v>
      </c>
      <c r="M1049" t="s">
        <v>60</v>
      </c>
      <c r="N1049">
        <v>71190493</v>
      </c>
    </row>
    <row r="1050" spans="1:14" x14ac:dyDescent="0.25">
      <c r="A1050">
        <v>57492460</v>
      </c>
      <c r="B1050" t="s">
        <v>3115</v>
      </c>
      <c r="C1050" t="s">
        <v>2333</v>
      </c>
      <c r="D1050" t="s">
        <v>3116</v>
      </c>
      <c r="E1050">
        <v>2766135368</v>
      </c>
      <c r="F1050" t="s">
        <v>957</v>
      </c>
      <c r="G1050" t="s">
        <v>958</v>
      </c>
      <c r="H1050" t="s">
        <v>959</v>
      </c>
      <c r="I1050" t="s">
        <v>960</v>
      </c>
      <c r="J1050" s="13">
        <v>45957</v>
      </c>
      <c r="K1050" s="13">
        <v>46023</v>
      </c>
      <c r="L1050" t="s">
        <v>454</v>
      </c>
      <c r="M1050" t="s">
        <v>56</v>
      </c>
      <c r="N1050">
        <v>71191075</v>
      </c>
    </row>
    <row r="1051" spans="1:14" x14ac:dyDescent="0.25">
      <c r="A1051">
        <v>57491198</v>
      </c>
      <c r="B1051" t="s">
        <v>3117</v>
      </c>
      <c r="C1051" t="s">
        <v>3118</v>
      </c>
      <c r="D1051" t="s">
        <v>3119</v>
      </c>
      <c r="E1051">
        <v>8473071056</v>
      </c>
      <c r="F1051" t="s">
        <v>615</v>
      </c>
      <c r="G1051" t="s">
        <v>616</v>
      </c>
      <c r="I1051" t="s">
        <v>617</v>
      </c>
      <c r="J1051" s="13">
        <v>45957</v>
      </c>
      <c r="K1051" s="13">
        <v>46023</v>
      </c>
      <c r="L1051" t="s">
        <v>470</v>
      </c>
      <c r="M1051" t="s">
        <v>56</v>
      </c>
      <c r="N1051">
        <v>71191077</v>
      </c>
    </row>
    <row r="1052" spans="1:14" x14ac:dyDescent="0.25">
      <c r="A1052">
        <v>57492238</v>
      </c>
      <c r="B1052" t="s">
        <v>3120</v>
      </c>
      <c r="C1052" t="s">
        <v>3121</v>
      </c>
      <c r="D1052" t="s">
        <v>3122</v>
      </c>
      <c r="E1052">
        <v>3146141907</v>
      </c>
      <c r="F1052" t="s">
        <v>770</v>
      </c>
      <c r="G1052" t="s">
        <v>771</v>
      </c>
      <c r="I1052" t="s">
        <v>25</v>
      </c>
      <c r="J1052" s="13">
        <v>45957</v>
      </c>
      <c r="K1052" s="13">
        <v>46023</v>
      </c>
      <c r="L1052" t="s">
        <v>434</v>
      </c>
      <c r="M1052" t="s">
        <v>61</v>
      </c>
      <c r="N1052">
        <v>71191838</v>
      </c>
    </row>
    <row r="1053" spans="1:14" x14ac:dyDescent="0.25">
      <c r="A1053">
        <v>57492376</v>
      </c>
      <c r="B1053" t="s">
        <v>1658</v>
      </c>
      <c r="C1053" t="s">
        <v>3123</v>
      </c>
      <c r="D1053" t="s">
        <v>3124</v>
      </c>
      <c r="E1053">
        <v>7314137450</v>
      </c>
      <c r="F1053" t="s">
        <v>551</v>
      </c>
      <c r="G1053" t="s">
        <v>552</v>
      </c>
      <c r="I1053" t="s">
        <v>42</v>
      </c>
      <c r="J1053" s="13">
        <v>45957</v>
      </c>
      <c r="K1053" s="13">
        <v>46023</v>
      </c>
      <c r="L1053" t="s">
        <v>479</v>
      </c>
      <c r="M1053" t="s">
        <v>58</v>
      </c>
      <c r="N1053">
        <v>71191948</v>
      </c>
    </row>
    <row r="1054" spans="1:14" x14ac:dyDescent="0.25">
      <c r="A1054">
        <v>57492952</v>
      </c>
      <c r="B1054" t="s">
        <v>856</v>
      </c>
      <c r="C1054" t="s">
        <v>2858</v>
      </c>
      <c r="D1054" t="s">
        <v>3125</v>
      </c>
      <c r="E1054">
        <v>8659221334</v>
      </c>
      <c r="F1054" t="s">
        <v>705</v>
      </c>
      <c r="G1054" t="s">
        <v>706</v>
      </c>
      <c r="I1054" t="s">
        <v>12</v>
      </c>
      <c r="J1054" s="13">
        <v>45957</v>
      </c>
      <c r="K1054" s="13">
        <v>46023</v>
      </c>
      <c r="L1054" t="s">
        <v>479</v>
      </c>
      <c r="M1054" t="s">
        <v>59</v>
      </c>
      <c r="N1054">
        <v>71192430</v>
      </c>
    </row>
    <row r="1055" spans="1:14" x14ac:dyDescent="0.25">
      <c r="A1055">
        <v>57493165</v>
      </c>
      <c r="B1055" t="s">
        <v>1784</v>
      </c>
      <c r="C1055" t="s">
        <v>581</v>
      </c>
      <c r="D1055" t="s">
        <v>3126</v>
      </c>
      <c r="E1055">
        <v>5404087600</v>
      </c>
      <c r="F1055" t="s">
        <v>842</v>
      </c>
      <c r="G1055" t="s">
        <v>843</v>
      </c>
      <c r="I1055" t="s">
        <v>98</v>
      </c>
      <c r="J1055" s="13">
        <v>45957</v>
      </c>
      <c r="K1055" s="13">
        <v>46023</v>
      </c>
      <c r="L1055" t="s">
        <v>454</v>
      </c>
      <c r="M1055" t="s">
        <v>56</v>
      </c>
      <c r="N1055">
        <v>71192628</v>
      </c>
    </row>
    <row r="1056" spans="1:14" x14ac:dyDescent="0.25">
      <c r="A1056">
        <v>57494168</v>
      </c>
      <c r="B1056" t="s">
        <v>1167</v>
      </c>
      <c r="C1056" t="s">
        <v>3127</v>
      </c>
      <c r="D1056" t="s">
        <v>3128</v>
      </c>
      <c r="E1056">
        <v>8282805603</v>
      </c>
      <c r="F1056" t="s">
        <v>628</v>
      </c>
      <c r="G1056" t="s">
        <v>629</v>
      </c>
      <c r="I1056" t="s">
        <v>24</v>
      </c>
      <c r="J1056" s="13">
        <v>45957</v>
      </c>
      <c r="K1056" s="13">
        <v>46023</v>
      </c>
      <c r="L1056" t="s">
        <v>603</v>
      </c>
      <c r="M1056" t="s">
        <v>56</v>
      </c>
      <c r="N1056">
        <v>71193490</v>
      </c>
    </row>
    <row r="1057" spans="1:14" x14ac:dyDescent="0.25">
      <c r="A1057">
        <v>57494217</v>
      </c>
      <c r="B1057" t="s">
        <v>1532</v>
      </c>
      <c r="C1057" t="s">
        <v>3129</v>
      </c>
      <c r="D1057" t="s">
        <v>3130</v>
      </c>
      <c r="E1057">
        <v>7579201987</v>
      </c>
      <c r="F1057" t="s">
        <v>667</v>
      </c>
      <c r="G1057" t="s">
        <v>668</v>
      </c>
      <c r="I1057" t="s">
        <v>37</v>
      </c>
      <c r="J1057" s="13">
        <v>45957</v>
      </c>
      <c r="K1057" s="13">
        <v>46023</v>
      </c>
      <c r="L1057" t="s">
        <v>454</v>
      </c>
      <c r="M1057" t="s">
        <v>56</v>
      </c>
      <c r="N1057">
        <v>71193533</v>
      </c>
    </row>
    <row r="1058" spans="1:14" x14ac:dyDescent="0.25">
      <c r="A1058">
        <v>57494401</v>
      </c>
      <c r="B1058" t="s">
        <v>2657</v>
      </c>
      <c r="C1058" t="s">
        <v>3131</v>
      </c>
      <c r="D1058" t="s">
        <v>3132</v>
      </c>
      <c r="E1058">
        <v>5202736411</v>
      </c>
      <c r="F1058" t="s">
        <v>766</v>
      </c>
      <c r="G1058" t="s">
        <v>767</v>
      </c>
      <c r="I1058" t="s">
        <v>88</v>
      </c>
      <c r="J1058" s="13">
        <v>45957</v>
      </c>
      <c r="K1058" s="13">
        <v>46023</v>
      </c>
      <c r="L1058" t="s">
        <v>1179</v>
      </c>
      <c r="M1058" t="s">
        <v>54</v>
      </c>
      <c r="N1058">
        <v>71193702</v>
      </c>
    </row>
    <row r="1059" spans="1:14" x14ac:dyDescent="0.25">
      <c r="A1059">
        <v>57494531</v>
      </c>
      <c r="B1059" t="s">
        <v>3133</v>
      </c>
      <c r="C1059" t="s">
        <v>3134</v>
      </c>
      <c r="D1059" t="s">
        <v>3135</v>
      </c>
      <c r="E1059">
        <v>5408079476</v>
      </c>
      <c r="F1059" t="s">
        <v>870</v>
      </c>
      <c r="G1059" t="s">
        <v>871</v>
      </c>
      <c r="I1059" t="s">
        <v>872</v>
      </c>
      <c r="J1059" s="13">
        <v>45957</v>
      </c>
      <c r="K1059" s="13">
        <v>46023</v>
      </c>
      <c r="L1059" t="s">
        <v>454</v>
      </c>
      <c r="M1059" t="s">
        <v>56</v>
      </c>
      <c r="N1059">
        <v>71193824</v>
      </c>
    </row>
    <row r="1060" spans="1:14" x14ac:dyDescent="0.25">
      <c r="A1060">
        <v>57495269</v>
      </c>
      <c r="B1060" t="s">
        <v>3136</v>
      </c>
      <c r="C1060" t="s">
        <v>3137</v>
      </c>
      <c r="D1060" t="s">
        <v>3138</v>
      </c>
      <c r="E1060">
        <v>5014135190</v>
      </c>
      <c r="F1060" t="s">
        <v>574</v>
      </c>
      <c r="G1060" t="s">
        <v>575</v>
      </c>
      <c r="I1060" t="s">
        <v>14</v>
      </c>
      <c r="J1060" s="13">
        <v>45957</v>
      </c>
      <c r="K1060" s="13">
        <v>46023</v>
      </c>
      <c r="L1060" t="s">
        <v>553</v>
      </c>
      <c r="M1060" t="s">
        <v>56</v>
      </c>
      <c r="N1060">
        <v>71194488</v>
      </c>
    </row>
    <row r="1061" spans="1:14" x14ac:dyDescent="0.25">
      <c r="A1061">
        <v>57495873</v>
      </c>
      <c r="B1061" t="s">
        <v>521</v>
      </c>
      <c r="C1061" t="s">
        <v>3139</v>
      </c>
      <c r="D1061" t="s">
        <v>3140</v>
      </c>
      <c r="E1061">
        <v>5202455428</v>
      </c>
      <c r="F1061" t="s">
        <v>423</v>
      </c>
      <c r="G1061" t="s">
        <v>424</v>
      </c>
      <c r="I1061" t="s">
        <v>46</v>
      </c>
      <c r="J1061" s="13">
        <v>45957</v>
      </c>
      <c r="K1061" s="13">
        <v>46023</v>
      </c>
      <c r="L1061" t="s">
        <v>1179</v>
      </c>
      <c r="M1061" t="s">
        <v>54</v>
      </c>
      <c r="N1061">
        <v>71194881</v>
      </c>
    </row>
    <row r="1062" spans="1:14" x14ac:dyDescent="0.25">
      <c r="A1062">
        <v>57495918</v>
      </c>
      <c r="B1062" t="s">
        <v>2311</v>
      </c>
      <c r="C1062" t="s">
        <v>3141</v>
      </c>
      <c r="D1062" t="s">
        <v>3142</v>
      </c>
      <c r="E1062">
        <v>7572549404</v>
      </c>
      <c r="F1062" t="s">
        <v>474</v>
      </c>
      <c r="G1062" t="s">
        <v>475</v>
      </c>
      <c r="I1062" t="s">
        <v>132</v>
      </c>
      <c r="J1062" s="13">
        <v>45957</v>
      </c>
      <c r="K1062" s="13">
        <v>46023</v>
      </c>
      <c r="L1062" t="s">
        <v>454</v>
      </c>
      <c r="M1062" t="s">
        <v>56</v>
      </c>
      <c r="N1062">
        <v>71194923</v>
      </c>
    </row>
    <row r="1063" spans="1:14" x14ac:dyDescent="0.25">
      <c r="A1063">
        <v>57496107</v>
      </c>
      <c r="B1063" t="s">
        <v>3143</v>
      </c>
      <c r="C1063" t="s">
        <v>3144</v>
      </c>
      <c r="D1063" t="s">
        <v>3145</v>
      </c>
      <c r="E1063">
        <v>4239728753</v>
      </c>
      <c r="F1063" t="s">
        <v>448</v>
      </c>
      <c r="G1063" t="s">
        <v>449</v>
      </c>
      <c r="I1063" t="s">
        <v>31</v>
      </c>
      <c r="J1063" s="13">
        <v>45957</v>
      </c>
      <c r="K1063" s="13">
        <v>46023</v>
      </c>
      <c r="L1063" t="s">
        <v>479</v>
      </c>
      <c r="M1063" t="s">
        <v>56</v>
      </c>
      <c r="N1063">
        <v>71195074</v>
      </c>
    </row>
    <row r="1064" spans="1:14" x14ac:dyDescent="0.25">
      <c r="A1064">
        <v>57496216</v>
      </c>
      <c r="B1064" t="s">
        <v>2418</v>
      </c>
      <c r="C1064" t="s">
        <v>3146</v>
      </c>
      <c r="D1064" t="s">
        <v>3147</v>
      </c>
      <c r="E1064">
        <v>2603397110</v>
      </c>
      <c r="F1064" t="s">
        <v>828</v>
      </c>
      <c r="G1064" t="s">
        <v>1148</v>
      </c>
      <c r="I1064" t="s">
        <v>17</v>
      </c>
      <c r="J1064" s="13">
        <v>45957</v>
      </c>
      <c r="K1064" s="13">
        <v>46023</v>
      </c>
      <c r="L1064" t="s">
        <v>440</v>
      </c>
      <c r="M1064" t="s">
        <v>56</v>
      </c>
      <c r="N1064">
        <v>71195149</v>
      </c>
    </row>
    <row r="1065" spans="1:14" x14ac:dyDescent="0.25">
      <c r="A1065">
        <v>57497321</v>
      </c>
      <c r="B1065" t="s">
        <v>3148</v>
      </c>
      <c r="C1065" t="s">
        <v>3149</v>
      </c>
      <c r="D1065" t="s">
        <v>3150</v>
      </c>
      <c r="E1065">
        <v>7757627593</v>
      </c>
      <c r="F1065" t="s">
        <v>1003</v>
      </c>
      <c r="G1065" t="s">
        <v>1004</v>
      </c>
      <c r="I1065" t="s">
        <v>89</v>
      </c>
      <c r="J1065" s="13">
        <v>45957</v>
      </c>
      <c r="K1065" s="13">
        <v>46023</v>
      </c>
      <c r="L1065" t="s">
        <v>497</v>
      </c>
      <c r="M1065" t="s">
        <v>56</v>
      </c>
      <c r="N1065">
        <v>71195883</v>
      </c>
    </row>
    <row r="1066" spans="1:14" x14ac:dyDescent="0.25">
      <c r="A1066">
        <v>57497822</v>
      </c>
      <c r="B1066" t="s">
        <v>3151</v>
      </c>
      <c r="C1066" t="s">
        <v>3152</v>
      </c>
      <c r="D1066" t="s">
        <v>3153</v>
      </c>
      <c r="E1066">
        <v>6234568041</v>
      </c>
      <c r="F1066" t="s">
        <v>423</v>
      </c>
      <c r="G1066" t="s">
        <v>424</v>
      </c>
      <c r="I1066" t="s">
        <v>46</v>
      </c>
      <c r="J1066" s="13">
        <v>45957</v>
      </c>
      <c r="K1066" s="13">
        <v>46023</v>
      </c>
      <c r="L1066" t="s">
        <v>1179</v>
      </c>
      <c r="M1066" t="s">
        <v>59</v>
      </c>
      <c r="N1066">
        <v>71196023</v>
      </c>
    </row>
    <row r="1067" spans="1:14" x14ac:dyDescent="0.25">
      <c r="A1067">
        <v>57497747</v>
      </c>
      <c r="B1067" t="s">
        <v>548</v>
      </c>
      <c r="C1067" t="s">
        <v>3154</v>
      </c>
      <c r="D1067" t="s">
        <v>3155</v>
      </c>
      <c r="E1067">
        <v>5202782540</v>
      </c>
      <c r="F1067" t="s">
        <v>416</v>
      </c>
      <c r="G1067" t="s">
        <v>417</v>
      </c>
      <c r="I1067" t="s">
        <v>26</v>
      </c>
      <c r="J1067" s="13">
        <v>45957</v>
      </c>
      <c r="K1067" s="13">
        <v>46023</v>
      </c>
      <c r="L1067" t="s">
        <v>1179</v>
      </c>
      <c r="M1067" t="s">
        <v>54</v>
      </c>
      <c r="N1067">
        <v>71196099</v>
      </c>
    </row>
    <row r="1068" spans="1:14" x14ac:dyDescent="0.25">
      <c r="A1068">
        <v>57497694</v>
      </c>
      <c r="B1068" t="s">
        <v>2418</v>
      </c>
      <c r="C1068" t="s">
        <v>3156</v>
      </c>
      <c r="D1068" t="s">
        <v>3157</v>
      </c>
      <c r="E1068">
        <v>8323238366</v>
      </c>
      <c r="F1068" t="s">
        <v>1013</v>
      </c>
      <c r="G1068" t="s">
        <v>1014</v>
      </c>
      <c r="I1068" t="s">
        <v>43</v>
      </c>
      <c r="J1068" s="13">
        <v>45957</v>
      </c>
      <c r="K1068" s="13">
        <v>46023</v>
      </c>
      <c r="L1068" t="s">
        <v>444</v>
      </c>
      <c r="M1068" t="s">
        <v>55</v>
      </c>
      <c r="N1068">
        <v>71196105</v>
      </c>
    </row>
    <row r="1069" spans="1:14" x14ac:dyDescent="0.25">
      <c r="A1069">
        <v>57498242</v>
      </c>
      <c r="B1069" t="s">
        <v>3158</v>
      </c>
      <c r="C1069" t="s">
        <v>1721</v>
      </c>
      <c r="D1069" t="s">
        <v>3159</v>
      </c>
      <c r="E1069">
        <v>2109839442</v>
      </c>
      <c r="F1069" t="s">
        <v>842</v>
      </c>
      <c r="G1069" t="s">
        <v>843</v>
      </c>
      <c r="I1069" t="s">
        <v>98</v>
      </c>
      <c r="J1069" s="13">
        <v>45957</v>
      </c>
      <c r="K1069" s="13">
        <v>46023</v>
      </c>
      <c r="L1069" t="s">
        <v>444</v>
      </c>
      <c r="M1069" t="s">
        <v>59</v>
      </c>
      <c r="N1069">
        <v>71197034</v>
      </c>
    </row>
    <row r="1070" spans="1:14" x14ac:dyDescent="0.25">
      <c r="A1070">
        <v>57498338</v>
      </c>
      <c r="B1070" t="s">
        <v>2418</v>
      </c>
      <c r="C1070" t="s">
        <v>3160</v>
      </c>
      <c r="D1070" t="s">
        <v>3161</v>
      </c>
      <c r="E1070">
        <v>7735711912</v>
      </c>
      <c r="F1070" t="s">
        <v>821</v>
      </c>
      <c r="G1070" t="s">
        <v>822</v>
      </c>
      <c r="I1070" t="s">
        <v>823</v>
      </c>
      <c r="J1070" s="13">
        <v>45957</v>
      </c>
      <c r="K1070" s="13">
        <v>46023</v>
      </c>
      <c r="L1070" t="s">
        <v>470</v>
      </c>
      <c r="M1070" t="s">
        <v>55</v>
      </c>
      <c r="N1070">
        <v>71197101</v>
      </c>
    </row>
    <row r="1071" spans="1:14" x14ac:dyDescent="0.25">
      <c r="A1071">
        <v>57498582</v>
      </c>
      <c r="B1071" t="s">
        <v>3162</v>
      </c>
      <c r="C1071" t="s">
        <v>3163</v>
      </c>
      <c r="D1071" t="s">
        <v>3164</v>
      </c>
      <c r="E1071">
        <v>4802395441</v>
      </c>
      <c r="F1071" t="s">
        <v>775</v>
      </c>
      <c r="G1071" t="s">
        <v>776</v>
      </c>
      <c r="I1071" t="s">
        <v>22</v>
      </c>
      <c r="J1071" s="13">
        <v>45957</v>
      </c>
      <c r="K1071" s="13">
        <v>46023</v>
      </c>
      <c r="L1071" t="s">
        <v>1179</v>
      </c>
      <c r="M1071" t="s">
        <v>56</v>
      </c>
      <c r="N1071">
        <v>71197285</v>
      </c>
    </row>
    <row r="1072" spans="1:14" x14ac:dyDescent="0.25">
      <c r="A1072">
        <v>57498606</v>
      </c>
      <c r="B1072" t="s">
        <v>1905</v>
      </c>
      <c r="C1072" t="s">
        <v>3165</v>
      </c>
      <c r="D1072" t="s">
        <v>3166</v>
      </c>
      <c r="E1072">
        <v>6232828787</v>
      </c>
      <c r="F1072" t="s">
        <v>462</v>
      </c>
      <c r="G1072" t="s">
        <v>463</v>
      </c>
      <c r="I1072" t="s">
        <v>39</v>
      </c>
      <c r="J1072" s="13">
        <v>45957</v>
      </c>
      <c r="K1072" s="13">
        <v>46023</v>
      </c>
      <c r="L1072" t="s">
        <v>1179</v>
      </c>
      <c r="M1072" t="s">
        <v>59</v>
      </c>
      <c r="N1072">
        <v>71197301</v>
      </c>
    </row>
    <row r="1073" spans="1:14" x14ac:dyDescent="0.25">
      <c r="A1073">
        <v>57498969</v>
      </c>
      <c r="B1073" t="s">
        <v>2839</v>
      </c>
      <c r="C1073" t="s">
        <v>3167</v>
      </c>
      <c r="D1073" t="s">
        <v>3168</v>
      </c>
      <c r="F1073" t="s">
        <v>569</v>
      </c>
      <c r="G1073" t="s">
        <v>570</v>
      </c>
      <c r="I1073" t="s">
        <v>34</v>
      </c>
      <c r="J1073" s="13">
        <v>45957</v>
      </c>
      <c r="K1073" s="13">
        <v>46023</v>
      </c>
      <c r="L1073" t="s">
        <v>1179</v>
      </c>
      <c r="M1073" t="s">
        <v>54</v>
      </c>
      <c r="N1073">
        <v>71197611</v>
      </c>
    </row>
    <row r="1074" spans="1:14" x14ac:dyDescent="0.25">
      <c r="A1074">
        <v>57499925</v>
      </c>
      <c r="B1074" t="s">
        <v>3169</v>
      </c>
      <c r="C1074" t="s">
        <v>3170</v>
      </c>
      <c r="D1074" t="s">
        <v>3171</v>
      </c>
      <c r="E1074">
        <v>6026534454</v>
      </c>
      <c r="F1074" t="s">
        <v>993</v>
      </c>
      <c r="G1074" t="s">
        <v>994</v>
      </c>
      <c r="I1074" t="s">
        <v>995</v>
      </c>
      <c r="J1074" s="13">
        <v>45957</v>
      </c>
      <c r="K1074" s="13">
        <v>46023</v>
      </c>
      <c r="L1074" t="s">
        <v>1179</v>
      </c>
      <c r="M1074" t="s">
        <v>54</v>
      </c>
      <c r="N1074">
        <v>71198376</v>
      </c>
    </row>
    <row r="1075" spans="1:14" x14ac:dyDescent="0.25">
      <c r="A1075">
        <v>57501000</v>
      </c>
      <c r="B1075" t="s">
        <v>865</v>
      </c>
      <c r="C1075" t="s">
        <v>3172</v>
      </c>
      <c r="D1075" t="s">
        <v>3173</v>
      </c>
      <c r="E1075">
        <v>3172580447</v>
      </c>
      <c r="F1075" t="s">
        <v>815</v>
      </c>
      <c r="G1075" t="s">
        <v>816</v>
      </c>
      <c r="I1075" t="s">
        <v>23</v>
      </c>
      <c r="J1075" s="13">
        <v>45957</v>
      </c>
      <c r="K1075" s="13">
        <v>46023</v>
      </c>
      <c r="L1075" t="s">
        <v>440</v>
      </c>
      <c r="M1075" t="s">
        <v>419</v>
      </c>
      <c r="N1075">
        <v>71199026</v>
      </c>
    </row>
    <row r="1076" spans="1:14" x14ac:dyDescent="0.25">
      <c r="A1076">
        <v>57501488</v>
      </c>
      <c r="B1076" t="s">
        <v>3174</v>
      </c>
      <c r="C1076" t="s">
        <v>3175</v>
      </c>
      <c r="D1076" t="s">
        <v>3176</v>
      </c>
      <c r="E1076">
        <v>5203700589</v>
      </c>
      <c r="F1076" t="s">
        <v>1345</v>
      </c>
      <c r="G1076" t="s">
        <v>799</v>
      </c>
      <c r="I1076" t="s">
        <v>47</v>
      </c>
      <c r="J1076" s="13">
        <v>45957</v>
      </c>
      <c r="K1076" s="13">
        <v>46023</v>
      </c>
      <c r="L1076" t="s">
        <v>1179</v>
      </c>
      <c r="M1076" t="s">
        <v>54</v>
      </c>
      <c r="N1076">
        <v>71199338</v>
      </c>
    </row>
    <row r="1077" spans="1:14" x14ac:dyDescent="0.25">
      <c r="A1077">
        <v>57501520</v>
      </c>
      <c r="B1077" t="s">
        <v>1100</v>
      </c>
      <c r="C1077" t="s">
        <v>3177</v>
      </c>
      <c r="D1077" t="s">
        <v>3178</v>
      </c>
      <c r="E1077">
        <v>2708604120</v>
      </c>
      <c r="F1077" t="s">
        <v>667</v>
      </c>
      <c r="G1077" t="s">
        <v>668</v>
      </c>
      <c r="I1077" t="s">
        <v>37</v>
      </c>
      <c r="J1077" s="13">
        <v>45957</v>
      </c>
      <c r="K1077" s="13">
        <v>46023</v>
      </c>
      <c r="L1077" t="s">
        <v>490</v>
      </c>
      <c r="M1077" t="s">
        <v>56</v>
      </c>
      <c r="N1077">
        <v>71199361</v>
      </c>
    </row>
    <row r="1078" spans="1:14" x14ac:dyDescent="0.25">
      <c r="A1078">
        <v>57503678</v>
      </c>
      <c r="B1078" t="s">
        <v>431</v>
      </c>
      <c r="C1078" t="s">
        <v>3179</v>
      </c>
      <c r="D1078" t="s">
        <v>3180</v>
      </c>
      <c r="E1078">
        <v>8287471750</v>
      </c>
      <c r="F1078" t="s">
        <v>551</v>
      </c>
      <c r="G1078" t="s">
        <v>552</v>
      </c>
      <c r="I1078" t="s">
        <v>42</v>
      </c>
      <c r="J1078" s="13">
        <v>45957</v>
      </c>
      <c r="K1078" s="13">
        <v>46023</v>
      </c>
      <c r="L1078" t="s">
        <v>603</v>
      </c>
      <c r="M1078" t="s">
        <v>58</v>
      </c>
      <c r="N1078">
        <v>71200541</v>
      </c>
    </row>
    <row r="1079" spans="1:14" x14ac:dyDescent="0.25">
      <c r="A1079">
        <v>57504403</v>
      </c>
      <c r="B1079" t="s">
        <v>521</v>
      </c>
      <c r="C1079" t="s">
        <v>3181</v>
      </c>
      <c r="D1079" t="s">
        <v>3182</v>
      </c>
      <c r="E1079">
        <v>5612581393</v>
      </c>
      <c r="F1079" t="s">
        <v>684</v>
      </c>
      <c r="G1079" t="s">
        <v>685</v>
      </c>
      <c r="I1079" t="s">
        <v>686</v>
      </c>
      <c r="J1079" s="13">
        <v>45957</v>
      </c>
      <c r="K1079" s="13">
        <v>46023</v>
      </c>
      <c r="L1079" t="s">
        <v>497</v>
      </c>
      <c r="M1079" t="s">
        <v>56</v>
      </c>
      <c r="N1079">
        <v>71200985</v>
      </c>
    </row>
    <row r="1080" spans="1:14" x14ac:dyDescent="0.25">
      <c r="A1080">
        <v>57506864</v>
      </c>
      <c r="B1080" t="s">
        <v>3183</v>
      </c>
      <c r="C1080" t="s">
        <v>3184</v>
      </c>
      <c r="D1080" t="s">
        <v>3185</v>
      </c>
      <c r="E1080">
        <v>9035591654</v>
      </c>
      <c r="F1080" t="s">
        <v>693</v>
      </c>
      <c r="G1080" t="s">
        <v>694</v>
      </c>
      <c r="I1080" t="s">
        <v>103</v>
      </c>
      <c r="J1080" s="13">
        <v>45957</v>
      </c>
      <c r="K1080" s="13">
        <v>46023</v>
      </c>
      <c r="L1080" t="s">
        <v>612</v>
      </c>
      <c r="M1080" t="s">
        <v>56</v>
      </c>
      <c r="N1080">
        <v>71202868</v>
      </c>
    </row>
    <row r="1081" spans="1:14" x14ac:dyDescent="0.25">
      <c r="A1081">
        <v>57507641</v>
      </c>
      <c r="B1081" t="s">
        <v>3186</v>
      </c>
      <c r="C1081" t="s">
        <v>468</v>
      </c>
      <c r="D1081" t="s">
        <v>3187</v>
      </c>
      <c r="E1081">
        <v>4803282973</v>
      </c>
      <c r="F1081" t="s">
        <v>423</v>
      </c>
      <c r="G1081" t="s">
        <v>424</v>
      </c>
      <c r="I1081" t="s">
        <v>46</v>
      </c>
      <c r="J1081" s="13">
        <v>45957</v>
      </c>
      <c r="K1081" s="13">
        <v>46023</v>
      </c>
      <c r="L1081" t="s">
        <v>1179</v>
      </c>
      <c r="M1081" t="s">
        <v>54</v>
      </c>
      <c r="N1081">
        <v>71203295</v>
      </c>
    </row>
    <row r="1082" spans="1:14" x14ac:dyDescent="0.25">
      <c r="A1082">
        <v>57507906</v>
      </c>
      <c r="B1082" t="s">
        <v>3188</v>
      </c>
      <c r="C1082" t="s">
        <v>3189</v>
      </c>
      <c r="D1082" t="s">
        <v>3190</v>
      </c>
      <c r="E1082">
        <v>7577743562</v>
      </c>
      <c r="F1082" t="s">
        <v>615</v>
      </c>
      <c r="G1082" t="s">
        <v>616</v>
      </c>
      <c r="I1082" t="s">
        <v>617</v>
      </c>
      <c r="J1082" s="13">
        <v>45957</v>
      </c>
      <c r="K1082" s="13">
        <v>46023</v>
      </c>
      <c r="L1082" t="s">
        <v>603</v>
      </c>
      <c r="M1082" t="s">
        <v>56</v>
      </c>
      <c r="N1082">
        <v>71203666</v>
      </c>
    </row>
    <row r="1083" spans="1:14" x14ac:dyDescent="0.25">
      <c r="A1083">
        <v>57508467</v>
      </c>
      <c r="B1083" t="s">
        <v>3191</v>
      </c>
      <c r="C1083" t="s">
        <v>939</v>
      </c>
      <c r="D1083" t="s">
        <v>3192</v>
      </c>
      <c r="E1083">
        <v>8047736231</v>
      </c>
      <c r="F1083" t="s">
        <v>649</v>
      </c>
      <c r="G1083" t="s">
        <v>650</v>
      </c>
      <c r="I1083" t="s">
        <v>28</v>
      </c>
      <c r="J1083" s="13">
        <v>45957</v>
      </c>
      <c r="K1083" s="13">
        <v>46023</v>
      </c>
      <c r="L1083" t="s">
        <v>454</v>
      </c>
      <c r="M1083" t="s">
        <v>55</v>
      </c>
      <c r="N1083">
        <v>71204058</v>
      </c>
    </row>
    <row r="1084" spans="1:14" x14ac:dyDescent="0.25">
      <c r="A1084">
        <v>57508561</v>
      </c>
      <c r="B1084" t="s">
        <v>3193</v>
      </c>
      <c r="C1084" t="s">
        <v>3194</v>
      </c>
      <c r="D1084" t="s">
        <v>3195</v>
      </c>
      <c r="E1084" t="s">
        <v>3196</v>
      </c>
      <c r="F1084" t="s">
        <v>462</v>
      </c>
      <c r="G1084" t="s">
        <v>463</v>
      </c>
      <c r="I1084" t="s">
        <v>39</v>
      </c>
      <c r="J1084" s="13">
        <v>45957</v>
      </c>
      <c r="K1084" s="13">
        <v>46023</v>
      </c>
      <c r="L1084" t="s">
        <v>539</v>
      </c>
      <c r="M1084" t="s">
        <v>59</v>
      </c>
      <c r="N1084">
        <v>71204123</v>
      </c>
    </row>
    <row r="1085" spans="1:14" x14ac:dyDescent="0.25">
      <c r="A1085">
        <v>57508881</v>
      </c>
      <c r="B1085" t="s">
        <v>1643</v>
      </c>
      <c r="C1085" t="s">
        <v>3197</v>
      </c>
      <c r="D1085" t="s">
        <v>3198</v>
      </c>
      <c r="E1085">
        <v>6233012140</v>
      </c>
      <c r="F1085" t="s">
        <v>766</v>
      </c>
      <c r="G1085" t="s">
        <v>767</v>
      </c>
      <c r="I1085" t="s">
        <v>88</v>
      </c>
      <c r="J1085" s="13">
        <v>45957</v>
      </c>
      <c r="K1085" s="13">
        <v>46023</v>
      </c>
      <c r="L1085" t="s">
        <v>1179</v>
      </c>
      <c r="M1085" t="s">
        <v>54</v>
      </c>
      <c r="N1085">
        <v>71204315</v>
      </c>
    </row>
    <row r="1086" spans="1:14" x14ac:dyDescent="0.25">
      <c r="A1086">
        <v>57511280</v>
      </c>
      <c r="B1086" t="s">
        <v>3199</v>
      </c>
      <c r="C1086" t="s">
        <v>3200</v>
      </c>
      <c r="D1086" t="s">
        <v>3201</v>
      </c>
      <c r="E1086">
        <v>6026237379</v>
      </c>
      <c r="F1086" t="s">
        <v>1147</v>
      </c>
      <c r="G1086" t="s">
        <v>1148</v>
      </c>
      <c r="I1086" t="s">
        <v>41</v>
      </c>
      <c r="J1086" s="13">
        <v>45957</v>
      </c>
      <c r="K1086" s="13">
        <v>46023</v>
      </c>
      <c r="L1086" t="s">
        <v>1179</v>
      </c>
      <c r="M1086" t="s">
        <v>55</v>
      </c>
      <c r="N1086">
        <v>71206051</v>
      </c>
    </row>
    <row r="1087" spans="1:14" x14ac:dyDescent="0.25">
      <c r="A1087">
        <v>57511313</v>
      </c>
      <c r="B1087" t="s">
        <v>1773</v>
      </c>
      <c r="C1087" t="s">
        <v>3202</v>
      </c>
      <c r="D1087" t="s">
        <v>3203</v>
      </c>
      <c r="E1087">
        <v>8284077066</v>
      </c>
      <c r="F1087" t="s">
        <v>1067</v>
      </c>
      <c r="G1087" t="s">
        <v>1068</v>
      </c>
      <c r="I1087" t="s">
        <v>35</v>
      </c>
      <c r="J1087" s="13">
        <v>45957</v>
      </c>
      <c r="K1087" s="13">
        <v>46023</v>
      </c>
      <c r="L1087" t="s">
        <v>603</v>
      </c>
      <c r="M1087" t="s">
        <v>58</v>
      </c>
      <c r="N1087">
        <v>71206084</v>
      </c>
    </row>
    <row r="1088" spans="1:14" x14ac:dyDescent="0.25">
      <c r="A1088">
        <v>57512006</v>
      </c>
      <c r="B1088" t="s">
        <v>672</v>
      </c>
      <c r="C1088" t="s">
        <v>3204</v>
      </c>
      <c r="D1088" t="s">
        <v>3205</v>
      </c>
      <c r="E1088">
        <v>7159231200</v>
      </c>
      <c r="F1088" t="s">
        <v>1142</v>
      </c>
      <c r="G1088" t="s">
        <v>1143</v>
      </c>
      <c r="I1088" t="s">
        <v>124</v>
      </c>
      <c r="J1088" s="13">
        <v>45957</v>
      </c>
      <c r="K1088" s="13">
        <v>46023</v>
      </c>
      <c r="L1088" t="s">
        <v>450</v>
      </c>
      <c r="M1088" t="s">
        <v>56</v>
      </c>
      <c r="N1088">
        <v>71206625</v>
      </c>
    </row>
    <row r="1089" spans="1:14" x14ac:dyDescent="0.25">
      <c r="A1089">
        <v>57515566</v>
      </c>
      <c r="B1089" t="s">
        <v>456</v>
      </c>
      <c r="C1089" t="s">
        <v>3206</v>
      </c>
      <c r="D1089" t="s">
        <v>3207</v>
      </c>
      <c r="E1089">
        <v>9108085455</v>
      </c>
      <c r="F1089" t="s">
        <v>448</v>
      </c>
      <c r="G1089" t="s">
        <v>449</v>
      </c>
      <c r="I1089" t="s">
        <v>31</v>
      </c>
      <c r="J1089" s="13">
        <v>45957</v>
      </c>
      <c r="K1089" s="13">
        <v>46023</v>
      </c>
      <c r="L1089" t="s">
        <v>603</v>
      </c>
      <c r="M1089" t="s">
        <v>60</v>
      </c>
      <c r="N1089">
        <v>71209285</v>
      </c>
    </row>
    <row r="1090" spans="1:14" x14ac:dyDescent="0.25">
      <c r="A1090">
        <v>57515803</v>
      </c>
      <c r="B1090" t="s">
        <v>3208</v>
      </c>
      <c r="C1090" t="s">
        <v>3209</v>
      </c>
      <c r="D1090" t="s">
        <v>3210</v>
      </c>
      <c r="E1090">
        <v>5208092452</v>
      </c>
      <c r="F1090" t="s">
        <v>667</v>
      </c>
      <c r="G1090" t="s">
        <v>668</v>
      </c>
      <c r="I1090" t="s">
        <v>37</v>
      </c>
      <c r="J1090" s="13">
        <v>45957</v>
      </c>
      <c r="K1090" s="13">
        <v>46023</v>
      </c>
      <c r="L1090" t="s">
        <v>1179</v>
      </c>
      <c r="M1090" t="s">
        <v>59</v>
      </c>
      <c r="N1090">
        <v>71209462</v>
      </c>
    </row>
    <row r="1091" spans="1:14" x14ac:dyDescent="0.25">
      <c r="A1091">
        <v>57516310</v>
      </c>
      <c r="B1091" t="s">
        <v>3211</v>
      </c>
      <c r="C1091" t="s">
        <v>3212</v>
      </c>
      <c r="D1091" t="s">
        <v>3213</v>
      </c>
      <c r="E1091">
        <v>7262480360</v>
      </c>
      <c r="F1091" t="s">
        <v>870</v>
      </c>
      <c r="G1091" t="s">
        <v>871</v>
      </c>
      <c r="I1091" t="s">
        <v>872</v>
      </c>
      <c r="J1091" s="13">
        <v>45957</v>
      </c>
      <c r="K1091" s="13">
        <v>46023</v>
      </c>
      <c r="L1091" t="s">
        <v>444</v>
      </c>
      <c r="M1091" t="s">
        <v>55</v>
      </c>
      <c r="N1091">
        <v>71209846</v>
      </c>
    </row>
    <row r="1092" spans="1:14" x14ac:dyDescent="0.25">
      <c r="A1092">
        <v>57516753</v>
      </c>
      <c r="B1092" t="s">
        <v>3214</v>
      </c>
      <c r="C1092" t="s">
        <v>3215</v>
      </c>
      <c r="D1092" t="s">
        <v>3216</v>
      </c>
      <c r="E1092">
        <v>9804066547</v>
      </c>
      <c r="F1092" t="s">
        <v>684</v>
      </c>
      <c r="G1092" t="s">
        <v>685</v>
      </c>
      <c r="I1092" t="s">
        <v>686</v>
      </c>
      <c r="J1092" s="13">
        <v>45957</v>
      </c>
      <c r="K1092" s="13">
        <v>46023</v>
      </c>
      <c r="L1092" t="s">
        <v>603</v>
      </c>
      <c r="M1092" t="s">
        <v>59</v>
      </c>
      <c r="N1092">
        <v>71210053</v>
      </c>
    </row>
    <row r="1093" spans="1:14" x14ac:dyDescent="0.25">
      <c r="A1093">
        <v>57517073</v>
      </c>
      <c r="B1093" t="s">
        <v>3217</v>
      </c>
      <c r="C1093" t="s">
        <v>3218</v>
      </c>
      <c r="D1093" t="s">
        <v>3219</v>
      </c>
      <c r="E1093">
        <v>3375815995</v>
      </c>
      <c r="F1093" t="s">
        <v>423</v>
      </c>
      <c r="G1093" t="s">
        <v>424</v>
      </c>
      <c r="I1093" t="s">
        <v>46</v>
      </c>
      <c r="J1093" s="13">
        <v>45957</v>
      </c>
      <c r="K1093" s="13">
        <v>46023</v>
      </c>
      <c r="L1093" t="s">
        <v>612</v>
      </c>
      <c r="M1093" t="s">
        <v>56</v>
      </c>
      <c r="N1093">
        <v>71210282</v>
      </c>
    </row>
    <row r="1094" spans="1:14" x14ac:dyDescent="0.25">
      <c r="A1094">
        <v>57516935</v>
      </c>
      <c r="B1094" t="s">
        <v>2107</v>
      </c>
      <c r="C1094" t="s">
        <v>546</v>
      </c>
      <c r="D1094" t="s">
        <v>3220</v>
      </c>
      <c r="E1094">
        <v>2293520552</v>
      </c>
      <c r="F1094" t="s">
        <v>828</v>
      </c>
      <c r="G1094" t="s">
        <v>1148</v>
      </c>
      <c r="I1094" t="s">
        <v>17</v>
      </c>
      <c r="J1094" s="13">
        <v>45957</v>
      </c>
      <c r="K1094" s="13">
        <v>46023</v>
      </c>
      <c r="L1094" t="s">
        <v>621</v>
      </c>
      <c r="M1094" t="s">
        <v>60</v>
      </c>
      <c r="N1094">
        <v>71210318</v>
      </c>
    </row>
    <row r="1095" spans="1:14" x14ac:dyDescent="0.25">
      <c r="A1095">
        <v>57517120</v>
      </c>
      <c r="B1095" t="s">
        <v>548</v>
      </c>
      <c r="C1095" t="s">
        <v>3221</v>
      </c>
      <c r="D1095" t="s">
        <v>3222</v>
      </c>
      <c r="E1095">
        <v>8599106170</v>
      </c>
      <c r="F1095" t="s">
        <v>842</v>
      </c>
      <c r="G1095" t="s">
        <v>843</v>
      </c>
      <c r="I1095" t="s">
        <v>98</v>
      </c>
      <c r="J1095" s="13">
        <v>45957</v>
      </c>
      <c r="K1095" s="13">
        <v>46023</v>
      </c>
      <c r="L1095" t="s">
        <v>490</v>
      </c>
      <c r="M1095" t="s">
        <v>61</v>
      </c>
      <c r="N1095">
        <v>71210450</v>
      </c>
    </row>
    <row r="1096" spans="1:14" x14ac:dyDescent="0.25">
      <c r="A1096">
        <v>57518339</v>
      </c>
      <c r="B1096" t="s">
        <v>1905</v>
      </c>
      <c r="C1096" t="s">
        <v>3043</v>
      </c>
      <c r="D1096" t="s">
        <v>3223</v>
      </c>
      <c r="E1096" t="s">
        <v>3224</v>
      </c>
      <c r="F1096" t="s">
        <v>693</v>
      </c>
      <c r="G1096" t="s">
        <v>694</v>
      </c>
      <c r="I1096" t="s">
        <v>103</v>
      </c>
      <c r="J1096" s="13">
        <v>45957</v>
      </c>
      <c r="K1096" s="13">
        <v>46023</v>
      </c>
      <c r="L1096" t="s">
        <v>612</v>
      </c>
      <c r="M1096" t="s">
        <v>56</v>
      </c>
      <c r="N1096">
        <v>71211767</v>
      </c>
    </row>
    <row r="1097" spans="1:14" x14ac:dyDescent="0.25">
      <c r="A1097">
        <v>57519911</v>
      </c>
      <c r="B1097" t="s">
        <v>3225</v>
      </c>
      <c r="C1097" t="s">
        <v>3226</v>
      </c>
      <c r="D1097" t="s">
        <v>3227</v>
      </c>
      <c r="E1097">
        <v>8703937572</v>
      </c>
      <c r="F1097" t="s">
        <v>649</v>
      </c>
      <c r="G1097" t="s">
        <v>650</v>
      </c>
      <c r="I1097" t="s">
        <v>28</v>
      </c>
      <c r="J1097" s="13">
        <v>45957</v>
      </c>
      <c r="K1097" s="13">
        <v>46023</v>
      </c>
      <c r="L1097" t="s">
        <v>553</v>
      </c>
      <c r="M1097" t="s">
        <v>55</v>
      </c>
      <c r="N1097">
        <v>71213890</v>
      </c>
    </row>
    <row r="1098" spans="1:14" x14ac:dyDescent="0.25">
      <c r="A1098">
        <v>57520213</v>
      </c>
      <c r="B1098" t="s">
        <v>3228</v>
      </c>
      <c r="C1098" t="s">
        <v>3229</v>
      </c>
      <c r="D1098" t="s">
        <v>3230</v>
      </c>
      <c r="E1098">
        <v>4806220202</v>
      </c>
      <c r="F1098" t="s">
        <v>462</v>
      </c>
      <c r="G1098" t="s">
        <v>463</v>
      </c>
      <c r="I1098" t="s">
        <v>39</v>
      </c>
      <c r="J1098" s="13">
        <v>45957</v>
      </c>
      <c r="K1098" s="13">
        <v>46023</v>
      </c>
      <c r="L1098" t="s">
        <v>1179</v>
      </c>
      <c r="M1098" t="s">
        <v>54</v>
      </c>
      <c r="N1098">
        <v>71214347</v>
      </c>
    </row>
    <row r="1099" spans="1:14" x14ac:dyDescent="0.25">
      <c r="A1099">
        <v>57520923</v>
      </c>
      <c r="B1099" t="s">
        <v>3231</v>
      </c>
      <c r="C1099" t="s">
        <v>1258</v>
      </c>
      <c r="D1099" t="s">
        <v>3232</v>
      </c>
      <c r="E1099">
        <v>4808660437</v>
      </c>
      <c r="F1099" t="s">
        <v>569</v>
      </c>
      <c r="G1099" t="s">
        <v>570</v>
      </c>
      <c r="I1099" t="s">
        <v>34</v>
      </c>
      <c r="J1099" s="13">
        <v>45957</v>
      </c>
      <c r="K1099" s="13">
        <v>46023</v>
      </c>
      <c r="L1099" t="s">
        <v>1179</v>
      </c>
      <c r="M1099" t="s">
        <v>54</v>
      </c>
      <c r="N1099">
        <v>71215069</v>
      </c>
    </row>
    <row r="1100" spans="1:14" x14ac:dyDescent="0.25">
      <c r="A1100">
        <v>57522131</v>
      </c>
      <c r="B1100" t="s">
        <v>1893</v>
      </c>
      <c r="C1100" t="s">
        <v>574</v>
      </c>
      <c r="D1100" t="s">
        <v>3233</v>
      </c>
      <c r="E1100" t="s">
        <v>3234</v>
      </c>
      <c r="F1100" t="s">
        <v>928</v>
      </c>
      <c r="G1100" t="s">
        <v>929</v>
      </c>
      <c r="I1100" t="s">
        <v>30</v>
      </c>
      <c r="J1100" s="13">
        <v>45957</v>
      </c>
      <c r="K1100" s="13">
        <v>46023</v>
      </c>
      <c r="L1100" t="s">
        <v>444</v>
      </c>
      <c r="M1100" t="s">
        <v>55</v>
      </c>
      <c r="N1100">
        <v>71215974</v>
      </c>
    </row>
    <row r="1101" spans="1:14" x14ac:dyDescent="0.25">
      <c r="A1101">
        <v>57524198</v>
      </c>
      <c r="B1101" t="s">
        <v>3235</v>
      </c>
      <c r="C1101" t="s">
        <v>1795</v>
      </c>
      <c r="D1101" t="s">
        <v>3236</v>
      </c>
      <c r="E1101">
        <v>2075571717</v>
      </c>
      <c r="F1101" t="s">
        <v>1142</v>
      </c>
      <c r="G1101" t="s">
        <v>1143</v>
      </c>
      <c r="I1101" t="s">
        <v>124</v>
      </c>
      <c r="J1101" s="13">
        <v>45957</v>
      </c>
      <c r="K1101" s="13">
        <v>46023</v>
      </c>
      <c r="L1101" t="s">
        <v>941</v>
      </c>
      <c r="M1101" t="s">
        <v>56</v>
      </c>
      <c r="N1101">
        <v>71217557</v>
      </c>
    </row>
    <row r="1102" spans="1:14" x14ac:dyDescent="0.25">
      <c r="A1102">
        <v>57524928</v>
      </c>
      <c r="B1102" t="s">
        <v>3237</v>
      </c>
      <c r="C1102" t="s">
        <v>3238</v>
      </c>
      <c r="D1102" t="s">
        <v>3239</v>
      </c>
      <c r="E1102">
        <v>9033992050</v>
      </c>
      <c r="F1102" t="s">
        <v>551</v>
      </c>
      <c r="G1102" t="s">
        <v>552</v>
      </c>
      <c r="I1102" t="s">
        <v>42</v>
      </c>
      <c r="J1102" s="13">
        <v>45957</v>
      </c>
      <c r="K1102" s="13">
        <v>46023</v>
      </c>
      <c r="L1102" t="s">
        <v>444</v>
      </c>
      <c r="M1102" t="s">
        <v>55</v>
      </c>
      <c r="N1102">
        <v>71218074</v>
      </c>
    </row>
    <row r="1103" spans="1:14" x14ac:dyDescent="0.25">
      <c r="A1103">
        <v>57524978</v>
      </c>
      <c r="B1103" t="s">
        <v>3014</v>
      </c>
      <c r="C1103" t="s">
        <v>3240</v>
      </c>
      <c r="D1103" t="s">
        <v>3241</v>
      </c>
      <c r="E1103">
        <v>4346651164</v>
      </c>
      <c r="F1103" t="s">
        <v>815</v>
      </c>
      <c r="G1103" t="s">
        <v>816</v>
      </c>
      <c r="I1103" t="s">
        <v>23</v>
      </c>
      <c r="J1103" s="13">
        <v>45957</v>
      </c>
      <c r="K1103" s="13">
        <v>46023</v>
      </c>
      <c r="L1103" t="s">
        <v>454</v>
      </c>
      <c r="M1103" t="s">
        <v>58</v>
      </c>
      <c r="N1103">
        <v>71218144</v>
      </c>
    </row>
    <row r="1104" spans="1:14" x14ac:dyDescent="0.25">
      <c r="A1104">
        <v>57524994</v>
      </c>
      <c r="B1104" t="s">
        <v>445</v>
      </c>
      <c r="C1104" t="s">
        <v>3242</v>
      </c>
      <c r="D1104" t="s">
        <v>3243</v>
      </c>
      <c r="E1104">
        <v>6596585362</v>
      </c>
      <c r="F1104" t="s">
        <v>474</v>
      </c>
      <c r="G1104" t="s">
        <v>475</v>
      </c>
      <c r="I1104" t="s">
        <v>132</v>
      </c>
      <c r="J1104" s="13">
        <v>45957</v>
      </c>
      <c r="K1104" s="13">
        <v>46023</v>
      </c>
      <c r="L1104" t="s">
        <v>450</v>
      </c>
      <c r="M1104" t="s">
        <v>59</v>
      </c>
      <c r="N1104">
        <v>71218155</v>
      </c>
    </row>
    <row r="1105" spans="1:14" x14ac:dyDescent="0.25">
      <c r="A1105">
        <v>57525060</v>
      </c>
      <c r="B1105" t="s">
        <v>1905</v>
      </c>
      <c r="C1105" t="s">
        <v>2521</v>
      </c>
      <c r="D1105" t="s">
        <v>3244</v>
      </c>
      <c r="E1105">
        <v>6026143266</v>
      </c>
      <c r="F1105" t="s">
        <v>775</v>
      </c>
      <c r="G1105" t="s">
        <v>776</v>
      </c>
      <c r="I1105" t="s">
        <v>22</v>
      </c>
      <c r="J1105" s="13">
        <v>45957</v>
      </c>
      <c r="K1105" s="13">
        <v>46023</v>
      </c>
      <c r="L1105" t="s">
        <v>1179</v>
      </c>
      <c r="M1105" t="s">
        <v>61</v>
      </c>
      <c r="N1105">
        <v>71218199</v>
      </c>
    </row>
    <row r="1106" spans="1:14" x14ac:dyDescent="0.25">
      <c r="A1106">
        <v>57525483</v>
      </c>
      <c r="B1106" t="s">
        <v>3245</v>
      </c>
      <c r="C1106" t="s">
        <v>1567</v>
      </c>
      <c r="D1106" t="s">
        <v>3246</v>
      </c>
      <c r="E1106">
        <v>2053839847</v>
      </c>
      <c r="F1106" t="s">
        <v>615</v>
      </c>
      <c r="G1106" t="s">
        <v>616</v>
      </c>
      <c r="I1106" t="s">
        <v>617</v>
      </c>
      <c r="J1106" s="13">
        <v>45957</v>
      </c>
      <c r="K1106" s="13">
        <v>46023</v>
      </c>
      <c r="L1106" t="s">
        <v>450</v>
      </c>
      <c r="M1106" t="s">
        <v>59</v>
      </c>
      <c r="N1106">
        <v>71218464</v>
      </c>
    </row>
    <row r="1107" spans="1:14" x14ac:dyDescent="0.25">
      <c r="A1107">
        <v>57525486</v>
      </c>
      <c r="B1107" t="s">
        <v>3247</v>
      </c>
      <c r="C1107" t="s">
        <v>3248</v>
      </c>
      <c r="D1107" t="s">
        <v>3249</v>
      </c>
      <c r="E1107">
        <v>4704887069</v>
      </c>
      <c r="F1107" t="s">
        <v>628</v>
      </c>
      <c r="G1107" t="s">
        <v>629</v>
      </c>
      <c r="I1107" t="s">
        <v>24</v>
      </c>
      <c r="J1107" s="13">
        <v>45957</v>
      </c>
      <c r="K1107" s="13">
        <v>46023</v>
      </c>
      <c r="L1107" t="s">
        <v>621</v>
      </c>
      <c r="M1107" t="s">
        <v>58</v>
      </c>
      <c r="N1107">
        <v>71218465</v>
      </c>
    </row>
    <row r="1108" spans="1:14" x14ac:dyDescent="0.25">
      <c r="A1108">
        <v>57525604</v>
      </c>
      <c r="B1108" t="s">
        <v>2882</v>
      </c>
      <c r="C1108" t="s">
        <v>3250</v>
      </c>
      <c r="D1108" t="s">
        <v>3251</v>
      </c>
      <c r="E1108">
        <v>8505498227</v>
      </c>
      <c r="F1108" t="s">
        <v>448</v>
      </c>
      <c r="G1108" t="s">
        <v>449</v>
      </c>
      <c r="I1108" t="s">
        <v>31</v>
      </c>
      <c r="J1108" s="13">
        <v>45957</v>
      </c>
      <c r="K1108" s="13">
        <v>46023</v>
      </c>
      <c r="L1108" t="s">
        <v>497</v>
      </c>
      <c r="M1108" t="s">
        <v>58</v>
      </c>
      <c r="N1108">
        <v>71218557</v>
      </c>
    </row>
    <row r="1109" spans="1:14" x14ac:dyDescent="0.25">
      <c r="A1109">
        <v>57525673</v>
      </c>
      <c r="B1109" t="s">
        <v>3252</v>
      </c>
      <c r="C1109" t="s">
        <v>3253</v>
      </c>
      <c r="D1109" t="s">
        <v>3254</v>
      </c>
      <c r="E1109">
        <v>8438140467</v>
      </c>
      <c r="F1109" t="s">
        <v>1067</v>
      </c>
      <c r="G1109" t="s">
        <v>1068</v>
      </c>
      <c r="I1109" t="s">
        <v>35</v>
      </c>
      <c r="J1109" s="13">
        <v>45957</v>
      </c>
      <c r="K1109" s="13">
        <v>46023</v>
      </c>
      <c r="L1109" t="s">
        <v>533</v>
      </c>
      <c r="M1109" t="s">
        <v>58</v>
      </c>
      <c r="N1109">
        <v>71218607</v>
      </c>
    </row>
    <row r="1110" spans="1:14" x14ac:dyDescent="0.25">
      <c r="A1110">
        <v>57525822</v>
      </c>
      <c r="B1110" t="s">
        <v>1450</v>
      </c>
      <c r="C1110" t="s">
        <v>3255</v>
      </c>
      <c r="D1110" t="s">
        <v>3256</v>
      </c>
      <c r="E1110">
        <v>8134587909</v>
      </c>
      <c r="F1110" t="s">
        <v>574</v>
      </c>
      <c r="G1110" t="s">
        <v>575</v>
      </c>
      <c r="I1110" t="s">
        <v>14</v>
      </c>
      <c r="J1110" s="13">
        <v>45957</v>
      </c>
      <c r="K1110" s="13">
        <v>46023</v>
      </c>
      <c r="L1110" t="s">
        <v>497</v>
      </c>
      <c r="M1110" t="s">
        <v>56</v>
      </c>
      <c r="N1110">
        <v>71218698</v>
      </c>
    </row>
    <row r="1111" spans="1:14" x14ac:dyDescent="0.25">
      <c r="A1111">
        <v>57525889</v>
      </c>
      <c r="B1111" t="s">
        <v>3257</v>
      </c>
      <c r="C1111" t="s">
        <v>3258</v>
      </c>
      <c r="D1111" t="s">
        <v>3259</v>
      </c>
      <c r="E1111">
        <v>6154834347</v>
      </c>
      <c r="F1111" t="s">
        <v>1267</v>
      </c>
      <c r="G1111" t="s">
        <v>1268</v>
      </c>
      <c r="I1111" t="s">
        <v>1269</v>
      </c>
      <c r="J1111" s="13">
        <v>45957</v>
      </c>
      <c r="K1111" s="13">
        <v>46023</v>
      </c>
      <c r="L1111" t="s">
        <v>497</v>
      </c>
      <c r="M1111" t="s">
        <v>56</v>
      </c>
      <c r="N1111">
        <v>71218748</v>
      </c>
    </row>
    <row r="1112" spans="1:14" x14ac:dyDescent="0.25">
      <c r="A1112">
        <v>57526063</v>
      </c>
      <c r="B1112" t="s">
        <v>3260</v>
      </c>
      <c r="C1112" t="s">
        <v>3261</v>
      </c>
      <c r="D1112" t="s">
        <v>3262</v>
      </c>
      <c r="E1112">
        <v>6023632883</v>
      </c>
      <c r="F1112" t="s">
        <v>1444</v>
      </c>
      <c r="G1112" t="s">
        <v>1445</v>
      </c>
      <c r="I1112" t="s">
        <v>1446</v>
      </c>
      <c r="J1112" s="13">
        <v>45957</v>
      </c>
      <c r="K1112" s="13">
        <v>46023</v>
      </c>
      <c r="L1112" t="s">
        <v>1179</v>
      </c>
      <c r="M1112" t="s">
        <v>59</v>
      </c>
      <c r="N1112">
        <v>71218873</v>
      </c>
    </row>
    <row r="1113" spans="1:14" x14ac:dyDescent="0.25">
      <c r="A1113">
        <v>57526210</v>
      </c>
      <c r="B1113" t="s">
        <v>3263</v>
      </c>
      <c r="C1113" t="s">
        <v>1702</v>
      </c>
      <c r="D1113" t="s">
        <v>3264</v>
      </c>
      <c r="E1113">
        <v>3182774116</v>
      </c>
      <c r="F1113" t="s">
        <v>684</v>
      </c>
      <c r="G1113" t="s">
        <v>685</v>
      </c>
      <c r="I1113" t="s">
        <v>686</v>
      </c>
      <c r="J1113" s="13">
        <v>45957</v>
      </c>
      <c r="K1113" s="13">
        <v>46023</v>
      </c>
      <c r="L1113" t="s">
        <v>612</v>
      </c>
      <c r="M1113" t="s">
        <v>56</v>
      </c>
      <c r="N1113">
        <v>71218982</v>
      </c>
    </row>
    <row r="1114" spans="1:14" x14ac:dyDescent="0.25">
      <c r="A1114">
        <v>57526602</v>
      </c>
      <c r="B1114" t="s">
        <v>1038</v>
      </c>
      <c r="C1114" t="s">
        <v>3265</v>
      </c>
      <c r="D1114" t="s">
        <v>3266</v>
      </c>
      <c r="E1114">
        <v>4808420725</v>
      </c>
      <c r="F1114" t="s">
        <v>766</v>
      </c>
      <c r="G1114" t="s">
        <v>767</v>
      </c>
      <c r="I1114" t="s">
        <v>88</v>
      </c>
      <c r="J1114" s="13">
        <v>45957</v>
      </c>
      <c r="K1114" s="13">
        <v>46023</v>
      </c>
      <c r="L1114" t="s">
        <v>1179</v>
      </c>
      <c r="M1114" t="s">
        <v>59</v>
      </c>
      <c r="N1114">
        <v>71219069</v>
      </c>
    </row>
    <row r="1115" spans="1:14" x14ac:dyDescent="0.25">
      <c r="A1115">
        <v>57526616</v>
      </c>
      <c r="B1115" t="s">
        <v>2311</v>
      </c>
      <c r="C1115" t="s">
        <v>3267</v>
      </c>
      <c r="D1115" t="s">
        <v>3268</v>
      </c>
      <c r="E1115">
        <v>7314673089</v>
      </c>
      <c r="F1115" t="s">
        <v>448</v>
      </c>
      <c r="G1115" t="s">
        <v>449</v>
      </c>
      <c r="I1115" t="s">
        <v>31</v>
      </c>
      <c r="J1115" s="13">
        <v>45957</v>
      </c>
      <c r="K1115" s="13">
        <v>46023</v>
      </c>
      <c r="L1115" t="s">
        <v>479</v>
      </c>
      <c r="M1115" t="s">
        <v>61</v>
      </c>
      <c r="N1115">
        <v>71219080</v>
      </c>
    </row>
    <row r="1116" spans="1:14" x14ac:dyDescent="0.25">
      <c r="A1116">
        <v>57527057</v>
      </c>
      <c r="B1116" t="s">
        <v>3269</v>
      </c>
      <c r="C1116" t="s">
        <v>3270</v>
      </c>
      <c r="D1116" t="s">
        <v>3271</v>
      </c>
      <c r="E1116">
        <v>2146496680</v>
      </c>
      <c r="F1116" t="s">
        <v>615</v>
      </c>
      <c r="G1116" t="s">
        <v>616</v>
      </c>
      <c r="I1116" t="s">
        <v>617</v>
      </c>
      <c r="J1116" s="13">
        <v>45957</v>
      </c>
      <c r="K1116" s="13">
        <v>46023</v>
      </c>
      <c r="L1116" t="s">
        <v>444</v>
      </c>
      <c r="M1116" t="s">
        <v>56</v>
      </c>
      <c r="N1116">
        <v>71219193</v>
      </c>
    </row>
    <row r="1117" spans="1:14" x14ac:dyDescent="0.25">
      <c r="A1117">
        <v>57527324</v>
      </c>
      <c r="B1117" t="s">
        <v>3272</v>
      </c>
      <c r="C1117" t="s">
        <v>3273</v>
      </c>
      <c r="D1117" t="s">
        <v>3274</v>
      </c>
      <c r="E1117">
        <v>5013557116</v>
      </c>
      <c r="F1117" t="s">
        <v>649</v>
      </c>
      <c r="G1117" t="s">
        <v>650</v>
      </c>
      <c r="I1117" t="s">
        <v>28</v>
      </c>
      <c r="J1117" s="13">
        <v>45957</v>
      </c>
      <c r="K1117" s="13">
        <v>46023</v>
      </c>
      <c r="L1117" t="s">
        <v>553</v>
      </c>
      <c r="M1117" t="s">
        <v>56</v>
      </c>
      <c r="N1117">
        <v>71219383</v>
      </c>
    </row>
    <row r="1118" spans="1:14" x14ac:dyDescent="0.25">
      <c r="A1118">
        <v>57527438</v>
      </c>
      <c r="B1118" t="s">
        <v>1041</v>
      </c>
      <c r="C1118" t="s">
        <v>3275</v>
      </c>
      <c r="D1118" t="s">
        <v>3276</v>
      </c>
      <c r="E1118">
        <v>9035709167</v>
      </c>
      <c r="F1118" t="s">
        <v>1013</v>
      </c>
      <c r="G1118" t="s">
        <v>1014</v>
      </c>
      <c r="I1118" t="s">
        <v>43</v>
      </c>
      <c r="J1118" s="13">
        <v>45957</v>
      </c>
      <c r="K1118" s="13">
        <v>46023</v>
      </c>
      <c r="L1118" t="s">
        <v>444</v>
      </c>
      <c r="M1118" t="s">
        <v>58</v>
      </c>
      <c r="N1118">
        <v>71219888</v>
      </c>
    </row>
    <row r="1119" spans="1:14" x14ac:dyDescent="0.25">
      <c r="A1119">
        <v>57527568</v>
      </c>
      <c r="B1119" t="s">
        <v>1777</v>
      </c>
      <c r="C1119" t="s">
        <v>3277</v>
      </c>
      <c r="D1119" t="s">
        <v>3278</v>
      </c>
      <c r="E1119">
        <v>4804407547</v>
      </c>
      <c r="F1119" t="s">
        <v>993</v>
      </c>
      <c r="G1119" t="s">
        <v>994</v>
      </c>
      <c r="I1119" t="s">
        <v>995</v>
      </c>
      <c r="J1119" s="13">
        <v>45957</v>
      </c>
      <c r="K1119" s="13">
        <v>46023</v>
      </c>
      <c r="L1119" t="s">
        <v>1179</v>
      </c>
      <c r="M1119" t="s">
        <v>59</v>
      </c>
      <c r="N1119">
        <v>71219945</v>
      </c>
    </row>
    <row r="1120" spans="1:14" x14ac:dyDescent="0.25">
      <c r="A1120">
        <v>57527749</v>
      </c>
      <c r="B1120" t="s">
        <v>3279</v>
      </c>
      <c r="C1120" t="s">
        <v>3280</v>
      </c>
      <c r="D1120" t="s">
        <v>3281</v>
      </c>
      <c r="E1120">
        <v>6238241192</v>
      </c>
      <c r="F1120" t="s">
        <v>775</v>
      </c>
      <c r="G1120" t="s">
        <v>776</v>
      </c>
      <c r="I1120" t="s">
        <v>22</v>
      </c>
      <c r="J1120" s="13">
        <v>45957</v>
      </c>
      <c r="K1120" s="13">
        <v>46023</v>
      </c>
      <c r="L1120" t="s">
        <v>1179</v>
      </c>
      <c r="M1120" t="s">
        <v>54</v>
      </c>
      <c r="N1120">
        <v>71220042</v>
      </c>
    </row>
    <row r="1121" spans="1:14" x14ac:dyDescent="0.25">
      <c r="A1121">
        <v>57528294</v>
      </c>
      <c r="B1121" t="s">
        <v>2254</v>
      </c>
      <c r="C1121" t="s">
        <v>3282</v>
      </c>
      <c r="D1121" t="s">
        <v>3283</v>
      </c>
      <c r="E1121">
        <v>3343791632</v>
      </c>
      <c r="F1121" t="s">
        <v>569</v>
      </c>
      <c r="G1121" t="s">
        <v>570</v>
      </c>
      <c r="I1121" t="s">
        <v>34</v>
      </c>
      <c r="J1121" s="13">
        <v>45957</v>
      </c>
      <c r="K1121" s="13">
        <v>46023</v>
      </c>
      <c r="L1121" t="s">
        <v>450</v>
      </c>
      <c r="M1121" t="s">
        <v>56</v>
      </c>
      <c r="N1121">
        <v>71220391</v>
      </c>
    </row>
    <row r="1122" spans="1:14" x14ac:dyDescent="0.25">
      <c r="A1122">
        <v>57531759</v>
      </c>
      <c r="B1122" t="s">
        <v>836</v>
      </c>
      <c r="C1122" t="s">
        <v>3284</v>
      </c>
      <c r="D1122" t="s">
        <v>3285</v>
      </c>
      <c r="E1122" t="s">
        <v>3286</v>
      </c>
      <c r="F1122" t="s">
        <v>1013</v>
      </c>
      <c r="G1122" t="s">
        <v>1014</v>
      </c>
      <c r="I1122" t="s">
        <v>43</v>
      </c>
      <c r="J1122" s="13">
        <v>45958</v>
      </c>
      <c r="K1122" s="13">
        <v>46023</v>
      </c>
      <c r="L1122" t="s">
        <v>1188</v>
      </c>
      <c r="M1122" t="s">
        <v>56</v>
      </c>
      <c r="N1122">
        <v>71222765</v>
      </c>
    </row>
    <row r="1123" spans="1:14" x14ac:dyDescent="0.25">
      <c r="A1123">
        <v>57532146</v>
      </c>
      <c r="B1123" t="s">
        <v>3287</v>
      </c>
      <c r="C1123" t="s">
        <v>3288</v>
      </c>
      <c r="D1123" t="s">
        <v>3289</v>
      </c>
      <c r="E1123">
        <v>7866636773</v>
      </c>
      <c r="F1123" t="s">
        <v>474</v>
      </c>
      <c r="G1123" t="s">
        <v>475</v>
      </c>
      <c r="I1123" t="s">
        <v>132</v>
      </c>
      <c r="J1123" s="13">
        <v>45958</v>
      </c>
      <c r="K1123" s="13">
        <v>46023</v>
      </c>
      <c r="L1123" t="s">
        <v>497</v>
      </c>
      <c r="M1123" t="s">
        <v>59</v>
      </c>
      <c r="N1123">
        <v>71223008</v>
      </c>
    </row>
    <row r="1124" spans="1:14" x14ac:dyDescent="0.25">
      <c r="A1124">
        <v>57532238</v>
      </c>
      <c r="B1124" t="s">
        <v>3290</v>
      </c>
      <c r="C1124" t="s">
        <v>3291</v>
      </c>
      <c r="D1124" t="s">
        <v>3292</v>
      </c>
      <c r="E1124">
        <v>9182261289</v>
      </c>
      <c r="F1124" t="s">
        <v>770</v>
      </c>
      <c r="G1124" t="s">
        <v>771</v>
      </c>
      <c r="I1124" t="s">
        <v>25</v>
      </c>
      <c r="J1124" s="13">
        <v>45958</v>
      </c>
      <c r="K1124" s="13">
        <v>46023</v>
      </c>
      <c r="L1124" t="s">
        <v>434</v>
      </c>
      <c r="M1124" t="s">
        <v>58</v>
      </c>
      <c r="N1124">
        <v>71223069</v>
      </c>
    </row>
    <row r="1125" spans="1:14" x14ac:dyDescent="0.25">
      <c r="A1125">
        <v>57532591</v>
      </c>
      <c r="B1125" t="s">
        <v>431</v>
      </c>
      <c r="C1125" t="s">
        <v>3293</v>
      </c>
      <c r="D1125" t="s">
        <v>3294</v>
      </c>
      <c r="E1125">
        <v>6232978479</v>
      </c>
      <c r="F1125" t="s">
        <v>423</v>
      </c>
      <c r="G1125" t="s">
        <v>424</v>
      </c>
      <c r="I1125" t="s">
        <v>46</v>
      </c>
      <c r="J1125" s="13">
        <v>45958</v>
      </c>
      <c r="K1125" s="13">
        <v>46023</v>
      </c>
      <c r="L1125" t="s">
        <v>1179</v>
      </c>
      <c r="M1125" t="s">
        <v>59</v>
      </c>
      <c r="N1125">
        <v>71223177</v>
      </c>
    </row>
    <row r="1126" spans="1:14" x14ac:dyDescent="0.25">
      <c r="A1126">
        <v>57532647</v>
      </c>
      <c r="B1126" t="s">
        <v>3295</v>
      </c>
      <c r="C1126" t="s">
        <v>3296</v>
      </c>
      <c r="D1126" t="s">
        <v>3297</v>
      </c>
      <c r="E1126">
        <v>3372815250</v>
      </c>
      <c r="F1126" t="s">
        <v>592</v>
      </c>
      <c r="G1126" t="s">
        <v>593</v>
      </c>
      <c r="I1126" t="s">
        <v>115</v>
      </c>
      <c r="J1126" s="13">
        <v>45958</v>
      </c>
      <c r="K1126" s="13">
        <v>46023</v>
      </c>
      <c r="L1126" t="s">
        <v>612</v>
      </c>
      <c r="M1126" t="s">
        <v>58</v>
      </c>
      <c r="N1126">
        <v>71223298</v>
      </c>
    </row>
    <row r="1127" spans="1:14" x14ac:dyDescent="0.25">
      <c r="A1127">
        <v>57532877</v>
      </c>
      <c r="B1127" t="s">
        <v>1978</v>
      </c>
      <c r="C1127" t="s">
        <v>3298</v>
      </c>
      <c r="D1127" t="s">
        <v>3299</v>
      </c>
      <c r="E1127">
        <v>6784310348</v>
      </c>
      <c r="F1127" t="s">
        <v>821</v>
      </c>
      <c r="G1127" t="s">
        <v>822</v>
      </c>
      <c r="I1127" t="s">
        <v>823</v>
      </c>
      <c r="J1127" s="13">
        <v>45958</v>
      </c>
      <c r="K1127" s="13">
        <v>46023</v>
      </c>
      <c r="L1127" t="s">
        <v>621</v>
      </c>
      <c r="M1127" t="s">
        <v>59</v>
      </c>
      <c r="N1127">
        <v>71223441</v>
      </c>
    </row>
    <row r="1128" spans="1:14" x14ac:dyDescent="0.25">
      <c r="A1128">
        <v>57532926</v>
      </c>
      <c r="B1128" t="s">
        <v>3300</v>
      </c>
      <c r="C1128" t="s">
        <v>3301</v>
      </c>
      <c r="D1128" t="s">
        <v>3302</v>
      </c>
      <c r="E1128">
        <v>3039940525</v>
      </c>
      <c r="F1128" t="s">
        <v>842</v>
      </c>
      <c r="G1128" t="s">
        <v>843</v>
      </c>
      <c r="I1128" t="s">
        <v>98</v>
      </c>
      <c r="J1128" s="13">
        <v>45958</v>
      </c>
      <c r="K1128" s="13">
        <v>46023</v>
      </c>
      <c r="L1128" t="s">
        <v>539</v>
      </c>
      <c r="M1128" t="s">
        <v>59</v>
      </c>
      <c r="N1128">
        <v>71223485</v>
      </c>
    </row>
    <row r="1129" spans="1:14" x14ac:dyDescent="0.25">
      <c r="A1129">
        <v>57533213</v>
      </c>
      <c r="B1129" t="s">
        <v>1864</v>
      </c>
      <c r="C1129" t="s">
        <v>3303</v>
      </c>
      <c r="D1129" t="s">
        <v>3304</v>
      </c>
      <c r="E1129">
        <v>5014460467</v>
      </c>
      <c r="F1129" t="s">
        <v>1398</v>
      </c>
      <c r="G1129" t="s">
        <v>1399</v>
      </c>
      <c r="I1129" t="s">
        <v>1400</v>
      </c>
      <c r="J1129" s="13">
        <v>45958</v>
      </c>
      <c r="K1129" s="13">
        <v>46023</v>
      </c>
      <c r="L1129" t="s">
        <v>553</v>
      </c>
      <c r="M1129" t="s">
        <v>58</v>
      </c>
      <c r="N1129">
        <v>71223594</v>
      </c>
    </row>
    <row r="1130" spans="1:14" x14ac:dyDescent="0.25">
      <c r="A1130">
        <v>57533457</v>
      </c>
      <c r="B1130" t="s">
        <v>3305</v>
      </c>
      <c r="C1130" t="s">
        <v>3306</v>
      </c>
      <c r="D1130" t="s">
        <v>3307</v>
      </c>
      <c r="E1130">
        <v>3343493608</v>
      </c>
      <c r="F1130" t="s">
        <v>615</v>
      </c>
      <c r="G1130" t="s">
        <v>616</v>
      </c>
      <c r="I1130" t="s">
        <v>617</v>
      </c>
      <c r="J1130" s="13">
        <v>45958</v>
      </c>
      <c r="K1130" s="13">
        <v>46023</v>
      </c>
      <c r="L1130" t="s">
        <v>450</v>
      </c>
      <c r="M1130" t="s">
        <v>59</v>
      </c>
      <c r="N1130">
        <v>71223904</v>
      </c>
    </row>
    <row r="1131" spans="1:14" x14ac:dyDescent="0.25">
      <c r="A1131">
        <v>57533616</v>
      </c>
      <c r="B1131" t="s">
        <v>3308</v>
      </c>
      <c r="C1131" t="s">
        <v>3309</v>
      </c>
      <c r="D1131" t="s">
        <v>3310</v>
      </c>
      <c r="E1131">
        <v>9015150745</v>
      </c>
      <c r="F1131" t="s">
        <v>462</v>
      </c>
      <c r="G1131" t="s">
        <v>463</v>
      </c>
      <c r="I1131" t="s">
        <v>39</v>
      </c>
      <c r="J1131" s="13">
        <v>45958</v>
      </c>
      <c r="K1131" s="13">
        <v>46023</v>
      </c>
      <c r="L1131" t="s">
        <v>479</v>
      </c>
      <c r="M1131" t="s">
        <v>58</v>
      </c>
      <c r="N1131">
        <v>71224006</v>
      </c>
    </row>
    <row r="1132" spans="1:14" x14ac:dyDescent="0.25">
      <c r="A1132">
        <v>57533674</v>
      </c>
      <c r="B1132" t="s">
        <v>3311</v>
      </c>
      <c r="C1132" t="s">
        <v>3312</v>
      </c>
      <c r="D1132" t="s">
        <v>3313</v>
      </c>
      <c r="E1132">
        <v>8284171634</v>
      </c>
      <c r="F1132" t="s">
        <v>474</v>
      </c>
      <c r="G1132" t="s">
        <v>475</v>
      </c>
      <c r="I1132" t="s">
        <v>132</v>
      </c>
      <c r="J1132" s="13">
        <v>45958</v>
      </c>
      <c r="K1132" s="13">
        <v>46023</v>
      </c>
      <c r="L1132" t="s">
        <v>603</v>
      </c>
      <c r="M1132" t="s">
        <v>59</v>
      </c>
      <c r="N1132">
        <v>71224041</v>
      </c>
    </row>
    <row r="1133" spans="1:14" x14ac:dyDescent="0.25">
      <c r="A1133">
        <v>57533772</v>
      </c>
      <c r="B1133" t="s">
        <v>3314</v>
      </c>
      <c r="C1133" t="s">
        <v>3315</v>
      </c>
      <c r="D1133" t="s">
        <v>3316</v>
      </c>
      <c r="E1133">
        <v>4235998419</v>
      </c>
      <c r="F1133" t="s">
        <v>828</v>
      </c>
      <c r="G1133" t="s">
        <v>1148</v>
      </c>
      <c r="I1133" t="s">
        <v>17</v>
      </c>
      <c r="J1133" s="13">
        <v>45958</v>
      </c>
      <c r="K1133" s="13">
        <v>46023</v>
      </c>
      <c r="L1133" t="s">
        <v>479</v>
      </c>
      <c r="M1133" t="s">
        <v>56</v>
      </c>
      <c r="N1133">
        <v>71224108</v>
      </c>
    </row>
    <row r="1134" spans="1:14" x14ac:dyDescent="0.25">
      <c r="A1134">
        <v>57533824</v>
      </c>
      <c r="B1134" t="s">
        <v>1242</v>
      </c>
      <c r="C1134" t="s">
        <v>3317</v>
      </c>
      <c r="D1134" t="s">
        <v>3318</v>
      </c>
      <c r="E1134">
        <v>7192051640</v>
      </c>
      <c r="F1134" t="s">
        <v>775</v>
      </c>
      <c r="G1134" t="s">
        <v>776</v>
      </c>
      <c r="I1134" t="s">
        <v>22</v>
      </c>
      <c r="J1134" s="13">
        <v>45958</v>
      </c>
      <c r="K1134" s="13">
        <v>46023</v>
      </c>
      <c r="L1134" t="s">
        <v>539</v>
      </c>
      <c r="M1134" t="s">
        <v>59</v>
      </c>
      <c r="N1134">
        <v>71224149</v>
      </c>
    </row>
    <row r="1135" spans="1:14" x14ac:dyDescent="0.25">
      <c r="A1135">
        <v>57533959</v>
      </c>
      <c r="B1135" t="s">
        <v>3319</v>
      </c>
      <c r="C1135" t="s">
        <v>3320</v>
      </c>
      <c r="D1135" t="s">
        <v>3321</v>
      </c>
      <c r="E1135">
        <v>3862931560</v>
      </c>
      <c r="F1135" t="s">
        <v>628</v>
      </c>
      <c r="G1135" t="s">
        <v>629</v>
      </c>
      <c r="I1135" t="s">
        <v>24</v>
      </c>
      <c r="J1135" s="13">
        <v>45958</v>
      </c>
      <c r="K1135" s="13">
        <v>46023</v>
      </c>
      <c r="L1135" t="s">
        <v>497</v>
      </c>
      <c r="M1135" t="s">
        <v>56</v>
      </c>
      <c r="N1135">
        <v>71224242</v>
      </c>
    </row>
    <row r="1136" spans="1:14" x14ac:dyDescent="0.25">
      <c r="A1136">
        <v>57534196</v>
      </c>
      <c r="B1136" t="s">
        <v>672</v>
      </c>
      <c r="C1136" t="s">
        <v>3322</v>
      </c>
      <c r="D1136" t="s">
        <v>3323</v>
      </c>
      <c r="E1136">
        <v>9045366100</v>
      </c>
      <c r="F1136" t="s">
        <v>684</v>
      </c>
      <c r="G1136" t="s">
        <v>685</v>
      </c>
      <c r="I1136" t="s">
        <v>686</v>
      </c>
      <c r="J1136" s="13">
        <v>45958</v>
      </c>
      <c r="K1136" s="13">
        <v>46023</v>
      </c>
      <c r="L1136" t="s">
        <v>497</v>
      </c>
      <c r="M1136" t="s">
        <v>59</v>
      </c>
      <c r="N1136">
        <v>71224361</v>
      </c>
    </row>
    <row r="1137" spans="1:14" x14ac:dyDescent="0.25">
      <c r="A1137">
        <v>57534166</v>
      </c>
      <c r="B1137" t="s">
        <v>1882</v>
      </c>
      <c r="C1137" t="s">
        <v>3324</v>
      </c>
      <c r="D1137" t="s">
        <v>3325</v>
      </c>
      <c r="E1137">
        <v>3344898665</v>
      </c>
      <c r="F1137" t="s">
        <v>693</v>
      </c>
      <c r="G1137" t="s">
        <v>694</v>
      </c>
      <c r="I1137" t="s">
        <v>103</v>
      </c>
      <c r="J1137" s="13">
        <v>45958</v>
      </c>
      <c r="K1137" s="13">
        <v>46023</v>
      </c>
      <c r="L1137" t="s">
        <v>450</v>
      </c>
      <c r="M1137" t="s">
        <v>56</v>
      </c>
      <c r="N1137">
        <v>71224375</v>
      </c>
    </row>
    <row r="1138" spans="1:14" x14ac:dyDescent="0.25">
      <c r="A1138">
        <v>57534693</v>
      </c>
      <c r="B1138" t="s">
        <v>3326</v>
      </c>
      <c r="C1138" t="s">
        <v>3327</v>
      </c>
      <c r="D1138" t="s">
        <v>3328</v>
      </c>
      <c r="E1138">
        <v>9363675661</v>
      </c>
      <c r="F1138" t="s">
        <v>870</v>
      </c>
      <c r="G1138" t="s">
        <v>871</v>
      </c>
      <c r="I1138" t="s">
        <v>872</v>
      </c>
      <c r="J1138" s="13">
        <v>45958</v>
      </c>
      <c r="K1138" s="13">
        <v>46023</v>
      </c>
      <c r="L1138" t="s">
        <v>444</v>
      </c>
      <c r="M1138" t="s">
        <v>61</v>
      </c>
      <c r="N1138">
        <v>71224772</v>
      </c>
    </row>
    <row r="1139" spans="1:14" x14ac:dyDescent="0.25">
      <c r="A1139">
        <v>57534732</v>
      </c>
      <c r="B1139" t="s">
        <v>1406</v>
      </c>
      <c r="C1139" t="s">
        <v>3329</v>
      </c>
      <c r="D1139" t="s">
        <v>3330</v>
      </c>
      <c r="E1139">
        <v>5203000997</v>
      </c>
      <c r="F1139" t="s">
        <v>574</v>
      </c>
      <c r="G1139" t="s">
        <v>575</v>
      </c>
      <c r="I1139" t="s">
        <v>14</v>
      </c>
      <c r="J1139" s="13">
        <v>45958</v>
      </c>
      <c r="K1139" s="13">
        <v>46023</v>
      </c>
      <c r="L1139" t="s">
        <v>1179</v>
      </c>
      <c r="M1139" t="s">
        <v>55</v>
      </c>
      <c r="N1139">
        <v>71224791</v>
      </c>
    </row>
    <row r="1140" spans="1:14" x14ac:dyDescent="0.25">
      <c r="A1140">
        <v>57534806</v>
      </c>
      <c r="B1140" t="s">
        <v>548</v>
      </c>
      <c r="C1140" t="s">
        <v>3331</v>
      </c>
      <c r="D1140" t="s">
        <v>3332</v>
      </c>
      <c r="E1140">
        <v>3214719922</v>
      </c>
      <c r="F1140" t="s">
        <v>667</v>
      </c>
      <c r="G1140" t="s">
        <v>668</v>
      </c>
      <c r="I1140" t="s">
        <v>37</v>
      </c>
      <c r="J1140" s="13">
        <v>45958</v>
      </c>
      <c r="K1140" s="13">
        <v>46023</v>
      </c>
      <c r="L1140" t="s">
        <v>497</v>
      </c>
      <c r="M1140" t="s">
        <v>56</v>
      </c>
      <c r="N1140">
        <v>71224836</v>
      </c>
    </row>
    <row r="1141" spans="1:14" x14ac:dyDescent="0.25">
      <c r="A1141">
        <v>57534906</v>
      </c>
      <c r="B1141" t="s">
        <v>1118</v>
      </c>
      <c r="C1141" t="s">
        <v>3333</v>
      </c>
      <c r="D1141" t="s">
        <v>3334</v>
      </c>
      <c r="E1141">
        <v>7273267907</v>
      </c>
      <c r="F1141" t="s">
        <v>1444</v>
      </c>
      <c r="G1141" t="s">
        <v>1445</v>
      </c>
      <c r="I1141" t="s">
        <v>1446</v>
      </c>
      <c r="J1141" s="13">
        <v>45958</v>
      </c>
      <c r="K1141" s="13">
        <v>46023</v>
      </c>
      <c r="L1141" t="s">
        <v>497</v>
      </c>
      <c r="M1141" t="s">
        <v>56</v>
      </c>
      <c r="N1141">
        <v>71224889</v>
      </c>
    </row>
    <row r="1142" spans="1:14" x14ac:dyDescent="0.25">
      <c r="A1142">
        <v>57534915</v>
      </c>
      <c r="B1142" t="s">
        <v>3335</v>
      </c>
      <c r="C1142" t="s">
        <v>2465</v>
      </c>
      <c r="D1142" t="s">
        <v>3336</v>
      </c>
      <c r="E1142">
        <v>4233076126</v>
      </c>
      <c r="F1142" t="s">
        <v>1003</v>
      </c>
      <c r="G1142" t="s">
        <v>1004</v>
      </c>
      <c r="I1142" t="s">
        <v>89</v>
      </c>
      <c r="J1142" s="13">
        <v>45958</v>
      </c>
      <c r="K1142" s="13">
        <v>46023</v>
      </c>
      <c r="L1142" t="s">
        <v>479</v>
      </c>
      <c r="M1142" t="s">
        <v>59</v>
      </c>
      <c r="N1142">
        <v>71224892</v>
      </c>
    </row>
    <row r="1143" spans="1:14" x14ac:dyDescent="0.25">
      <c r="A1143">
        <v>57535719</v>
      </c>
      <c r="B1143" t="s">
        <v>3337</v>
      </c>
      <c r="C1143" t="s">
        <v>1203</v>
      </c>
      <c r="D1143" t="s">
        <v>3338</v>
      </c>
      <c r="E1143">
        <v>9105814770</v>
      </c>
      <c r="F1143" t="s">
        <v>957</v>
      </c>
      <c r="G1143" t="s">
        <v>958</v>
      </c>
      <c r="H1143" t="s">
        <v>959</v>
      </c>
      <c r="I1143" t="s">
        <v>960</v>
      </c>
      <c r="J1143" s="13">
        <v>45958</v>
      </c>
      <c r="K1143" s="13">
        <v>46023</v>
      </c>
      <c r="L1143" t="s">
        <v>603</v>
      </c>
      <c r="M1143" t="s">
        <v>58</v>
      </c>
      <c r="N1143">
        <v>71225011</v>
      </c>
    </row>
    <row r="1144" spans="1:14" x14ac:dyDescent="0.25">
      <c r="A1144">
        <v>58289322</v>
      </c>
      <c r="B1144" t="s">
        <v>3339</v>
      </c>
      <c r="C1144" t="s">
        <v>3340</v>
      </c>
      <c r="D1144" t="s">
        <v>3341</v>
      </c>
      <c r="E1144">
        <v>6786972783</v>
      </c>
      <c r="F1144" t="s">
        <v>790</v>
      </c>
      <c r="G1144" t="s">
        <v>791</v>
      </c>
      <c r="I1144" t="s">
        <v>119</v>
      </c>
      <c r="J1144" s="13">
        <v>45982</v>
      </c>
      <c r="K1144" s="13">
        <v>46023</v>
      </c>
      <c r="L1144" t="s">
        <v>621</v>
      </c>
      <c r="M1144" t="s">
        <v>58</v>
      </c>
      <c r="N1144">
        <v>71225265</v>
      </c>
    </row>
    <row r="1145" spans="1:14" x14ac:dyDescent="0.25">
      <c r="A1145">
        <v>57535680</v>
      </c>
      <c r="B1145" t="s">
        <v>521</v>
      </c>
      <c r="C1145" t="s">
        <v>1258</v>
      </c>
      <c r="D1145" t="s">
        <v>3342</v>
      </c>
      <c r="E1145">
        <v>2765940668</v>
      </c>
      <c r="F1145" t="s">
        <v>928</v>
      </c>
      <c r="G1145" t="s">
        <v>929</v>
      </c>
      <c r="I1145" t="s">
        <v>30</v>
      </c>
      <c r="J1145" s="13">
        <v>45958</v>
      </c>
      <c r="K1145" s="13">
        <v>46023</v>
      </c>
      <c r="L1145" t="s">
        <v>454</v>
      </c>
      <c r="M1145" t="s">
        <v>56</v>
      </c>
      <c r="N1145">
        <v>71225389</v>
      </c>
    </row>
    <row r="1146" spans="1:14" x14ac:dyDescent="0.25">
      <c r="A1146">
        <v>57536716</v>
      </c>
      <c r="B1146" t="s">
        <v>3343</v>
      </c>
      <c r="C1146" t="s">
        <v>1036</v>
      </c>
      <c r="D1146" t="s">
        <v>3344</v>
      </c>
      <c r="E1146">
        <v>2039479390</v>
      </c>
      <c r="F1146" t="s">
        <v>649</v>
      </c>
      <c r="G1146" t="s">
        <v>650</v>
      </c>
      <c r="I1146" t="s">
        <v>28</v>
      </c>
      <c r="J1146" s="13">
        <v>45958</v>
      </c>
      <c r="K1146" s="13">
        <v>46023</v>
      </c>
      <c r="L1146" t="s">
        <v>454</v>
      </c>
      <c r="M1146" t="s">
        <v>58</v>
      </c>
      <c r="N1146">
        <v>71226019</v>
      </c>
    </row>
    <row r="1147" spans="1:14" x14ac:dyDescent="0.25">
      <c r="A1147">
        <v>57538308</v>
      </c>
      <c r="B1147" t="s">
        <v>3174</v>
      </c>
      <c r="C1147" t="s">
        <v>3345</v>
      </c>
      <c r="D1147" t="s">
        <v>3346</v>
      </c>
      <c r="E1147">
        <v>5139536968</v>
      </c>
      <c r="F1147" t="s">
        <v>1142</v>
      </c>
      <c r="G1147" t="s">
        <v>1143</v>
      </c>
      <c r="I1147" t="s">
        <v>124</v>
      </c>
      <c r="J1147" s="13">
        <v>45958</v>
      </c>
      <c r="K1147" s="13">
        <v>46023</v>
      </c>
      <c r="L1147" t="s">
        <v>418</v>
      </c>
      <c r="M1147" t="s">
        <v>58</v>
      </c>
      <c r="N1147">
        <v>71227313</v>
      </c>
    </row>
    <row r="1148" spans="1:14" x14ac:dyDescent="0.25">
      <c r="A1148">
        <v>57541691</v>
      </c>
      <c r="B1148" t="s">
        <v>1149</v>
      </c>
      <c r="C1148" t="s">
        <v>3347</v>
      </c>
      <c r="D1148" t="s">
        <v>3348</v>
      </c>
      <c r="E1148">
        <v>5203499835</v>
      </c>
      <c r="F1148" t="s">
        <v>474</v>
      </c>
      <c r="G1148" t="s">
        <v>475</v>
      </c>
      <c r="I1148" t="s">
        <v>132</v>
      </c>
      <c r="J1148" s="13">
        <v>45958</v>
      </c>
      <c r="K1148" s="13">
        <v>46023</v>
      </c>
      <c r="L1148" t="s">
        <v>1179</v>
      </c>
      <c r="M1148" t="s">
        <v>56</v>
      </c>
      <c r="N1148">
        <v>71229941</v>
      </c>
    </row>
    <row r="1149" spans="1:14" x14ac:dyDescent="0.25">
      <c r="A1149">
        <v>57542073</v>
      </c>
      <c r="B1149" t="s">
        <v>3349</v>
      </c>
      <c r="C1149" t="s">
        <v>766</v>
      </c>
      <c r="D1149" t="s">
        <v>3350</v>
      </c>
      <c r="E1149">
        <v>2178994300</v>
      </c>
      <c r="F1149" t="s">
        <v>448</v>
      </c>
      <c r="G1149" t="s">
        <v>449</v>
      </c>
      <c r="I1149" t="s">
        <v>31</v>
      </c>
      <c r="J1149" s="13">
        <v>45958</v>
      </c>
      <c r="K1149" s="13">
        <v>46023</v>
      </c>
      <c r="L1149" t="s">
        <v>470</v>
      </c>
      <c r="M1149" t="s">
        <v>59</v>
      </c>
      <c r="N1149">
        <v>71230233</v>
      </c>
    </row>
    <row r="1150" spans="1:14" x14ac:dyDescent="0.25">
      <c r="A1150">
        <v>57543485</v>
      </c>
      <c r="B1150" t="s">
        <v>3351</v>
      </c>
      <c r="C1150" t="s">
        <v>3352</v>
      </c>
      <c r="D1150" t="s">
        <v>3353</v>
      </c>
      <c r="E1150">
        <v>6024605574</v>
      </c>
      <c r="F1150" t="s">
        <v>993</v>
      </c>
      <c r="G1150" t="s">
        <v>994</v>
      </c>
      <c r="I1150" t="s">
        <v>995</v>
      </c>
      <c r="J1150" s="13">
        <v>45958</v>
      </c>
      <c r="K1150" s="13">
        <v>46023</v>
      </c>
      <c r="L1150" t="s">
        <v>1179</v>
      </c>
      <c r="M1150" t="s">
        <v>54</v>
      </c>
      <c r="N1150">
        <v>71231306</v>
      </c>
    </row>
    <row r="1151" spans="1:14" x14ac:dyDescent="0.25">
      <c r="A1151">
        <v>57544255</v>
      </c>
      <c r="B1151" t="s">
        <v>3354</v>
      </c>
      <c r="C1151" t="s">
        <v>3355</v>
      </c>
      <c r="D1151" t="s">
        <v>3356</v>
      </c>
      <c r="E1151">
        <v>3313126382</v>
      </c>
      <c r="F1151" t="s">
        <v>821</v>
      </c>
      <c r="G1151" t="s">
        <v>822</v>
      </c>
      <c r="I1151" t="s">
        <v>823</v>
      </c>
      <c r="J1151" s="13">
        <v>45958</v>
      </c>
      <c r="K1151" s="13">
        <v>46023</v>
      </c>
      <c r="L1151" t="s">
        <v>470</v>
      </c>
      <c r="M1151" t="s">
        <v>58</v>
      </c>
      <c r="N1151">
        <v>71231890</v>
      </c>
    </row>
    <row r="1152" spans="1:14" x14ac:dyDescent="0.25">
      <c r="A1152">
        <v>57544673</v>
      </c>
      <c r="B1152" t="s">
        <v>3311</v>
      </c>
      <c r="C1152" t="s">
        <v>3357</v>
      </c>
      <c r="D1152" t="s">
        <v>3358</v>
      </c>
      <c r="E1152">
        <v>4807103081</v>
      </c>
      <c r="F1152" t="s">
        <v>775</v>
      </c>
      <c r="G1152" t="s">
        <v>776</v>
      </c>
      <c r="I1152" t="s">
        <v>22</v>
      </c>
      <c r="J1152" s="13">
        <v>45958</v>
      </c>
      <c r="K1152" s="13">
        <v>46023</v>
      </c>
      <c r="L1152" t="s">
        <v>1179</v>
      </c>
      <c r="M1152" t="s">
        <v>56</v>
      </c>
      <c r="N1152">
        <v>71232232</v>
      </c>
    </row>
    <row r="1153" spans="1:14" x14ac:dyDescent="0.25">
      <c r="A1153">
        <v>57545355</v>
      </c>
      <c r="B1153" t="s">
        <v>3359</v>
      </c>
      <c r="C1153" t="s">
        <v>3360</v>
      </c>
      <c r="D1153" t="s">
        <v>3361</v>
      </c>
      <c r="E1153">
        <v>5202521877</v>
      </c>
      <c r="F1153" t="s">
        <v>423</v>
      </c>
      <c r="G1153" t="s">
        <v>424</v>
      </c>
      <c r="I1153" t="s">
        <v>46</v>
      </c>
      <c r="J1153" s="13">
        <v>45958</v>
      </c>
      <c r="K1153" s="13">
        <v>46023</v>
      </c>
      <c r="L1153" t="s">
        <v>1179</v>
      </c>
      <c r="M1153" t="s">
        <v>61</v>
      </c>
      <c r="N1153">
        <v>71233021</v>
      </c>
    </row>
    <row r="1154" spans="1:14" x14ac:dyDescent="0.25">
      <c r="A1154">
        <v>57545121</v>
      </c>
      <c r="B1154" t="s">
        <v>2019</v>
      </c>
      <c r="C1154" t="s">
        <v>1078</v>
      </c>
      <c r="D1154" t="s">
        <v>3362</v>
      </c>
      <c r="E1154">
        <v>9197489397</v>
      </c>
      <c r="F1154" t="s">
        <v>615</v>
      </c>
      <c r="G1154" t="s">
        <v>616</v>
      </c>
      <c r="I1154" t="s">
        <v>617</v>
      </c>
      <c r="J1154" s="13">
        <v>45958</v>
      </c>
      <c r="K1154" s="13">
        <v>46023</v>
      </c>
      <c r="L1154" t="s">
        <v>603</v>
      </c>
      <c r="M1154" t="s">
        <v>56</v>
      </c>
      <c r="N1154">
        <v>71233633</v>
      </c>
    </row>
    <row r="1155" spans="1:14" x14ac:dyDescent="0.25">
      <c r="A1155">
        <v>57545145</v>
      </c>
      <c r="B1155" t="s">
        <v>476</v>
      </c>
      <c r="C1155" t="s">
        <v>506</v>
      </c>
      <c r="D1155" t="s">
        <v>3363</v>
      </c>
      <c r="E1155">
        <v>6813681132</v>
      </c>
      <c r="F1155" t="s">
        <v>462</v>
      </c>
      <c r="G1155" t="s">
        <v>463</v>
      </c>
      <c r="I1155" t="s">
        <v>39</v>
      </c>
      <c r="J1155" s="13">
        <v>45958</v>
      </c>
      <c r="K1155" s="13">
        <v>46023</v>
      </c>
      <c r="L1155" t="s">
        <v>1188</v>
      </c>
      <c r="M1155" t="s">
        <v>56</v>
      </c>
      <c r="N1155">
        <v>71233811</v>
      </c>
    </row>
    <row r="1156" spans="1:14" x14ac:dyDescent="0.25">
      <c r="A1156">
        <v>57545158</v>
      </c>
      <c r="B1156" t="s">
        <v>1500</v>
      </c>
      <c r="C1156" t="s">
        <v>3364</v>
      </c>
      <c r="D1156" t="s">
        <v>3365</v>
      </c>
      <c r="E1156">
        <v>6813789604</v>
      </c>
      <c r="F1156" t="s">
        <v>592</v>
      </c>
      <c r="G1156" t="s">
        <v>593</v>
      </c>
      <c r="I1156" t="s">
        <v>115</v>
      </c>
      <c r="J1156" s="13">
        <v>45958</v>
      </c>
      <c r="K1156" s="13">
        <v>46023</v>
      </c>
      <c r="L1156" t="s">
        <v>1188</v>
      </c>
      <c r="M1156" t="s">
        <v>56</v>
      </c>
      <c r="N1156">
        <v>71233882</v>
      </c>
    </row>
    <row r="1157" spans="1:14" x14ac:dyDescent="0.25">
      <c r="A1157">
        <v>57545343</v>
      </c>
      <c r="B1157" t="s">
        <v>3366</v>
      </c>
      <c r="C1157" t="s">
        <v>3367</v>
      </c>
      <c r="D1157" t="s">
        <v>3368</v>
      </c>
      <c r="E1157">
        <v>3049721035</v>
      </c>
      <c r="F1157" t="s">
        <v>592</v>
      </c>
      <c r="G1157" t="s">
        <v>593</v>
      </c>
      <c r="I1157" t="s">
        <v>115</v>
      </c>
      <c r="J1157" s="13">
        <v>45958</v>
      </c>
      <c r="K1157" s="13">
        <v>46023</v>
      </c>
      <c r="L1157" t="s">
        <v>1188</v>
      </c>
      <c r="M1157" t="s">
        <v>56</v>
      </c>
      <c r="N1157">
        <v>71235115</v>
      </c>
    </row>
    <row r="1158" spans="1:14" x14ac:dyDescent="0.25">
      <c r="A1158">
        <v>57545896</v>
      </c>
      <c r="B1158" t="s">
        <v>676</v>
      </c>
      <c r="C1158" t="s">
        <v>3369</v>
      </c>
      <c r="D1158" t="s">
        <v>3370</v>
      </c>
      <c r="E1158">
        <v>8432458373</v>
      </c>
      <c r="F1158" t="s">
        <v>705</v>
      </c>
      <c r="G1158" t="s">
        <v>706</v>
      </c>
      <c r="I1158" t="s">
        <v>12</v>
      </c>
      <c r="J1158" s="13">
        <v>45958</v>
      </c>
      <c r="K1158" s="13">
        <v>46023</v>
      </c>
      <c r="L1158" t="s">
        <v>533</v>
      </c>
      <c r="M1158" t="s">
        <v>56</v>
      </c>
      <c r="N1158">
        <v>71237032</v>
      </c>
    </row>
    <row r="1159" spans="1:14" x14ac:dyDescent="0.25">
      <c r="A1159">
        <v>57545988</v>
      </c>
      <c r="B1159" t="s">
        <v>431</v>
      </c>
      <c r="C1159" t="s">
        <v>3371</v>
      </c>
      <c r="D1159" t="s">
        <v>3372</v>
      </c>
      <c r="E1159">
        <v>4043131466</v>
      </c>
      <c r="F1159" t="s">
        <v>798</v>
      </c>
      <c r="G1159" t="s">
        <v>799</v>
      </c>
      <c r="I1159" t="s">
        <v>800</v>
      </c>
      <c r="J1159" s="13">
        <v>45958</v>
      </c>
      <c r="K1159" s="13">
        <v>46023</v>
      </c>
      <c r="L1159" t="s">
        <v>621</v>
      </c>
      <c r="M1159" t="s">
        <v>55</v>
      </c>
      <c r="N1159">
        <v>71237715</v>
      </c>
    </row>
    <row r="1160" spans="1:14" x14ac:dyDescent="0.25">
      <c r="A1160">
        <v>58581528</v>
      </c>
      <c r="B1160" t="s">
        <v>3373</v>
      </c>
      <c r="C1160" t="s">
        <v>3374</v>
      </c>
      <c r="D1160" t="s">
        <v>3375</v>
      </c>
      <c r="E1160">
        <v>5123595288</v>
      </c>
      <c r="F1160" t="s">
        <v>423</v>
      </c>
      <c r="G1160" t="s">
        <v>424</v>
      </c>
      <c r="I1160" t="s">
        <v>46</v>
      </c>
      <c r="J1160" s="13">
        <v>45993</v>
      </c>
      <c r="K1160" s="13">
        <v>46023</v>
      </c>
      <c r="L1160" t="s">
        <v>444</v>
      </c>
      <c r="M1160" t="s">
        <v>59</v>
      </c>
      <c r="N1160">
        <v>71240635</v>
      </c>
    </row>
    <row r="1161" spans="1:14" x14ac:dyDescent="0.25">
      <c r="A1161">
        <v>57547183</v>
      </c>
      <c r="B1161" t="s">
        <v>812</v>
      </c>
      <c r="C1161" t="s">
        <v>3376</v>
      </c>
      <c r="D1161" t="s">
        <v>3377</v>
      </c>
      <c r="E1161">
        <v>8706541299</v>
      </c>
      <c r="F1161" t="s">
        <v>1142</v>
      </c>
      <c r="G1161" t="s">
        <v>1143</v>
      </c>
      <c r="I1161" t="s">
        <v>124</v>
      </c>
      <c r="J1161" s="13">
        <v>45958</v>
      </c>
      <c r="K1161" s="13">
        <v>46023</v>
      </c>
      <c r="L1161" t="s">
        <v>553</v>
      </c>
      <c r="M1161" t="s">
        <v>58</v>
      </c>
      <c r="N1161">
        <v>71242029</v>
      </c>
    </row>
    <row r="1162" spans="1:14" x14ac:dyDescent="0.25">
      <c r="A1162">
        <v>57548807</v>
      </c>
      <c r="B1162" t="s">
        <v>604</v>
      </c>
      <c r="C1162" t="s">
        <v>3378</v>
      </c>
      <c r="D1162" t="s">
        <v>3379</v>
      </c>
      <c r="E1162">
        <v>6233881183</v>
      </c>
      <c r="F1162" t="s">
        <v>423</v>
      </c>
      <c r="G1162" t="s">
        <v>424</v>
      </c>
      <c r="I1162" t="s">
        <v>46</v>
      </c>
      <c r="J1162" s="13">
        <v>45958</v>
      </c>
      <c r="K1162" s="13">
        <v>46023</v>
      </c>
      <c r="L1162" t="s">
        <v>1179</v>
      </c>
      <c r="M1162" t="s">
        <v>59</v>
      </c>
      <c r="N1162">
        <v>71242835</v>
      </c>
    </row>
    <row r="1163" spans="1:14" x14ac:dyDescent="0.25">
      <c r="A1163">
        <v>57548318</v>
      </c>
      <c r="B1163" t="s">
        <v>3380</v>
      </c>
      <c r="C1163" t="s">
        <v>1487</v>
      </c>
      <c r="D1163" t="s">
        <v>3381</v>
      </c>
      <c r="E1163">
        <v>5203089338</v>
      </c>
      <c r="F1163" t="s">
        <v>842</v>
      </c>
      <c r="G1163" t="s">
        <v>1213</v>
      </c>
      <c r="I1163" t="s">
        <v>1214</v>
      </c>
      <c r="J1163" s="13">
        <v>45958</v>
      </c>
      <c r="K1163" s="13">
        <v>46023</v>
      </c>
      <c r="L1163" t="s">
        <v>1179</v>
      </c>
      <c r="M1163" t="s">
        <v>54</v>
      </c>
      <c r="N1163">
        <v>71242836</v>
      </c>
    </row>
    <row r="1164" spans="1:14" x14ac:dyDescent="0.25">
      <c r="A1164">
        <v>57548427</v>
      </c>
      <c r="B1164" t="s">
        <v>604</v>
      </c>
      <c r="C1164" t="s">
        <v>3382</v>
      </c>
      <c r="D1164" t="s">
        <v>3383</v>
      </c>
      <c r="E1164">
        <v>6155253298</v>
      </c>
      <c r="F1164" t="s">
        <v>474</v>
      </c>
      <c r="G1164" t="s">
        <v>475</v>
      </c>
      <c r="I1164" t="s">
        <v>132</v>
      </c>
      <c r="J1164" s="13">
        <v>45958</v>
      </c>
      <c r="K1164" s="13">
        <v>46023</v>
      </c>
      <c r="L1164" t="s">
        <v>479</v>
      </c>
      <c r="M1164" t="s">
        <v>59</v>
      </c>
      <c r="N1164">
        <v>71242934</v>
      </c>
    </row>
    <row r="1165" spans="1:14" x14ac:dyDescent="0.25">
      <c r="A1165">
        <v>57548655</v>
      </c>
      <c r="B1165" t="s">
        <v>724</v>
      </c>
      <c r="C1165" t="s">
        <v>3384</v>
      </c>
      <c r="D1165" t="s">
        <v>3385</v>
      </c>
      <c r="E1165">
        <v>8126329939</v>
      </c>
      <c r="F1165" t="s">
        <v>628</v>
      </c>
      <c r="G1165" t="s">
        <v>629</v>
      </c>
      <c r="I1165" t="s">
        <v>24</v>
      </c>
      <c r="J1165" s="13">
        <v>45958</v>
      </c>
      <c r="K1165" s="13">
        <v>46023</v>
      </c>
      <c r="L1165" t="s">
        <v>440</v>
      </c>
      <c r="M1165" t="s">
        <v>58</v>
      </c>
      <c r="N1165">
        <v>71243102</v>
      </c>
    </row>
    <row r="1166" spans="1:14" x14ac:dyDescent="0.25">
      <c r="A1166">
        <v>57548944</v>
      </c>
      <c r="B1166" t="s">
        <v>3386</v>
      </c>
      <c r="C1166" t="s">
        <v>2281</v>
      </c>
      <c r="D1166" t="s">
        <v>3387</v>
      </c>
      <c r="E1166">
        <v>7869152698</v>
      </c>
      <c r="F1166" t="s">
        <v>1067</v>
      </c>
      <c r="G1166" t="s">
        <v>1068</v>
      </c>
      <c r="I1166" t="s">
        <v>35</v>
      </c>
      <c r="J1166" s="13">
        <v>45958</v>
      </c>
      <c r="K1166" s="13">
        <v>46023</v>
      </c>
      <c r="L1166" t="s">
        <v>497</v>
      </c>
      <c r="M1166" t="s">
        <v>58</v>
      </c>
      <c r="N1166">
        <v>71243293</v>
      </c>
    </row>
    <row r="1167" spans="1:14" x14ac:dyDescent="0.25">
      <c r="A1167">
        <v>57550099</v>
      </c>
      <c r="B1167" t="s">
        <v>3388</v>
      </c>
      <c r="C1167" t="s">
        <v>3389</v>
      </c>
      <c r="D1167" t="s">
        <v>3390</v>
      </c>
      <c r="E1167">
        <v>7573870103</v>
      </c>
      <c r="F1167" t="s">
        <v>448</v>
      </c>
      <c r="G1167" t="s">
        <v>449</v>
      </c>
      <c r="I1167" t="s">
        <v>31</v>
      </c>
      <c r="J1167" s="13">
        <v>45958</v>
      </c>
      <c r="K1167" s="13">
        <v>46023</v>
      </c>
      <c r="L1167" t="s">
        <v>454</v>
      </c>
      <c r="M1167" t="s">
        <v>419</v>
      </c>
      <c r="N1167">
        <v>71244198</v>
      </c>
    </row>
    <row r="1168" spans="1:14" x14ac:dyDescent="0.25">
      <c r="A1168">
        <v>57550461</v>
      </c>
      <c r="B1168" t="s">
        <v>980</v>
      </c>
      <c r="C1168" t="s">
        <v>3391</v>
      </c>
      <c r="D1168" t="s">
        <v>3392</v>
      </c>
      <c r="E1168">
        <v>7855171116</v>
      </c>
      <c r="F1168" t="s">
        <v>416</v>
      </c>
      <c r="G1168" t="s">
        <v>417</v>
      </c>
      <c r="I1168" t="s">
        <v>26</v>
      </c>
      <c r="J1168" s="13">
        <v>45958</v>
      </c>
      <c r="K1168" s="13">
        <v>46023</v>
      </c>
      <c r="L1168" t="s">
        <v>520</v>
      </c>
      <c r="M1168" t="s">
        <v>56</v>
      </c>
      <c r="N1168">
        <v>71244441</v>
      </c>
    </row>
    <row r="1169" spans="1:14" x14ac:dyDescent="0.25">
      <c r="A1169">
        <v>57550483</v>
      </c>
      <c r="B1169" t="s">
        <v>676</v>
      </c>
      <c r="C1169" t="s">
        <v>1873</v>
      </c>
      <c r="D1169" t="s">
        <v>3393</v>
      </c>
      <c r="E1169">
        <v>6025181461</v>
      </c>
      <c r="F1169" t="s">
        <v>766</v>
      </c>
      <c r="G1169" t="s">
        <v>767</v>
      </c>
      <c r="I1169" t="s">
        <v>88</v>
      </c>
      <c r="J1169" s="13">
        <v>45958</v>
      </c>
      <c r="K1169" s="13">
        <v>46023</v>
      </c>
      <c r="L1169" t="s">
        <v>1179</v>
      </c>
      <c r="M1169" t="s">
        <v>55</v>
      </c>
      <c r="N1169">
        <v>71244476</v>
      </c>
    </row>
    <row r="1170" spans="1:14" x14ac:dyDescent="0.25">
      <c r="A1170">
        <v>57550759</v>
      </c>
      <c r="B1170" t="s">
        <v>784</v>
      </c>
      <c r="C1170" t="s">
        <v>903</v>
      </c>
      <c r="D1170" t="s">
        <v>3394</v>
      </c>
      <c r="E1170">
        <v>8502743210</v>
      </c>
      <c r="F1170" t="s">
        <v>615</v>
      </c>
      <c r="G1170" t="s">
        <v>616</v>
      </c>
      <c r="I1170" t="s">
        <v>617</v>
      </c>
      <c r="J1170" s="13">
        <v>45958</v>
      </c>
      <c r="K1170" s="13">
        <v>46023</v>
      </c>
      <c r="L1170" t="s">
        <v>497</v>
      </c>
      <c r="M1170" t="s">
        <v>58</v>
      </c>
      <c r="N1170">
        <v>71244652</v>
      </c>
    </row>
    <row r="1171" spans="1:14" x14ac:dyDescent="0.25">
      <c r="A1171">
        <v>57551196</v>
      </c>
      <c r="B1171" t="s">
        <v>2071</v>
      </c>
      <c r="C1171" t="s">
        <v>3395</v>
      </c>
      <c r="D1171" t="s">
        <v>3396</v>
      </c>
      <c r="E1171">
        <v>7732900819</v>
      </c>
      <c r="F1171" t="s">
        <v>592</v>
      </c>
      <c r="G1171" t="s">
        <v>593</v>
      </c>
      <c r="I1171" t="s">
        <v>115</v>
      </c>
      <c r="J1171" s="13">
        <v>45958</v>
      </c>
      <c r="K1171" s="13">
        <v>46023</v>
      </c>
      <c r="L1171" t="s">
        <v>470</v>
      </c>
      <c r="M1171" t="s">
        <v>60</v>
      </c>
      <c r="N1171">
        <v>71244924</v>
      </c>
    </row>
    <row r="1172" spans="1:14" x14ac:dyDescent="0.25">
      <c r="A1172">
        <v>57551636</v>
      </c>
      <c r="B1172" t="s">
        <v>3397</v>
      </c>
      <c r="C1172" t="s">
        <v>2849</v>
      </c>
      <c r="D1172" t="s">
        <v>3398</v>
      </c>
      <c r="E1172">
        <v>5572028536</v>
      </c>
      <c r="F1172" t="s">
        <v>693</v>
      </c>
      <c r="G1172" t="s">
        <v>694</v>
      </c>
      <c r="I1172" t="s">
        <v>103</v>
      </c>
      <c r="J1172" s="13">
        <v>45958</v>
      </c>
      <c r="K1172" s="13">
        <v>46023</v>
      </c>
      <c r="L1172" t="s">
        <v>434</v>
      </c>
      <c r="M1172" t="s">
        <v>56</v>
      </c>
      <c r="N1172">
        <v>71245246</v>
      </c>
    </row>
    <row r="1173" spans="1:14" x14ac:dyDescent="0.25">
      <c r="A1173">
        <v>57552122</v>
      </c>
      <c r="B1173" t="s">
        <v>3014</v>
      </c>
      <c r="C1173" t="s">
        <v>3399</v>
      </c>
      <c r="D1173" t="s">
        <v>3400</v>
      </c>
      <c r="E1173">
        <v>9377177234</v>
      </c>
      <c r="F1173" t="s">
        <v>684</v>
      </c>
      <c r="G1173" t="s">
        <v>685</v>
      </c>
      <c r="I1173" t="s">
        <v>686</v>
      </c>
      <c r="J1173" s="13">
        <v>45958</v>
      </c>
      <c r="K1173" s="13">
        <v>46023</v>
      </c>
      <c r="L1173" t="s">
        <v>479</v>
      </c>
      <c r="M1173" t="s">
        <v>59</v>
      </c>
      <c r="N1173">
        <v>71245473</v>
      </c>
    </row>
    <row r="1174" spans="1:14" x14ac:dyDescent="0.25">
      <c r="A1174">
        <v>57552064</v>
      </c>
      <c r="B1174" t="s">
        <v>3401</v>
      </c>
      <c r="C1174" t="s">
        <v>2978</v>
      </c>
      <c r="D1174" t="s">
        <v>3402</v>
      </c>
      <c r="E1174">
        <v>9013159146</v>
      </c>
      <c r="F1174" t="s">
        <v>842</v>
      </c>
      <c r="G1174" t="s">
        <v>843</v>
      </c>
      <c r="I1174" t="s">
        <v>98</v>
      </c>
      <c r="J1174" s="13">
        <v>45958</v>
      </c>
      <c r="K1174" s="13">
        <v>46023</v>
      </c>
      <c r="L1174" t="s">
        <v>479</v>
      </c>
      <c r="M1174" t="s">
        <v>59</v>
      </c>
      <c r="N1174">
        <v>71245536</v>
      </c>
    </row>
    <row r="1175" spans="1:14" x14ac:dyDescent="0.25">
      <c r="A1175">
        <v>57552119</v>
      </c>
      <c r="B1175" t="s">
        <v>951</v>
      </c>
      <c r="C1175" t="s">
        <v>3403</v>
      </c>
      <c r="D1175" t="s">
        <v>3404</v>
      </c>
      <c r="E1175">
        <v>6023638708</v>
      </c>
      <c r="F1175" t="s">
        <v>649</v>
      </c>
      <c r="G1175" t="s">
        <v>650</v>
      </c>
      <c r="I1175" t="s">
        <v>28</v>
      </c>
      <c r="J1175" s="13">
        <v>45958</v>
      </c>
      <c r="K1175" s="13">
        <v>46023</v>
      </c>
      <c r="L1175" t="s">
        <v>1179</v>
      </c>
      <c r="M1175" t="s">
        <v>55</v>
      </c>
      <c r="N1175">
        <v>71245558</v>
      </c>
    </row>
    <row r="1176" spans="1:14" x14ac:dyDescent="0.25">
      <c r="A1176">
        <v>57552232</v>
      </c>
      <c r="B1176" t="s">
        <v>1316</v>
      </c>
      <c r="C1176" t="s">
        <v>3405</v>
      </c>
      <c r="D1176" t="s">
        <v>3406</v>
      </c>
      <c r="E1176">
        <v>9287063874</v>
      </c>
      <c r="F1176" t="s">
        <v>1013</v>
      </c>
      <c r="G1176" t="s">
        <v>1014</v>
      </c>
      <c r="I1176" t="s">
        <v>43</v>
      </c>
      <c r="J1176" s="13">
        <v>45958</v>
      </c>
      <c r="K1176" s="13">
        <v>46023</v>
      </c>
      <c r="L1176" t="s">
        <v>1179</v>
      </c>
      <c r="M1176" t="s">
        <v>56</v>
      </c>
      <c r="N1176">
        <v>71245620</v>
      </c>
    </row>
    <row r="1177" spans="1:14" x14ac:dyDescent="0.25">
      <c r="A1177">
        <v>57552336</v>
      </c>
      <c r="B1177" t="s">
        <v>3407</v>
      </c>
      <c r="C1177" t="s">
        <v>3408</v>
      </c>
      <c r="D1177" t="s">
        <v>3409</v>
      </c>
      <c r="E1177">
        <v>5204205317</v>
      </c>
      <c r="F1177" t="s">
        <v>462</v>
      </c>
      <c r="G1177" t="s">
        <v>463</v>
      </c>
      <c r="I1177" t="s">
        <v>39</v>
      </c>
      <c r="J1177" s="13">
        <v>45958</v>
      </c>
      <c r="K1177" s="13">
        <v>46023</v>
      </c>
      <c r="L1177" t="s">
        <v>1179</v>
      </c>
      <c r="M1177" t="s">
        <v>54</v>
      </c>
      <c r="N1177">
        <v>71245699</v>
      </c>
    </row>
    <row r="1178" spans="1:14" x14ac:dyDescent="0.25">
      <c r="A1178">
        <v>57554683</v>
      </c>
      <c r="B1178" t="s">
        <v>768</v>
      </c>
      <c r="C1178" t="s">
        <v>3410</v>
      </c>
      <c r="D1178" t="s">
        <v>3411</v>
      </c>
      <c r="E1178">
        <v>8705011212</v>
      </c>
      <c r="F1178" t="s">
        <v>705</v>
      </c>
      <c r="G1178" t="s">
        <v>706</v>
      </c>
      <c r="I1178" t="s">
        <v>12</v>
      </c>
      <c r="J1178" s="13">
        <v>45958</v>
      </c>
      <c r="K1178" s="13">
        <v>46023</v>
      </c>
      <c r="L1178" t="s">
        <v>553</v>
      </c>
      <c r="M1178" t="s">
        <v>60</v>
      </c>
      <c r="N1178">
        <v>71247472</v>
      </c>
    </row>
    <row r="1179" spans="1:14" x14ac:dyDescent="0.25">
      <c r="A1179">
        <v>57558238</v>
      </c>
      <c r="B1179" t="s">
        <v>3412</v>
      </c>
      <c r="C1179" t="s">
        <v>3413</v>
      </c>
      <c r="D1179" t="s">
        <v>3414</v>
      </c>
      <c r="E1179">
        <v>4804539792</v>
      </c>
      <c r="F1179" t="s">
        <v>423</v>
      </c>
      <c r="G1179" t="s">
        <v>424</v>
      </c>
      <c r="I1179" t="s">
        <v>46</v>
      </c>
      <c r="J1179" s="13">
        <v>45958</v>
      </c>
      <c r="K1179" s="13">
        <v>46023</v>
      </c>
      <c r="L1179" t="s">
        <v>1179</v>
      </c>
      <c r="M1179" t="s">
        <v>56</v>
      </c>
      <c r="N1179">
        <v>71248257</v>
      </c>
    </row>
    <row r="1180" spans="1:14" x14ac:dyDescent="0.25">
      <c r="A1180">
        <v>57559659</v>
      </c>
      <c r="B1180" t="s">
        <v>695</v>
      </c>
      <c r="C1180" t="s">
        <v>1292</v>
      </c>
      <c r="D1180" t="s">
        <v>3415</v>
      </c>
      <c r="E1180">
        <v>2252209964</v>
      </c>
      <c r="F1180" t="s">
        <v>628</v>
      </c>
      <c r="G1180" t="s">
        <v>629</v>
      </c>
      <c r="I1180" t="s">
        <v>24</v>
      </c>
      <c r="J1180" s="13">
        <v>45958</v>
      </c>
      <c r="K1180" s="13">
        <v>46023</v>
      </c>
      <c r="L1180" t="s">
        <v>612</v>
      </c>
      <c r="M1180" t="s">
        <v>58</v>
      </c>
      <c r="N1180">
        <v>71251170</v>
      </c>
    </row>
    <row r="1181" spans="1:14" x14ac:dyDescent="0.25">
      <c r="A1181">
        <v>57560544</v>
      </c>
      <c r="B1181" t="s">
        <v>1106</v>
      </c>
      <c r="C1181" t="s">
        <v>3416</v>
      </c>
      <c r="D1181" t="s">
        <v>3417</v>
      </c>
      <c r="E1181">
        <v>2564902452</v>
      </c>
      <c r="F1181" t="s">
        <v>821</v>
      </c>
      <c r="G1181" t="s">
        <v>822</v>
      </c>
      <c r="I1181" t="s">
        <v>823</v>
      </c>
      <c r="J1181" s="13">
        <v>45958</v>
      </c>
      <c r="K1181" s="13">
        <v>46023</v>
      </c>
      <c r="L1181" t="s">
        <v>450</v>
      </c>
      <c r="M1181" t="s">
        <v>58</v>
      </c>
      <c r="N1181">
        <v>71251873</v>
      </c>
    </row>
    <row r="1182" spans="1:14" x14ac:dyDescent="0.25">
      <c r="A1182">
        <v>57562270</v>
      </c>
      <c r="B1182" t="s">
        <v>2639</v>
      </c>
      <c r="C1182" t="s">
        <v>1950</v>
      </c>
      <c r="D1182" t="s">
        <v>3418</v>
      </c>
      <c r="E1182">
        <v>4803641959</v>
      </c>
      <c r="F1182" t="s">
        <v>807</v>
      </c>
      <c r="G1182" t="s">
        <v>808</v>
      </c>
      <c r="I1182" t="s">
        <v>33</v>
      </c>
      <c r="J1182" s="13">
        <v>45958</v>
      </c>
      <c r="K1182" s="13">
        <v>46023</v>
      </c>
      <c r="L1182" t="s">
        <v>1179</v>
      </c>
      <c r="M1182" t="s">
        <v>54</v>
      </c>
      <c r="N1182">
        <v>71253123</v>
      </c>
    </row>
    <row r="1183" spans="1:14" x14ac:dyDescent="0.25">
      <c r="A1183">
        <v>57562848</v>
      </c>
      <c r="B1183" t="s">
        <v>3419</v>
      </c>
      <c r="C1183" t="s">
        <v>3420</v>
      </c>
      <c r="D1183" t="s">
        <v>3421</v>
      </c>
      <c r="E1183">
        <v>4803646724</v>
      </c>
      <c r="F1183" t="s">
        <v>807</v>
      </c>
      <c r="G1183" t="s">
        <v>808</v>
      </c>
      <c r="I1183" t="s">
        <v>33</v>
      </c>
      <c r="J1183" s="13">
        <v>45958</v>
      </c>
      <c r="K1183" s="13">
        <v>46023</v>
      </c>
      <c r="L1183" t="s">
        <v>1179</v>
      </c>
      <c r="M1183" t="s">
        <v>54</v>
      </c>
      <c r="N1183">
        <v>71253526</v>
      </c>
    </row>
    <row r="1184" spans="1:14" x14ac:dyDescent="0.25">
      <c r="A1184">
        <v>57563036</v>
      </c>
      <c r="B1184" t="s">
        <v>1784</v>
      </c>
      <c r="C1184" t="s">
        <v>3422</v>
      </c>
      <c r="D1184" t="s">
        <v>3423</v>
      </c>
      <c r="E1184">
        <v>6025764007</v>
      </c>
      <c r="F1184" t="s">
        <v>993</v>
      </c>
      <c r="G1184" t="s">
        <v>994</v>
      </c>
      <c r="I1184" t="s">
        <v>995</v>
      </c>
      <c r="J1184" s="13">
        <v>45958</v>
      </c>
      <c r="K1184" s="13">
        <v>46023</v>
      </c>
      <c r="L1184" t="s">
        <v>1179</v>
      </c>
      <c r="M1184" t="s">
        <v>54</v>
      </c>
      <c r="N1184">
        <v>71253648</v>
      </c>
    </row>
    <row r="1185" spans="1:14" x14ac:dyDescent="0.25">
      <c r="A1185">
        <v>57563650</v>
      </c>
      <c r="B1185" t="s">
        <v>888</v>
      </c>
      <c r="C1185" t="s">
        <v>903</v>
      </c>
      <c r="D1185" t="s">
        <v>3424</v>
      </c>
      <c r="E1185">
        <v>2164968164</v>
      </c>
      <c r="F1185" t="s">
        <v>474</v>
      </c>
      <c r="G1185" t="s">
        <v>475</v>
      </c>
      <c r="I1185" t="s">
        <v>132</v>
      </c>
      <c r="J1185" s="13">
        <v>45958</v>
      </c>
      <c r="K1185" s="13">
        <v>46023</v>
      </c>
      <c r="L1185" t="s">
        <v>418</v>
      </c>
      <c r="M1185" t="s">
        <v>59</v>
      </c>
      <c r="N1185">
        <v>71254077</v>
      </c>
    </row>
    <row r="1186" spans="1:14" x14ac:dyDescent="0.25">
      <c r="A1186">
        <v>57565715</v>
      </c>
      <c r="B1186" t="s">
        <v>1213</v>
      </c>
      <c r="C1186" t="s">
        <v>1177</v>
      </c>
      <c r="D1186" t="s">
        <v>3425</v>
      </c>
      <c r="E1186">
        <v>7734418286</v>
      </c>
      <c r="F1186" t="s">
        <v>592</v>
      </c>
      <c r="G1186" t="s">
        <v>593</v>
      </c>
      <c r="I1186" t="s">
        <v>115</v>
      </c>
      <c r="J1186" s="13">
        <v>45958</v>
      </c>
      <c r="K1186" s="13">
        <v>46023</v>
      </c>
      <c r="L1186" t="s">
        <v>470</v>
      </c>
      <c r="M1186" t="s">
        <v>60</v>
      </c>
      <c r="N1186">
        <v>71255654</v>
      </c>
    </row>
    <row r="1187" spans="1:14" x14ac:dyDescent="0.25">
      <c r="A1187">
        <v>57569075</v>
      </c>
      <c r="B1187" t="s">
        <v>3426</v>
      </c>
      <c r="C1187" t="s">
        <v>1203</v>
      </c>
      <c r="D1187" t="s">
        <v>3427</v>
      </c>
      <c r="E1187">
        <v>3342671998</v>
      </c>
      <c r="F1187" t="s">
        <v>790</v>
      </c>
      <c r="G1187" t="s">
        <v>791</v>
      </c>
      <c r="I1187" t="s">
        <v>119</v>
      </c>
      <c r="J1187" s="13">
        <v>45958</v>
      </c>
      <c r="K1187" s="13">
        <v>46023</v>
      </c>
      <c r="L1187" t="s">
        <v>450</v>
      </c>
      <c r="M1187" t="s">
        <v>56</v>
      </c>
      <c r="N1187">
        <v>71256044</v>
      </c>
    </row>
    <row r="1188" spans="1:14" x14ac:dyDescent="0.25">
      <c r="A1188">
        <v>57566323</v>
      </c>
      <c r="B1188" t="s">
        <v>1316</v>
      </c>
      <c r="C1188" t="s">
        <v>1300</v>
      </c>
      <c r="D1188" t="s">
        <v>3428</v>
      </c>
      <c r="E1188">
        <v>7707448652</v>
      </c>
      <c r="F1188" t="s">
        <v>842</v>
      </c>
      <c r="G1188" t="s">
        <v>843</v>
      </c>
      <c r="I1188" t="s">
        <v>98</v>
      </c>
      <c r="J1188" s="13">
        <v>45958</v>
      </c>
      <c r="K1188" s="13">
        <v>46023</v>
      </c>
      <c r="L1188" t="s">
        <v>621</v>
      </c>
      <c r="M1188" t="s">
        <v>59</v>
      </c>
      <c r="N1188">
        <v>71256077</v>
      </c>
    </row>
    <row r="1189" spans="1:14" x14ac:dyDescent="0.25">
      <c r="A1189">
        <v>57566429</v>
      </c>
      <c r="B1189" t="s">
        <v>2639</v>
      </c>
      <c r="C1189" t="s">
        <v>3429</v>
      </c>
      <c r="D1189" t="s">
        <v>3430</v>
      </c>
      <c r="E1189">
        <v>3213067741</v>
      </c>
      <c r="F1189" t="s">
        <v>870</v>
      </c>
      <c r="G1189" t="s">
        <v>871</v>
      </c>
      <c r="I1189" t="s">
        <v>872</v>
      </c>
      <c r="J1189" s="13">
        <v>45958</v>
      </c>
      <c r="K1189" s="13">
        <v>46023</v>
      </c>
      <c r="L1189" t="s">
        <v>470</v>
      </c>
      <c r="M1189" t="s">
        <v>60</v>
      </c>
      <c r="N1189">
        <v>71256165</v>
      </c>
    </row>
    <row r="1190" spans="1:14" x14ac:dyDescent="0.25">
      <c r="A1190">
        <v>57568417</v>
      </c>
      <c r="B1190" t="s">
        <v>3252</v>
      </c>
      <c r="C1190" t="s">
        <v>2918</v>
      </c>
      <c r="D1190" t="s">
        <v>3431</v>
      </c>
      <c r="E1190">
        <v>8593332896</v>
      </c>
      <c r="F1190" t="s">
        <v>462</v>
      </c>
      <c r="G1190" t="s">
        <v>463</v>
      </c>
      <c r="I1190" t="s">
        <v>39</v>
      </c>
      <c r="J1190" s="13">
        <v>45958</v>
      </c>
      <c r="K1190" s="13">
        <v>46023</v>
      </c>
      <c r="L1190" t="s">
        <v>490</v>
      </c>
      <c r="M1190" t="s">
        <v>56</v>
      </c>
      <c r="N1190">
        <v>71257709</v>
      </c>
    </row>
    <row r="1191" spans="1:14" x14ac:dyDescent="0.25">
      <c r="A1191">
        <v>61296694</v>
      </c>
      <c r="B1191" t="s">
        <v>3432</v>
      </c>
      <c r="C1191" t="s">
        <v>3433</v>
      </c>
      <c r="D1191" t="s">
        <v>3434</v>
      </c>
      <c r="E1191">
        <v>5205545516</v>
      </c>
      <c r="F1191" t="s">
        <v>775</v>
      </c>
      <c r="G1191" t="s">
        <v>776</v>
      </c>
      <c r="I1191" t="s">
        <v>22</v>
      </c>
      <c r="J1191" s="13">
        <v>46092</v>
      </c>
      <c r="K1191" s="13">
        <v>46113</v>
      </c>
      <c r="L1191" t="s">
        <v>1179</v>
      </c>
      <c r="M1191" t="s">
        <v>54</v>
      </c>
      <c r="N1191">
        <v>71258162</v>
      </c>
    </row>
    <row r="1192" spans="1:14" x14ac:dyDescent="0.25">
      <c r="A1192">
        <v>57569502</v>
      </c>
      <c r="B1192" t="s">
        <v>3435</v>
      </c>
      <c r="C1192" t="s">
        <v>3436</v>
      </c>
      <c r="D1192" t="s">
        <v>3437</v>
      </c>
      <c r="E1192">
        <v>8646192514</v>
      </c>
      <c r="F1192" t="s">
        <v>1398</v>
      </c>
      <c r="G1192" t="s">
        <v>1399</v>
      </c>
      <c r="I1192" t="s">
        <v>1400</v>
      </c>
      <c r="J1192" s="13">
        <v>45958</v>
      </c>
      <c r="K1192" s="13">
        <v>46023</v>
      </c>
      <c r="L1192" t="s">
        <v>533</v>
      </c>
      <c r="M1192" t="s">
        <v>59</v>
      </c>
      <c r="N1192">
        <v>71258208</v>
      </c>
    </row>
    <row r="1193" spans="1:14" x14ac:dyDescent="0.25">
      <c r="A1193">
        <v>57569307</v>
      </c>
      <c r="B1193" t="s">
        <v>3438</v>
      </c>
      <c r="C1193" t="s">
        <v>3410</v>
      </c>
      <c r="D1193" t="s">
        <v>3439</v>
      </c>
      <c r="E1193">
        <v>3139802139</v>
      </c>
      <c r="F1193" t="s">
        <v>705</v>
      </c>
      <c r="G1193" t="s">
        <v>706</v>
      </c>
      <c r="I1193" t="s">
        <v>12</v>
      </c>
      <c r="J1193" s="13">
        <v>45958</v>
      </c>
      <c r="K1193" s="13">
        <v>46023</v>
      </c>
      <c r="L1193" t="s">
        <v>553</v>
      </c>
      <c r="M1193" t="s">
        <v>58</v>
      </c>
      <c r="N1193">
        <v>71258433</v>
      </c>
    </row>
    <row r="1194" spans="1:14" x14ac:dyDescent="0.25">
      <c r="A1194">
        <v>57569631</v>
      </c>
      <c r="B1194" t="s">
        <v>1566</v>
      </c>
      <c r="C1194" t="s">
        <v>3440</v>
      </c>
      <c r="D1194" t="s">
        <v>3441</v>
      </c>
      <c r="E1194">
        <v>4695441498</v>
      </c>
      <c r="F1194" t="s">
        <v>1003</v>
      </c>
      <c r="G1194" t="s">
        <v>1004</v>
      </c>
      <c r="I1194" t="s">
        <v>89</v>
      </c>
      <c r="J1194" s="13">
        <v>45958</v>
      </c>
      <c r="K1194" s="13">
        <v>46023</v>
      </c>
      <c r="L1194" t="s">
        <v>444</v>
      </c>
      <c r="M1194" t="s">
        <v>58</v>
      </c>
      <c r="N1194">
        <v>71258681</v>
      </c>
    </row>
    <row r="1195" spans="1:14" x14ac:dyDescent="0.25">
      <c r="A1195">
        <v>57570525</v>
      </c>
      <c r="B1195" t="s">
        <v>431</v>
      </c>
      <c r="C1195" t="s">
        <v>512</v>
      </c>
      <c r="D1195" t="s">
        <v>3442</v>
      </c>
      <c r="E1195">
        <v>2396031461</v>
      </c>
      <c r="F1195" t="s">
        <v>780</v>
      </c>
      <c r="G1195" t="s">
        <v>781</v>
      </c>
      <c r="I1195" t="s">
        <v>20</v>
      </c>
      <c r="J1195" s="13">
        <v>45958</v>
      </c>
      <c r="K1195" s="13">
        <v>46023</v>
      </c>
      <c r="L1195" t="s">
        <v>497</v>
      </c>
      <c r="M1195" t="s">
        <v>56</v>
      </c>
      <c r="N1195">
        <v>71259374</v>
      </c>
    </row>
    <row r="1196" spans="1:14" x14ac:dyDescent="0.25">
      <c r="A1196">
        <v>57570671</v>
      </c>
      <c r="B1196" t="s">
        <v>3443</v>
      </c>
      <c r="C1196" t="s">
        <v>3444</v>
      </c>
      <c r="D1196" t="s">
        <v>3445</v>
      </c>
      <c r="E1196" t="s">
        <v>3446</v>
      </c>
      <c r="F1196" t="s">
        <v>1013</v>
      </c>
      <c r="G1196" t="s">
        <v>1014</v>
      </c>
      <c r="I1196" t="s">
        <v>43</v>
      </c>
      <c r="J1196" s="13">
        <v>45958</v>
      </c>
      <c r="K1196" s="13">
        <v>46023</v>
      </c>
      <c r="L1196" t="s">
        <v>418</v>
      </c>
      <c r="M1196" t="s">
        <v>58</v>
      </c>
      <c r="N1196">
        <v>71259497</v>
      </c>
    </row>
    <row r="1197" spans="1:14" x14ac:dyDescent="0.25">
      <c r="A1197">
        <v>57571828</v>
      </c>
      <c r="B1197" t="s">
        <v>431</v>
      </c>
      <c r="C1197" t="s">
        <v>3447</v>
      </c>
      <c r="D1197" t="s">
        <v>3448</v>
      </c>
      <c r="E1197">
        <v>4802621609</v>
      </c>
      <c r="F1197" t="s">
        <v>766</v>
      </c>
      <c r="G1197" t="s">
        <v>767</v>
      </c>
      <c r="I1197" t="s">
        <v>88</v>
      </c>
      <c r="J1197" s="13">
        <v>45958</v>
      </c>
      <c r="K1197" s="13">
        <v>46023</v>
      </c>
      <c r="L1197" t="s">
        <v>1179</v>
      </c>
      <c r="M1197" t="s">
        <v>59</v>
      </c>
      <c r="N1197">
        <v>71260394</v>
      </c>
    </row>
    <row r="1198" spans="1:14" x14ac:dyDescent="0.25">
      <c r="A1198">
        <v>57571995</v>
      </c>
      <c r="B1198" t="s">
        <v>521</v>
      </c>
      <c r="C1198" t="s">
        <v>1258</v>
      </c>
      <c r="D1198" t="s">
        <v>3449</v>
      </c>
      <c r="E1198">
        <v>7725840046</v>
      </c>
      <c r="F1198" t="s">
        <v>448</v>
      </c>
      <c r="G1198" t="s">
        <v>449</v>
      </c>
      <c r="I1198" t="s">
        <v>31</v>
      </c>
      <c r="J1198" s="13">
        <v>45958</v>
      </c>
      <c r="K1198" s="13">
        <v>46023</v>
      </c>
      <c r="L1198" t="s">
        <v>497</v>
      </c>
      <c r="M1198" t="s">
        <v>56</v>
      </c>
      <c r="N1198">
        <v>71260522</v>
      </c>
    </row>
    <row r="1199" spans="1:14" x14ac:dyDescent="0.25">
      <c r="A1199">
        <v>57572295</v>
      </c>
      <c r="B1199" t="s">
        <v>879</v>
      </c>
      <c r="C1199" t="s">
        <v>2672</v>
      </c>
      <c r="D1199" t="s">
        <v>3450</v>
      </c>
      <c r="E1199">
        <v>7579494973</v>
      </c>
      <c r="F1199" t="s">
        <v>815</v>
      </c>
      <c r="G1199" t="s">
        <v>816</v>
      </c>
      <c r="I1199" t="s">
        <v>23</v>
      </c>
      <c r="J1199" s="13">
        <v>45958</v>
      </c>
      <c r="K1199" s="13">
        <v>46023</v>
      </c>
      <c r="L1199" t="s">
        <v>454</v>
      </c>
      <c r="M1199" t="s">
        <v>56</v>
      </c>
      <c r="N1199">
        <v>71260738</v>
      </c>
    </row>
    <row r="1200" spans="1:14" x14ac:dyDescent="0.25">
      <c r="A1200">
        <v>57572351</v>
      </c>
      <c r="B1200" t="s">
        <v>3451</v>
      </c>
      <c r="C1200" t="s">
        <v>3452</v>
      </c>
      <c r="D1200" t="s">
        <v>3453</v>
      </c>
      <c r="E1200">
        <v>9192157053</v>
      </c>
      <c r="F1200" t="s">
        <v>1067</v>
      </c>
      <c r="G1200" t="s">
        <v>1068</v>
      </c>
      <c r="I1200" t="s">
        <v>35</v>
      </c>
      <c r="J1200" s="13">
        <v>45958</v>
      </c>
      <c r="K1200" s="13">
        <v>46023</v>
      </c>
      <c r="L1200" t="s">
        <v>603</v>
      </c>
      <c r="M1200" t="s">
        <v>56</v>
      </c>
      <c r="N1200">
        <v>71260779</v>
      </c>
    </row>
    <row r="1201" spans="1:14" x14ac:dyDescent="0.25">
      <c r="A1201">
        <v>57572441</v>
      </c>
      <c r="B1201" t="s">
        <v>3454</v>
      </c>
      <c r="C1201" t="s">
        <v>698</v>
      </c>
      <c r="D1201" t="s">
        <v>3455</v>
      </c>
      <c r="E1201">
        <v>3368298108</v>
      </c>
      <c r="F1201" t="s">
        <v>474</v>
      </c>
      <c r="G1201" t="s">
        <v>475</v>
      </c>
      <c r="I1201" t="s">
        <v>132</v>
      </c>
      <c r="J1201" s="13">
        <v>45958</v>
      </c>
      <c r="K1201" s="13">
        <v>46023</v>
      </c>
      <c r="L1201" t="s">
        <v>603</v>
      </c>
      <c r="M1201" t="s">
        <v>56</v>
      </c>
      <c r="N1201">
        <v>71260835</v>
      </c>
    </row>
    <row r="1202" spans="1:14" x14ac:dyDescent="0.25">
      <c r="A1202">
        <v>57572533</v>
      </c>
      <c r="B1202" t="s">
        <v>1089</v>
      </c>
      <c r="C1202" t="s">
        <v>707</v>
      </c>
      <c r="D1202" t="s">
        <v>3456</v>
      </c>
      <c r="E1202">
        <v>5737577359</v>
      </c>
      <c r="F1202" t="s">
        <v>684</v>
      </c>
      <c r="G1202" t="s">
        <v>685</v>
      </c>
      <c r="I1202" t="s">
        <v>686</v>
      </c>
      <c r="J1202" s="13">
        <v>45958</v>
      </c>
      <c r="K1202" s="13">
        <v>46023</v>
      </c>
      <c r="L1202" t="s">
        <v>434</v>
      </c>
      <c r="M1202" t="s">
        <v>419</v>
      </c>
      <c r="N1202">
        <v>71260871</v>
      </c>
    </row>
    <row r="1203" spans="1:14" x14ac:dyDescent="0.25">
      <c r="A1203">
        <v>57572575</v>
      </c>
      <c r="B1203" t="s">
        <v>975</v>
      </c>
      <c r="C1203" t="s">
        <v>3457</v>
      </c>
      <c r="D1203" t="s">
        <v>3458</v>
      </c>
      <c r="E1203">
        <v>2392642002</v>
      </c>
      <c r="F1203" t="s">
        <v>780</v>
      </c>
      <c r="G1203" t="s">
        <v>781</v>
      </c>
      <c r="I1203" t="s">
        <v>20</v>
      </c>
      <c r="J1203" s="13">
        <v>45958</v>
      </c>
      <c r="K1203" s="13">
        <v>46023</v>
      </c>
      <c r="L1203" t="s">
        <v>497</v>
      </c>
      <c r="M1203" t="s">
        <v>56</v>
      </c>
      <c r="N1203">
        <v>71260912</v>
      </c>
    </row>
    <row r="1204" spans="1:14" x14ac:dyDescent="0.25">
      <c r="A1204">
        <v>59640446</v>
      </c>
      <c r="B1204" t="s">
        <v>3459</v>
      </c>
      <c r="C1204" t="s">
        <v>3460</v>
      </c>
      <c r="D1204" t="s">
        <v>3461</v>
      </c>
      <c r="E1204">
        <v>6027998699</v>
      </c>
      <c r="F1204" t="s">
        <v>416</v>
      </c>
      <c r="G1204" t="s">
        <v>417</v>
      </c>
      <c r="I1204" t="s">
        <v>26</v>
      </c>
      <c r="J1204" s="13">
        <v>46038</v>
      </c>
      <c r="K1204" s="13">
        <v>46054</v>
      </c>
      <c r="L1204" t="s">
        <v>1179</v>
      </c>
      <c r="M1204" t="s">
        <v>55</v>
      </c>
      <c r="N1204">
        <v>71261165</v>
      </c>
    </row>
    <row r="1205" spans="1:14" x14ac:dyDescent="0.25">
      <c r="A1205">
        <v>57573300</v>
      </c>
      <c r="B1205" t="s">
        <v>1029</v>
      </c>
      <c r="C1205" t="s">
        <v>3462</v>
      </c>
      <c r="D1205" t="s">
        <v>3463</v>
      </c>
      <c r="E1205">
        <v>6232460522</v>
      </c>
      <c r="F1205" t="s">
        <v>993</v>
      </c>
      <c r="G1205" t="s">
        <v>994</v>
      </c>
      <c r="I1205" t="s">
        <v>995</v>
      </c>
      <c r="J1205" s="13">
        <v>45958</v>
      </c>
      <c r="K1205" s="13">
        <v>46023</v>
      </c>
      <c r="L1205" t="s">
        <v>1179</v>
      </c>
      <c r="M1205" t="s">
        <v>54</v>
      </c>
      <c r="N1205">
        <v>71261455</v>
      </c>
    </row>
    <row r="1206" spans="1:14" x14ac:dyDescent="0.25">
      <c r="A1206">
        <v>57573915</v>
      </c>
      <c r="B1206" t="s">
        <v>467</v>
      </c>
      <c r="C1206" t="s">
        <v>3464</v>
      </c>
      <c r="D1206" t="s">
        <v>3465</v>
      </c>
      <c r="E1206">
        <v>9045023352</v>
      </c>
      <c r="F1206" t="s">
        <v>667</v>
      </c>
      <c r="G1206" t="s">
        <v>668</v>
      </c>
      <c r="I1206" t="s">
        <v>37</v>
      </c>
      <c r="J1206" s="13">
        <v>45958</v>
      </c>
      <c r="K1206" s="13">
        <v>46023</v>
      </c>
      <c r="L1206" t="s">
        <v>497</v>
      </c>
      <c r="M1206" t="s">
        <v>61</v>
      </c>
      <c r="N1206">
        <v>71261634</v>
      </c>
    </row>
    <row r="1207" spans="1:14" x14ac:dyDescent="0.25">
      <c r="A1207">
        <v>57573599</v>
      </c>
      <c r="B1207" t="s">
        <v>3466</v>
      </c>
      <c r="C1207" t="s">
        <v>3467</v>
      </c>
      <c r="D1207" t="s">
        <v>3468</v>
      </c>
      <c r="E1207">
        <v>5123595288</v>
      </c>
      <c r="F1207" t="s">
        <v>448</v>
      </c>
      <c r="G1207" t="s">
        <v>449</v>
      </c>
      <c r="I1207" t="s">
        <v>31</v>
      </c>
      <c r="J1207" s="13">
        <v>45958</v>
      </c>
      <c r="K1207" s="13">
        <v>46023</v>
      </c>
      <c r="L1207" t="s">
        <v>444</v>
      </c>
      <c r="M1207" t="s">
        <v>59</v>
      </c>
      <c r="N1207">
        <v>71261735</v>
      </c>
    </row>
    <row r="1208" spans="1:14" x14ac:dyDescent="0.25">
      <c r="A1208">
        <v>57573663</v>
      </c>
      <c r="B1208" t="s">
        <v>1751</v>
      </c>
      <c r="C1208" t="s">
        <v>2521</v>
      </c>
      <c r="D1208" t="s">
        <v>3469</v>
      </c>
      <c r="E1208">
        <v>6028184857</v>
      </c>
      <c r="F1208" t="s">
        <v>775</v>
      </c>
      <c r="G1208" t="s">
        <v>776</v>
      </c>
      <c r="I1208" t="s">
        <v>22</v>
      </c>
      <c r="J1208" s="13">
        <v>45958</v>
      </c>
      <c r="K1208" s="13">
        <v>46023</v>
      </c>
      <c r="L1208" t="s">
        <v>1179</v>
      </c>
      <c r="M1208" t="s">
        <v>61</v>
      </c>
      <c r="N1208">
        <v>71261771</v>
      </c>
    </row>
    <row r="1209" spans="1:14" x14ac:dyDescent="0.25">
      <c r="A1209">
        <v>57573687</v>
      </c>
      <c r="B1209" t="s">
        <v>1864</v>
      </c>
      <c r="C1209" t="s">
        <v>3470</v>
      </c>
      <c r="D1209" t="s">
        <v>3471</v>
      </c>
      <c r="E1209">
        <v>5204004334</v>
      </c>
      <c r="F1209" t="s">
        <v>770</v>
      </c>
      <c r="G1209" t="s">
        <v>771</v>
      </c>
      <c r="I1209" t="s">
        <v>25</v>
      </c>
      <c r="J1209" s="13">
        <v>45958</v>
      </c>
      <c r="K1209" s="13">
        <v>46023</v>
      </c>
      <c r="L1209" t="s">
        <v>1179</v>
      </c>
      <c r="M1209" t="s">
        <v>59</v>
      </c>
      <c r="N1209">
        <v>71261789</v>
      </c>
    </row>
    <row r="1210" spans="1:14" x14ac:dyDescent="0.25">
      <c r="A1210">
        <v>57573973</v>
      </c>
      <c r="B1210" t="s">
        <v>1406</v>
      </c>
      <c r="C1210" t="s">
        <v>3472</v>
      </c>
      <c r="D1210" t="s">
        <v>3473</v>
      </c>
      <c r="E1210">
        <v>2073325730</v>
      </c>
      <c r="F1210" t="s">
        <v>448</v>
      </c>
      <c r="G1210" t="s">
        <v>449</v>
      </c>
      <c r="I1210" t="s">
        <v>31</v>
      </c>
      <c r="J1210" s="13">
        <v>45946</v>
      </c>
      <c r="K1210" s="13">
        <v>46023</v>
      </c>
      <c r="L1210" t="s">
        <v>941</v>
      </c>
      <c r="M1210" t="s">
        <v>58</v>
      </c>
      <c r="N1210">
        <v>71262005</v>
      </c>
    </row>
    <row r="1211" spans="1:14" x14ac:dyDescent="0.25">
      <c r="A1211">
        <v>57574216</v>
      </c>
      <c r="B1211" t="s">
        <v>3474</v>
      </c>
      <c r="C1211" t="s">
        <v>472</v>
      </c>
      <c r="D1211" t="s">
        <v>3475</v>
      </c>
      <c r="E1211">
        <v>3302570492</v>
      </c>
      <c r="F1211" t="s">
        <v>790</v>
      </c>
      <c r="G1211" t="s">
        <v>791</v>
      </c>
      <c r="I1211" t="s">
        <v>119</v>
      </c>
      <c r="J1211" s="13">
        <v>45958</v>
      </c>
      <c r="K1211" s="13">
        <v>46023</v>
      </c>
      <c r="L1211" t="s">
        <v>418</v>
      </c>
      <c r="M1211" t="s">
        <v>419</v>
      </c>
      <c r="N1211">
        <v>71262294</v>
      </c>
    </row>
    <row r="1212" spans="1:14" x14ac:dyDescent="0.25">
      <c r="A1212">
        <v>57574664</v>
      </c>
      <c r="B1212" t="s">
        <v>718</v>
      </c>
      <c r="C1212" t="s">
        <v>1428</v>
      </c>
      <c r="D1212" t="s">
        <v>3476</v>
      </c>
      <c r="E1212">
        <v>5402193578</v>
      </c>
      <c r="F1212" t="s">
        <v>684</v>
      </c>
      <c r="G1212" t="s">
        <v>685</v>
      </c>
      <c r="I1212" t="s">
        <v>686</v>
      </c>
      <c r="J1212" s="13">
        <v>45958</v>
      </c>
      <c r="K1212" s="13">
        <v>46023</v>
      </c>
      <c r="L1212" t="s">
        <v>454</v>
      </c>
      <c r="M1212" t="s">
        <v>56</v>
      </c>
      <c r="N1212">
        <v>71262594</v>
      </c>
    </row>
    <row r="1213" spans="1:14" x14ac:dyDescent="0.25">
      <c r="A1213">
        <v>57577403</v>
      </c>
      <c r="B1213" t="s">
        <v>580</v>
      </c>
      <c r="C1213" t="s">
        <v>3477</v>
      </c>
      <c r="D1213" t="s">
        <v>3478</v>
      </c>
      <c r="E1213">
        <v>4232852562</v>
      </c>
      <c r="F1213" t="s">
        <v>474</v>
      </c>
      <c r="G1213" t="s">
        <v>475</v>
      </c>
      <c r="I1213" t="s">
        <v>132</v>
      </c>
      <c r="J1213" s="13">
        <v>45959</v>
      </c>
      <c r="K1213" s="13">
        <v>46023</v>
      </c>
      <c r="L1213" t="s">
        <v>479</v>
      </c>
      <c r="M1213" t="s">
        <v>59</v>
      </c>
      <c r="N1213">
        <v>71264684</v>
      </c>
    </row>
    <row r="1214" spans="1:14" x14ac:dyDescent="0.25">
      <c r="A1214">
        <v>57581030</v>
      </c>
      <c r="B1214" t="s">
        <v>3269</v>
      </c>
      <c r="C1214" t="s">
        <v>1995</v>
      </c>
      <c r="D1214" t="s">
        <v>3479</v>
      </c>
      <c r="E1214">
        <v>5406241055</v>
      </c>
      <c r="F1214" t="s">
        <v>1003</v>
      </c>
      <c r="G1214" t="s">
        <v>1004</v>
      </c>
      <c r="I1214" t="s">
        <v>89</v>
      </c>
      <c r="J1214" s="13">
        <v>45959</v>
      </c>
      <c r="K1214" s="13">
        <v>46023</v>
      </c>
      <c r="L1214" t="s">
        <v>454</v>
      </c>
      <c r="M1214" t="s">
        <v>56</v>
      </c>
      <c r="N1214">
        <v>71267317</v>
      </c>
    </row>
    <row r="1215" spans="1:14" x14ac:dyDescent="0.25">
      <c r="A1215">
        <v>57582405</v>
      </c>
      <c r="B1215" t="s">
        <v>3021</v>
      </c>
      <c r="C1215" t="s">
        <v>3480</v>
      </c>
      <c r="D1215" t="s">
        <v>3481</v>
      </c>
      <c r="E1215">
        <v>3128599341</v>
      </c>
      <c r="F1215" t="s">
        <v>423</v>
      </c>
      <c r="G1215" t="s">
        <v>424</v>
      </c>
      <c r="I1215" t="s">
        <v>46</v>
      </c>
      <c r="J1215" s="13">
        <v>45959</v>
      </c>
      <c r="K1215" s="13">
        <v>46023</v>
      </c>
      <c r="L1215" t="s">
        <v>470</v>
      </c>
      <c r="M1215" t="s">
        <v>60</v>
      </c>
      <c r="N1215">
        <v>71267897</v>
      </c>
    </row>
    <row r="1216" spans="1:14" x14ac:dyDescent="0.25">
      <c r="A1216">
        <v>57586039</v>
      </c>
      <c r="B1216" t="s">
        <v>3482</v>
      </c>
      <c r="C1216" t="s">
        <v>3483</v>
      </c>
      <c r="D1216" t="s">
        <v>3484</v>
      </c>
      <c r="E1216">
        <v>3365093971</v>
      </c>
      <c r="F1216" t="s">
        <v>957</v>
      </c>
      <c r="G1216" t="s">
        <v>958</v>
      </c>
      <c r="H1216" t="s">
        <v>959</v>
      </c>
      <c r="I1216" t="s">
        <v>960</v>
      </c>
      <c r="J1216" s="13">
        <v>45959</v>
      </c>
      <c r="K1216" s="13">
        <v>46023</v>
      </c>
      <c r="L1216" t="s">
        <v>603</v>
      </c>
      <c r="M1216" t="s">
        <v>58</v>
      </c>
      <c r="N1216">
        <v>71268236</v>
      </c>
    </row>
    <row r="1217" spans="1:14" x14ac:dyDescent="0.25">
      <c r="A1217">
        <v>57583491</v>
      </c>
      <c r="B1217" t="s">
        <v>3485</v>
      </c>
      <c r="C1217" t="s">
        <v>3486</v>
      </c>
      <c r="D1217" t="s">
        <v>3487</v>
      </c>
      <c r="E1217">
        <v>9034878831</v>
      </c>
      <c r="F1217" t="s">
        <v>574</v>
      </c>
      <c r="G1217" t="s">
        <v>575</v>
      </c>
      <c r="I1217" t="s">
        <v>14</v>
      </c>
      <c r="J1217" s="13">
        <v>45959</v>
      </c>
      <c r="K1217" s="13">
        <v>46023</v>
      </c>
      <c r="L1217" t="s">
        <v>444</v>
      </c>
      <c r="M1217" t="s">
        <v>56</v>
      </c>
      <c r="N1217">
        <v>71269090</v>
      </c>
    </row>
    <row r="1218" spans="1:14" x14ac:dyDescent="0.25">
      <c r="A1218">
        <v>57584701</v>
      </c>
      <c r="B1218" t="s">
        <v>3488</v>
      </c>
      <c r="C1218" t="s">
        <v>1222</v>
      </c>
      <c r="D1218" t="s">
        <v>3489</v>
      </c>
      <c r="E1218">
        <v>4234561670</v>
      </c>
      <c r="F1218" t="s">
        <v>649</v>
      </c>
      <c r="G1218" t="s">
        <v>650</v>
      </c>
      <c r="I1218" t="s">
        <v>28</v>
      </c>
      <c r="J1218" s="13">
        <v>45959</v>
      </c>
      <c r="K1218" s="13">
        <v>46023</v>
      </c>
      <c r="L1218" t="s">
        <v>479</v>
      </c>
      <c r="M1218" t="s">
        <v>58</v>
      </c>
      <c r="N1218">
        <v>71269950</v>
      </c>
    </row>
    <row r="1219" spans="1:14" x14ac:dyDescent="0.25">
      <c r="A1219">
        <v>57584818</v>
      </c>
      <c r="B1219" t="s">
        <v>3490</v>
      </c>
      <c r="C1219" t="s">
        <v>3491</v>
      </c>
      <c r="D1219" t="s">
        <v>3492</v>
      </c>
      <c r="E1219">
        <v>4234636330</v>
      </c>
      <c r="F1219" t="s">
        <v>1267</v>
      </c>
      <c r="G1219" t="s">
        <v>1268</v>
      </c>
      <c r="I1219" t="s">
        <v>1269</v>
      </c>
      <c r="J1219" s="13">
        <v>45959</v>
      </c>
      <c r="K1219" s="13">
        <v>46023</v>
      </c>
      <c r="L1219" t="s">
        <v>479</v>
      </c>
      <c r="M1219" t="s">
        <v>61</v>
      </c>
      <c r="N1219">
        <v>71270029</v>
      </c>
    </row>
    <row r="1220" spans="1:14" x14ac:dyDescent="0.25">
      <c r="A1220">
        <v>57585118</v>
      </c>
      <c r="B1220" t="s">
        <v>3493</v>
      </c>
      <c r="C1220" t="s">
        <v>3494</v>
      </c>
      <c r="D1220" t="s">
        <v>3495</v>
      </c>
      <c r="E1220">
        <v>4782907291</v>
      </c>
      <c r="F1220" t="s">
        <v>615</v>
      </c>
      <c r="G1220" t="s">
        <v>616</v>
      </c>
      <c r="I1220" t="s">
        <v>617</v>
      </c>
      <c r="J1220" s="13">
        <v>45959</v>
      </c>
      <c r="K1220" s="13">
        <v>46023</v>
      </c>
      <c r="L1220" t="s">
        <v>621</v>
      </c>
      <c r="M1220" t="s">
        <v>60</v>
      </c>
      <c r="N1220">
        <v>71270254</v>
      </c>
    </row>
    <row r="1221" spans="1:14" x14ac:dyDescent="0.25">
      <c r="A1221">
        <v>57585929</v>
      </c>
      <c r="B1221" t="s">
        <v>3496</v>
      </c>
      <c r="C1221" t="s">
        <v>3497</v>
      </c>
      <c r="D1221" t="s">
        <v>3498</v>
      </c>
      <c r="E1221">
        <v>7575619307</v>
      </c>
      <c r="F1221" t="s">
        <v>705</v>
      </c>
      <c r="G1221" t="s">
        <v>706</v>
      </c>
      <c r="I1221" t="s">
        <v>12</v>
      </c>
      <c r="J1221" s="13">
        <v>45959</v>
      </c>
      <c r="K1221" s="13">
        <v>46023</v>
      </c>
      <c r="L1221" t="s">
        <v>454</v>
      </c>
      <c r="M1221" t="s">
        <v>58</v>
      </c>
      <c r="N1221">
        <v>71270771</v>
      </c>
    </row>
    <row r="1222" spans="1:14" x14ac:dyDescent="0.25">
      <c r="A1222">
        <v>57586352</v>
      </c>
      <c r="B1222" t="s">
        <v>3499</v>
      </c>
      <c r="C1222" t="s">
        <v>3500</v>
      </c>
      <c r="D1222" t="s">
        <v>3501</v>
      </c>
      <c r="E1222">
        <v>3302601538</v>
      </c>
      <c r="F1222" t="s">
        <v>790</v>
      </c>
      <c r="G1222" t="s">
        <v>791</v>
      </c>
      <c r="I1222" t="s">
        <v>119</v>
      </c>
      <c r="J1222" s="13">
        <v>45959</v>
      </c>
      <c r="K1222" s="13">
        <v>46023</v>
      </c>
      <c r="L1222" t="s">
        <v>418</v>
      </c>
      <c r="M1222" t="s">
        <v>419</v>
      </c>
      <c r="N1222">
        <v>71270774</v>
      </c>
    </row>
    <row r="1223" spans="1:14" x14ac:dyDescent="0.25">
      <c r="A1223">
        <v>57586021</v>
      </c>
      <c r="B1223" t="s">
        <v>3502</v>
      </c>
      <c r="C1223" t="s">
        <v>3503</v>
      </c>
      <c r="D1223" t="s">
        <v>3504</v>
      </c>
      <c r="E1223">
        <v>2172010665</v>
      </c>
      <c r="F1223" t="s">
        <v>821</v>
      </c>
      <c r="G1223" t="s">
        <v>822</v>
      </c>
      <c r="I1223" t="s">
        <v>823</v>
      </c>
      <c r="J1223" s="13">
        <v>45959</v>
      </c>
      <c r="K1223" s="13">
        <v>46023</v>
      </c>
      <c r="L1223" t="s">
        <v>470</v>
      </c>
      <c r="M1223" t="s">
        <v>58</v>
      </c>
      <c r="N1223">
        <v>71270824</v>
      </c>
    </row>
    <row r="1224" spans="1:14" x14ac:dyDescent="0.25">
      <c r="A1224">
        <v>57586076</v>
      </c>
      <c r="B1224" t="s">
        <v>718</v>
      </c>
      <c r="C1224" t="s">
        <v>546</v>
      </c>
      <c r="D1224" t="s">
        <v>3505</v>
      </c>
      <c r="E1224">
        <v>9045784809</v>
      </c>
      <c r="F1224" t="s">
        <v>1444</v>
      </c>
      <c r="G1224" t="s">
        <v>1445</v>
      </c>
      <c r="I1224" t="s">
        <v>1446</v>
      </c>
      <c r="J1224" s="13">
        <v>45959</v>
      </c>
      <c r="K1224" s="13">
        <v>46023</v>
      </c>
      <c r="L1224" t="s">
        <v>497</v>
      </c>
      <c r="M1224" t="s">
        <v>59</v>
      </c>
      <c r="N1224">
        <v>71270855</v>
      </c>
    </row>
    <row r="1225" spans="1:14" x14ac:dyDescent="0.25">
      <c r="A1225">
        <v>57586208</v>
      </c>
      <c r="B1225" t="s">
        <v>2418</v>
      </c>
      <c r="C1225" t="s">
        <v>3506</v>
      </c>
      <c r="D1225" t="s">
        <v>3507</v>
      </c>
      <c r="E1225">
        <v>7033716074</v>
      </c>
      <c r="F1225" t="s">
        <v>569</v>
      </c>
      <c r="G1225" t="s">
        <v>570</v>
      </c>
      <c r="I1225" t="s">
        <v>34</v>
      </c>
      <c r="J1225" s="13">
        <v>45959</v>
      </c>
      <c r="K1225" s="13">
        <v>46023</v>
      </c>
      <c r="L1225" t="s">
        <v>454</v>
      </c>
      <c r="M1225" t="s">
        <v>56</v>
      </c>
      <c r="N1225">
        <v>71270946</v>
      </c>
    </row>
    <row r="1226" spans="1:14" x14ac:dyDescent="0.25">
      <c r="A1226">
        <v>57586751</v>
      </c>
      <c r="B1226" t="s">
        <v>691</v>
      </c>
      <c r="C1226" t="s">
        <v>3508</v>
      </c>
      <c r="D1226" t="s">
        <v>3509</v>
      </c>
      <c r="E1226">
        <v>3046950181</v>
      </c>
      <c r="F1226" t="s">
        <v>1067</v>
      </c>
      <c r="G1226" t="s">
        <v>1068</v>
      </c>
      <c r="I1226" t="s">
        <v>35</v>
      </c>
      <c r="J1226" s="13">
        <v>45959</v>
      </c>
      <c r="K1226" s="13">
        <v>46023</v>
      </c>
      <c r="L1226" t="s">
        <v>1188</v>
      </c>
      <c r="M1226" t="s">
        <v>56</v>
      </c>
      <c r="N1226">
        <v>71271290</v>
      </c>
    </row>
    <row r="1227" spans="1:14" x14ac:dyDescent="0.25">
      <c r="A1227">
        <v>57586792</v>
      </c>
      <c r="B1227" t="s">
        <v>2947</v>
      </c>
      <c r="C1227" t="s">
        <v>3510</v>
      </c>
      <c r="D1227" t="s">
        <v>3511</v>
      </c>
      <c r="E1227">
        <v>3045382619</v>
      </c>
      <c r="F1227" t="s">
        <v>474</v>
      </c>
      <c r="G1227" t="s">
        <v>475</v>
      </c>
      <c r="I1227" t="s">
        <v>132</v>
      </c>
      <c r="J1227" s="13">
        <v>45959</v>
      </c>
      <c r="K1227" s="13">
        <v>46023</v>
      </c>
      <c r="L1227" t="s">
        <v>1188</v>
      </c>
      <c r="M1227" t="s">
        <v>56</v>
      </c>
      <c r="N1227">
        <v>71271324</v>
      </c>
    </row>
    <row r="1228" spans="1:14" x14ac:dyDescent="0.25">
      <c r="A1228">
        <v>57586883</v>
      </c>
      <c r="B1228" t="s">
        <v>672</v>
      </c>
      <c r="C1228" t="s">
        <v>3512</v>
      </c>
      <c r="D1228" t="s">
        <v>3513</v>
      </c>
      <c r="E1228">
        <v>4402580568</v>
      </c>
      <c r="F1228" t="s">
        <v>770</v>
      </c>
      <c r="G1228" t="s">
        <v>771</v>
      </c>
      <c r="I1228" t="s">
        <v>25</v>
      </c>
      <c r="J1228" s="13">
        <v>45959</v>
      </c>
      <c r="K1228" s="13">
        <v>46023</v>
      </c>
      <c r="L1228" t="s">
        <v>418</v>
      </c>
      <c r="M1228" t="s">
        <v>419</v>
      </c>
      <c r="N1228">
        <v>71271367</v>
      </c>
    </row>
    <row r="1229" spans="1:14" x14ac:dyDescent="0.25">
      <c r="A1229">
        <v>57586924</v>
      </c>
      <c r="B1229" t="s">
        <v>888</v>
      </c>
      <c r="C1229" t="s">
        <v>522</v>
      </c>
      <c r="D1229" t="s">
        <v>3514</v>
      </c>
      <c r="E1229">
        <v>8043825027</v>
      </c>
      <c r="F1229" t="s">
        <v>416</v>
      </c>
      <c r="G1229" t="s">
        <v>417</v>
      </c>
      <c r="I1229" t="s">
        <v>26</v>
      </c>
      <c r="J1229" s="13">
        <v>45959</v>
      </c>
      <c r="K1229" s="13">
        <v>46023</v>
      </c>
      <c r="L1229" t="s">
        <v>454</v>
      </c>
      <c r="M1229" t="s">
        <v>419</v>
      </c>
      <c r="N1229">
        <v>71271370</v>
      </c>
    </row>
    <row r="1230" spans="1:14" x14ac:dyDescent="0.25">
      <c r="A1230">
        <v>57587074</v>
      </c>
      <c r="B1230" t="s">
        <v>1118</v>
      </c>
      <c r="C1230" t="s">
        <v>3515</v>
      </c>
      <c r="D1230" t="s">
        <v>3516</v>
      </c>
      <c r="E1230">
        <v>6817771133</v>
      </c>
      <c r="F1230" t="s">
        <v>462</v>
      </c>
      <c r="G1230" t="s">
        <v>463</v>
      </c>
      <c r="I1230" t="s">
        <v>39</v>
      </c>
      <c r="J1230" s="13">
        <v>45959</v>
      </c>
      <c r="K1230" s="13">
        <v>46023</v>
      </c>
      <c r="L1230" t="s">
        <v>490</v>
      </c>
      <c r="M1230" t="s">
        <v>59</v>
      </c>
      <c r="N1230">
        <v>71271495</v>
      </c>
    </row>
    <row r="1231" spans="1:14" x14ac:dyDescent="0.25">
      <c r="A1231">
        <v>57589223</v>
      </c>
      <c r="B1231" t="s">
        <v>1228</v>
      </c>
      <c r="C1231" t="s">
        <v>1036</v>
      </c>
      <c r="D1231" t="s">
        <v>3517</v>
      </c>
      <c r="E1231">
        <v>6788182037</v>
      </c>
      <c r="F1231" t="s">
        <v>423</v>
      </c>
      <c r="G1231" t="s">
        <v>424</v>
      </c>
      <c r="I1231" t="s">
        <v>46</v>
      </c>
      <c r="J1231" s="13">
        <v>45959</v>
      </c>
      <c r="K1231" s="13">
        <v>46023</v>
      </c>
      <c r="L1231" t="s">
        <v>621</v>
      </c>
      <c r="M1231" t="s">
        <v>59</v>
      </c>
      <c r="N1231">
        <v>71272466</v>
      </c>
    </row>
    <row r="1232" spans="1:14" x14ac:dyDescent="0.25">
      <c r="A1232">
        <v>58102988</v>
      </c>
      <c r="B1232" t="s">
        <v>3326</v>
      </c>
      <c r="C1232" t="s">
        <v>3518</v>
      </c>
      <c r="D1232" t="s">
        <v>3519</v>
      </c>
      <c r="E1232">
        <v>7024670232</v>
      </c>
      <c r="F1232" t="s">
        <v>574</v>
      </c>
      <c r="G1232" t="s">
        <v>575</v>
      </c>
      <c r="I1232" t="s">
        <v>14</v>
      </c>
      <c r="J1232" s="13">
        <v>45975</v>
      </c>
      <c r="K1232" s="13">
        <v>46023</v>
      </c>
      <c r="L1232" t="s">
        <v>1179</v>
      </c>
      <c r="M1232" t="s">
        <v>58</v>
      </c>
      <c r="N1232">
        <v>71272882</v>
      </c>
    </row>
    <row r="1233" spans="1:14" x14ac:dyDescent="0.25">
      <c r="A1233">
        <v>57589091</v>
      </c>
      <c r="B1233" t="s">
        <v>3520</v>
      </c>
      <c r="C1233" t="s">
        <v>3521</v>
      </c>
      <c r="D1233" t="s">
        <v>3522</v>
      </c>
      <c r="E1233">
        <v>2702877095</v>
      </c>
      <c r="F1233" t="s">
        <v>842</v>
      </c>
      <c r="G1233" t="s">
        <v>843</v>
      </c>
      <c r="I1233" t="s">
        <v>98</v>
      </c>
      <c r="J1233" s="13">
        <v>45959</v>
      </c>
      <c r="K1233" s="13">
        <v>46023</v>
      </c>
      <c r="L1233" t="s">
        <v>490</v>
      </c>
      <c r="M1233" t="s">
        <v>56</v>
      </c>
      <c r="N1233">
        <v>71273772</v>
      </c>
    </row>
    <row r="1234" spans="1:14" x14ac:dyDescent="0.25">
      <c r="A1234">
        <v>57589416</v>
      </c>
      <c r="B1234" t="s">
        <v>521</v>
      </c>
      <c r="C1234" t="s">
        <v>2183</v>
      </c>
      <c r="D1234" t="s">
        <v>3523</v>
      </c>
      <c r="E1234">
        <v>2542173091</v>
      </c>
      <c r="F1234" t="s">
        <v>828</v>
      </c>
      <c r="G1234" t="s">
        <v>1148</v>
      </c>
      <c r="I1234" t="s">
        <v>17</v>
      </c>
      <c r="J1234" s="13">
        <v>45959</v>
      </c>
      <c r="K1234" s="13">
        <v>46023</v>
      </c>
      <c r="L1234" t="s">
        <v>444</v>
      </c>
      <c r="M1234" t="s">
        <v>56</v>
      </c>
      <c r="N1234">
        <v>71274384</v>
      </c>
    </row>
    <row r="1235" spans="1:14" x14ac:dyDescent="0.25">
      <c r="A1235">
        <v>57589553</v>
      </c>
      <c r="B1235" t="s">
        <v>1905</v>
      </c>
      <c r="C1235" t="s">
        <v>707</v>
      </c>
      <c r="D1235" t="s">
        <v>3524</v>
      </c>
      <c r="E1235">
        <v>6184914126</v>
      </c>
      <c r="F1235" t="s">
        <v>870</v>
      </c>
      <c r="G1235" t="s">
        <v>871</v>
      </c>
      <c r="I1235" t="s">
        <v>872</v>
      </c>
      <c r="J1235" s="13">
        <v>45959</v>
      </c>
      <c r="K1235" s="13">
        <v>46023</v>
      </c>
      <c r="L1235" t="s">
        <v>470</v>
      </c>
      <c r="M1235" t="s">
        <v>61</v>
      </c>
      <c r="N1235">
        <v>71274474</v>
      </c>
    </row>
    <row r="1236" spans="1:14" x14ac:dyDescent="0.25">
      <c r="A1236">
        <v>57590819</v>
      </c>
      <c r="B1236" t="s">
        <v>1041</v>
      </c>
      <c r="C1236" t="s">
        <v>654</v>
      </c>
      <c r="D1236" t="s">
        <v>3525</v>
      </c>
      <c r="E1236">
        <v>7252939330</v>
      </c>
      <c r="F1236" t="s">
        <v>1003</v>
      </c>
      <c r="G1236" t="s">
        <v>1004</v>
      </c>
      <c r="I1236" t="s">
        <v>89</v>
      </c>
      <c r="J1236" s="13">
        <v>45959</v>
      </c>
      <c r="K1236" s="13">
        <v>46023</v>
      </c>
      <c r="L1236" t="s">
        <v>434</v>
      </c>
      <c r="M1236" t="s">
        <v>58</v>
      </c>
      <c r="N1236">
        <v>71275398</v>
      </c>
    </row>
    <row r="1237" spans="1:14" x14ac:dyDescent="0.25">
      <c r="A1237">
        <v>57591321</v>
      </c>
      <c r="B1237" t="s">
        <v>3526</v>
      </c>
      <c r="C1237" t="s">
        <v>3076</v>
      </c>
      <c r="D1237" t="s">
        <v>3527</v>
      </c>
      <c r="E1237">
        <v>6239100319</v>
      </c>
      <c r="F1237" t="s">
        <v>807</v>
      </c>
      <c r="G1237" t="s">
        <v>808</v>
      </c>
      <c r="I1237" t="s">
        <v>33</v>
      </c>
      <c r="J1237" s="13">
        <v>45959</v>
      </c>
      <c r="K1237" s="13">
        <v>46023</v>
      </c>
      <c r="L1237" t="s">
        <v>1179</v>
      </c>
      <c r="M1237" t="s">
        <v>54</v>
      </c>
      <c r="N1237">
        <v>71275773</v>
      </c>
    </row>
    <row r="1238" spans="1:14" x14ac:dyDescent="0.25">
      <c r="A1238">
        <v>57591591</v>
      </c>
      <c r="B1238" t="s">
        <v>1316</v>
      </c>
      <c r="C1238" t="s">
        <v>3528</v>
      </c>
      <c r="D1238" t="s">
        <v>3529</v>
      </c>
      <c r="E1238">
        <v>2103819438</v>
      </c>
      <c r="F1238" t="s">
        <v>592</v>
      </c>
      <c r="G1238" t="s">
        <v>593</v>
      </c>
      <c r="I1238" t="s">
        <v>115</v>
      </c>
      <c r="J1238" s="13">
        <v>45959</v>
      </c>
      <c r="K1238" s="13">
        <v>46023</v>
      </c>
      <c r="L1238" t="s">
        <v>444</v>
      </c>
      <c r="M1238" t="s">
        <v>55</v>
      </c>
      <c r="N1238">
        <v>71275948</v>
      </c>
    </row>
    <row r="1239" spans="1:14" x14ac:dyDescent="0.25">
      <c r="A1239">
        <v>57593295</v>
      </c>
      <c r="B1239" t="s">
        <v>1491</v>
      </c>
      <c r="C1239" t="s">
        <v>3530</v>
      </c>
      <c r="D1239" t="s">
        <v>3531</v>
      </c>
      <c r="E1239">
        <v>5204844559</v>
      </c>
      <c r="F1239" t="s">
        <v>842</v>
      </c>
      <c r="G1239" t="s">
        <v>1213</v>
      </c>
      <c r="I1239" t="s">
        <v>1214</v>
      </c>
      <c r="J1239" s="13">
        <v>45959</v>
      </c>
      <c r="K1239" s="13">
        <v>46023</v>
      </c>
      <c r="L1239" t="s">
        <v>1179</v>
      </c>
      <c r="M1239" t="s">
        <v>54</v>
      </c>
      <c r="N1239">
        <v>71276594</v>
      </c>
    </row>
    <row r="1240" spans="1:14" x14ac:dyDescent="0.25">
      <c r="A1240">
        <v>57594085</v>
      </c>
      <c r="B1240" t="s">
        <v>3532</v>
      </c>
      <c r="C1240" t="s">
        <v>1220</v>
      </c>
      <c r="D1240" t="s">
        <v>3533</v>
      </c>
      <c r="E1240" t="s">
        <v>3534</v>
      </c>
      <c r="F1240" t="s">
        <v>775</v>
      </c>
      <c r="G1240" t="s">
        <v>776</v>
      </c>
      <c r="I1240" t="s">
        <v>22</v>
      </c>
      <c r="J1240" s="13">
        <v>45959</v>
      </c>
      <c r="K1240" s="13">
        <v>46023</v>
      </c>
      <c r="L1240" t="s">
        <v>1179</v>
      </c>
      <c r="M1240" t="s">
        <v>56</v>
      </c>
      <c r="N1240">
        <v>71276882</v>
      </c>
    </row>
    <row r="1241" spans="1:14" x14ac:dyDescent="0.25">
      <c r="A1241">
        <v>57624546</v>
      </c>
      <c r="B1241" t="s">
        <v>3535</v>
      </c>
      <c r="C1241" t="s">
        <v>744</v>
      </c>
      <c r="D1241" t="s">
        <v>3536</v>
      </c>
      <c r="E1241">
        <v>2767341613</v>
      </c>
      <c r="F1241" t="s">
        <v>957</v>
      </c>
      <c r="G1241" t="s">
        <v>958</v>
      </c>
      <c r="H1241" t="s">
        <v>959</v>
      </c>
      <c r="I1241" t="s">
        <v>960</v>
      </c>
      <c r="J1241" s="13">
        <v>45959</v>
      </c>
      <c r="K1241" s="13">
        <v>46023</v>
      </c>
      <c r="L1241" t="s">
        <v>454</v>
      </c>
      <c r="M1241" t="s">
        <v>58</v>
      </c>
      <c r="N1241">
        <v>71277756</v>
      </c>
    </row>
    <row r="1242" spans="1:14" x14ac:dyDescent="0.25">
      <c r="A1242">
        <v>57596099</v>
      </c>
      <c r="B1242" t="s">
        <v>2533</v>
      </c>
      <c r="C1242" t="s">
        <v>3537</v>
      </c>
      <c r="D1242" t="s">
        <v>3538</v>
      </c>
      <c r="E1242">
        <v>6027219993</v>
      </c>
      <c r="F1242" t="s">
        <v>993</v>
      </c>
      <c r="G1242" t="s">
        <v>994</v>
      </c>
      <c r="I1242" t="s">
        <v>995</v>
      </c>
      <c r="J1242" s="13">
        <v>45959</v>
      </c>
      <c r="K1242" s="13">
        <v>46023</v>
      </c>
      <c r="L1242" t="s">
        <v>1179</v>
      </c>
      <c r="M1242" t="s">
        <v>54</v>
      </c>
      <c r="N1242">
        <v>71277765</v>
      </c>
    </row>
    <row r="1243" spans="1:14" x14ac:dyDescent="0.25">
      <c r="A1243">
        <v>57596538</v>
      </c>
      <c r="B1243" t="s">
        <v>3539</v>
      </c>
      <c r="C1243" t="s">
        <v>3540</v>
      </c>
      <c r="D1243" t="s">
        <v>3541</v>
      </c>
      <c r="E1243">
        <v>7069722808</v>
      </c>
      <c r="F1243" t="s">
        <v>416</v>
      </c>
      <c r="G1243" t="s">
        <v>417</v>
      </c>
      <c r="I1243" t="s">
        <v>26</v>
      </c>
      <c r="J1243" s="13">
        <v>45959</v>
      </c>
      <c r="K1243" s="13">
        <v>46023</v>
      </c>
      <c r="L1243" t="s">
        <v>621</v>
      </c>
      <c r="M1243" t="s">
        <v>58</v>
      </c>
      <c r="N1243">
        <v>71278085</v>
      </c>
    </row>
    <row r="1244" spans="1:14" x14ac:dyDescent="0.25">
      <c r="A1244">
        <v>57596545</v>
      </c>
      <c r="B1244" t="s">
        <v>3542</v>
      </c>
      <c r="C1244" t="s">
        <v>946</v>
      </c>
      <c r="D1244" t="s">
        <v>3543</v>
      </c>
      <c r="E1244">
        <v>2543174843</v>
      </c>
      <c r="F1244" t="s">
        <v>649</v>
      </c>
      <c r="G1244" t="s">
        <v>650</v>
      </c>
      <c r="I1244" t="s">
        <v>28</v>
      </c>
      <c r="J1244" s="13">
        <v>45959</v>
      </c>
      <c r="K1244" s="13">
        <v>46023</v>
      </c>
      <c r="L1244" t="s">
        <v>444</v>
      </c>
      <c r="M1244" t="s">
        <v>58</v>
      </c>
      <c r="N1244">
        <v>71278103</v>
      </c>
    </row>
    <row r="1245" spans="1:14" x14ac:dyDescent="0.25">
      <c r="A1245">
        <v>57596557</v>
      </c>
      <c r="B1245" t="s">
        <v>548</v>
      </c>
      <c r="C1245" t="s">
        <v>2175</v>
      </c>
      <c r="D1245" t="s">
        <v>3544</v>
      </c>
      <c r="E1245">
        <v>5733811489</v>
      </c>
      <c r="F1245" t="s">
        <v>1142</v>
      </c>
      <c r="G1245" t="s">
        <v>1143</v>
      </c>
      <c r="I1245" t="s">
        <v>124</v>
      </c>
      <c r="J1245" s="13">
        <v>45959</v>
      </c>
      <c r="K1245" s="13">
        <v>46023</v>
      </c>
      <c r="L1245" t="s">
        <v>434</v>
      </c>
      <c r="M1245" t="s">
        <v>60</v>
      </c>
      <c r="N1245">
        <v>71278109</v>
      </c>
    </row>
    <row r="1246" spans="1:14" x14ac:dyDescent="0.25">
      <c r="A1246">
        <v>57596784</v>
      </c>
      <c r="B1246" t="s">
        <v>3545</v>
      </c>
      <c r="C1246" t="s">
        <v>3546</v>
      </c>
      <c r="D1246" t="s">
        <v>3547</v>
      </c>
      <c r="E1246">
        <v>9413488055</v>
      </c>
      <c r="F1246" t="s">
        <v>1003</v>
      </c>
      <c r="G1246" t="s">
        <v>1004</v>
      </c>
      <c r="I1246" t="s">
        <v>89</v>
      </c>
      <c r="J1246" s="13">
        <v>45959</v>
      </c>
      <c r="K1246" s="13">
        <v>46023</v>
      </c>
      <c r="L1246" t="s">
        <v>497</v>
      </c>
      <c r="M1246" t="s">
        <v>56</v>
      </c>
      <c r="N1246">
        <v>71278268</v>
      </c>
    </row>
    <row r="1247" spans="1:14" x14ac:dyDescent="0.25">
      <c r="A1247">
        <v>57596842</v>
      </c>
      <c r="B1247" t="s">
        <v>3548</v>
      </c>
      <c r="C1247" t="s">
        <v>946</v>
      </c>
      <c r="D1247" t="s">
        <v>3549</v>
      </c>
      <c r="E1247">
        <v>2543174843</v>
      </c>
      <c r="F1247" t="s">
        <v>649</v>
      </c>
      <c r="G1247" t="s">
        <v>650</v>
      </c>
      <c r="I1247" t="s">
        <v>28</v>
      </c>
      <c r="J1247" s="13">
        <v>45959</v>
      </c>
      <c r="K1247" s="13">
        <v>46023</v>
      </c>
      <c r="L1247" t="s">
        <v>444</v>
      </c>
      <c r="M1247" t="s">
        <v>58</v>
      </c>
      <c r="N1247">
        <v>71278314</v>
      </c>
    </row>
    <row r="1248" spans="1:14" x14ac:dyDescent="0.25">
      <c r="A1248">
        <v>57596970</v>
      </c>
      <c r="B1248" t="s">
        <v>1106</v>
      </c>
      <c r="C1248" t="s">
        <v>3550</v>
      </c>
      <c r="D1248" t="s">
        <v>3551</v>
      </c>
      <c r="E1248">
        <v>9033191112</v>
      </c>
      <c r="F1248" t="s">
        <v>592</v>
      </c>
      <c r="G1248" t="s">
        <v>593</v>
      </c>
      <c r="I1248" t="s">
        <v>115</v>
      </c>
      <c r="J1248" s="13">
        <v>45959</v>
      </c>
      <c r="K1248" s="13">
        <v>46023</v>
      </c>
      <c r="L1248" t="s">
        <v>444</v>
      </c>
      <c r="M1248" t="s">
        <v>56</v>
      </c>
      <c r="N1248">
        <v>71278423</v>
      </c>
    </row>
    <row r="1249" spans="1:14" x14ac:dyDescent="0.25">
      <c r="A1249">
        <v>57597777</v>
      </c>
      <c r="B1249" t="s">
        <v>2360</v>
      </c>
      <c r="C1249" t="s">
        <v>1203</v>
      </c>
      <c r="D1249" t="s">
        <v>3552</v>
      </c>
      <c r="E1249">
        <v>2565898731</v>
      </c>
      <c r="F1249" t="s">
        <v>821</v>
      </c>
      <c r="G1249" t="s">
        <v>822</v>
      </c>
      <c r="I1249" t="s">
        <v>823</v>
      </c>
      <c r="J1249" s="13">
        <v>45959</v>
      </c>
      <c r="K1249" s="13">
        <v>46023</v>
      </c>
      <c r="L1249" t="s">
        <v>450</v>
      </c>
      <c r="M1249" t="s">
        <v>55</v>
      </c>
      <c r="N1249">
        <v>71279089</v>
      </c>
    </row>
    <row r="1250" spans="1:14" x14ac:dyDescent="0.25">
      <c r="A1250">
        <v>57598039</v>
      </c>
      <c r="B1250" t="s">
        <v>3553</v>
      </c>
      <c r="C1250" t="s">
        <v>3554</v>
      </c>
      <c r="D1250" t="s">
        <v>3555</v>
      </c>
      <c r="E1250">
        <v>4804405451</v>
      </c>
      <c r="F1250" t="s">
        <v>474</v>
      </c>
      <c r="G1250" t="s">
        <v>475</v>
      </c>
      <c r="I1250" t="s">
        <v>132</v>
      </c>
      <c r="J1250" s="13">
        <v>45959</v>
      </c>
      <c r="K1250" s="13">
        <v>46023</v>
      </c>
      <c r="L1250" t="s">
        <v>1179</v>
      </c>
      <c r="M1250" t="s">
        <v>59</v>
      </c>
      <c r="N1250">
        <v>71279300</v>
      </c>
    </row>
    <row r="1251" spans="1:14" x14ac:dyDescent="0.25">
      <c r="A1251">
        <v>57598331</v>
      </c>
      <c r="B1251" t="s">
        <v>951</v>
      </c>
      <c r="C1251" t="s">
        <v>2219</v>
      </c>
      <c r="D1251" t="s">
        <v>3556</v>
      </c>
      <c r="E1251">
        <v>7046588571</v>
      </c>
      <c r="F1251" t="s">
        <v>628</v>
      </c>
      <c r="G1251" t="s">
        <v>629</v>
      </c>
      <c r="I1251" t="s">
        <v>24</v>
      </c>
      <c r="J1251" s="13">
        <v>45959</v>
      </c>
      <c r="K1251" s="13">
        <v>46023</v>
      </c>
      <c r="L1251" t="s">
        <v>603</v>
      </c>
      <c r="M1251" t="s">
        <v>56</v>
      </c>
      <c r="N1251">
        <v>71279537</v>
      </c>
    </row>
    <row r="1252" spans="1:14" x14ac:dyDescent="0.25">
      <c r="A1252">
        <v>57599686</v>
      </c>
      <c r="B1252" t="s">
        <v>3557</v>
      </c>
      <c r="C1252" t="s">
        <v>3160</v>
      </c>
      <c r="D1252" t="s">
        <v>3558</v>
      </c>
      <c r="E1252">
        <v>4233607204</v>
      </c>
      <c r="F1252" t="s">
        <v>615</v>
      </c>
      <c r="G1252" t="s">
        <v>616</v>
      </c>
      <c r="I1252" t="s">
        <v>617</v>
      </c>
      <c r="J1252" s="13">
        <v>45959</v>
      </c>
      <c r="K1252" s="13">
        <v>46023</v>
      </c>
      <c r="L1252" t="s">
        <v>479</v>
      </c>
      <c r="M1252" t="s">
        <v>58</v>
      </c>
      <c r="N1252">
        <v>71280605</v>
      </c>
    </row>
    <row r="1253" spans="1:14" x14ac:dyDescent="0.25">
      <c r="A1253">
        <v>57600654</v>
      </c>
      <c r="B1253" t="s">
        <v>1679</v>
      </c>
      <c r="C1253" t="s">
        <v>3559</v>
      </c>
      <c r="D1253" t="s">
        <v>3560</v>
      </c>
      <c r="E1253">
        <v>7042190504</v>
      </c>
      <c r="F1253" t="s">
        <v>569</v>
      </c>
      <c r="G1253" t="s">
        <v>570</v>
      </c>
      <c r="I1253" t="s">
        <v>34</v>
      </c>
      <c r="J1253" s="13">
        <v>45959</v>
      </c>
      <c r="K1253" s="13">
        <v>46023</v>
      </c>
      <c r="L1253" t="s">
        <v>603</v>
      </c>
      <c r="M1253" t="s">
        <v>58</v>
      </c>
      <c r="N1253">
        <v>71282451</v>
      </c>
    </row>
    <row r="1254" spans="1:14" x14ac:dyDescent="0.25">
      <c r="A1254">
        <v>57601261</v>
      </c>
      <c r="B1254" t="s">
        <v>3561</v>
      </c>
      <c r="C1254" t="s">
        <v>3559</v>
      </c>
      <c r="D1254" t="s">
        <v>3562</v>
      </c>
      <c r="F1254" t="s">
        <v>569</v>
      </c>
      <c r="G1254" t="s">
        <v>570</v>
      </c>
      <c r="I1254" t="s">
        <v>34</v>
      </c>
      <c r="J1254" s="13">
        <v>45959</v>
      </c>
      <c r="K1254" s="13">
        <v>46023</v>
      </c>
      <c r="L1254" t="s">
        <v>603</v>
      </c>
      <c r="M1254" t="s">
        <v>56</v>
      </c>
      <c r="N1254">
        <v>71283651</v>
      </c>
    </row>
    <row r="1255" spans="1:14" x14ac:dyDescent="0.25">
      <c r="A1255">
        <v>57601398</v>
      </c>
      <c r="B1255" t="s">
        <v>3563</v>
      </c>
      <c r="C1255" t="s">
        <v>3564</v>
      </c>
      <c r="D1255" t="s">
        <v>3565</v>
      </c>
      <c r="E1255">
        <v>5202559641</v>
      </c>
      <c r="F1255" t="s">
        <v>870</v>
      </c>
      <c r="G1255" t="s">
        <v>871</v>
      </c>
      <c r="I1255" t="s">
        <v>872</v>
      </c>
      <c r="J1255" s="13">
        <v>45959</v>
      </c>
      <c r="K1255" s="13">
        <v>46023</v>
      </c>
      <c r="L1255" t="s">
        <v>1179</v>
      </c>
      <c r="M1255" t="s">
        <v>59</v>
      </c>
      <c r="N1255">
        <v>71283915</v>
      </c>
    </row>
    <row r="1256" spans="1:14" x14ac:dyDescent="0.25">
      <c r="A1256">
        <v>57603579</v>
      </c>
      <c r="B1256" t="s">
        <v>3566</v>
      </c>
      <c r="C1256" t="s">
        <v>3567</v>
      </c>
      <c r="D1256" t="s">
        <v>3568</v>
      </c>
      <c r="E1256">
        <v>3343808026</v>
      </c>
      <c r="F1256" t="s">
        <v>574</v>
      </c>
      <c r="G1256" t="s">
        <v>575</v>
      </c>
      <c r="I1256" t="s">
        <v>14</v>
      </c>
      <c r="J1256" s="13">
        <v>45959</v>
      </c>
      <c r="K1256" s="13">
        <v>46023</v>
      </c>
      <c r="L1256" t="s">
        <v>450</v>
      </c>
      <c r="M1256" t="s">
        <v>56</v>
      </c>
      <c r="N1256">
        <v>71287146</v>
      </c>
    </row>
    <row r="1257" spans="1:14" x14ac:dyDescent="0.25">
      <c r="A1257">
        <v>57606130</v>
      </c>
      <c r="B1257" t="s">
        <v>3569</v>
      </c>
      <c r="C1257" t="s">
        <v>3570</v>
      </c>
      <c r="D1257" t="s">
        <v>3571</v>
      </c>
      <c r="E1257">
        <v>4802063209</v>
      </c>
      <c r="F1257" t="s">
        <v>1345</v>
      </c>
      <c r="G1257" t="s">
        <v>799</v>
      </c>
      <c r="I1257" t="s">
        <v>47</v>
      </c>
      <c r="J1257" s="13">
        <v>45959</v>
      </c>
      <c r="K1257" s="13">
        <v>46023</v>
      </c>
      <c r="L1257" t="s">
        <v>1179</v>
      </c>
      <c r="M1257" t="s">
        <v>59</v>
      </c>
      <c r="N1257">
        <v>71290377</v>
      </c>
    </row>
    <row r="1258" spans="1:14" x14ac:dyDescent="0.25">
      <c r="A1258">
        <v>57606339</v>
      </c>
      <c r="B1258" t="s">
        <v>1515</v>
      </c>
      <c r="C1258" t="s">
        <v>3572</v>
      </c>
      <c r="D1258" t="s">
        <v>3573</v>
      </c>
      <c r="E1258">
        <v>9709803723</v>
      </c>
      <c r="F1258" t="s">
        <v>828</v>
      </c>
      <c r="G1258" t="s">
        <v>1148</v>
      </c>
      <c r="I1258" t="s">
        <v>17</v>
      </c>
      <c r="J1258" s="13">
        <v>45959</v>
      </c>
      <c r="K1258" s="13">
        <v>46023</v>
      </c>
      <c r="L1258" t="s">
        <v>539</v>
      </c>
      <c r="M1258" t="s">
        <v>56</v>
      </c>
      <c r="N1258">
        <v>71290552</v>
      </c>
    </row>
    <row r="1259" spans="1:14" x14ac:dyDescent="0.25">
      <c r="A1259">
        <v>57606961</v>
      </c>
      <c r="B1259" t="s">
        <v>2614</v>
      </c>
      <c r="C1259" t="s">
        <v>3574</v>
      </c>
      <c r="D1259" t="s">
        <v>3575</v>
      </c>
      <c r="E1259">
        <v>6028736532</v>
      </c>
      <c r="F1259" t="s">
        <v>551</v>
      </c>
      <c r="G1259" t="s">
        <v>552</v>
      </c>
      <c r="I1259" t="s">
        <v>42</v>
      </c>
      <c r="J1259" s="13">
        <v>45959</v>
      </c>
      <c r="K1259" s="13">
        <v>46023</v>
      </c>
      <c r="L1259" t="s">
        <v>1179</v>
      </c>
      <c r="M1259" t="s">
        <v>55</v>
      </c>
      <c r="N1259">
        <v>71290933</v>
      </c>
    </row>
    <row r="1260" spans="1:14" x14ac:dyDescent="0.25">
      <c r="A1260">
        <v>57607332</v>
      </c>
      <c r="B1260" t="s">
        <v>1160</v>
      </c>
      <c r="C1260" t="s">
        <v>3576</v>
      </c>
      <c r="D1260" t="s">
        <v>3577</v>
      </c>
      <c r="E1260">
        <v>4802209779</v>
      </c>
      <c r="F1260" t="s">
        <v>423</v>
      </c>
      <c r="G1260" t="s">
        <v>424</v>
      </c>
      <c r="I1260" t="s">
        <v>46</v>
      </c>
      <c r="J1260" s="13">
        <v>45959</v>
      </c>
      <c r="K1260" s="13">
        <v>46023</v>
      </c>
      <c r="L1260" t="s">
        <v>1179</v>
      </c>
      <c r="M1260" t="s">
        <v>54</v>
      </c>
      <c r="N1260">
        <v>71291221</v>
      </c>
    </row>
    <row r="1261" spans="1:14" x14ac:dyDescent="0.25">
      <c r="A1261">
        <v>57610259</v>
      </c>
      <c r="B1261" t="s">
        <v>1772</v>
      </c>
      <c r="C1261" t="s">
        <v>3578</v>
      </c>
      <c r="D1261" t="s">
        <v>3579</v>
      </c>
      <c r="E1261">
        <v>8509483016</v>
      </c>
      <c r="F1261" t="s">
        <v>592</v>
      </c>
      <c r="G1261" t="s">
        <v>593</v>
      </c>
      <c r="I1261" t="s">
        <v>115</v>
      </c>
      <c r="J1261" s="13">
        <v>45959</v>
      </c>
      <c r="K1261" s="13">
        <v>46023</v>
      </c>
      <c r="L1261" t="s">
        <v>497</v>
      </c>
      <c r="M1261" t="s">
        <v>56</v>
      </c>
      <c r="N1261">
        <v>71294968</v>
      </c>
    </row>
    <row r="1262" spans="1:14" x14ac:dyDescent="0.25">
      <c r="A1262">
        <v>57610374</v>
      </c>
      <c r="B1262" t="s">
        <v>1693</v>
      </c>
      <c r="C1262" t="s">
        <v>1702</v>
      </c>
      <c r="D1262" t="s">
        <v>3580</v>
      </c>
      <c r="E1262">
        <v>4345060768</v>
      </c>
      <c r="F1262" t="s">
        <v>667</v>
      </c>
      <c r="G1262" t="s">
        <v>668</v>
      </c>
      <c r="I1262" t="s">
        <v>37</v>
      </c>
      <c r="J1262" s="13">
        <v>45959</v>
      </c>
      <c r="K1262" s="13">
        <v>46023</v>
      </c>
      <c r="L1262" t="s">
        <v>454</v>
      </c>
      <c r="M1262" t="s">
        <v>59</v>
      </c>
      <c r="N1262">
        <v>71295155</v>
      </c>
    </row>
    <row r="1263" spans="1:14" x14ac:dyDescent="0.25">
      <c r="A1263">
        <v>57613139</v>
      </c>
      <c r="B1263" t="s">
        <v>3581</v>
      </c>
      <c r="C1263" t="s">
        <v>619</v>
      </c>
      <c r="D1263" t="s">
        <v>3582</v>
      </c>
      <c r="E1263">
        <v>8065984855</v>
      </c>
      <c r="F1263" t="s">
        <v>462</v>
      </c>
      <c r="G1263" t="s">
        <v>463</v>
      </c>
      <c r="I1263" t="s">
        <v>39</v>
      </c>
      <c r="J1263" s="13">
        <v>45959</v>
      </c>
      <c r="K1263" s="13">
        <v>46023</v>
      </c>
      <c r="M1263" t="s">
        <v>419</v>
      </c>
      <c r="N1263">
        <v>71298986</v>
      </c>
    </row>
    <row r="1264" spans="1:14" x14ac:dyDescent="0.25">
      <c r="A1264">
        <v>57615866</v>
      </c>
      <c r="B1264" t="s">
        <v>1245</v>
      </c>
      <c r="C1264" t="s">
        <v>3583</v>
      </c>
      <c r="D1264" t="s">
        <v>3584</v>
      </c>
      <c r="E1264">
        <v>7043493785</v>
      </c>
      <c r="F1264" t="s">
        <v>1398</v>
      </c>
      <c r="G1264" t="s">
        <v>1399</v>
      </c>
      <c r="I1264" t="s">
        <v>1400</v>
      </c>
      <c r="J1264" s="13">
        <v>45959</v>
      </c>
      <c r="K1264" s="13">
        <v>46023</v>
      </c>
      <c r="L1264" t="s">
        <v>603</v>
      </c>
      <c r="M1264" t="s">
        <v>59</v>
      </c>
      <c r="N1264">
        <v>71301673</v>
      </c>
    </row>
    <row r="1265" spans="1:14" x14ac:dyDescent="0.25">
      <c r="A1265">
        <v>57616131</v>
      </c>
      <c r="B1265" t="s">
        <v>3585</v>
      </c>
      <c r="C1265" t="s">
        <v>2795</v>
      </c>
      <c r="D1265" t="s">
        <v>3586</v>
      </c>
      <c r="E1265">
        <v>7164443854</v>
      </c>
      <c r="F1265" t="s">
        <v>780</v>
      </c>
      <c r="G1265" t="s">
        <v>781</v>
      </c>
      <c r="I1265" t="s">
        <v>20</v>
      </c>
      <c r="J1265" s="13">
        <v>45959</v>
      </c>
      <c r="K1265" s="13">
        <v>46023</v>
      </c>
      <c r="L1265" t="s">
        <v>497</v>
      </c>
      <c r="M1265" t="s">
        <v>59</v>
      </c>
      <c r="N1265">
        <v>71303940</v>
      </c>
    </row>
    <row r="1266" spans="1:14" x14ac:dyDescent="0.25">
      <c r="A1266">
        <v>57617642</v>
      </c>
      <c r="B1266" t="s">
        <v>3587</v>
      </c>
      <c r="C1266" t="s">
        <v>3588</v>
      </c>
      <c r="D1266" t="s">
        <v>3589</v>
      </c>
      <c r="E1266">
        <v>2403090957</v>
      </c>
      <c r="F1266" t="s">
        <v>842</v>
      </c>
      <c r="G1266" t="s">
        <v>843</v>
      </c>
      <c r="I1266" t="s">
        <v>98</v>
      </c>
      <c r="J1266" s="13">
        <v>45959</v>
      </c>
      <c r="K1266" s="13">
        <v>46023</v>
      </c>
      <c r="L1266" t="s">
        <v>454</v>
      </c>
      <c r="M1266" t="s">
        <v>419</v>
      </c>
      <c r="N1266">
        <v>71307374</v>
      </c>
    </row>
    <row r="1267" spans="1:14" x14ac:dyDescent="0.25">
      <c r="A1267">
        <v>57618375</v>
      </c>
      <c r="B1267" t="s">
        <v>3590</v>
      </c>
      <c r="C1267" t="s">
        <v>3591</v>
      </c>
      <c r="D1267" t="s">
        <v>3592</v>
      </c>
      <c r="E1267">
        <v>3374428565</v>
      </c>
      <c r="F1267" t="s">
        <v>790</v>
      </c>
      <c r="G1267" t="s">
        <v>791</v>
      </c>
      <c r="I1267" t="s">
        <v>119</v>
      </c>
      <c r="J1267" s="13">
        <v>45959</v>
      </c>
      <c r="K1267" s="13">
        <v>46023</v>
      </c>
      <c r="L1267" t="s">
        <v>612</v>
      </c>
      <c r="M1267" t="s">
        <v>58</v>
      </c>
      <c r="N1267">
        <v>71308592</v>
      </c>
    </row>
    <row r="1268" spans="1:14" x14ac:dyDescent="0.25">
      <c r="A1268">
        <v>57618162</v>
      </c>
      <c r="B1268" t="s">
        <v>3593</v>
      </c>
      <c r="C1268" t="s">
        <v>2219</v>
      </c>
      <c r="D1268" t="s">
        <v>3594</v>
      </c>
      <c r="E1268">
        <v>9108906613</v>
      </c>
      <c r="F1268" t="s">
        <v>684</v>
      </c>
      <c r="G1268" t="s">
        <v>685</v>
      </c>
      <c r="I1268" t="s">
        <v>686</v>
      </c>
      <c r="J1268" s="13">
        <v>45959</v>
      </c>
      <c r="K1268" s="13">
        <v>46023</v>
      </c>
      <c r="L1268" t="s">
        <v>603</v>
      </c>
      <c r="M1268" t="s">
        <v>58</v>
      </c>
      <c r="N1268">
        <v>71308915</v>
      </c>
    </row>
    <row r="1269" spans="1:14" x14ac:dyDescent="0.25">
      <c r="A1269">
        <v>57618918</v>
      </c>
      <c r="B1269" t="s">
        <v>1988</v>
      </c>
      <c r="C1269" t="s">
        <v>3595</v>
      </c>
      <c r="D1269" t="s">
        <v>3596</v>
      </c>
      <c r="E1269">
        <v>5204050713</v>
      </c>
      <c r="F1269" t="s">
        <v>423</v>
      </c>
      <c r="G1269" t="s">
        <v>424</v>
      </c>
      <c r="I1269" t="s">
        <v>46</v>
      </c>
      <c r="J1269" s="13">
        <v>45959</v>
      </c>
      <c r="K1269" s="13">
        <v>46023</v>
      </c>
      <c r="L1269" t="s">
        <v>1179</v>
      </c>
      <c r="M1269" t="s">
        <v>55</v>
      </c>
      <c r="N1269">
        <v>71309407</v>
      </c>
    </row>
    <row r="1270" spans="1:14" x14ac:dyDescent="0.25">
      <c r="A1270">
        <v>57618320</v>
      </c>
      <c r="B1270" t="s">
        <v>3597</v>
      </c>
      <c r="C1270" t="s">
        <v>3598</v>
      </c>
      <c r="D1270" t="s">
        <v>3599</v>
      </c>
      <c r="E1270">
        <v>9183149116</v>
      </c>
      <c r="F1270" t="s">
        <v>628</v>
      </c>
      <c r="G1270" t="s">
        <v>629</v>
      </c>
      <c r="I1270" t="s">
        <v>24</v>
      </c>
      <c r="J1270" s="13">
        <v>45959</v>
      </c>
      <c r="K1270" s="13">
        <v>46023</v>
      </c>
      <c r="L1270" t="s">
        <v>553</v>
      </c>
      <c r="M1270" t="s">
        <v>58</v>
      </c>
      <c r="N1270">
        <v>71309982</v>
      </c>
    </row>
    <row r="1271" spans="1:14" x14ac:dyDescent="0.25">
      <c r="A1271">
        <v>57618968</v>
      </c>
      <c r="B1271" t="s">
        <v>3600</v>
      </c>
      <c r="C1271" t="s">
        <v>3601</v>
      </c>
      <c r="D1271" t="s">
        <v>3602</v>
      </c>
      <c r="E1271">
        <v>6784314075</v>
      </c>
      <c r="F1271" t="s">
        <v>615</v>
      </c>
      <c r="G1271" t="s">
        <v>616</v>
      </c>
      <c r="I1271" t="s">
        <v>617</v>
      </c>
      <c r="J1271" s="13">
        <v>45959</v>
      </c>
      <c r="K1271" s="13">
        <v>46023</v>
      </c>
      <c r="L1271" t="s">
        <v>603</v>
      </c>
      <c r="M1271" t="s">
        <v>59</v>
      </c>
      <c r="N1271">
        <v>71312711</v>
      </c>
    </row>
    <row r="1272" spans="1:14" x14ac:dyDescent="0.25">
      <c r="A1272">
        <v>57619096</v>
      </c>
      <c r="B1272" t="s">
        <v>3603</v>
      </c>
      <c r="C1272" t="s">
        <v>1292</v>
      </c>
      <c r="D1272" t="s">
        <v>3604</v>
      </c>
      <c r="E1272">
        <v>2566795248</v>
      </c>
      <c r="F1272" t="s">
        <v>569</v>
      </c>
      <c r="G1272" t="s">
        <v>570</v>
      </c>
      <c r="I1272" t="s">
        <v>34</v>
      </c>
      <c r="J1272" s="13">
        <v>45959</v>
      </c>
      <c r="K1272" s="13">
        <v>46023</v>
      </c>
      <c r="L1272" t="s">
        <v>450</v>
      </c>
      <c r="M1272" t="s">
        <v>56</v>
      </c>
      <c r="N1272">
        <v>71313501</v>
      </c>
    </row>
    <row r="1273" spans="1:14" x14ac:dyDescent="0.25">
      <c r="A1273">
        <v>57619986</v>
      </c>
      <c r="B1273" t="s">
        <v>1064</v>
      </c>
      <c r="C1273" t="s">
        <v>3170</v>
      </c>
      <c r="D1273" t="s">
        <v>3605</v>
      </c>
      <c r="E1273" t="s">
        <v>3606</v>
      </c>
      <c r="F1273" t="s">
        <v>993</v>
      </c>
      <c r="G1273" t="s">
        <v>994</v>
      </c>
      <c r="I1273" t="s">
        <v>995</v>
      </c>
      <c r="J1273" s="13">
        <v>45959</v>
      </c>
      <c r="K1273" s="13">
        <v>46023</v>
      </c>
      <c r="L1273" t="s">
        <v>1179</v>
      </c>
      <c r="M1273" t="s">
        <v>54</v>
      </c>
      <c r="N1273">
        <v>71315612</v>
      </c>
    </row>
    <row r="1274" spans="1:14" x14ac:dyDescent="0.25">
      <c r="A1274">
        <v>57621466</v>
      </c>
      <c r="B1274" t="s">
        <v>3607</v>
      </c>
      <c r="C1274" t="s">
        <v>3608</v>
      </c>
      <c r="D1274" t="s">
        <v>3609</v>
      </c>
      <c r="E1274">
        <v>6027031166</v>
      </c>
      <c r="F1274" t="s">
        <v>1142</v>
      </c>
      <c r="G1274" t="s">
        <v>1143</v>
      </c>
      <c r="I1274" t="s">
        <v>124</v>
      </c>
      <c r="J1274" s="13">
        <v>45959</v>
      </c>
      <c r="K1274" s="13">
        <v>46023</v>
      </c>
      <c r="L1274" t="s">
        <v>1179</v>
      </c>
      <c r="M1274" t="s">
        <v>59</v>
      </c>
      <c r="N1274">
        <v>71318491</v>
      </c>
    </row>
    <row r="1275" spans="1:14" x14ac:dyDescent="0.25">
      <c r="A1275">
        <v>57621764</v>
      </c>
      <c r="B1275" t="s">
        <v>3610</v>
      </c>
      <c r="C1275" t="s">
        <v>3611</v>
      </c>
      <c r="D1275" t="s">
        <v>3612</v>
      </c>
      <c r="E1275">
        <v>4806199606</v>
      </c>
      <c r="F1275" t="s">
        <v>775</v>
      </c>
      <c r="G1275" t="s">
        <v>776</v>
      </c>
      <c r="I1275" t="s">
        <v>22</v>
      </c>
      <c r="J1275" s="13">
        <v>45959</v>
      </c>
      <c r="K1275" s="13">
        <v>46023</v>
      </c>
      <c r="L1275" t="s">
        <v>1179</v>
      </c>
      <c r="M1275" t="s">
        <v>59</v>
      </c>
      <c r="N1275">
        <v>71319105</v>
      </c>
    </row>
    <row r="1276" spans="1:14" x14ac:dyDescent="0.25">
      <c r="A1276">
        <v>57624380</v>
      </c>
      <c r="B1276" t="s">
        <v>3351</v>
      </c>
      <c r="C1276" t="s">
        <v>3613</v>
      </c>
      <c r="D1276" t="s">
        <v>3614</v>
      </c>
      <c r="E1276">
        <v>3049287726</v>
      </c>
      <c r="F1276" t="s">
        <v>416</v>
      </c>
      <c r="G1276" t="s">
        <v>417</v>
      </c>
      <c r="I1276" t="s">
        <v>26</v>
      </c>
      <c r="J1276" s="13">
        <v>45959</v>
      </c>
      <c r="K1276" s="13">
        <v>46023</v>
      </c>
      <c r="L1276" t="s">
        <v>1188</v>
      </c>
      <c r="M1276" t="s">
        <v>56</v>
      </c>
      <c r="N1276">
        <v>71323938</v>
      </c>
    </row>
    <row r="1277" spans="1:14" x14ac:dyDescent="0.25">
      <c r="A1277">
        <v>57628051</v>
      </c>
      <c r="B1277" t="s">
        <v>3615</v>
      </c>
      <c r="C1277" t="s">
        <v>1801</v>
      </c>
      <c r="D1277" t="s">
        <v>3616</v>
      </c>
      <c r="E1277">
        <v>5202730681</v>
      </c>
      <c r="F1277" t="s">
        <v>462</v>
      </c>
      <c r="G1277" t="s">
        <v>463</v>
      </c>
      <c r="I1277" t="s">
        <v>39</v>
      </c>
      <c r="J1277" s="13">
        <v>45959</v>
      </c>
      <c r="K1277" s="13">
        <v>46023</v>
      </c>
      <c r="L1277" t="s">
        <v>1179</v>
      </c>
      <c r="M1277" t="s">
        <v>54</v>
      </c>
      <c r="N1277">
        <v>71329335</v>
      </c>
    </row>
    <row r="1278" spans="1:14" x14ac:dyDescent="0.25">
      <c r="A1278">
        <v>57628565</v>
      </c>
      <c r="B1278" t="s">
        <v>994</v>
      </c>
      <c r="C1278" t="s">
        <v>3617</v>
      </c>
      <c r="D1278" t="s">
        <v>3618</v>
      </c>
      <c r="E1278">
        <v>6815522026</v>
      </c>
      <c r="F1278" t="s">
        <v>474</v>
      </c>
      <c r="G1278" t="s">
        <v>475</v>
      </c>
      <c r="I1278" t="s">
        <v>132</v>
      </c>
      <c r="J1278" s="13">
        <v>45959</v>
      </c>
      <c r="K1278" s="13">
        <v>46023</v>
      </c>
      <c r="L1278" t="s">
        <v>1188</v>
      </c>
      <c r="M1278" t="s">
        <v>56</v>
      </c>
      <c r="N1278">
        <v>71329377</v>
      </c>
    </row>
    <row r="1279" spans="1:14" x14ac:dyDescent="0.25">
      <c r="A1279">
        <v>57630856</v>
      </c>
      <c r="B1279" t="s">
        <v>3619</v>
      </c>
      <c r="C1279" t="s">
        <v>3620</v>
      </c>
      <c r="D1279" t="s">
        <v>3621</v>
      </c>
      <c r="E1279">
        <v>2605795050</v>
      </c>
      <c r="F1279" t="s">
        <v>828</v>
      </c>
      <c r="G1279" t="s">
        <v>1148</v>
      </c>
      <c r="I1279" t="s">
        <v>17</v>
      </c>
      <c r="J1279" s="13">
        <v>45959</v>
      </c>
      <c r="K1279" s="13">
        <v>46023</v>
      </c>
      <c r="L1279" t="s">
        <v>440</v>
      </c>
      <c r="M1279" t="s">
        <v>58</v>
      </c>
      <c r="N1279">
        <v>71329559</v>
      </c>
    </row>
    <row r="1280" spans="1:14" x14ac:dyDescent="0.25">
      <c r="A1280">
        <v>57632445</v>
      </c>
      <c r="B1280" t="s">
        <v>521</v>
      </c>
      <c r="C1280" t="s">
        <v>2978</v>
      </c>
      <c r="D1280" t="s">
        <v>3622</v>
      </c>
      <c r="E1280">
        <v>2523607634</v>
      </c>
      <c r="F1280" t="s">
        <v>423</v>
      </c>
      <c r="G1280" t="s">
        <v>424</v>
      </c>
      <c r="I1280" t="s">
        <v>46</v>
      </c>
      <c r="J1280" s="13">
        <v>45959</v>
      </c>
      <c r="K1280" s="13">
        <v>46023</v>
      </c>
      <c r="L1280" t="s">
        <v>603</v>
      </c>
      <c r="M1280" t="s">
        <v>61</v>
      </c>
      <c r="N1280">
        <v>71329673</v>
      </c>
    </row>
    <row r="1281" spans="1:14" x14ac:dyDescent="0.25">
      <c r="A1281">
        <v>57632152</v>
      </c>
      <c r="B1281" t="s">
        <v>3623</v>
      </c>
      <c r="C1281" t="s">
        <v>2025</v>
      </c>
      <c r="D1281" t="s">
        <v>3624</v>
      </c>
      <c r="E1281" t="s">
        <v>3625</v>
      </c>
      <c r="F1281" t="s">
        <v>815</v>
      </c>
      <c r="G1281" t="s">
        <v>816</v>
      </c>
      <c r="I1281" t="s">
        <v>23</v>
      </c>
      <c r="J1281" s="13">
        <v>45959</v>
      </c>
      <c r="K1281" s="13">
        <v>46023</v>
      </c>
      <c r="L1281" t="s">
        <v>454</v>
      </c>
      <c r="M1281" t="s">
        <v>419</v>
      </c>
      <c r="N1281">
        <v>71329682</v>
      </c>
    </row>
    <row r="1282" spans="1:14" x14ac:dyDescent="0.25">
      <c r="A1282">
        <v>57632369</v>
      </c>
      <c r="B1282" t="s">
        <v>1306</v>
      </c>
      <c r="C1282" t="s">
        <v>3626</v>
      </c>
      <c r="D1282" t="s">
        <v>3627</v>
      </c>
      <c r="E1282">
        <v>2142459029</v>
      </c>
      <c r="F1282" t="s">
        <v>551</v>
      </c>
      <c r="G1282" t="s">
        <v>552</v>
      </c>
      <c r="I1282" t="s">
        <v>42</v>
      </c>
      <c r="J1282" s="13">
        <v>45959</v>
      </c>
      <c r="K1282" s="13">
        <v>46023</v>
      </c>
      <c r="L1282" t="s">
        <v>444</v>
      </c>
      <c r="M1282" t="s">
        <v>56</v>
      </c>
      <c r="N1282">
        <v>71329700</v>
      </c>
    </row>
    <row r="1283" spans="1:14" x14ac:dyDescent="0.25">
      <c r="A1283">
        <v>57632379</v>
      </c>
      <c r="B1283" t="s">
        <v>3628</v>
      </c>
      <c r="C1283" t="s">
        <v>3629</v>
      </c>
      <c r="D1283" t="s">
        <v>3630</v>
      </c>
      <c r="E1283">
        <v>3162094618</v>
      </c>
      <c r="F1283" t="s">
        <v>1398</v>
      </c>
      <c r="G1283" t="s">
        <v>1399</v>
      </c>
      <c r="I1283" t="s">
        <v>1400</v>
      </c>
      <c r="J1283" s="13">
        <v>45959</v>
      </c>
      <c r="K1283" s="13">
        <v>46023</v>
      </c>
      <c r="L1283" t="s">
        <v>520</v>
      </c>
      <c r="M1283" t="s">
        <v>56</v>
      </c>
      <c r="N1283">
        <v>71329717</v>
      </c>
    </row>
    <row r="1284" spans="1:14" x14ac:dyDescent="0.25">
      <c r="A1284">
        <v>57632334</v>
      </c>
      <c r="B1284" t="s">
        <v>593</v>
      </c>
      <c r="C1284" t="s">
        <v>3631</v>
      </c>
      <c r="D1284" t="s">
        <v>3632</v>
      </c>
      <c r="E1284">
        <v>9792217473</v>
      </c>
      <c r="F1284" t="s">
        <v>615</v>
      </c>
      <c r="G1284" t="s">
        <v>616</v>
      </c>
      <c r="I1284" t="s">
        <v>617</v>
      </c>
      <c r="J1284" s="13">
        <v>45959</v>
      </c>
      <c r="K1284" s="13">
        <v>46023</v>
      </c>
      <c r="L1284" t="s">
        <v>444</v>
      </c>
      <c r="M1284" t="s">
        <v>55</v>
      </c>
      <c r="N1284">
        <v>71329728</v>
      </c>
    </row>
    <row r="1285" spans="1:14" x14ac:dyDescent="0.25">
      <c r="A1285">
        <v>57633440</v>
      </c>
      <c r="B1285" t="s">
        <v>445</v>
      </c>
      <c r="C1285" t="s">
        <v>3633</v>
      </c>
      <c r="D1285" t="s">
        <v>3634</v>
      </c>
      <c r="E1285">
        <v>9124876479</v>
      </c>
      <c r="F1285" t="s">
        <v>790</v>
      </c>
      <c r="G1285" t="s">
        <v>791</v>
      </c>
      <c r="I1285" t="s">
        <v>119</v>
      </c>
      <c r="J1285" s="13">
        <v>45959</v>
      </c>
      <c r="K1285" s="13">
        <v>46023</v>
      </c>
      <c r="L1285" t="s">
        <v>621</v>
      </c>
      <c r="M1285" t="s">
        <v>58</v>
      </c>
      <c r="N1285">
        <v>71330093</v>
      </c>
    </row>
    <row r="1286" spans="1:14" x14ac:dyDescent="0.25">
      <c r="A1286">
        <v>57632908</v>
      </c>
      <c r="B1286" t="s">
        <v>636</v>
      </c>
      <c r="C1286" t="s">
        <v>3635</v>
      </c>
      <c r="D1286" t="s">
        <v>3636</v>
      </c>
      <c r="E1286">
        <v>7702731406</v>
      </c>
      <c r="F1286" t="s">
        <v>628</v>
      </c>
      <c r="G1286" t="s">
        <v>629</v>
      </c>
      <c r="I1286" t="s">
        <v>24</v>
      </c>
      <c r="J1286" s="13">
        <v>45959</v>
      </c>
      <c r="K1286" s="13">
        <v>46023</v>
      </c>
      <c r="L1286" t="s">
        <v>621</v>
      </c>
      <c r="M1286" t="s">
        <v>58</v>
      </c>
      <c r="N1286">
        <v>71330103</v>
      </c>
    </row>
    <row r="1287" spans="1:14" x14ac:dyDescent="0.25">
      <c r="A1287">
        <v>57633450</v>
      </c>
      <c r="B1287" t="s">
        <v>2600</v>
      </c>
      <c r="C1287" t="s">
        <v>3637</v>
      </c>
      <c r="D1287" t="s">
        <v>3638</v>
      </c>
      <c r="E1287">
        <v>5612487152</v>
      </c>
      <c r="F1287" t="s">
        <v>574</v>
      </c>
      <c r="G1287" t="s">
        <v>575</v>
      </c>
      <c r="I1287" t="s">
        <v>14</v>
      </c>
      <c r="J1287" s="13">
        <v>45959</v>
      </c>
      <c r="K1287" s="13">
        <v>46023</v>
      </c>
      <c r="L1287" t="s">
        <v>454</v>
      </c>
      <c r="M1287" t="s">
        <v>56</v>
      </c>
      <c r="N1287">
        <v>71330505</v>
      </c>
    </row>
    <row r="1288" spans="1:14" x14ac:dyDescent="0.25">
      <c r="A1288">
        <v>57634363</v>
      </c>
      <c r="B1288" t="s">
        <v>3639</v>
      </c>
      <c r="C1288" t="s">
        <v>1876</v>
      </c>
      <c r="D1288" t="s">
        <v>3640</v>
      </c>
      <c r="E1288">
        <v>3343559768</v>
      </c>
      <c r="F1288" t="s">
        <v>684</v>
      </c>
      <c r="G1288" t="s">
        <v>685</v>
      </c>
      <c r="I1288" t="s">
        <v>686</v>
      </c>
      <c r="J1288" s="13">
        <v>45959</v>
      </c>
      <c r="K1288" s="13">
        <v>46023</v>
      </c>
      <c r="L1288" t="s">
        <v>450</v>
      </c>
      <c r="M1288" t="s">
        <v>59</v>
      </c>
      <c r="N1288">
        <v>71331134</v>
      </c>
    </row>
    <row r="1289" spans="1:14" x14ac:dyDescent="0.25">
      <c r="A1289">
        <v>57634542</v>
      </c>
      <c r="B1289" t="s">
        <v>1751</v>
      </c>
      <c r="C1289" t="s">
        <v>3641</v>
      </c>
      <c r="D1289" t="s">
        <v>3642</v>
      </c>
      <c r="E1289">
        <v>3372248722</v>
      </c>
      <c r="F1289" t="s">
        <v>423</v>
      </c>
      <c r="G1289" t="s">
        <v>424</v>
      </c>
      <c r="I1289" t="s">
        <v>46</v>
      </c>
      <c r="J1289" s="13">
        <v>45959</v>
      </c>
      <c r="K1289" s="13">
        <v>46023</v>
      </c>
      <c r="L1289" t="s">
        <v>612</v>
      </c>
      <c r="M1289" t="s">
        <v>56</v>
      </c>
      <c r="N1289">
        <v>71331251</v>
      </c>
    </row>
    <row r="1290" spans="1:14" x14ac:dyDescent="0.25">
      <c r="A1290">
        <v>57634411</v>
      </c>
      <c r="B1290" t="s">
        <v>3643</v>
      </c>
      <c r="C1290" t="s">
        <v>3644</v>
      </c>
      <c r="D1290" t="s">
        <v>3645</v>
      </c>
      <c r="E1290">
        <v>6028003907</v>
      </c>
      <c r="F1290" t="s">
        <v>775</v>
      </c>
      <c r="G1290" t="s">
        <v>776</v>
      </c>
      <c r="I1290" t="s">
        <v>22</v>
      </c>
      <c r="J1290" s="13">
        <v>45959</v>
      </c>
      <c r="K1290" s="13">
        <v>46023</v>
      </c>
      <c r="L1290" t="s">
        <v>1179</v>
      </c>
      <c r="M1290" t="s">
        <v>56</v>
      </c>
      <c r="N1290">
        <v>71331264</v>
      </c>
    </row>
    <row r="1291" spans="1:14" x14ac:dyDescent="0.25">
      <c r="A1291">
        <v>57634461</v>
      </c>
      <c r="B1291" t="s">
        <v>3535</v>
      </c>
      <c r="C1291" t="s">
        <v>3646</v>
      </c>
      <c r="D1291" t="s">
        <v>3647</v>
      </c>
      <c r="E1291">
        <v>5012891785</v>
      </c>
      <c r="F1291" t="s">
        <v>1147</v>
      </c>
      <c r="G1291" t="s">
        <v>1148</v>
      </c>
      <c r="I1291" t="s">
        <v>41</v>
      </c>
      <c r="J1291" s="13">
        <v>45959</v>
      </c>
      <c r="K1291" s="13">
        <v>46023</v>
      </c>
      <c r="L1291" t="s">
        <v>553</v>
      </c>
      <c r="M1291" t="s">
        <v>56</v>
      </c>
      <c r="N1291">
        <v>71331299</v>
      </c>
    </row>
    <row r="1292" spans="1:14" x14ac:dyDescent="0.25">
      <c r="A1292">
        <v>57634535</v>
      </c>
      <c r="B1292" t="s">
        <v>3648</v>
      </c>
      <c r="C1292" t="s">
        <v>3649</v>
      </c>
      <c r="D1292" t="s">
        <v>3650</v>
      </c>
      <c r="E1292">
        <v>6027374124</v>
      </c>
      <c r="F1292" t="s">
        <v>1013</v>
      </c>
      <c r="G1292" t="s">
        <v>1014</v>
      </c>
      <c r="I1292" t="s">
        <v>43</v>
      </c>
      <c r="J1292" s="13">
        <v>45959</v>
      </c>
      <c r="K1292" s="13">
        <v>46023</v>
      </c>
      <c r="L1292" t="s">
        <v>1179</v>
      </c>
      <c r="M1292" t="s">
        <v>56</v>
      </c>
      <c r="N1292">
        <v>71331374</v>
      </c>
    </row>
    <row r="1293" spans="1:14" x14ac:dyDescent="0.25">
      <c r="A1293">
        <v>57634693</v>
      </c>
      <c r="B1293" t="s">
        <v>990</v>
      </c>
      <c r="C1293" t="s">
        <v>3651</v>
      </c>
      <c r="D1293" t="s">
        <v>3652</v>
      </c>
      <c r="E1293">
        <v>5202525713</v>
      </c>
      <c r="F1293" t="s">
        <v>807</v>
      </c>
      <c r="G1293" t="s">
        <v>808</v>
      </c>
      <c r="I1293" t="s">
        <v>33</v>
      </c>
      <c r="J1293" s="13">
        <v>45959</v>
      </c>
      <c r="K1293" s="13">
        <v>46023</v>
      </c>
      <c r="L1293" t="s">
        <v>1179</v>
      </c>
      <c r="M1293" t="s">
        <v>54</v>
      </c>
      <c r="N1293">
        <v>71331502</v>
      </c>
    </row>
    <row r="1294" spans="1:14" x14ac:dyDescent="0.25">
      <c r="A1294">
        <v>57635249</v>
      </c>
      <c r="B1294" t="s">
        <v>2031</v>
      </c>
      <c r="C1294" t="s">
        <v>3653</v>
      </c>
      <c r="D1294" t="s">
        <v>3654</v>
      </c>
      <c r="E1294">
        <v>8163328223</v>
      </c>
      <c r="F1294" t="s">
        <v>423</v>
      </c>
      <c r="G1294" t="s">
        <v>424</v>
      </c>
      <c r="I1294" t="s">
        <v>46</v>
      </c>
      <c r="J1294" s="13">
        <v>45959</v>
      </c>
      <c r="K1294" s="13">
        <v>46023</v>
      </c>
      <c r="L1294" t="s">
        <v>434</v>
      </c>
      <c r="M1294" t="s">
        <v>56</v>
      </c>
      <c r="N1294">
        <v>71331830</v>
      </c>
    </row>
    <row r="1295" spans="1:14" x14ac:dyDescent="0.25">
      <c r="A1295">
        <v>57635197</v>
      </c>
      <c r="B1295" t="s">
        <v>521</v>
      </c>
      <c r="C1295" t="s">
        <v>3655</v>
      </c>
      <c r="D1295" t="s">
        <v>3656</v>
      </c>
      <c r="E1295">
        <v>8647727697</v>
      </c>
      <c r="F1295" t="s">
        <v>615</v>
      </c>
      <c r="G1295" t="s">
        <v>616</v>
      </c>
      <c r="I1295" t="s">
        <v>617</v>
      </c>
      <c r="J1295" s="13">
        <v>45959</v>
      </c>
      <c r="K1295" s="13">
        <v>46023</v>
      </c>
      <c r="L1295" t="s">
        <v>533</v>
      </c>
      <c r="M1295" t="s">
        <v>56</v>
      </c>
      <c r="N1295">
        <v>71331858</v>
      </c>
    </row>
    <row r="1296" spans="1:14" x14ac:dyDescent="0.25">
      <c r="A1296">
        <v>57635810</v>
      </c>
      <c r="B1296" t="s">
        <v>3228</v>
      </c>
      <c r="C1296" t="s">
        <v>3657</v>
      </c>
      <c r="D1296" t="s">
        <v>3658</v>
      </c>
      <c r="E1296">
        <v>7317988588</v>
      </c>
      <c r="F1296" t="s">
        <v>790</v>
      </c>
      <c r="G1296" t="s">
        <v>791</v>
      </c>
      <c r="I1296" t="s">
        <v>119</v>
      </c>
      <c r="J1296" s="13">
        <v>45959</v>
      </c>
      <c r="K1296" s="13">
        <v>46023</v>
      </c>
      <c r="L1296" t="s">
        <v>479</v>
      </c>
      <c r="M1296" t="s">
        <v>58</v>
      </c>
      <c r="N1296">
        <v>71332165</v>
      </c>
    </row>
    <row r="1297" spans="1:14" x14ac:dyDescent="0.25">
      <c r="A1297">
        <v>57635779</v>
      </c>
      <c r="B1297" t="s">
        <v>2277</v>
      </c>
      <c r="C1297" t="s">
        <v>2509</v>
      </c>
      <c r="D1297" t="s">
        <v>3659</v>
      </c>
      <c r="E1297">
        <v>5202500361</v>
      </c>
      <c r="F1297" t="s">
        <v>775</v>
      </c>
      <c r="G1297" t="s">
        <v>776</v>
      </c>
      <c r="I1297" t="s">
        <v>22</v>
      </c>
      <c r="J1297" s="13">
        <v>45959</v>
      </c>
      <c r="K1297" s="13">
        <v>46023</v>
      </c>
      <c r="L1297" t="s">
        <v>1179</v>
      </c>
      <c r="M1297" t="s">
        <v>58</v>
      </c>
      <c r="N1297">
        <v>71332234</v>
      </c>
    </row>
    <row r="1298" spans="1:14" x14ac:dyDescent="0.25">
      <c r="A1298">
        <v>57637884</v>
      </c>
      <c r="B1298" t="s">
        <v>3660</v>
      </c>
      <c r="C1298" t="s">
        <v>546</v>
      </c>
      <c r="D1298" t="s">
        <v>3661</v>
      </c>
      <c r="E1298">
        <v>2147239019</v>
      </c>
      <c r="F1298" t="s">
        <v>448</v>
      </c>
      <c r="G1298" t="s">
        <v>449</v>
      </c>
      <c r="I1298" t="s">
        <v>31</v>
      </c>
      <c r="J1298" s="13">
        <v>45960</v>
      </c>
      <c r="K1298" s="13">
        <v>46023</v>
      </c>
      <c r="L1298" t="s">
        <v>444</v>
      </c>
      <c r="M1298" t="s">
        <v>419</v>
      </c>
      <c r="N1298">
        <v>71333845</v>
      </c>
    </row>
    <row r="1299" spans="1:14" x14ac:dyDescent="0.25">
      <c r="A1299">
        <v>57638364</v>
      </c>
      <c r="B1299" t="s">
        <v>524</v>
      </c>
      <c r="C1299" t="s">
        <v>3662</v>
      </c>
      <c r="D1299" t="s">
        <v>3663</v>
      </c>
      <c r="E1299">
        <v>3344676777</v>
      </c>
      <c r="F1299" t="s">
        <v>474</v>
      </c>
      <c r="G1299" t="s">
        <v>475</v>
      </c>
      <c r="I1299" t="s">
        <v>132</v>
      </c>
      <c r="J1299" s="13">
        <v>45960</v>
      </c>
      <c r="K1299" s="13">
        <v>46023</v>
      </c>
      <c r="L1299" t="s">
        <v>450</v>
      </c>
      <c r="M1299" t="s">
        <v>58</v>
      </c>
      <c r="N1299">
        <v>71334173</v>
      </c>
    </row>
    <row r="1300" spans="1:14" x14ac:dyDescent="0.25">
      <c r="A1300">
        <v>57638882</v>
      </c>
      <c r="B1300" t="s">
        <v>476</v>
      </c>
      <c r="C1300" t="s">
        <v>3664</v>
      </c>
      <c r="D1300" t="s">
        <v>3665</v>
      </c>
      <c r="E1300">
        <v>4047906976</v>
      </c>
      <c r="F1300" t="s">
        <v>423</v>
      </c>
      <c r="G1300" t="s">
        <v>424</v>
      </c>
      <c r="I1300" t="s">
        <v>46</v>
      </c>
      <c r="J1300" s="13">
        <v>45960</v>
      </c>
      <c r="K1300" s="13">
        <v>46023</v>
      </c>
      <c r="L1300" t="s">
        <v>621</v>
      </c>
      <c r="M1300" t="s">
        <v>59</v>
      </c>
      <c r="N1300">
        <v>71334418</v>
      </c>
    </row>
    <row r="1301" spans="1:14" x14ac:dyDescent="0.25">
      <c r="A1301">
        <v>57638787</v>
      </c>
      <c r="B1301" t="s">
        <v>3666</v>
      </c>
      <c r="C1301" t="s">
        <v>1287</v>
      </c>
      <c r="D1301" t="s">
        <v>3667</v>
      </c>
      <c r="E1301">
        <v>2162190842</v>
      </c>
      <c r="F1301" t="s">
        <v>416</v>
      </c>
      <c r="G1301" t="s">
        <v>417</v>
      </c>
      <c r="I1301" t="s">
        <v>26</v>
      </c>
      <c r="J1301" s="13">
        <v>45960</v>
      </c>
      <c r="K1301" s="13">
        <v>46023</v>
      </c>
      <c r="L1301" t="s">
        <v>418</v>
      </c>
      <c r="M1301" t="s">
        <v>59</v>
      </c>
      <c r="N1301">
        <v>71334496</v>
      </c>
    </row>
    <row r="1302" spans="1:14" x14ac:dyDescent="0.25">
      <c r="A1302">
        <v>57639054</v>
      </c>
      <c r="B1302" t="s">
        <v>3668</v>
      </c>
      <c r="C1302" t="s">
        <v>3669</v>
      </c>
      <c r="D1302" t="s">
        <v>3670</v>
      </c>
      <c r="E1302">
        <v>3347264630</v>
      </c>
      <c r="F1302" t="s">
        <v>462</v>
      </c>
      <c r="G1302" t="s">
        <v>463</v>
      </c>
      <c r="I1302" t="s">
        <v>39</v>
      </c>
      <c r="J1302" s="13">
        <v>45960</v>
      </c>
      <c r="K1302" s="13">
        <v>46023</v>
      </c>
      <c r="L1302" t="s">
        <v>450</v>
      </c>
      <c r="M1302" t="s">
        <v>60</v>
      </c>
      <c r="N1302">
        <v>71334727</v>
      </c>
    </row>
    <row r="1303" spans="1:14" x14ac:dyDescent="0.25">
      <c r="A1303">
        <v>57639115</v>
      </c>
      <c r="B1303" t="s">
        <v>3671</v>
      </c>
      <c r="C1303" t="s">
        <v>3672</v>
      </c>
      <c r="D1303" t="s">
        <v>3673</v>
      </c>
      <c r="E1303">
        <v>3373088490</v>
      </c>
      <c r="F1303" t="s">
        <v>693</v>
      </c>
      <c r="G1303" t="s">
        <v>694</v>
      </c>
      <c r="I1303" t="s">
        <v>103</v>
      </c>
      <c r="J1303" s="13">
        <v>45960</v>
      </c>
      <c r="K1303" s="13">
        <v>46023</v>
      </c>
      <c r="L1303" t="s">
        <v>612</v>
      </c>
      <c r="M1303" t="s">
        <v>61</v>
      </c>
      <c r="N1303">
        <v>71334773</v>
      </c>
    </row>
    <row r="1304" spans="1:14" x14ac:dyDescent="0.25">
      <c r="A1304">
        <v>57639122</v>
      </c>
      <c r="B1304" t="s">
        <v>586</v>
      </c>
      <c r="C1304" t="s">
        <v>3674</v>
      </c>
      <c r="D1304" t="s">
        <v>3675</v>
      </c>
      <c r="E1304">
        <v>6815131268</v>
      </c>
      <c r="F1304" t="s">
        <v>1013</v>
      </c>
      <c r="G1304" t="s">
        <v>1014</v>
      </c>
      <c r="I1304" t="s">
        <v>43</v>
      </c>
      <c r="J1304" s="13">
        <v>45960</v>
      </c>
      <c r="K1304" s="13">
        <v>46023</v>
      </c>
      <c r="L1304" t="s">
        <v>1188</v>
      </c>
      <c r="M1304" t="s">
        <v>56</v>
      </c>
      <c r="N1304">
        <v>71334778</v>
      </c>
    </row>
    <row r="1305" spans="1:14" x14ac:dyDescent="0.25">
      <c r="A1305">
        <v>57648901</v>
      </c>
      <c r="B1305" t="s">
        <v>3676</v>
      </c>
      <c r="C1305" t="s">
        <v>2631</v>
      </c>
      <c r="D1305" t="s">
        <v>3677</v>
      </c>
      <c r="E1305">
        <v>7065263215</v>
      </c>
      <c r="F1305" t="s">
        <v>1398</v>
      </c>
      <c r="G1305" t="s">
        <v>1399</v>
      </c>
      <c r="I1305" t="s">
        <v>1400</v>
      </c>
      <c r="J1305" s="13">
        <v>45960</v>
      </c>
      <c r="K1305" s="13">
        <v>46023</v>
      </c>
      <c r="L1305" t="s">
        <v>621</v>
      </c>
      <c r="M1305" t="s">
        <v>59</v>
      </c>
      <c r="N1305">
        <v>71334800</v>
      </c>
    </row>
    <row r="1306" spans="1:14" x14ac:dyDescent="0.25">
      <c r="A1306">
        <v>57640549</v>
      </c>
      <c r="B1306" t="s">
        <v>2399</v>
      </c>
      <c r="C1306" t="s">
        <v>3678</v>
      </c>
      <c r="D1306" t="s">
        <v>3679</v>
      </c>
      <c r="E1306">
        <v>5404803430</v>
      </c>
      <c r="F1306" t="s">
        <v>474</v>
      </c>
      <c r="G1306" t="s">
        <v>475</v>
      </c>
      <c r="I1306" t="s">
        <v>132</v>
      </c>
      <c r="J1306" s="13">
        <v>45960</v>
      </c>
      <c r="K1306" s="13">
        <v>46023</v>
      </c>
      <c r="L1306" t="s">
        <v>454</v>
      </c>
      <c r="M1306" t="s">
        <v>419</v>
      </c>
      <c r="N1306">
        <v>71335946</v>
      </c>
    </row>
    <row r="1307" spans="1:14" x14ac:dyDescent="0.25">
      <c r="A1307">
        <v>57642284</v>
      </c>
      <c r="B1307" t="s">
        <v>3499</v>
      </c>
      <c r="C1307" t="s">
        <v>3680</v>
      </c>
      <c r="D1307" t="s">
        <v>3681</v>
      </c>
      <c r="E1307">
        <v>2054216117</v>
      </c>
      <c r="F1307" t="s">
        <v>615</v>
      </c>
      <c r="G1307" t="s">
        <v>616</v>
      </c>
      <c r="I1307" t="s">
        <v>617</v>
      </c>
      <c r="J1307" s="13">
        <v>45960</v>
      </c>
      <c r="K1307" s="13">
        <v>46023</v>
      </c>
      <c r="L1307" t="s">
        <v>450</v>
      </c>
      <c r="M1307" t="s">
        <v>60</v>
      </c>
      <c r="N1307">
        <v>71337242</v>
      </c>
    </row>
    <row r="1308" spans="1:14" x14ac:dyDescent="0.25">
      <c r="A1308">
        <v>57642838</v>
      </c>
      <c r="B1308" t="s">
        <v>521</v>
      </c>
      <c r="C1308" t="s">
        <v>3682</v>
      </c>
      <c r="D1308" t="s">
        <v>3683</v>
      </c>
      <c r="E1308">
        <v>2108387624</v>
      </c>
      <c r="F1308" t="s">
        <v>684</v>
      </c>
      <c r="G1308" t="s">
        <v>685</v>
      </c>
      <c r="I1308" t="s">
        <v>686</v>
      </c>
      <c r="J1308" s="13">
        <v>45960</v>
      </c>
      <c r="K1308" s="13">
        <v>46023</v>
      </c>
      <c r="L1308" t="s">
        <v>444</v>
      </c>
      <c r="M1308" t="s">
        <v>55</v>
      </c>
      <c r="N1308">
        <v>71337505</v>
      </c>
    </row>
    <row r="1309" spans="1:14" x14ac:dyDescent="0.25">
      <c r="A1309">
        <v>57643872</v>
      </c>
      <c r="B1309" t="s">
        <v>521</v>
      </c>
      <c r="C1309" t="s">
        <v>3684</v>
      </c>
      <c r="D1309" t="s">
        <v>3685</v>
      </c>
      <c r="E1309">
        <v>4094436441</v>
      </c>
      <c r="F1309" t="s">
        <v>649</v>
      </c>
      <c r="G1309" t="s">
        <v>650</v>
      </c>
      <c r="I1309" t="s">
        <v>28</v>
      </c>
      <c r="J1309" s="13">
        <v>45960</v>
      </c>
      <c r="K1309" s="13">
        <v>46023</v>
      </c>
      <c r="L1309" t="s">
        <v>444</v>
      </c>
      <c r="M1309" t="s">
        <v>419</v>
      </c>
      <c r="N1309">
        <v>71338417</v>
      </c>
    </row>
    <row r="1310" spans="1:14" x14ac:dyDescent="0.25">
      <c r="A1310">
        <v>57644952</v>
      </c>
      <c r="B1310" t="s">
        <v>3686</v>
      </c>
      <c r="C1310" t="s">
        <v>3687</v>
      </c>
      <c r="D1310" t="s">
        <v>3688</v>
      </c>
      <c r="E1310" t="s">
        <v>3689</v>
      </c>
      <c r="F1310" t="s">
        <v>474</v>
      </c>
      <c r="G1310" t="s">
        <v>475</v>
      </c>
      <c r="I1310" t="s">
        <v>132</v>
      </c>
      <c r="J1310" s="13">
        <v>45960</v>
      </c>
      <c r="K1310" s="13">
        <v>46023</v>
      </c>
      <c r="L1310" t="s">
        <v>1188</v>
      </c>
      <c r="M1310" t="s">
        <v>56</v>
      </c>
      <c r="N1310">
        <v>71339090</v>
      </c>
    </row>
    <row r="1311" spans="1:14" x14ac:dyDescent="0.25">
      <c r="A1311">
        <v>57645235</v>
      </c>
      <c r="B1311" t="s">
        <v>2639</v>
      </c>
      <c r="C1311" t="s">
        <v>3690</v>
      </c>
      <c r="D1311" t="s">
        <v>3691</v>
      </c>
      <c r="E1311">
        <v>9415657050</v>
      </c>
      <c r="F1311" t="s">
        <v>928</v>
      </c>
      <c r="G1311" t="s">
        <v>929</v>
      </c>
      <c r="I1311" t="s">
        <v>30</v>
      </c>
      <c r="J1311" s="13">
        <v>45960</v>
      </c>
      <c r="K1311" s="13">
        <v>46023</v>
      </c>
      <c r="L1311" t="s">
        <v>497</v>
      </c>
      <c r="M1311" t="s">
        <v>56</v>
      </c>
      <c r="N1311">
        <v>71339273</v>
      </c>
    </row>
    <row r="1312" spans="1:14" x14ac:dyDescent="0.25">
      <c r="A1312">
        <v>57645440</v>
      </c>
      <c r="B1312" t="s">
        <v>2128</v>
      </c>
      <c r="C1312" t="s">
        <v>1589</v>
      </c>
      <c r="D1312" t="s">
        <v>3692</v>
      </c>
      <c r="E1312">
        <v>8286912291</v>
      </c>
      <c r="F1312" t="s">
        <v>828</v>
      </c>
      <c r="G1312" t="s">
        <v>1148</v>
      </c>
      <c r="I1312" t="s">
        <v>17</v>
      </c>
      <c r="J1312" s="13">
        <v>45960</v>
      </c>
      <c r="K1312" s="13">
        <v>46023</v>
      </c>
      <c r="L1312" t="s">
        <v>603</v>
      </c>
      <c r="M1312" t="s">
        <v>56</v>
      </c>
      <c r="N1312">
        <v>71339403</v>
      </c>
    </row>
    <row r="1313" spans="1:14" x14ac:dyDescent="0.25">
      <c r="A1313">
        <v>57645829</v>
      </c>
      <c r="B1313" t="s">
        <v>3693</v>
      </c>
      <c r="C1313" t="s">
        <v>3694</v>
      </c>
      <c r="D1313" t="s">
        <v>3695</v>
      </c>
      <c r="E1313">
        <v>4193085417</v>
      </c>
      <c r="F1313" t="s">
        <v>551</v>
      </c>
      <c r="G1313" t="s">
        <v>552</v>
      </c>
      <c r="I1313" t="s">
        <v>42</v>
      </c>
      <c r="J1313" s="13">
        <v>45960</v>
      </c>
      <c r="K1313" s="13">
        <v>46023</v>
      </c>
      <c r="L1313" t="s">
        <v>418</v>
      </c>
      <c r="M1313" t="s">
        <v>58</v>
      </c>
      <c r="N1313">
        <v>71339509</v>
      </c>
    </row>
    <row r="1314" spans="1:14" x14ac:dyDescent="0.25">
      <c r="A1314">
        <v>57648258</v>
      </c>
      <c r="B1314" t="s">
        <v>3696</v>
      </c>
      <c r="C1314" t="s">
        <v>3697</v>
      </c>
      <c r="D1314" t="s">
        <v>3698</v>
      </c>
      <c r="E1314">
        <v>5672032362</v>
      </c>
      <c r="F1314" t="s">
        <v>423</v>
      </c>
      <c r="G1314" t="s">
        <v>424</v>
      </c>
      <c r="I1314" t="s">
        <v>46</v>
      </c>
      <c r="J1314" s="13">
        <v>45960</v>
      </c>
      <c r="K1314" s="13">
        <v>46023</v>
      </c>
      <c r="L1314" t="s">
        <v>418</v>
      </c>
      <c r="M1314" t="s">
        <v>59</v>
      </c>
      <c r="N1314">
        <v>71339536</v>
      </c>
    </row>
    <row r="1315" spans="1:14" x14ac:dyDescent="0.25">
      <c r="A1315">
        <v>57645992</v>
      </c>
      <c r="B1315" t="s">
        <v>3699</v>
      </c>
      <c r="C1315" t="s">
        <v>3700</v>
      </c>
      <c r="D1315" t="s">
        <v>3701</v>
      </c>
      <c r="E1315">
        <v>2192089150</v>
      </c>
      <c r="F1315" t="s">
        <v>798</v>
      </c>
      <c r="G1315" t="s">
        <v>799</v>
      </c>
      <c r="I1315" t="s">
        <v>800</v>
      </c>
      <c r="J1315" s="13">
        <v>45960</v>
      </c>
      <c r="K1315" s="13">
        <v>46023</v>
      </c>
      <c r="L1315" t="s">
        <v>440</v>
      </c>
      <c r="M1315" t="s">
        <v>56</v>
      </c>
      <c r="N1315">
        <v>71339736</v>
      </c>
    </row>
    <row r="1316" spans="1:14" x14ac:dyDescent="0.25">
      <c r="A1316">
        <v>57646885</v>
      </c>
      <c r="B1316" t="s">
        <v>3702</v>
      </c>
      <c r="C1316" t="s">
        <v>3703</v>
      </c>
      <c r="D1316" t="s">
        <v>3704</v>
      </c>
      <c r="E1316">
        <v>2079305820</v>
      </c>
      <c r="F1316" t="s">
        <v>416</v>
      </c>
      <c r="G1316" t="s">
        <v>417</v>
      </c>
      <c r="I1316" t="s">
        <v>26</v>
      </c>
      <c r="J1316" s="13">
        <v>45960</v>
      </c>
      <c r="K1316" s="13">
        <v>46023</v>
      </c>
      <c r="L1316" t="s">
        <v>941</v>
      </c>
      <c r="M1316" t="s">
        <v>61</v>
      </c>
      <c r="N1316">
        <v>71340261</v>
      </c>
    </row>
    <row r="1317" spans="1:14" x14ac:dyDescent="0.25">
      <c r="A1317">
        <v>57646909</v>
      </c>
      <c r="B1317" t="s">
        <v>3067</v>
      </c>
      <c r="C1317" t="s">
        <v>2498</v>
      </c>
      <c r="D1317" t="s">
        <v>3705</v>
      </c>
      <c r="E1317">
        <v>8628469561</v>
      </c>
      <c r="F1317" t="s">
        <v>592</v>
      </c>
      <c r="G1317" t="s">
        <v>593</v>
      </c>
      <c r="I1317" t="s">
        <v>115</v>
      </c>
      <c r="J1317" s="13">
        <v>45960</v>
      </c>
      <c r="K1317" s="13">
        <v>46023</v>
      </c>
      <c r="L1317" t="s">
        <v>440</v>
      </c>
      <c r="M1317" t="s">
        <v>419</v>
      </c>
      <c r="N1317">
        <v>71340440</v>
      </c>
    </row>
    <row r="1318" spans="1:14" x14ac:dyDescent="0.25">
      <c r="A1318">
        <v>57647807</v>
      </c>
      <c r="B1318" t="s">
        <v>1078</v>
      </c>
      <c r="C1318" t="s">
        <v>445</v>
      </c>
      <c r="D1318" t="s">
        <v>3706</v>
      </c>
      <c r="E1318">
        <v>9124247358</v>
      </c>
      <c r="F1318" t="s">
        <v>842</v>
      </c>
      <c r="G1318" t="s">
        <v>843</v>
      </c>
      <c r="I1318" t="s">
        <v>98</v>
      </c>
      <c r="J1318" s="13">
        <v>45960</v>
      </c>
      <c r="K1318" s="13">
        <v>46023</v>
      </c>
      <c r="L1318" t="s">
        <v>621</v>
      </c>
      <c r="M1318" t="s">
        <v>58</v>
      </c>
      <c r="N1318">
        <v>71341075</v>
      </c>
    </row>
    <row r="1319" spans="1:14" x14ac:dyDescent="0.25">
      <c r="A1319">
        <v>57648820</v>
      </c>
      <c r="B1319" t="s">
        <v>1237</v>
      </c>
      <c r="C1319" t="s">
        <v>2849</v>
      </c>
      <c r="D1319" t="s">
        <v>3707</v>
      </c>
      <c r="E1319">
        <v>7864873161</v>
      </c>
      <c r="F1319" t="s">
        <v>780</v>
      </c>
      <c r="G1319" t="s">
        <v>781</v>
      </c>
      <c r="I1319" t="s">
        <v>20</v>
      </c>
      <c r="J1319" s="13">
        <v>45960</v>
      </c>
      <c r="K1319" s="13">
        <v>46023</v>
      </c>
      <c r="L1319" t="s">
        <v>497</v>
      </c>
      <c r="M1319" t="s">
        <v>56</v>
      </c>
      <c r="N1319">
        <v>71341872</v>
      </c>
    </row>
    <row r="1320" spans="1:14" x14ac:dyDescent="0.25">
      <c r="A1320">
        <v>57650078</v>
      </c>
      <c r="B1320" t="s">
        <v>3708</v>
      </c>
      <c r="C1320" t="s">
        <v>3657</v>
      </c>
      <c r="D1320" t="s">
        <v>3709</v>
      </c>
      <c r="E1320">
        <v>6892410698</v>
      </c>
      <c r="F1320" t="s">
        <v>569</v>
      </c>
      <c r="G1320" t="s">
        <v>570</v>
      </c>
      <c r="I1320" t="s">
        <v>34</v>
      </c>
      <c r="J1320" s="13">
        <v>45960</v>
      </c>
      <c r="K1320" s="13">
        <v>46023</v>
      </c>
      <c r="L1320" t="s">
        <v>497</v>
      </c>
      <c r="M1320" t="s">
        <v>56</v>
      </c>
      <c r="N1320">
        <v>71342694</v>
      </c>
    </row>
    <row r="1321" spans="1:14" x14ac:dyDescent="0.25">
      <c r="A1321">
        <v>57652971</v>
      </c>
      <c r="B1321" t="s">
        <v>1893</v>
      </c>
      <c r="C1321" t="s">
        <v>3710</v>
      </c>
      <c r="D1321" t="s">
        <v>3711</v>
      </c>
      <c r="F1321" t="s">
        <v>423</v>
      </c>
      <c r="G1321" t="s">
        <v>424</v>
      </c>
      <c r="I1321" t="s">
        <v>46</v>
      </c>
      <c r="J1321" s="13">
        <v>45960</v>
      </c>
      <c r="K1321" s="13">
        <v>46023</v>
      </c>
      <c r="L1321" t="s">
        <v>418</v>
      </c>
      <c r="M1321" t="s">
        <v>59</v>
      </c>
      <c r="N1321">
        <v>71343525</v>
      </c>
    </row>
    <row r="1322" spans="1:14" x14ac:dyDescent="0.25">
      <c r="A1322">
        <v>57652078</v>
      </c>
      <c r="B1322" t="s">
        <v>552</v>
      </c>
      <c r="C1322" t="s">
        <v>619</v>
      </c>
      <c r="D1322" t="s">
        <v>3712</v>
      </c>
      <c r="E1322">
        <v>5025103311</v>
      </c>
      <c r="F1322" t="s">
        <v>448</v>
      </c>
      <c r="G1322" t="s">
        <v>449</v>
      </c>
      <c r="I1322" t="s">
        <v>31</v>
      </c>
      <c r="J1322" s="13">
        <v>45960</v>
      </c>
      <c r="K1322" s="13">
        <v>46023</v>
      </c>
      <c r="L1322" t="s">
        <v>497</v>
      </c>
      <c r="M1322" t="s">
        <v>56</v>
      </c>
      <c r="N1322">
        <v>71343930</v>
      </c>
    </row>
    <row r="1323" spans="1:14" x14ac:dyDescent="0.25">
      <c r="A1323">
        <v>57652118</v>
      </c>
      <c r="B1323" t="s">
        <v>3713</v>
      </c>
      <c r="C1323" t="s">
        <v>1598</v>
      </c>
      <c r="D1323" t="s">
        <v>3714</v>
      </c>
      <c r="E1323">
        <v>5207882220</v>
      </c>
      <c r="F1323" t="s">
        <v>705</v>
      </c>
      <c r="G1323" t="s">
        <v>706</v>
      </c>
      <c r="I1323" t="s">
        <v>12</v>
      </c>
      <c r="J1323" s="13">
        <v>45960</v>
      </c>
      <c r="K1323" s="13">
        <v>46023</v>
      </c>
      <c r="L1323" t="s">
        <v>1179</v>
      </c>
      <c r="M1323" t="s">
        <v>56</v>
      </c>
      <c r="N1323">
        <v>71343941</v>
      </c>
    </row>
    <row r="1324" spans="1:14" x14ac:dyDescent="0.25">
      <c r="A1324">
        <v>57654088</v>
      </c>
      <c r="B1324" t="s">
        <v>1406</v>
      </c>
      <c r="C1324" t="s">
        <v>1033</v>
      </c>
      <c r="D1324" t="s">
        <v>3715</v>
      </c>
      <c r="E1324">
        <v>7047630184</v>
      </c>
      <c r="F1324" t="s">
        <v>1147</v>
      </c>
      <c r="G1324" t="s">
        <v>1148</v>
      </c>
      <c r="I1324" t="s">
        <v>41</v>
      </c>
      <c r="J1324" s="13">
        <v>45960</v>
      </c>
      <c r="K1324" s="13">
        <v>46023</v>
      </c>
      <c r="L1324" t="s">
        <v>603</v>
      </c>
      <c r="M1324" t="s">
        <v>55</v>
      </c>
      <c r="N1324">
        <v>71344494</v>
      </c>
    </row>
    <row r="1325" spans="1:14" x14ac:dyDescent="0.25">
      <c r="A1325">
        <v>57653489</v>
      </c>
      <c r="B1325" t="s">
        <v>3716</v>
      </c>
      <c r="C1325" t="s">
        <v>2800</v>
      </c>
      <c r="D1325" t="s">
        <v>3717</v>
      </c>
      <c r="E1325">
        <v>6232972526</v>
      </c>
      <c r="F1325" t="s">
        <v>775</v>
      </c>
      <c r="G1325" t="s">
        <v>776</v>
      </c>
      <c r="I1325" t="s">
        <v>22</v>
      </c>
      <c r="J1325" s="13">
        <v>45960</v>
      </c>
      <c r="K1325" s="13">
        <v>46023</v>
      </c>
      <c r="L1325" t="s">
        <v>1179</v>
      </c>
      <c r="M1325" t="s">
        <v>56</v>
      </c>
      <c r="N1325">
        <v>71344687</v>
      </c>
    </row>
    <row r="1326" spans="1:14" x14ac:dyDescent="0.25">
      <c r="A1326">
        <v>57654455</v>
      </c>
      <c r="B1326" t="s">
        <v>856</v>
      </c>
      <c r="C1326" t="s">
        <v>1065</v>
      </c>
      <c r="D1326" t="s">
        <v>3718</v>
      </c>
      <c r="E1326">
        <v>6063164764</v>
      </c>
      <c r="F1326" t="s">
        <v>551</v>
      </c>
      <c r="G1326" t="s">
        <v>552</v>
      </c>
      <c r="I1326" t="s">
        <v>42</v>
      </c>
      <c r="J1326" s="13">
        <v>45960</v>
      </c>
      <c r="K1326" s="13">
        <v>46023</v>
      </c>
      <c r="L1326" t="s">
        <v>490</v>
      </c>
      <c r="M1326" t="s">
        <v>61</v>
      </c>
      <c r="N1326">
        <v>71344890</v>
      </c>
    </row>
    <row r="1327" spans="1:14" x14ac:dyDescent="0.25">
      <c r="A1327">
        <v>57655167</v>
      </c>
      <c r="B1327" t="s">
        <v>3719</v>
      </c>
      <c r="C1327" t="s">
        <v>3720</v>
      </c>
      <c r="D1327" t="s">
        <v>3721</v>
      </c>
      <c r="E1327">
        <v>3038857568</v>
      </c>
      <c r="F1327" t="s">
        <v>474</v>
      </c>
      <c r="G1327" t="s">
        <v>475</v>
      </c>
      <c r="I1327" t="s">
        <v>132</v>
      </c>
      <c r="J1327" s="13">
        <v>45960</v>
      </c>
      <c r="K1327" s="13">
        <v>46023</v>
      </c>
      <c r="L1327" t="s">
        <v>497</v>
      </c>
      <c r="M1327" t="s">
        <v>56</v>
      </c>
      <c r="N1327">
        <v>71345416</v>
      </c>
    </row>
    <row r="1328" spans="1:14" x14ac:dyDescent="0.25">
      <c r="A1328">
        <v>57658134</v>
      </c>
      <c r="B1328" t="s">
        <v>3722</v>
      </c>
      <c r="C1328" t="s">
        <v>3723</v>
      </c>
      <c r="D1328" t="s">
        <v>3724</v>
      </c>
      <c r="E1328">
        <v>9545404408</v>
      </c>
      <c r="F1328" t="s">
        <v>462</v>
      </c>
      <c r="G1328" t="s">
        <v>463</v>
      </c>
      <c r="I1328" t="s">
        <v>39</v>
      </c>
      <c r="J1328" s="13">
        <v>45960</v>
      </c>
      <c r="K1328" s="13">
        <v>46023</v>
      </c>
      <c r="L1328" t="s">
        <v>497</v>
      </c>
      <c r="M1328" t="s">
        <v>54</v>
      </c>
      <c r="N1328">
        <v>71347295</v>
      </c>
    </row>
    <row r="1329" spans="1:14" x14ac:dyDescent="0.25">
      <c r="A1329">
        <v>57659633</v>
      </c>
      <c r="B1329" t="s">
        <v>709</v>
      </c>
      <c r="C1329" t="s">
        <v>3725</v>
      </c>
      <c r="D1329" t="s">
        <v>3726</v>
      </c>
      <c r="E1329" t="s">
        <v>3727</v>
      </c>
      <c r="F1329" t="s">
        <v>474</v>
      </c>
      <c r="G1329" t="s">
        <v>475</v>
      </c>
      <c r="I1329" t="s">
        <v>132</v>
      </c>
      <c r="J1329" s="13">
        <v>45960</v>
      </c>
      <c r="K1329" s="13">
        <v>46023</v>
      </c>
      <c r="L1329" t="s">
        <v>497</v>
      </c>
      <c r="M1329" t="s">
        <v>56</v>
      </c>
      <c r="N1329">
        <v>71348291</v>
      </c>
    </row>
    <row r="1330" spans="1:14" x14ac:dyDescent="0.25">
      <c r="A1330">
        <v>57661742</v>
      </c>
      <c r="B1330" t="s">
        <v>1038</v>
      </c>
      <c r="C1330" t="s">
        <v>3728</v>
      </c>
      <c r="D1330" t="s">
        <v>3729</v>
      </c>
      <c r="E1330">
        <v>9015589579</v>
      </c>
      <c r="F1330" t="s">
        <v>448</v>
      </c>
      <c r="G1330" t="s">
        <v>449</v>
      </c>
      <c r="I1330" t="s">
        <v>31</v>
      </c>
      <c r="J1330" s="13">
        <v>45960</v>
      </c>
      <c r="K1330" s="13">
        <v>46023</v>
      </c>
      <c r="L1330" t="s">
        <v>479</v>
      </c>
      <c r="M1330" t="s">
        <v>59</v>
      </c>
      <c r="N1330">
        <v>71349706</v>
      </c>
    </row>
    <row r="1331" spans="1:14" x14ac:dyDescent="0.25">
      <c r="A1331">
        <v>57663855</v>
      </c>
      <c r="B1331" t="s">
        <v>1237</v>
      </c>
      <c r="C1331" t="s">
        <v>3730</v>
      </c>
      <c r="D1331" t="s">
        <v>3731</v>
      </c>
      <c r="E1331">
        <v>8166689054</v>
      </c>
      <c r="F1331" t="s">
        <v>1398</v>
      </c>
      <c r="G1331" t="s">
        <v>1399</v>
      </c>
      <c r="I1331" t="s">
        <v>1400</v>
      </c>
      <c r="J1331" s="13">
        <v>45960</v>
      </c>
      <c r="K1331" s="13">
        <v>46023</v>
      </c>
      <c r="L1331" t="s">
        <v>520</v>
      </c>
      <c r="M1331" t="s">
        <v>58</v>
      </c>
      <c r="N1331">
        <v>71351016</v>
      </c>
    </row>
    <row r="1332" spans="1:14" x14ac:dyDescent="0.25">
      <c r="A1332">
        <v>57663696</v>
      </c>
      <c r="B1332" t="s">
        <v>685</v>
      </c>
      <c r="C1332" t="s">
        <v>3732</v>
      </c>
      <c r="D1332" t="s">
        <v>3733</v>
      </c>
      <c r="E1332">
        <v>9562067574</v>
      </c>
      <c r="F1332" t="s">
        <v>574</v>
      </c>
      <c r="G1332" t="s">
        <v>575</v>
      </c>
      <c r="I1332" t="s">
        <v>14</v>
      </c>
      <c r="J1332" s="13">
        <v>45960</v>
      </c>
      <c r="K1332" s="13">
        <v>46023</v>
      </c>
      <c r="L1332" t="s">
        <v>444</v>
      </c>
      <c r="M1332" t="s">
        <v>58</v>
      </c>
      <c r="N1332">
        <v>71351126</v>
      </c>
    </row>
    <row r="1333" spans="1:14" x14ac:dyDescent="0.25">
      <c r="A1333">
        <v>57678561</v>
      </c>
      <c r="B1333" t="s">
        <v>3734</v>
      </c>
      <c r="C1333" t="s">
        <v>3735</v>
      </c>
      <c r="D1333" t="s">
        <v>3736</v>
      </c>
      <c r="E1333">
        <v>9542458264</v>
      </c>
      <c r="F1333" t="s">
        <v>1003</v>
      </c>
      <c r="G1333" t="s">
        <v>1004</v>
      </c>
      <c r="I1333" t="s">
        <v>89</v>
      </c>
      <c r="J1333" s="13">
        <v>45960</v>
      </c>
      <c r="K1333" s="13">
        <v>46023</v>
      </c>
      <c r="L1333" t="s">
        <v>497</v>
      </c>
      <c r="M1333" t="s">
        <v>59</v>
      </c>
      <c r="N1333">
        <v>71351363</v>
      </c>
    </row>
    <row r="1334" spans="1:14" x14ac:dyDescent="0.25">
      <c r="A1334">
        <v>57664804</v>
      </c>
      <c r="B1334" t="s">
        <v>3737</v>
      </c>
      <c r="C1334" t="s">
        <v>3738</v>
      </c>
      <c r="D1334" t="s">
        <v>3739</v>
      </c>
      <c r="E1334">
        <v>6814798936</v>
      </c>
      <c r="F1334" t="s">
        <v>649</v>
      </c>
      <c r="G1334" t="s">
        <v>650</v>
      </c>
      <c r="I1334" t="s">
        <v>28</v>
      </c>
      <c r="J1334" s="13">
        <v>45960</v>
      </c>
      <c r="K1334" s="13">
        <v>46023</v>
      </c>
      <c r="L1334" t="s">
        <v>1188</v>
      </c>
      <c r="M1334" t="s">
        <v>56</v>
      </c>
      <c r="N1334">
        <v>71351963</v>
      </c>
    </row>
    <row r="1335" spans="1:14" x14ac:dyDescent="0.25">
      <c r="A1335">
        <v>57669446</v>
      </c>
      <c r="B1335" t="s">
        <v>1109</v>
      </c>
      <c r="C1335" t="s">
        <v>3740</v>
      </c>
      <c r="D1335" t="s">
        <v>3741</v>
      </c>
      <c r="E1335">
        <v>9284508478</v>
      </c>
      <c r="F1335" t="s">
        <v>684</v>
      </c>
      <c r="G1335" t="s">
        <v>685</v>
      </c>
      <c r="I1335" t="s">
        <v>686</v>
      </c>
      <c r="J1335" s="13">
        <v>45960</v>
      </c>
      <c r="K1335" s="13">
        <v>46023</v>
      </c>
      <c r="L1335" t="s">
        <v>1179</v>
      </c>
      <c r="M1335" t="s">
        <v>59</v>
      </c>
      <c r="N1335">
        <v>71353004</v>
      </c>
    </row>
    <row r="1336" spans="1:14" x14ac:dyDescent="0.25">
      <c r="A1336">
        <v>57667700</v>
      </c>
      <c r="B1336" t="s">
        <v>3742</v>
      </c>
      <c r="C1336" t="s">
        <v>3743</v>
      </c>
      <c r="D1336" t="s">
        <v>3744</v>
      </c>
      <c r="E1336">
        <v>4802281724</v>
      </c>
      <c r="F1336" t="s">
        <v>423</v>
      </c>
      <c r="G1336" t="s">
        <v>424</v>
      </c>
      <c r="I1336" t="s">
        <v>46</v>
      </c>
      <c r="J1336" s="13">
        <v>45960</v>
      </c>
      <c r="K1336" s="13">
        <v>46023</v>
      </c>
      <c r="L1336" t="s">
        <v>1179</v>
      </c>
      <c r="M1336" t="s">
        <v>55</v>
      </c>
      <c r="N1336">
        <v>71353035</v>
      </c>
    </row>
    <row r="1337" spans="1:14" x14ac:dyDescent="0.25">
      <c r="A1337">
        <v>57669927</v>
      </c>
      <c r="B1337" t="s">
        <v>604</v>
      </c>
      <c r="C1337" t="s">
        <v>1292</v>
      </c>
      <c r="D1337" t="s">
        <v>3745</v>
      </c>
      <c r="E1337">
        <v>5403231165</v>
      </c>
      <c r="F1337" t="s">
        <v>842</v>
      </c>
      <c r="G1337" t="s">
        <v>843</v>
      </c>
      <c r="I1337" t="s">
        <v>98</v>
      </c>
      <c r="J1337" s="13">
        <v>45960</v>
      </c>
      <c r="K1337" s="13">
        <v>46023</v>
      </c>
      <c r="L1337" t="s">
        <v>490</v>
      </c>
      <c r="M1337" t="s">
        <v>58</v>
      </c>
      <c r="N1337">
        <v>71355435</v>
      </c>
    </row>
    <row r="1338" spans="1:14" x14ac:dyDescent="0.25">
      <c r="A1338">
        <v>57670170</v>
      </c>
      <c r="B1338" t="s">
        <v>2071</v>
      </c>
      <c r="C1338" t="s">
        <v>3746</v>
      </c>
      <c r="D1338" t="s">
        <v>3747</v>
      </c>
      <c r="E1338">
        <v>4236086432</v>
      </c>
      <c r="F1338" t="s">
        <v>416</v>
      </c>
      <c r="G1338" t="s">
        <v>417</v>
      </c>
      <c r="I1338" t="s">
        <v>26</v>
      </c>
      <c r="J1338" s="13">
        <v>45960</v>
      </c>
      <c r="K1338" s="13">
        <v>46023</v>
      </c>
      <c r="L1338" t="s">
        <v>479</v>
      </c>
      <c r="M1338" t="s">
        <v>58</v>
      </c>
      <c r="N1338">
        <v>71355544</v>
      </c>
    </row>
    <row r="1339" spans="1:14" x14ac:dyDescent="0.25">
      <c r="A1339">
        <v>57670920</v>
      </c>
      <c r="B1339" t="s">
        <v>3748</v>
      </c>
      <c r="C1339" t="s">
        <v>3749</v>
      </c>
      <c r="D1339" t="s">
        <v>3750</v>
      </c>
      <c r="E1339">
        <v>9014868504</v>
      </c>
      <c r="F1339" t="s">
        <v>1267</v>
      </c>
      <c r="G1339" t="s">
        <v>1268</v>
      </c>
      <c r="I1339" t="s">
        <v>1269</v>
      </c>
      <c r="J1339" s="13">
        <v>45960</v>
      </c>
      <c r="K1339" s="13">
        <v>46023</v>
      </c>
      <c r="L1339" t="s">
        <v>479</v>
      </c>
      <c r="M1339" t="s">
        <v>56</v>
      </c>
      <c r="N1339">
        <v>71356124</v>
      </c>
    </row>
    <row r="1340" spans="1:14" x14ac:dyDescent="0.25">
      <c r="A1340">
        <v>57671750</v>
      </c>
      <c r="B1340" t="s">
        <v>1789</v>
      </c>
      <c r="C1340" t="s">
        <v>3751</v>
      </c>
      <c r="D1340" t="s">
        <v>3752</v>
      </c>
      <c r="E1340" t="s">
        <v>3753</v>
      </c>
      <c r="F1340" t="s">
        <v>1444</v>
      </c>
      <c r="G1340" t="s">
        <v>1445</v>
      </c>
      <c r="I1340" t="s">
        <v>1446</v>
      </c>
      <c r="J1340" s="13">
        <v>45960</v>
      </c>
      <c r="K1340" s="13">
        <v>46023</v>
      </c>
      <c r="L1340" t="s">
        <v>941</v>
      </c>
      <c r="M1340" t="s">
        <v>419</v>
      </c>
      <c r="N1340">
        <v>71356756</v>
      </c>
    </row>
    <row r="1341" spans="1:14" x14ac:dyDescent="0.25">
      <c r="A1341">
        <v>57672059</v>
      </c>
      <c r="B1341" t="s">
        <v>3754</v>
      </c>
      <c r="C1341" t="s">
        <v>1073</v>
      </c>
      <c r="D1341" t="s">
        <v>3755</v>
      </c>
      <c r="E1341">
        <v>8704210963</v>
      </c>
      <c r="F1341" t="s">
        <v>705</v>
      </c>
      <c r="G1341" t="s">
        <v>706</v>
      </c>
      <c r="I1341" t="s">
        <v>12</v>
      </c>
      <c r="J1341" s="13">
        <v>45960</v>
      </c>
      <c r="K1341" s="13">
        <v>46023</v>
      </c>
      <c r="L1341" t="s">
        <v>553</v>
      </c>
      <c r="M1341" t="s">
        <v>56</v>
      </c>
      <c r="N1341">
        <v>71357006</v>
      </c>
    </row>
    <row r="1342" spans="1:14" x14ac:dyDescent="0.25">
      <c r="A1342">
        <v>57672370</v>
      </c>
      <c r="B1342" t="s">
        <v>420</v>
      </c>
      <c r="C1342" t="s">
        <v>3756</v>
      </c>
      <c r="D1342" t="s">
        <v>3757</v>
      </c>
      <c r="E1342">
        <v>9283224647</v>
      </c>
      <c r="F1342" t="s">
        <v>474</v>
      </c>
      <c r="G1342" t="s">
        <v>475</v>
      </c>
      <c r="I1342" t="s">
        <v>132</v>
      </c>
      <c r="J1342" s="13">
        <v>45960</v>
      </c>
      <c r="K1342" s="13">
        <v>46023</v>
      </c>
      <c r="L1342" t="s">
        <v>1179</v>
      </c>
      <c r="M1342" t="s">
        <v>58</v>
      </c>
      <c r="N1342">
        <v>71357246</v>
      </c>
    </row>
    <row r="1343" spans="1:14" x14ac:dyDescent="0.25">
      <c r="A1343">
        <v>57675564</v>
      </c>
      <c r="B1343" t="s">
        <v>3758</v>
      </c>
      <c r="C1343" t="s">
        <v>3759</v>
      </c>
      <c r="D1343" t="s">
        <v>3760</v>
      </c>
      <c r="E1343">
        <v>5206278886</v>
      </c>
      <c r="F1343" t="s">
        <v>423</v>
      </c>
      <c r="G1343" t="s">
        <v>424</v>
      </c>
      <c r="I1343" t="s">
        <v>46</v>
      </c>
      <c r="J1343" s="13">
        <v>45960</v>
      </c>
      <c r="K1343" s="13">
        <v>46023</v>
      </c>
      <c r="L1343" t="s">
        <v>1179</v>
      </c>
      <c r="M1343" t="s">
        <v>59</v>
      </c>
      <c r="N1343">
        <v>71357550</v>
      </c>
    </row>
    <row r="1344" spans="1:14" x14ac:dyDescent="0.25">
      <c r="A1344">
        <v>57672965</v>
      </c>
      <c r="B1344" t="s">
        <v>552</v>
      </c>
      <c r="C1344" t="s">
        <v>3761</v>
      </c>
      <c r="D1344" t="s">
        <v>3762</v>
      </c>
      <c r="E1344">
        <v>8284420246</v>
      </c>
      <c r="F1344" t="s">
        <v>569</v>
      </c>
      <c r="G1344" t="s">
        <v>570</v>
      </c>
      <c r="I1344" t="s">
        <v>34</v>
      </c>
      <c r="J1344" s="13">
        <v>45960</v>
      </c>
      <c r="K1344" s="13">
        <v>46023</v>
      </c>
      <c r="L1344" t="s">
        <v>603</v>
      </c>
      <c r="M1344" t="s">
        <v>56</v>
      </c>
      <c r="N1344">
        <v>71357715</v>
      </c>
    </row>
    <row r="1345" spans="1:14" x14ac:dyDescent="0.25">
      <c r="A1345">
        <v>57674281</v>
      </c>
      <c r="B1345" t="s">
        <v>2645</v>
      </c>
      <c r="C1345" t="s">
        <v>3763</v>
      </c>
      <c r="D1345" t="s">
        <v>3764</v>
      </c>
      <c r="E1345">
        <v>5203299187</v>
      </c>
      <c r="F1345" t="s">
        <v>775</v>
      </c>
      <c r="G1345" t="s">
        <v>776</v>
      </c>
      <c r="I1345" t="s">
        <v>22</v>
      </c>
      <c r="J1345" s="13">
        <v>45960</v>
      </c>
      <c r="K1345" s="13">
        <v>46023</v>
      </c>
      <c r="L1345" t="s">
        <v>1179</v>
      </c>
      <c r="M1345" t="s">
        <v>54</v>
      </c>
      <c r="N1345">
        <v>71358705</v>
      </c>
    </row>
    <row r="1346" spans="1:14" x14ac:dyDescent="0.25">
      <c r="A1346">
        <v>57674324</v>
      </c>
      <c r="B1346" t="s">
        <v>958</v>
      </c>
      <c r="C1346" t="s">
        <v>3765</v>
      </c>
      <c r="D1346" t="s">
        <v>3766</v>
      </c>
      <c r="E1346">
        <v>4092896468</v>
      </c>
      <c r="F1346" t="s">
        <v>828</v>
      </c>
      <c r="G1346" t="s">
        <v>1148</v>
      </c>
      <c r="I1346" t="s">
        <v>17</v>
      </c>
      <c r="J1346" s="13">
        <v>45960</v>
      </c>
      <c r="K1346" s="13">
        <v>46023</v>
      </c>
      <c r="L1346" t="s">
        <v>444</v>
      </c>
      <c r="M1346" t="s">
        <v>58</v>
      </c>
      <c r="N1346">
        <v>71358737</v>
      </c>
    </row>
    <row r="1347" spans="1:14" x14ac:dyDescent="0.25">
      <c r="A1347">
        <v>57674563</v>
      </c>
      <c r="B1347" t="s">
        <v>3767</v>
      </c>
      <c r="C1347" t="s">
        <v>3088</v>
      </c>
      <c r="D1347" t="s">
        <v>3768</v>
      </c>
      <c r="E1347">
        <v>9704057897</v>
      </c>
      <c r="F1347" t="s">
        <v>448</v>
      </c>
      <c r="G1347" t="s">
        <v>449</v>
      </c>
      <c r="I1347" t="s">
        <v>31</v>
      </c>
      <c r="J1347" s="13">
        <v>45960</v>
      </c>
      <c r="K1347" s="13">
        <v>46023</v>
      </c>
      <c r="L1347" t="s">
        <v>539</v>
      </c>
      <c r="M1347" t="s">
        <v>59</v>
      </c>
      <c r="N1347">
        <v>71358894</v>
      </c>
    </row>
    <row r="1348" spans="1:14" x14ac:dyDescent="0.25">
      <c r="A1348">
        <v>57674673</v>
      </c>
      <c r="B1348" t="s">
        <v>2721</v>
      </c>
      <c r="C1348" t="s">
        <v>546</v>
      </c>
      <c r="D1348" t="s">
        <v>3769</v>
      </c>
      <c r="E1348">
        <v>6025131084</v>
      </c>
      <c r="F1348" t="s">
        <v>462</v>
      </c>
      <c r="G1348" t="s">
        <v>463</v>
      </c>
      <c r="I1348" t="s">
        <v>39</v>
      </c>
      <c r="J1348" s="13">
        <v>45960</v>
      </c>
      <c r="K1348" s="13">
        <v>46023</v>
      </c>
      <c r="L1348" t="s">
        <v>1179</v>
      </c>
      <c r="M1348" t="s">
        <v>54</v>
      </c>
      <c r="N1348">
        <v>71358980</v>
      </c>
    </row>
    <row r="1349" spans="1:14" x14ac:dyDescent="0.25">
      <c r="A1349">
        <v>57677386</v>
      </c>
      <c r="B1349" t="s">
        <v>431</v>
      </c>
      <c r="C1349" t="s">
        <v>707</v>
      </c>
      <c r="D1349" t="s">
        <v>3770</v>
      </c>
      <c r="E1349">
        <v>5615841450</v>
      </c>
      <c r="F1349" t="s">
        <v>1003</v>
      </c>
      <c r="G1349" t="s">
        <v>1004</v>
      </c>
      <c r="I1349" t="s">
        <v>89</v>
      </c>
      <c r="J1349" s="13">
        <v>45960</v>
      </c>
      <c r="K1349" s="13">
        <v>46023</v>
      </c>
      <c r="L1349" t="s">
        <v>497</v>
      </c>
      <c r="M1349" t="s">
        <v>58</v>
      </c>
      <c r="N1349">
        <v>71361062</v>
      </c>
    </row>
    <row r="1350" spans="1:14" x14ac:dyDescent="0.25">
      <c r="A1350">
        <v>57684918</v>
      </c>
      <c r="B1350" t="s">
        <v>3742</v>
      </c>
      <c r="C1350" t="s">
        <v>1287</v>
      </c>
      <c r="D1350" t="s">
        <v>3771</v>
      </c>
      <c r="E1350">
        <v>3042317665</v>
      </c>
      <c r="F1350" t="s">
        <v>957</v>
      </c>
      <c r="G1350" t="s">
        <v>958</v>
      </c>
      <c r="H1350" t="s">
        <v>959</v>
      </c>
      <c r="I1350" t="s">
        <v>960</v>
      </c>
      <c r="J1350" s="13">
        <v>45960</v>
      </c>
      <c r="K1350" s="13">
        <v>46023</v>
      </c>
      <c r="L1350" t="s">
        <v>1188</v>
      </c>
      <c r="M1350" t="s">
        <v>58</v>
      </c>
      <c r="N1350">
        <v>71361644</v>
      </c>
    </row>
    <row r="1351" spans="1:14" x14ac:dyDescent="0.25">
      <c r="A1351">
        <v>57682846</v>
      </c>
      <c r="B1351" t="s">
        <v>3772</v>
      </c>
      <c r="C1351" t="s">
        <v>3773</v>
      </c>
      <c r="D1351" t="s">
        <v>3774</v>
      </c>
      <c r="E1351">
        <v>3346143567</v>
      </c>
      <c r="F1351" t="s">
        <v>790</v>
      </c>
      <c r="G1351" t="s">
        <v>791</v>
      </c>
      <c r="I1351" t="s">
        <v>119</v>
      </c>
      <c r="J1351" s="13">
        <v>45960</v>
      </c>
      <c r="K1351" s="13">
        <v>46023</v>
      </c>
      <c r="L1351" t="s">
        <v>450</v>
      </c>
      <c r="M1351" t="s">
        <v>56</v>
      </c>
      <c r="N1351">
        <v>71363631</v>
      </c>
    </row>
    <row r="1352" spans="1:14" x14ac:dyDescent="0.25">
      <c r="A1352">
        <v>57681474</v>
      </c>
      <c r="B1352" t="s">
        <v>3775</v>
      </c>
      <c r="C1352" t="s">
        <v>3776</v>
      </c>
      <c r="D1352" t="s">
        <v>3777</v>
      </c>
      <c r="E1352">
        <v>2054216117</v>
      </c>
      <c r="F1352" t="s">
        <v>615</v>
      </c>
      <c r="G1352" t="s">
        <v>616</v>
      </c>
      <c r="I1352" t="s">
        <v>617</v>
      </c>
      <c r="J1352" s="13">
        <v>45960</v>
      </c>
      <c r="K1352" s="13">
        <v>46023</v>
      </c>
      <c r="L1352" t="s">
        <v>450</v>
      </c>
      <c r="M1352" t="s">
        <v>56</v>
      </c>
      <c r="N1352">
        <v>71364099</v>
      </c>
    </row>
    <row r="1353" spans="1:14" x14ac:dyDescent="0.25">
      <c r="A1353">
        <v>57681897</v>
      </c>
      <c r="B1353" t="s">
        <v>431</v>
      </c>
      <c r="C1353" t="s">
        <v>3778</v>
      </c>
      <c r="D1353" t="s">
        <v>3779</v>
      </c>
      <c r="E1353">
        <v>4194812482</v>
      </c>
      <c r="F1353" t="s">
        <v>870</v>
      </c>
      <c r="G1353" t="s">
        <v>871</v>
      </c>
      <c r="I1353" t="s">
        <v>872</v>
      </c>
      <c r="J1353" s="13">
        <v>45960</v>
      </c>
      <c r="K1353" s="13">
        <v>46023</v>
      </c>
      <c r="L1353" t="s">
        <v>418</v>
      </c>
      <c r="M1353" t="s">
        <v>56</v>
      </c>
      <c r="N1353">
        <v>71364402</v>
      </c>
    </row>
    <row r="1354" spans="1:14" x14ac:dyDescent="0.25">
      <c r="A1354">
        <v>57682220</v>
      </c>
      <c r="B1354" t="s">
        <v>3780</v>
      </c>
      <c r="C1354" t="s">
        <v>3781</v>
      </c>
      <c r="D1354" t="s">
        <v>3782</v>
      </c>
      <c r="E1354">
        <v>5203907965</v>
      </c>
      <c r="F1354" t="s">
        <v>1345</v>
      </c>
      <c r="G1354" t="s">
        <v>799</v>
      </c>
      <c r="I1354" t="s">
        <v>47</v>
      </c>
      <c r="J1354" s="13">
        <v>45960</v>
      </c>
      <c r="K1354" s="13">
        <v>46023</v>
      </c>
      <c r="L1354" t="s">
        <v>1179</v>
      </c>
      <c r="M1354" t="s">
        <v>54</v>
      </c>
      <c r="N1354">
        <v>71364599</v>
      </c>
    </row>
    <row r="1355" spans="1:14" x14ac:dyDescent="0.25">
      <c r="A1355">
        <v>57682355</v>
      </c>
      <c r="B1355" t="s">
        <v>1494</v>
      </c>
      <c r="C1355" t="s">
        <v>3783</v>
      </c>
      <c r="D1355" t="s">
        <v>3784</v>
      </c>
      <c r="E1355">
        <v>7622996558</v>
      </c>
      <c r="F1355" t="s">
        <v>842</v>
      </c>
      <c r="G1355" t="s">
        <v>843</v>
      </c>
      <c r="I1355" t="s">
        <v>98</v>
      </c>
      <c r="J1355" s="13">
        <v>45960</v>
      </c>
      <c r="K1355" s="13">
        <v>46023</v>
      </c>
      <c r="L1355" t="s">
        <v>621</v>
      </c>
      <c r="M1355" t="s">
        <v>56</v>
      </c>
      <c r="N1355">
        <v>71364748</v>
      </c>
    </row>
    <row r="1356" spans="1:14" x14ac:dyDescent="0.25">
      <c r="A1356">
        <v>57683543</v>
      </c>
      <c r="B1356" t="s">
        <v>3785</v>
      </c>
      <c r="C1356" t="s">
        <v>3786</v>
      </c>
      <c r="D1356" t="s">
        <v>3787</v>
      </c>
      <c r="E1356">
        <v>7577468247</v>
      </c>
      <c r="F1356" t="s">
        <v>628</v>
      </c>
      <c r="G1356" t="s">
        <v>629</v>
      </c>
      <c r="I1356" t="s">
        <v>24</v>
      </c>
      <c r="J1356" s="13">
        <v>45960</v>
      </c>
      <c r="K1356" s="13">
        <v>46023</v>
      </c>
      <c r="L1356" t="s">
        <v>454</v>
      </c>
      <c r="M1356" t="s">
        <v>60</v>
      </c>
      <c r="N1356">
        <v>71365606</v>
      </c>
    </row>
    <row r="1357" spans="1:14" x14ac:dyDescent="0.25">
      <c r="A1357">
        <v>57686037</v>
      </c>
      <c r="B1357" t="s">
        <v>2418</v>
      </c>
      <c r="C1357" t="s">
        <v>3788</v>
      </c>
      <c r="D1357" t="s">
        <v>3789</v>
      </c>
      <c r="E1357">
        <v>9289616778</v>
      </c>
      <c r="F1357" t="s">
        <v>842</v>
      </c>
      <c r="G1357" t="s">
        <v>1213</v>
      </c>
      <c r="I1357" t="s">
        <v>1214</v>
      </c>
      <c r="J1357" s="13">
        <v>45960</v>
      </c>
      <c r="K1357" s="13">
        <v>46023</v>
      </c>
      <c r="L1357" t="s">
        <v>1179</v>
      </c>
      <c r="M1357" t="s">
        <v>54</v>
      </c>
      <c r="N1357">
        <v>71367579</v>
      </c>
    </row>
    <row r="1358" spans="1:14" x14ac:dyDescent="0.25">
      <c r="A1358">
        <v>57686450</v>
      </c>
      <c r="B1358" t="s">
        <v>1041</v>
      </c>
      <c r="C1358" t="s">
        <v>3790</v>
      </c>
      <c r="D1358" t="s">
        <v>3791</v>
      </c>
      <c r="E1358">
        <v>6232262020</v>
      </c>
      <c r="F1358" t="s">
        <v>770</v>
      </c>
      <c r="G1358" t="s">
        <v>771</v>
      </c>
      <c r="I1358" t="s">
        <v>25</v>
      </c>
      <c r="J1358" s="13">
        <v>45960</v>
      </c>
      <c r="K1358" s="13">
        <v>46023</v>
      </c>
      <c r="L1358" t="s">
        <v>1179</v>
      </c>
      <c r="M1358" t="s">
        <v>58</v>
      </c>
      <c r="N1358">
        <v>71367821</v>
      </c>
    </row>
    <row r="1359" spans="1:14" x14ac:dyDescent="0.25">
      <c r="A1359">
        <v>57687522</v>
      </c>
      <c r="B1359" t="s">
        <v>3792</v>
      </c>
      <c r="C1359" t="s">
        <v>3793</v>
      </c>
      <c r="D1359" t="s">
        <v>3794</v>
      </c>
      <c r="E1359">
        <v>7022808372</v>
      </c>
      <c r="F1359" t="s">
        <v>684</v>
      </c>
      <c r="G1359" t="s">
        <v>685</v>
      </c>
      <c r="I1359" t="s">
        <v>686</v>
      </c>
      <c r="J1359" s="13">
        <v>45960</v>
      </c>
      <c r="K1359" s="13">
        <v>46023</v>
      </c>
      <c r="L1359" t="s">
        <v>418</v>
      </c>
      <c r="M1359" t="s">
        <v>56</v>
      </c>
      <c r="N1359">
        <v>71368277</v>
      </c>
    </row>
    <row r="1360" spans="1:14" x14ac:dyDescent="0.25">
      <c r="A1360">
        <v>57688341</v>
      </c>
      <c r="B1360" t="s">
        <v>1448</v>
      </c>
      <c r="C1360" t="s">
        <v>3795</v>
      </c>
      <c r="D1360" t="s">
        <v>3796</v>
      </c>
      <c r="E1360">
        <v>9033431286</v>
      </c>
      <c r="F1360" t="s">
        <v>1147</v>
      </c>
      <c r="G1360" t="s">
        <v>1148</v>
      </c>
      <c r="I1360" t="s">
        <v>41</v>
      </c>
      <c r="J1360" s="13">
        <v>45960</v>
      </c>
      <c r="K1360" s="13">
        <v>46023</v>
      </c>
      <c r="L1360" t="s">
        <v>444</v>
      </c>
      <c r="M1360" t="s">
        <v>55</v>
      </c>
      <c r="N1360">
        <v>71368900</v>
      </c>
    </row>
    <row r="1361" spans="1:14" x14ac:dyDescent="0.25">
      <c r="A1361">
        <v>57690628</v>
      </c>
      <c r="B1361" t="s">
        <v>1515</v>
      </c>
      <c r="C1361" t="s">
        <v>3797</v>
      </c>
      <c r="D1361" t="s">
        <v>3798</v>
      </c>
      <c r="E1361">
        <v>4802009111</v>
      </c>
      <c r="F1361" t="s">
        <v>462</v>
      </c>
      <c r="G1361" t="s">
        <v>463</v>
      </c>
      <c r="I1361" t="s">
        <v>39</v>
      </c>
      <c r="J1361" s="13">
        <v>45960</v>
      </c>
      <c r="K1361" s="13">
        <v>46023</v>
      </c>
      <c r="L1361" t="s">
        <v>1179</v>
      </c>
      <c r="M1361" t="s">
        <v>54</v>
      </c>
      <c r="N1361">
        <v>71370503</v>
      </c>
    </row>
    <row r="1362" spans="1:14" x14ac:dyDescent="0.25">
      <c r="A1362">
        <v>57691259</v>
      </c>
      <c r="B1362" t="s">
        <v>3799</v>
      </c>
      <c r="C1362" t="s">
        <v>3800</v>
      </c>
      <c r="D1362" t="s">
        <v>3801</v>
      </c>
      <c r="E1362">
        <v>2512854489</v>
      </c>
      <c r="F1362" t="s">
        <v>474</v>
      </c>
      <c r="G1362" t="s">
        <v>475</v>
      </c>
      <c r="I1362" t="s">
        <v>132</v>
      </c>
      <c r="J1362" s="13">
        <v>45960</v>
      </c>
      <c r="K1362" s="13">
        <v>46023</v>
      </c>
      <c r="L1362" t="s">
        <v>450</v>
      </c>
      <c r="M1362" t="s">
        <v>56</v>
      </c>
      <c r="N1362">
        <v>71371018</v>
      </c>
    </row>
    <row r="1363" spans="1:14" x14ac:dyDescent="0.25">
      <c r="A1363">
        <v>57691753</v>
      </c>
      <c r="B1363" t="s">
        <v>839</v>
      </c>
      <c r="C1363" t="s">
        <v>3802</v>
      </c>
      <c r="D1363" t="s">
        <v>3803</v>
      </c>
      <c r="E1363">
        <v>8642797864</v>
      </c>
      <c r="F1363" t="s">
        <v>1067</v>
      </c>
      <c r="G1363" t="s">
        <v>1068</v>
      </c>
      <c r="I1363" t="s">
        <v>35</v>
      </c>
      <c r="J1363" s="13">
        <v>45960</v>
      </c>
      <c r="K1363" s="13">
        <v>46023</v>
      </c>
      <c r="L1363" t="s">
        <v>533</v>
      </c>
      <c r="M1363" t="s">
        <v>59</v>
      </c>
      <c r="N1363">
        <v>71371474</v>
      </c>
    </row>
    <row r="1364" spans="1:14" x14ac:dyDescent="0.25">
      <c r="A1364">
        <v>57691879</v>
      </c>
      <c r="B1364" t="s">
        <v>476</v>
      </c>
      <c r="C1364" t="s">
        <v>1186</v>
      </c>
      <c r="D1364" t="s">
        <v>3804</v>
      </c>
      <c r="E1364">
        <v>5017326627</v>
      </c>
      <c r="F1364" t="s">
        <v>1398</v>
      </c>
      <c r="G1364" t="s">
        <v>1399</v>
      </c>
      <c r="I1364" t="s">
        <v>1400</v>
      </c>
      <c r="J1364" s="13">
        <v>45960</v>
      </c>
      <c r="K1364" s="13">
        <v>46023</v>
      </c>
      <c r="L1364" t="s">
        <v>553</v>
      </c>
      <c r="M1364" t="s">
        <v>56</v>
      </c>
      <c r="N1364">
        <v>71371477</v>
      </c>
    </row>
    <row r="1365" spans="1:14" x14ac:dyDescent="0.25">
      <c r="A1365">
        <v>57691839</v>
      </c>
      <c r="B1365" t="s">
        <v>445</v>
      </c>
      <c r="C1365" t="s">
        <v>3805</v>
      </c>
      <c r="D1365" t="s">
        <v>3806</v>
      </c>
      <c r="E1365">
        <v>2398785940</v>
      </c>
      <c r="F1365" t="s">
        <v>928</v>
      </c>
      <c r="G1365" t="s">
        <v>929</v>
      </c>
      <c r="I1365" t="s">
        <v>30</v>
      </c>
      <c r="J1365" s="13">
        <v>45960</v>
      </c>
      <c r="K1365" s="13">
        <v>46023</v>
      </c>
      <c r="L1365" t="s">
        <v>497</v>
      </c>
      <c r="M1365" t="s">
        <v>58</v>
      </c>
      <c r="N1365">
        <v>71371530</v>
      </c>
    </row>
    <row r="1366" spans="1:14" x14ac:dyDescent="0.25">
      <c r="A1366">
        <v>57692292</v>
      </c>
      <c r="B1366" t="s">
        <v>1872</v>
      </c>
      <c r="C1366" t="s">
        <v>3807</v>
      </c>
      <c r="D1366" t="s">
        <v>3808</v>
      </c>
      <c r="E1366">
        <v>6232054509</v>
      </c>
      <c r="F1366" t="s">
        <v>423</v>
      </c>
      <c r="G1366" t="s">
        <v>424</v>
      </c>
      <c r="I1366" t="s">
        <v>46</v>
      </c>
      <c r="J1366" s="13">
        <v>45960</v>
      </c>
      <c r="K1366" s="13">
        <v>46023</v>
      </c>
      <c r="L1366" t="s">
        <v>1179</v>
      </c>
      <c r="M1366" t="s">
        <v>59</v>
      </c>
      <c r="N1366">
        <v>71371609</v>
      </c>
    </row>
    <row r="1367" spans="1:14" x14ac:dyDescent="0.25">
      <c r="A1367">
        <v>57691987</v>
      </c>
      <c r="B1367" t="s">
        <v>3809</v>
      </c>
      <c r="C1367" t="s">
        <v>3810</v>
      </c>
      <c r="D1367" t="s">
        <v>3811</v>
      </c>
      <c r="E1367">
        <v>9282426708</v>
      </c>
      <c r="F1367" t="s">
        <v>569</v>
      </c>
      <c r="G1367" t="s">
        <v>570</v>
      </c>
      <c r="I1367" t="s">
        <v>34</v>
      </c>
      <c r="J1367" s="13">
        <v>45960</v>
      </c>
      <c r="K1367" s="13">
        <v>46023</v>
      </c>
      <c r="L1367" t="s">
        <v>1179</v>
      </c>
      <c r="M1367" t="s">
        <v>54</v>
      </c>
      <c r="N1367">
        <v>71371651</v>
      </c>
    </row>
    <row r="1368" spans="1:14" x14ac:dyDescent="0.25">
      <c r="A1368">
        <v>57693651</v>
      </c>
      <c r="B1368" t="s">
        <v>3812</v>
      </c>
      <c r="C1368" t="s">
        <v>1309</v>
      </c>
      <c r="D1368" t="s">
        <v>3813</v>
      </c>
      <c r="E1368">
        <v>3052909927</v>
      </c>
      <c r="F1368" t="s">
        <v>828</v>
      </c>
      <c r="G1368" t="s">
        <v>1148</v>
      </c>
      <c r="I1368" t="s">
        <v>17</v>
      </c>
      <c r="J1368" s="13">
        <v>45960</v>
      </c>
      <c r="K1368" s="13">
        <v>46023</v>
      </c>
      <c r="L1368" t="s">
        <v>497</v>
      </c>
      <c r="M1368" t="s">
        <v>56</v>
      </c>
      <c r="N1368">
        <v>71372883</v>
      </c>
    </row>
    <row r="1369" spans="1:14" x14ac:dyDescent="0.25">
      <c r="A1369">
        <v>57694796</v>
      </c>
      <c r="B1369" t="s">
        <v>622</v>
      </c>
      <c r="C1369" t="s">
        <v>1587</v>
      </c>
      <c r="D1369" t="s">
        <v>3814</v>
      </c>
      <c r="E1369">
        <v>8035742929</v>
      </c>
      <c r="F1369" t="s">
        <v>416</v>
      </c>
      <c r="G1369" t="s">
        <v>417</v>
      </c>
      <c r="I1369" t="s">
        <v>26</v>
      </c>
      <c r="J1369" s="13">
        <v>45960</v>
      </c>
      <c r="K1369" s="13">
        <v>46023</v>
      </c>
      <c r="L1369" t="s">
        <v>533</v>
      </c>
      <c r="M1369" t="s">
        <v>58</v>
      </c>
      <c r="N1369">
        <v>71373583</v>
      </c>
    </row>
    <row r="1370" spans="1:14" x14ac:dyDescent="0.25">
      <c r="A1370">
        <v>57695961</v>
      </c>
      <c r="B1370" t="s">
        <v>3815</v>
      </c>
      <c r="C1370" t="s">
        <v>1522</v>
      </c>
      <c r="D1370" t="s">
        <v>3816</v>
      </c>
      <c r="E1370">
        <v>8706130523</v>
      </c>
      <c r="F1370" t="s">
        <v>1003</v>
      </c>
      <c r="G1370" t="s">
        <v>1004</v>
      </c>
      <c r="I1370" t="s">
        <v>89</v>
      </c>
      <c r="J1370" s="13">
        <v>45960</v>
      </c>
      <c r="K1370" s="13">
        <v>46023</v>
      </c>
      <c r="L1370" t="s">
        <v>553</v>
      </c>
      <c r="M1370" t="s">
        <v>58</v>
      </c>
      <c r="N1370">
        <v>71374451</v>
      </c>
    </row>
    <row r="1371" spans="1:14" x14ac:dyDescent="0.25">
      <c r="A1371">
        <v>57696488</v>
      </c>
      <c r="B1371" t="s">
        <v>695</v>
      </c>
      <c r="C1371" t="s">
        <v>3255</v>
      </c>
      <c r="D1371" t="s">
        <v>3817</v>
      </c>
      <c r="E1371">
        <v>3044768550</v>
      </c>
      <c r="F1371" t="s">
        <v>1267</v>
      </c>
      <c r="G1371" t="s">
        <v>1268</v>
      </c>
      <c r="I1371" t="s">
        <v>1269</v>
      </c>
      <c r="J1371" s="13">
        <v>45960</v>
      </c>
      <c r="K1371" s="13">
        <v>46023</v>
      </c>
      <c r="L1371" t="s">
        <v>1188</v>
      </c>
      <c r="M1371" t="s">
        <v>56</v>
      </c>
      <c r="N1371">
        <v>71374748</v>
      </c>
    </row>
    <row r="1372" spans="1:14" x14ac:dyDescent="0.25">
      <c r="A1372">
        <v>57696929</v>
      </c>
      <c r="B1372" t="s">
        <v>1853</v>
      </c>
      <c r="C1372" t="s">
        <v>3818</v>
      </c>
      <c r="D1372" t="s">
        <v>3819</v>
      </c>
      <c r="E1372">
        <v>2072743724</v>
      </c>
      <c r="F1372" t="s">
        <v>780</v>
      </c>
      <c r="G1372" t="s">
        <v>781</v>
      </c>
      <c r="I1372" t="s">
        <v>20</v>
      </c>
      <c r="J1372" s="13">
        <v>45960</v>
      </c>
      <c r="K1372" s="13">
        <v>46023</v>
      </c>
      <c r="L1372" t="s">
        <v>941</v>
      </c>
      <c r="M1372" t="s">
        <v>61</v>
      </c>
      <c r="N1372">
        <v>71375039</v>
      </c>
    </row>
    <row r="1373" spans="1:14" x14ac:dyDescent="0.25">
      <c r="A1373">
        <v>57699543</v>
      </c>
      <c r="B1373" t="s">
        <v>1248</v>
      </c>
      <c r="C1373" t="s">
        <v>3820</v>
      </c>
      <c r="D1373" t="s">
        <v>3821</v>
      </c>
      <c r="E1373">
        <v>2057040068</v>
      </c>
      <c r="F1373" t="s">
        <v>448</v>
      </c>
      <c r="G1373" t="s">
        <v>449</v>
      </c>
      <c r="I1373" t="s">
        <v>31</v>
      </c>
      <c r="J1373" s="13">
        <v>45960</v>
      </c>
      <c r="K1373" s="13">
        <v>46023</v>
      </c>
      <c r="L1373" t="s">
        <v>450</v>
      </c>
      <c r="M1373" t="s">
        <v>58</v>
      </c>
      <c r="N1373">
        <v>71375275</v>
      </c>
    </row>
    <row r="1374" spans="1:14" x14ac:dyDescent="0.25">
      <c r="A1374">
        <v>57698659</v>
      </c>
      <c r="B1374" t="s">
        <v>3822</v>
      </c>
      <c r="C1374" t="s">
        <v>3823</v>
      </c>
      <c r="D1374" t="s">
        <v>3824</v>
      </c>
      <c r="E1374">
        <v>6145970701</v>
      </c>
      <c r="F1374" t="s">
        <v>842</v>
      </c>
      <c r="G1374" t="s">
        <v>843</v>
      </c>
      <c r="I1374" t="s">
        <v>98</v>
      </c>
      <c r="J1374" s="13">
        <v>45960</v>
      </c>
      <c r="K1374" s="13">
        <v>46023</v>
      </c>
      <c r="L1374" t="s">
        <v>621</v>
      </c>
      <c r="M1374" t="s">
        <v>59</v>
      </c>
      <c r="N1374">
        <v>71376014</v>
      </c>
    </row>
    <row r="1375" spans="1:14" x14ac:dyDescent="0.25">
      <c r="A1375">
        <v>57699053</v>
      </c>
      <c r="B1375" t="s">
        <v>522</v>
      </c>
      <c r="C1375" t="s">
        <v>3825</v>
      </c>
      <c r="D1375" t="s">
        <v>3826</v>
      </c>
      <c r="E1375">
        <v>9542137415</v>
      </c>
      <c r="F1375" t="s">
        <v>462</v>
      </c>
      <c r="G1375" t="s">
        <v>463</v>
      </c>
      <c r="I1375" t="s">
        <v>39</v>
      </c>
      <c r="J1375" s="13">
        <v>45960</v>
      </c>
      <c r="K1375" s="13">
        <v>46023</v>
      </c>
      <c r="L1375" t="s">
        <v>497</v>
      </c>
      <c r="M1375" t="s">
        <v>54</v>
      </c>
      <c r="N1375">
        <v>71376192</v>
      </c>
    </row>
    <row r="1376" spans="1:14" x14ac:dyDescent="0.25">
      <c r="A1376">
        <v>57699240</v>
      </c>
      <c r="B1376" t="s">
        <v>922</v>
      </c>
      <c r="C1376" t="s">
        <v>3827</v>
      </c>
      <c r="D1376" t="s">
        <v>3828</v>
      </c>
      <c r="E1376">
        <v>5204200785</v>
      </c>
      <c r="F1376" t="s">
        <v>1345</v>
      </c>
      <c r="G1376" t="s">
        <v>799</v>
      </c>
      <c r="I1376" t="s">
        <v>47</v>
      </c>
      <c r="J1376" s="13">
        <v>45960</v>
      </c>
      <c r="K1376" s="13">
        <v>46023</v>
      </c>
      <c r="L1376" t="s">
        <v>1179</v>
      </c>
      <c r="M1376" t="s">
        <v>59</v>
      </c>
      <c r="N1376">
        <v>71376316</v>
      </c>
    </row>
    <row r="1377" spans="1:14" x14ac:dyDescent="0.25">
      <c r="A1377">
        <v>57699697</v>
      </c>
      <c r="B1377" t="s">
        <v>1784</v>
      </c>
      <c r="C1377" t="s">
        <v>3829</v>
      </c>
      <c r="D1377" t="s">
        <v>3830</v>
      </c>
      <c r="E1377">
        <v>3368300633</v>
      </c>
      <c r="F1377" t="s">
        <v>423</v>
      </c>
      <c r="G1377" t="s">
        <v>424</v>
      </c>
      <c r="I1377" t="s">
        <v>46</v>
      </c>
      <c r="J1377" s="13">
        <v>45960</v>
      </c>
      <c r="K1377" s="13">
        <v>46023</v>
      </c>
      <c r="L1377" t="s">
        <v>603</v>
      </c>
      <c r="M1377" t="s">
        <v>59</v>
      </c>
      <c r="N1377">
        <v>71376487</v>
      </c>
    </row>
    <row r="1378" spans="1:14" x14ac:dyDescent="0.25">
      <c r="A1378">
        <v>57699517</v>
      </c>
      <c r="B1378" t="s">
        <v>2214</v>
      </c>
      <c r="C1378" t="s">
        <v>515</v>
      </c>
      <c r="D1378" t="s">
        <v>3831</v>
      </c>
      <c r="E1378">
        <v>9014362404</v>
      </c>
      <c r="F1378" t="s">
        <v>474</v>
      </c>
      <c r="G1378" t="s">
        <v>475</v>
      </c>
      <c r="I1378" t="s">
        <v>132</v>
      </c>
      <c r="J1378" s="13">
        <v>45960</v>
      </c>
      <c r="K1378" s="13">
        <v>46023</v>
      </c>
      <c r="L1378" t="s">
        <v>479</v>
      </c>
      <c r="M1378" t="s">
        <v>59</v>
      </c>
      <c r="N1378">
        <v>71376501</v>
      </c>
    </row>
    <row r="1379" spans="1:14" x14ac:dyDescent="0.25">
      <c r="A1379">
        <v>57699581</v>
      </c>
      <c r="B1379" t="s">
        <v>1226</v>
      </c>
      <c r="C1379" t="s">
        <v>1917</v>
      </c>
      <c r="D1379" t="s">
        <v>3832</v>
      </c>
      <c r="E1379">
        <v>4195373717</v>
      </c>
      <c r="F1379" t="s">
        <v>615</v>
      </c>
      <c r="G1379" t="s">
        <v>616</v>
      </c>
      <c r="I1379" t="s">
        <v>617</v>
      </c>
      <c r="J1379" s="13">
        <v>45960</v>
      </c>
      <c r="K1379" s="13">
        <v>46023</v>
      </c>
      <c r="L1379" t="s">
        <v>418</v>
      </c>
      <c r="M1379" t="s">
        <v>59</v>
      </c>
      <c r="N1379">
        <v>71376543</v>
      </c>
    </row>
    <row r="1380" spans="1:14" x14ac:dyDescent="0.25">
      <c r="A1380">
        <v>57699970</v>
      </c>
      <c r="B1380" t="s">
        <v>3833</v>
      </c>
      <c r="C1380" t="s">
        <v>3834</v>
      </c>
      <c r="D1380" t="s">
        <v>3835</v>
      </c>
      <c r="E1380">
        <v>8723039683</v>
      </c>
      <c r="F1380" t="s">
        <v>790</v>
      </c>
      <c r="G1380" t="s">
        <v>791</v>
      </c>
      <c r="I1380" t="s">
        <v>119</v>
      </c>
      <c r="J1380" s="13">
        <v>45960</v>
      </c>
      <c r="K1380" s="13">
        <v>46023</v>
      </c>
      <c r="L1380" t="s">
        <v>470</v>
      </c>
      <c r="M1380" t="s">
        <v>56</v>
      </c>
      <c r="N1380">
        <v>71376750</v>
      </c>
    </row>
    <row r="1381" spans="1:14" x14ac:dyDescent="0.25">
      <c r="A1381">
        <v>57700121</v>
      </c>
      <c r="B1381" t="s">
        <v>2254</v>
      </c>
      <c r="C1381" t="s">
        <v>3836</v>
      </c>
      <c r="D1381" t="s">
        <v>3837</v>
      </c>
      <c r="E1381" t="s">
        <v>3838</v>
      </c>
      <c r="F1381" t="s">
        <v>574</v>
      </c>
      <c r="G1381" t="s">
        <v>575</v>
      </c>
      <c r="I1381" t="s">
        <v>14</v>
      </c>
      <c r="J1381" s="13">
        <v>45960</v>
      </c>
      <c r="K1381" s="13">
        <v>46023</v>
      </c>
      <c r="L1381" t="s">
        <v>444</v>
      </c>
      <c r="M1381" t="s">
        <v>61</v>
      </c>
      <c r="N1381">
        <v>71376875</v>
      </c>
    </row>
    <row r="1382" spans="1:14" x14ac:dyDescent="0.25">
      <c r="A1382">
        <v>57700197</v>
      </c>
      <c r="B1382" t="s">
        <v>3699</v>
      </c>
      <c r="C1382" t="s">
        <v>3839</v>
      </c>
      <c r="D1382" t="s">
        <v>3840</v>
      </c>
      <c r="E1382">
        <v>3372410043</v>
      </c>
      <c r="F1382" t="s">
        <v>448</v>
      </c>
      <c r="G1382" t="s">
        <v>449</v>
      </c>
      <c r="I1382" t="s">
        <v>31</v>
      </c>
      <c r="J1382" s="13">
        <v>45960</v>
      </c>
      <c r="K1382" s="13">
        <v>46023</v>
      </c>
      <c r="L1382" t="s">
        <v>612</v>
      </c>
      <c r="M1382" t="s">
        <v>56</v>
      </c>
      <c r="N1382">
        <v>71376933</v>
      </c>
    </row>
    <row r="1383" spans="1:14" x14ac:dyDescent="0.25">
      <c r="A1383">
        <v>57700765</v>
      </c>
      <c r="B1383" t="s">
        <v>3841</v>
      </c>
      <c r="C1383" t="s">
        <v>3842</v>
      </c>
      <c r="D1383" t="s">
        <v>3843</v>
      </c>
      <c r="E1383">
        <v>7084913939</v>
      </c>
      <c r="F1383" t="s">
        <v>790</v>
      </c>
      <c r="G1383" t="s">
        <v>791</v>
      </c>
      <c r="I1383" t="s">
        <v>119</v>
      </c>
      <c r="J1383" s="13">
        <v>45960</v>
      </c>
      <c r="K1383" s="13">
        <v>46023</v>
      </c>
      <c r="L1383" t="s">
        <v>470</v>
      </c>
      <c r="M1383" t="s">
        <v>56</v>
      </c>
      <c r="N1383">
        <v>71377103</v>
      </c>
    </row>
    <row r="1384" spans="1:14" x14ac:dyDescent="0.25">
      <c r="A1384">
        <v>57700754</v>
      </c>
      <c r="B1384" t="s">
        <v>2657</v>
      </c>
      <c r="C1384" t="s">
        <v>3844</v>
      </c>
      <c r="D1384" t="s">
        <v>3845</v>
      </c>
      <c r="E1384">
        <v>7405037149</v>
      </c>
      <c r="F1384" t="s">
        <v>416</v>
      </c>
      <c r="G1384" t="s">
        <v>417</v>
      </c>
      <c r="I1384" t="s">
        <v>26</v>
      </c>
      <c r="J1384" s="13">
        <v>45960</v>
      </c>
      <c r="K1384" s="13">
        <v>46023</v>
      </c>
      <c r="L1384" t="s">
        <v>418</v>
      </c>
      <c r="M1384" t="s">
        <v>56</v>
      </c>
      <c r="N1384">
        <v>71377374</v>
      </c>
    </row>
    <row r="1385" spans="1:14" x14ac:dyDescent="0.25">
      <c r="A1385">
        <v>57700831</v>
      </c>
      <c r="B1385" t="s">
        <v>604</v>
      </c>
      <c r="C1385" t="s">
        <v>3846</v>
      </c>
      <c r="D1385" t="s">
        <v>3847</v>
      </c>
      <c r="E1385">
        <v>9012680612</v>
      </c>
      <c r="F1385" t="s">
        <v>615</v>
      </c>
      <c r="G1385" t="s">
        <v>616</v>
      </c>
      <c r="I1385" t="s">
        <v>617</v>
      </c>
      <c r="J1385" s="13">
        <v>45960</v>
      </c>
      <c r="K1385" s="13">
        <v>46023</v>
      </c>
      <c r="L1385" t="s">
        <v>479</v>
      </c>
      <c r="M1385" t="s">
        <v>59</v>
      </c>
      <c r="N1385">
        <v>71377423</v>
      </c>
    </row>
    <row r="1386" spans="1:14" x14ac:dyDescent="0.25">
      <c r="A1386">
        <v>57701099</v>
      </c>
      <c r="B1386" t="s">
        <v>1029</v>
      </c>
      <c r="C1386" t="s">
        <v>3848</v>
      </c>
      <c r="D1386" t="s">
        <v>3849</v>
      </c>
      <c r="E1386">
        <v>9803367892</v>
      </c>
      <c r="F1386" t="s">
        <v>1147</v>
      </c>
      <c r="G1386" t="s">
        <v>1148</v>
      </c>
      <c r="I1386" t="s">
        <v>41</v>
      </c>
      <c r="J1386" s="13">
        <v>45960</v>
      </c>
      <c r="K1386" s="13">
        <v>46023</v>
      </c>
      <c r="L1386" t="s">
        <v>603</v>
      </c>
      <c r="M1386" t="s">
        <v>56</v>
      </c>
      <c r="N1386">
        <v>71377608</v>
      </c>
    </row>
    <row r="1387" spans="1:14" x14ac:dyDescent="0.25">
      <c r="A1387">
        <v>57701189</v>
      </c>
      <c r="B1387" t="s">
        <v>888</v>
      </c>
      <c r="C1387" t="s">
        <v>3850</v>
      </c>
      <c r="D1387" t="s">
        <v>3851</v>
      </c>
      <c r="E1387">
        <v>5206312624</v>
      </c>
      <c r="F1387" t="s">
        <v>775</v>
      </c>
      <c r="G1387" t="s">
        <v>776</v>
      </c>
      <c r="I1387" t="s">
        <v>22</v>
      </c>
      <c r="J1387" s="13">
        <v>45960</v>
      </c>
      <c r="K1387" s="13">
        <v>46023</v>
      </c>
      <c r="L1387" t="s">
        <v>1179</v>
      </c>
      <c r="M1387" t="s">
        <v>58</v>
      </c>
      <c r="N1387">
        <v>71377665</v>
      </c>
    </row>
    <row r="1388" spans="1:14" x14ac:dyDescent="0.25">
      <c r="A1388">
        <v>57701207</v>
      </c>
      <c r="B1388" t="s">
        <v>1864</v>
      </c>
      <c r="C1388" t="s">
        <v>3850</v>
      </c>
      <c r="D1388" t="s">
        <v>3852</v>
      </c>
      <c r="E1388">
        <v>5206312724</v>
      </c>
      <c r="F1388" t="s">
        <v>775</v>
      </c>
      <c r="G1388" t="s">
        <v>776</v>
      </c>
      <c r="I1388" t="s">
        <v>22</v>
      </c>
      <c r="J1388" s="13">
        <v>45960</v>
      </c>
      <c r="K1388" s="13">
        <v>46023</v>
      </c>
      <c r="L1388" t="s">
        <v>1179</v>
      </c>
      <c r="M1388" t="s">
        <v>58</v>
      </c>
      <c r="N1388">
        <v>71377678</v>
      </c>
    </row>
    <row r="1389" spans="1:14" x14ac:dyDescent="0.25">
      <c r="A1389">
        <v>57701300</v>
      </c>
      <c r="B1389" t="s">
        <v>1289</v>
      </c>
      <c r="C1389" t="s">
        <v>3853</v>
      </c>
      <c r="D1389" t="s">
        <v>3854</v>
      </c>
      <c r="E1389">
        <v>6025785544</v>
      </c>
      <c r="F1389" t="s">
        <v>1345</v>
      </c>
      <c r="G1389" t="s">
        <v>799</v>
      </c>
      <c r="I1389" t="s">
        <v>47</v>
      </c>
      <c r="J1389" s="13">
        <v>45960</v>
      </c>
      <c r="K1389" s="13">
        <v>46023</v>
      </c>
      <c r="L1389" t="s">
        <v>1179</v>
      </c>
      <c r="M1389" t="s">
        <v>54</v>
      </c>
      <c r="N1389">
        <v>71377745</v>
      </c>
    </row>
    <row r="1390" spans="1:14" x14ac:dyDescent="0.25">
      <c r="A1390">
        <v>57703276</v>
      </c>
      <c r="B1390" t="s">
        <v>2920</v>
      </c>
      <c r="C1390" t="s">
        <v>3855</v>
      </c>
      <c r="D1390" t="s">
        <v>3856</v>
      </c>
      <c r="E1390">
        <v>9563125212</v>
      </c>
      <c r="F1390" t="s">
        <v>775</v>
      </c>
      <c r="G1390" t="s">
        <v>776</v>
      </c>
      <c r="I1390" t="s">
        <v>22</v>
      </c>
      <c r="J1390" s="13">
        <v>45961</v>
      </c>
      <c r="K1390" s="13">
        <v>46023</v>
      </c>
      <c r="L1390" t="s">
        <v>444</v>
      </c>
      <c r="M1390" t="s">
        <v>58</v>
      </c>
      <c r="N1390">
        <v>71379276</v>
      </c>
    </row>
    <row r="1391" spans="1:14" x14ac:dyDescent="0.25">
      <c r="A1391">
        <v>57703284</v>
      </c>
      <c r="B1391" t="s">
        <v>3857</v>
      </c>
      <c r="C1391" t="s">
        <v>3858</v>
      </c>
      <c r="D1391" t="s">
        <v>3859</v>
      </c>
      <c r="E1391">
        <v>8033359676</v>
      </c>
      <c r="F1391" t="s">
        <v>448</v>
      </c>
      <c r="G1391" t="s">
        <v>449</v>
      </c>
      <c r="I1391" t="s">
        <v>31</v>
      </c>
      <c r="J1391" s="13">
        <v>45961</v>
      </c>
      <c r="K1391" s="13">
        <v>46023</v>
      </c>
      <c r="L1391" t="s">
        <v>533</v>
      </c>
      <c r="M1391" t="s">
        <v>58</v>
      </c>
      <c r="N1391">
        <v>71379287</v>
      </c>
    </row>
    <row r="1392" spans="1:14" x14ac:dyDescent="0.25">
      <c r="A1392">
        <v>61201546</v>
      </c>
      <c r="B1392" t="s">
        <v>3326</v>
      </c>
      <c r="C1392" t="s">
        <v>3860</v>
      </c>
      <c r="D1392" t="s">
        <v>3861</v>
      </c>
      <c r="E1392">
        <v>3862229889</v>
      </c>
      <c r="F1392" t="s">
        <v>537</v>
      </c>
      <c r="G1392" t="s">
        <v>538</v>
      </c>
      <c r="I1392" t="s">
        <v>49</v>
      </c>
      <c r="J1392" s="13">
        <v>46086</v>
      </c>
      <c r="K1392" s="13">
        <v>46113</v>
      </c>
      <c r="L1392" t="s">
        <v>497</v>
      </c>
      <c r="M1392" t="s">
        <v>56</v>
      </c>
      <c r="N1392">
        <v>71379491</v>
      </c>
    </row>
    <row r="1393" spans="1:14" x14ac:dyDescent="0.25">
      <c r="A1393">
        <v>57704381</v>
      </c>
      <c r="B1393" t="s">
        <v>593</v>
      </c>
      <c r="C1393" t="s">
        <v>3862</v>
      </c>
      <c r="D1393" t="s">
        <v>3863</v>
      </c>
      <c r="E1393">
        <v>8703166083</v>
      </c>
      <c r="F1393" t="s">
        <v>1013</v>
      </c>
      <c r="G1393" t="s">
        <v>1014</v>
      </c>
      <c r="I1393" t="s">
        <v>43</v>
      </c>
      <c r="J1393" s="13">
        <v>45961</v>
      </c>
      <c r="K1393" s="13">
        <v>46023</v>
      </c>
      <c r="L1393" t="s">
        <v>553</v>
      </c>
      <c r="M1393" t="s">
        <v>56</v>
      </c>
      <c r="N1393">
        <v>71380066</v>
      </c>
    </row>
    <row r="1394" spans="1:14" x14ac:dyDescent="0.25">
      <c r="A1394">
        <v>57705127</v>
      </c>
      <c r="B1394" t="s">
        <v>730</v>
      </c>
      <c r="C1394" t="s">
        <v>3864</v>
      </c>
      <c r="D1394" t="s">
        <v>3865</v>
      </c>
      <c r="E1394">
        <v>9044027841</v>
      </c>
      <c r="F1394" t="s">
        <v>684</v>
      </c>
      <c r="G1394" t="s">
        <v>685</v>
      </c>
      <c r="I1394" t="s">
        <v>686</v>
      </c>
      <c r="J1394" s="13">
        <v>45961</v>
      </c>
      <c r="K1394" s="13">
        <v>46023</v>
      </c>
      <c r="L1394" t="s">
        <v>497</v>
      </c>
      <c r="M1394" t="s">
        <v>56</v>
      </c>
      <c r="N1394">
        <v>71380551</v>
      </c>
    </row>
    <row r="1395" spans="1:14" x14ac:dyDescent="0.25">
      <c r="A1395">
        <v>57707328</v>
      </c>
      <c r="B1395" t="s">
        <v>3866</v>
      </c>
      <c r="C1395" t="s">
        <v>1644</v>
      </c>
      <c r="D1395" t="s">
        <v>3867</v>
      </c>
      <c r="E1395">
        <v>4696262910</v>
      </c>
      <c r="F1395" t="s">
        <v>928</v>
      </c>
      <c r="G1395" t="s">
        <v>929</v>
      </c>
      <c r="I1395" t="s">
        <v>30</v>
      </c>
      <c r="J1395" s="13">
        <v>45961</v>
      </c>
      <c r="K1395" s="13">
        <v>46023</v>
      </c>
      <c r="L1395" t="s">
        <v>444</v>
      </c>
      <c r="M1395" t="s">
        <v>58</v>
      </c>
      <c r="N1395">
        <v>71382135</v>
      </c>
    </row>
    <row r="1396" spans="1:14" x14ac:dyDescent="0.25">
      <c r="A1396">
        <v>57708520</v>
      </c>
      <c r="B1396" t="s">
        <v>445</v>
      </c>
      <c r="C1396" t="s">
        <v>3868</v>
      </c>
      <c r="D1396" t="s">
        <v>3869</v>
      </c>
      <c r="E1396">
        <v>8639788654</v>
      </c>
      <c r="F1396" t="s">
        <v>551</v>
      </c>
      <c r="G1396" t="s">
        <v>552</v>
      </c>
      <c r="I1396" t="s">
        <v>42</v>
      </c>
      <c r="J1396" s="13">
        <v>45961</v>
      </c>
      <c r="K1396" s="13">
        <v>46023</v>
      </c>
      <c r="L1396" t="s">
        <v>533</v>
      </c>
      <c r="M1396" t="s">
        <v>60</v>
      </c>
      <c r="N1396">
        <v>71382799</v>
      </c>
    </row>
    <row r="1397" spans="1:14" x14ac:dyDescent="0.25">
      <c r="A1397">
        <v>57711186</v>
      </c>
      <c r="B1397" t="s">
        <v>669</v>
      </c>
      <c r="C1397" t="s">
        <v>522</v>
      </c>
      <c r="D1397" t="s">
        <v>3870</v>
      </c>
      <c r="E1397">
        <v>5706644882</v>
      </c>
      <c r="F1397" t="s">
        <v>474</v>
      </c>
      <c r="G1397" t="s">
        <v>475</v>
      </c>
      <c r="I1397" t="s">
        <v>132</v>
      </c>
      <c r="J1397" s="13">
        <v>45961</v>
      </c>
      <c r="K1397" s="13">
        <v>46023</v>
      </c>
      <c r="L1397" t="s">
        <v>497</v>
      </c>
      <c r="M1397" t="s">
        <v>56</v>
      </c>
      <c r="N1397">
        <v>71384609</v>
      </c>
    </row>
    <row r="1398" spans="1:14" x14ac:dyDescent="0.25">
      <c r="A1398">
        <v>57712016</v>
      </c>
      <c r="B1398" t="s">
        <v>517</v>
      </c>
      <c r="C1398" t="s">
        <v>3871</v>
      </c>
      <c r="D1398" t="s">
        <v>3872</v>
      </c>
      <c r="E1398">
        <v>7082897369</v>
      </c>
      <c r="F1398" t="s">
        <v>628</v>
      </c>
      <c r="G1398" t="s">
        <v>629</v>
      </c>
      <c r="I1398" t="s">
        <v>24</v>
      </c>
      <c r="J1398" s="13">
        <v>45961</v>
      </c>
      <c r="K1398" s="13">
        <v>46023</v>
      </c>
      <c r="L1398" t="s">
        <v>470</v>
      </c>
      <c r="M1398" t="s">
        <v>59</v>
      </c>
      <c r="N1398">
        <v>71385172</v>
      </c>
    </row>
    <row r="1399" spans="1:14" x14ac:dyDescent="0.25">
      <c r="A1399">
        <v>57712308</v>
      </c>
      <c r="B1399" t="s">
        <v>3873</v>
      </c>
      <c r="C1399" t="s">
        <v>3874</v>
      </c>
      <c r="D1399" t="s">
        <v>3875</v>
      </c>
      <c r="E1399">
        <v>5614604254</v>
      </c>
      <c r="F1399" t="s">
        <v>423</v>
      </c>
      <c r="G1399" t="s">
        <v>424</v>
      </c>
      <c r="I1399" t="s">
        <v>46</v>
      </c>
      <c r="J1399" s="13">
        <v>45961</v>
      </c>
      <c r="K1399" s="13">
        <v>46023</v>
      </c>
      <c r="L1399" t="s">
        <v>497</v>
      </c>
      <c r="M1399" t="s">
        <v>54</v>
      </c>
      <c r="N1399">
        <v>71385320</v>
      </c>
    </row>
    <row r="1400" spans="1:14" x14ac:dyDescent="0.25">
      <c r="A1400">
        <v>57713359</v>
      </c>
      <c r="B1400" t="s">
        <v>3876</v>
      </c>
      <c r="C1400" t="s">
        <v>2188</v>
      </c>
      <c r="D1400" t="s">
        <v>3877</v>
      </c>
      <c r="E1400">
        <v>8474545258</v>
      </c>
      <c r="F1400" t="s">
        <v>615</v>
      </c>
      <c r="G1400" t="s">
        <v>616</v>
      </c>
      <c r="I1400" t="s">
        <v>617</v>
      </c>
      <c r="J1400" s="13">
        <v>45961</v>
      </c>
      <c r="K1400" s="13">
        <v>46023</v>
      </c>
      <c r="L1400" t="s">
        <v>470</v>
      </c>
      <c r="M1400" t="s">
        <v>60</v>
      </c>
      <c r="N1400">
        <v>71386214</v>
      </c>
    </row>
    <row r="1401" spans="1:14" x14ac:dyDescent="0.25">
      <c r="A1401">
        <v>57713630</v>
      </c>
      <c r="B1401" t="s">
        <v>2280</v>
      </c>
      <c r="C1401" t="s">
        <v>3878</v>
      </c>
      <c r="D1401" t="s">
        <v>3879</v>
      </c>
      <c r="E1401">
        <v>2172208970</v>
      </c>
      <c r="F1401" t="s">
        <v>790</v>
      </c>
      <c r="G1401" t="s">
        <v>791</v>
      </c>
      <c r="I1401" t="s">
        <v>119</v>
      </c>
      <c r="J1401" s="13">
        <v>45961</v>
      </c>
      <c r="K1401" s="13">
        <v>46023</v>
      </c>
      <c r="L1401" t="s">
        <v>470</v>
      </c>
      <c r="M1401" t="s">
        <v>56</v>
      </c>
      <c r="N1401">
        <v>71386344</v>
      </c>
    </row>
    <row r="1402" spans="1:14" x14ac:dyDescent="0.25">
      <c r="A1402">
        <v>57714072</v>
      </c>
      <c r="B1402" t="s">
        <v>2554</v>
      </c>
      <c r="C1402" t="s">
        <v>477</v>
      </c>
      <c r="D1402" t="s">
        <v>3880</v>
      </c>
      <c r="E1402">
        <v>8709409835</v>
      </c>
      <c r="F1402" t="s">
        <v>1003</v>
      </c>
      <c r="G1402" t="s">
        <v>1004</v>
      </c>
      <c r="I1402" t="s">
        <v>89</v>
      </c>
      <c r="J1402" s="13">
        <v>45961</v>
      </c>
      <c r="K1402" s="13">
        <v>46023</v>
      </c>
      <c r="L1402" t="s">
        <v>553</v>
      </c>
      <c r="M1402" t="s">
        <v>58</v>
      </c>
      <c r="N1402">
        <v>71386715</v>
      </c>
    </row>
    <row r="1403" spans="1:14" x14ac:dyDescent="0.25">
      <c r="A1403">
        <v>57715329</v>
      </c>
      <c r="B1403" t="s">
        <v>3881</v>
      </c>
      <c r="C1403" t="s">
        <v>1378</v>
      </c>
      <c r="D1403" t="s">
        <v>3882</v>
      </c>
      <c r="E1403">
        <v>9794291658</v>
      </c>
      <c r="F1403" t="s">
        <v>842</v>
      </c>
      <c r="G1403" t="s">
        <v>843</v>
      </c>
      <c r="I1403" t="s">
        <v>98</v>
      </c>
      <c r="J1403" s="13">
        <v>45961</v>
      </c>
      <c r="K1403" s="13">
        <v>46023</v>
      </c>
      <c r="L1403" t="s">
        <v>444</v>
      </c>
      <c r="M1403" t="s">
        <v>419</v>
      </c>
      <c r="N1403">
        <v>71387556</v>
      </c>
    </row>
    <row r="1404" spans="1:14" x14ac:dyDescent="0.25">
      <c r="A1404">
        <v>57715706</v>
      </c>
      <c r="B1404" t="s">
        <v>3883</v>
      </c>
      <c r="C1404" t="s">
        <v>1300</v>
      </c>
      <c r="D1404" t="s">
        <v>3884</v>
      </c>
      <c r="E1404">
        <v>8506941263</v>
      </c>
      <c r="F1404" t="s">
        <v>1444</v>
      </c>
      <c r="G1404" t="s">
        <v>1445</v>
      </c>
      <c r="I1404" t="s">
        <v>1446</v>
      </c>
      <c r="J1404" s="13">
        <v>45961</v>
      </c>
      <c r="K1404" s="13">
        <v>46023</v>
      </c>
      <c r="L1404" t="s">
        <v>497</v>
      </c>
      <c r="M1404" t="s">
        <v>58</v>
      </c>
      <c r="N1404">
        <v>71387803</v>
      </c>
    </row>
    <row r="1405" spans="1:14" x14ac:dyDescent="0.25">
      <c r="A1405">
        <v>57717320</v>
      </c>
      <c r="B1405" t="s">
        <v>1515</v>
      </c>
      <c r="C1405" t="s">
        <v>546</v>
      </c>
      <c r="D1405" t="s">
        <v>3885</v>
      </c>
      <c r="E1405" t="s">
        <v>3886</v>
      </c>
      <c r="F1405" t="s">
        <v>494</v>
      </c>
      <c r="G1405" t="s">
        <v>495</v>
      </c>
      <c r="I1405" t="s">
        <v>496</v>
      </c>
      <c r="J1405" s="13">
        <v>45961</v>
      </c>
      <c r="K1405" s="13">
        <v>46023</v>
      </c>
      <c r="L1405" t="s">
        <v>533</v>
      </c>
      <c r="M1405" t="s">
        <v>61</v>
      </c>
      <c r="N1405">
        <v>71388738</v>
      </c>
    </row>
    <row r="1406" spans="1:14" x14ac:dyDescent="0.25">
      <c r="A1406">
        <v>57718297</v>
      </c>
      <c r="B1406" t="s">
        <v>3887</v>
      </c>
      <c r="C1406" t="s">
        <v>3888</v>
      </c>
      <c r="D1406" t="s">
        <v>3889</v>
      </c>
      <c r="E1406">
        <v>4077150398</v>
      </c>
      <c r="F1406" t="s">
        <v>462</v>
      </c>
      <c r="G1406" t="s">
        <v>463</v>
      </c>
      <c r="I1406" t="s">
        <v>39</v>
      </c>
      <c r="J1406" s="13">
        <v>45961</v>
      </c>
      <c r="K1406" s="13">
        <v>46023</v>
      </c>
      <c r="L1406" t="s">
        <v>497</v>
      </c>
      <c r="M1406" t="s">
        <v>59</v>
      </c>
      <c r="N1406">
        <v>71389288</v>
      </c>
    </row>
    <row r="1407" spans="1:14" x14ac:dyDescent="0.25">
      <c r="A1407">
        <v>57718387</v>
      </c>
      <c r="B1407" t="s">
        <v>3539</v>
      </c>
      <c r="C1407" t="s">
        <v>3844</v>
      </c>
      <c r="D1407" t="s">
        <v>3890</v>
      </c>
      <c r="E1407">
        <v>4233942333</v>
      </c>
      <c r="F1407" t="s">
        <v>870</v>
      </c>
      <c r="G1407" t="s">
        <v>871</v>
      </c>
      <c r="I1407" t="s">
        <v>872</v>
      </c>
      <c r="J1407" s="13">
        <v>45961</v>
      </c>
      <c r="K1407" s="13">
        <v>46023</v>
      </c>
      <c r="L1407" t="s">
        <v>479</v>
      </c>
      <c r="M1407" t="s">
        <v>55</v>
      </c>
      <c r="N1407">
        <v>71389346</v>
      </c>
    </row>
    <row r="1408" spans="1:14" x14ac:dyDescent="0.25">
      <c r="A1408">
        <v>57719246</v>
      </c>
      <c r="B1408" t="s">
        <v>3891</v>
      </c>
      <c r="C1408" t="s">
        <v>3892</v>
      </c>
      <c r="D1408" t="s">
        <v>3893</v>
      </c>
      <c r="E1408">
        <v>9548508389</v>
      </c>
      <c r="F1408" t="s">
        <v>775</v>
      </c>
      <c r="G1408" t="s">
        <v>776</v>
      </c>
      <c r="I1408" t="s">
        <v>22</v>
      </c>
      <c r="J1408" s="13">
        <v>45961</v>
      </c>
      <c r="K1408" s="13">
        <v>46023</v>
      </c>
      <c r="L1408" t="s">
        <v>497</v>
      </c>
      <c r="M1408" t="s">
        <v>56</v>
      </c>
      <c r="N1408">
        <v>71389812</v>
      </c>
    </row>
    <row r="1409" spans="1:14" x14ac:dyDescent="0.25">
      <c r="A1409">
        <v>57719384</v>
      </c>
      <c r="B1409" t="s">
        <v>3894</v>
      </c>
      <c r="C1409" t="s">
        <v>3895</v>
      </c>
      <c r="D1409" t="s">
        <v>3896</v>
      </c>
      <c r="E1409" t="s">
        <v>3897</v>
      </c>
      <c r="F1409" t="s">
        <v>928</v>
      </c>
      <c r="G1409" t="s">
        <v>929</v>
      </c>
      <c r="I1409" t="s">
        <v>30</v>
      </c>
      <c r="J1409" s="13">
        <v>45961</v>
      </c>
      <c r="K1409" s="13">
        <v>46023</v>
      </c>
      <c r="L1409" t="s">
        <v>444</v>
      </c>
      <c r="M1409" t="s">
        <v>58</v>
      </c>
      <c r="N1409">
        <v>71389901</v>
      </c>
    </row>
    <row r="1410" spans="1:14" x14ac:dyDescent="0.25">
      <c r="A1410">
        <v>57719458</v>
      </c>
      <c r="B1410" t="s">
        <v>431</v>
      </c>
      <c r="C1410" t="s">
        <v>3898</v>
      </c>
      <c r="D1410" t="s">
        <v>3899</v>
      </c>
      <c r="E1410">
        <v>5613857112</v>
      </c>
      <c r="F1410" t="s">
        <v>1067</v>
      </c>
      <c r="G1410" t="s">
        <v>1068</v>
      </c>
      <c r="I1410" t="s">
        <v>35</v>
      </c>
      <c r="J1410" s="13">
        <v>45961</v>
      </c>
      <c r="K1410" s="13">
        <v>46023</v>
      </c>
      <c r="L1410" t="s">
        <v>497</v>
      </c>
      <c r="M1410" t="s">
        <v>56</v>
      </c>
      <c r="N1410">
        <v>71389943</v>
      </c>
    </row>
    <row r="1411" spans="1:14" x14ac:dyDescent="0.25">
      <c r="A1411">
        <v>57719627</v>
      </c>
      <c r="B1411" t="s">
        <v>480</v>
      </c>
      <c r="C1411" t="s">
        <v>3900</v>
      </c>
      <c r="D1411" t="s">
        <v>3901</v>
      </c>
      <c r="E1411">
        <v>3049558553</v>
      </c>
      <c r="F1411" t="s">
        <v>1142</v>
      </c>
      <c r="G1411" t="s">
        <v>1143</v>
      </c>
      <c r="I1411" t="s">
        <v>124</v>
      </c>
      <c r="J1411" s="13">
        <v>45961</v>
      </c>
      <c r="K1411" s="13">
        <v>46023</v>
      </c>
      <c r="L1411" t="s">
        <v>1188</v>
      </c>
      <c r="M1411" t="s">
        <v>56</v>
      </c>
      <c r="N1411">
        <v>71390054</v>
      </c>
    </row>
    <row r="1412" spans="1:14" x14ac:dyDescent="0.25">
      <c r="A1412">
        <v>57722167</v>
      </c>
      <c r="B1412" t="s">
        <v>1566</v>
      </c>
      <c r="C1412" t="s">
        <v>3902</v>
      </c>
      <c r="D1412" t="s">
        <v>3903</v>
      </c>
      <c r="E1412">
        <v>3863047272</v>
      </c>
      <c r="F1412" t="s">
        <v>821</v>
      </c>
      <c r="G1412" t="s">
        <v>822</v>
      </c>
      <c r="I1412" t="s">
        <v>823</v>
      </c>
      <c r="J1412" s="13">
        <v>45961</v>
      </c>
      <c r="K1412" s="13">
        <v>46023</v>
      </c>
      <c r="L1412" t="s">
        <v>497</v>
      </c>
      <c r="M1412" t="s">
        <v>56</v>
      </c>
      <c r="N1412">
        <v>71391675</v>
      </c>
    </row>
    <row r="1413" spans="1:14" x14ac:dyDescent="0.25">
      <c r="A1413">
        <v>58025008</v>
      </c>
      <c r="B1413" t="s">
        <v>2984</v>
      </c>
      <c r="C1413" t="s">
        <v>583</v>
      </c>
      <c r="D1413" t="s">
        <v>3904</v>
      </c>
      <c r="E1413">
        <v>2078441642</v>
      </c>
      <c r="F1413" t="s">
        <v>649</v>
      </c>
      <c r="G1413" t="s">
        <v>650</v>
      </c>
      <c r="I1413" t="s">
        <v>28</v>
      </c>
      <c r="J1413" s="13">
        <v>45972</v>
      </c>
      <c r="K1413" s="13">
        <v>46023</v>
      </c>
      <c r="L1413" t="s">
        <v>941</v>
      </c>
      <c r="M1413" t="s">
        <v>56</v>
      </c>
      <c r="N1413">
        <v>71392739</v>
      </c>
    </row>
    <row r="1414" spans="1:14" x14ac:dyDescent="0.25">
      <c r="A1414">
        <v>57724408</v>
      </c>
      <c r="B1414" t="s">
        <v>471</v>
      </c>
      <c r="C1414" t="s">
        <v>2037</v>
      </c>
      <c r="D1414" t="s">
        <v>3905</v>
      </c>
      <c r="E1414">
        <v>6063673449</v>
      </c>
      <c r="F1414" t="s">
        <v>684</v>
      </c>
      <c r="G1414" t="s">
        <v>685</v>
      </c>
      <c r="I1414" t="s">
        <v>686</v>
      </c>
      <c r="J1414" s="13">
        <v>45961</v>
      </c>
      <c r="K1414" s="13">
        <v>46023</v>
      </c>
      <c r="L1414" t="s">
        <v>490</v>
      </c>
      <c r="M1414" t="s">
        <v>56</v>
      </c>
      <c r="N1414">
        <v>71392972</v>
      </c>
    </row>
    <row r="1415" spans="1:14" x14ac:dyDescent="0.25">
      <c r="A1415">
        <v>57725136</v>
      </c>
      <c r="B1415" t="s">
        <v>476</v>
      </c>
      <c r="C1415" t="s">
        <v>3512</v>
      </c>
      <c r="D1415" t="s">
        <v>3906</v>
      </c>
      <c r="E1415">
        <v>9048474775</v>
      </c>
      <c r="F1415" t="s">
        <v>423</v>
      </c>
      <c r="G1415" t="s">
        <v>424</v>
      </c>
      <c r="I1415" t="s">
        <v>46</v>
      </c>
      <c r="J1415" s="13">
        <v>45961</v>
      </c>
      <c r="K1415" s="13">
        <v>46023</v>
      </c>
      <c r="L1415" t="s">
        <v>497</v>
      </c>
      <c r="M1415" t="s">
        <v>54</v>
      </c>
      <c r="N1415">
        <v>71393440</v>
      </c>
    </row>
    <row r="1416" spans="1:14" x14ac:dyDescent="0.25">
      <c r="A1416">
        <v>57725546</v>
      </c>
      <c r="B1416" t="s">
        <v>737</v>
      </c>
      <c r="C1416" t="s">
        <v>1203</v>
      </c>
      <c r="D1416" t="s">
        <v>3907</v>
      </c>
      <c r="E1416">
        <v>9319822838</v>
      </c>
      <c r="F1416" t="s">
        <v>474</v>
      </c>
      <c r="G1416" t="s">
        <v>475</v>
      </c>
      <c r="I1416" t="s">
        <v>132</v>
      </c>
      <c r="J1416" s="13">
        <v>45961</v>
      </c>
      <c r="K1416" s="13">
        <v>46023</v>
      </c>
      <c r="L1416" t="s">
        <v>479</v>
      </c>
      <c r="M1416" t="s">
        <v>58</v>
      </c>
      <c r="N1416">
        <v>71393865</v>
      </c>
    </row>
    <row r="1417" spans="1:14" x14ac:dyDescent="0.25">
      <c r="A1417">
        <v>57727431</v>
      </c>
      <c r="B1417" t="s">
        <v>517</v>
      </c>
      <c r="C1417" t="s">
        <v>3908</v>
      </c>
      <c r="D1417" t="s">
        <v>3909</v>
      </c>
      <c r="E1417">
        <v>9283089382</v>
      </c>
      <c r="F1417" t="s">
        <v>592</v>
      </c>
      <c r="G1417" t="s">
        <v>593</v>
      </c>
      <c r="I1417" t="s">
        <v>115</v>
      </c>
      <c r="J1417" s="13">
        <v>45961</v>
      </c>
      <c r="K1417" s="13">
        <v>46023</v>
      </c>
      <c r="L1417" t="s">
        <v>1179</v>
      </c>
      <c r="M1417" t="s">
        <v>59</v>
      </c>
      <c r="N1417">
        <v>71394709</v>
      </c>
    </row>
    <row r="1418" spans="1:14" x14ac:dyDescent="0.25">
      <c r="A1418">
        <v>57727764</v>
      </c>
      <c r="B1418" t="s">
        <v>2532</v>
      </c>
      <c r="C1418" t="s">
        <v>3910</v>
      </c>
      <c r="D1418" t="s">
        <v>3911</v>
      </c>
      <c r="E1418">
        <v>5406238678</v>
      </c>
      <c r="F1418" t="s">
        <v>569</v>
      </c>
      <c r="G1418" t="s">
        <v>570</v>
      </c>
      <c r="I1418" t="s">
        <v>34</v>
      </c>
      <c r="J1418" s="13">
        <v>45961</v>
      </c>
      <c r="K1418" s="13">
        <v>46023</v>
      </c>
      <c r="L1418" t="s">
        <v>454</v>
      </c>
      <c r="M1418" t="s">
        <v>56</v>
      </c>
      <c r="N1418">
        <v>71394865</v>
      </c>
    </row>
    <row r="1419" spans="1:14" x14ac:dyDescent="0.25">
      <c r="A1419">
        <v>57728470</v>
      </c>
      <c r="B1419" t="s">
        <v>873</v>
      </c>
      <c r="C1419" t="s">
        <v>3912</v>
      </c>
      <c r="D1419" t="s">
        <v>3913</v>
      </c>
      <c r="E1419">
        <v>9035594586</v>
      </c>
      <c r="F1419" t="s">
        <v>828</v>
      </c>
      <c r="G1419" t="s">
        <v>1148</v>
      </c>
      <c r="I1419" t="s">
        <v>17</v>
      </c>
      <c r="J1419" s="13">
        <v>45961</v>
      </c>
      <c r="K1419" s="13">
        <v>46023</v>
      </c>
      <c r="L1419" t="s">
        <v>444</v>
      </c>
      <c r="M1419" t="s">
        <v>60</v>
      </c>
      <c r="N1419">
        <v>71395265</v>
      </c>
    </row>
    <row r="1420" spans="1:14" x14ac:dyDescent="0.25">
      <c r="A1420">
        <v>57728546</v>
      </c>
      <c r="B1420" t="s">
        <v>867</v>
      </c>
      <c r="C1420" t="s">
        <v>3914</v>
      </c>
      <c r="D1420" t="s">
        <v>3915</v>
      </c>
      <c r="E1420">
        <v>4787197557</v>
      </c>
      <c r="F1420" t="s">
        <v>798</v>
      </c>
      <c r="G1420" t="s">
        <v>799</v>
      </c>
      <c r="I1420" t="s">
        <v>800</v>
      </c>
      <c r="J1420" s="13">
        <v>45961</v>
      </c>
      <c r="K1420" s="13">
        <v>46023</v>
      </c>
      <c r="L1420" t="s">
        <v>621</v>
      </c>
      <c r="M1420" t="s">
        <v>56</v>
      </c>
      <c r="N1420">
        <v>71395312</v>
      </c>
    </row>
    <row r="1421" spans="1:14" x14ac:dyDescent="0.25">
      <c r="A1421">
        <v>57728664</v>
      </c>
      <c r="B1421" t="s">
        <v>1424</v>
      </c>
      <c r="C1421" t="s">
        <v>3916</v>
      </c>
      <c r="D1421" t="s">
        <v>3917</v>
      </c>
      <c r="E1421">
        <v>9282307924</v>
      </c>
      <c r="F1421" t="s">
        <v>1003</v>
      </c>
      <c r="G1421" t="s">
        <v>1004</v>
      </c>
      <c r="I1421" t="s">
        <v>89</v>
      </c>
      <c r="J1421" s="13">
        <v>45961</v>
      </c>
      <c r="K1421" s="13">
        <v>46023</v>
      </c>
      <c r="L1421" t="s">
        <v>444</v>
      </c>
      <c r="M1421" t="s">
        <v>61</v>
      </c>
      <c r="N1421">
        <v>71395383</v>
      </c>
    </row>
    <row r="1422" spans="1:14" x14ac:dyDescent="0.25">
      <c r="A1422">
        <v>57732339</v>
      </c>
      <c r="B1422" t="s">
        <v>3557</v>
      </c>
      <c r="C1422" t="s">
        <v>3918</v>
      </c>
      <c r="D1422" t="s">
        <v>3919</v>
      </c>
      <c r="E1422">
        <v>8643180098</v>
      </c>
      <c r="F1422" t="s">
        <v>957</v>
      </c>
      <c r="G1422" t="s">
        <v>958</v>
      </c>
      <c r="H1422" t="s">
        <v>959</v>
      </c>
      <c r="I1422" t="s">
        <v>960</v>
      </c>
      <c r="J1422" s="13">
        <v>45961</v>
      </c>
      <c r="K1422" s="13">
        <v>46023</v>
      </c>
      <c r="L1422" t="s">
        <v>533</v>
      </c>
      <c r="M1422" t="s">
        <v>60</v>
      </c>
      <c r="N1422">
        <v>71395918</v>
      </c>
    </row>
    <row r="1423" spans="1:14" x14ac:dyDescent="0.25">
      <c r="A1423">
        <v>57729696</v>
      </c>
      <c r="B1423" t="s">
        <v>3920</v>
      </c>
      <c r="C1423" t="s">
        <v>2319</v>
      </c>
      <c r="D1423" t="s">
        <v>3921</v>
      </c>
      <c r="E1423">
        <v>2144697583</v>
      </c>
      <c r="F1423" t="s">
        <v>416</v>
      </c>
      <c r="G1423" t="s">
        <v>417</v>
      </c>
      <c r="I1423" t="s">
        <v>26</v>
      </c>
      <c r="J1423" s="13">
        <v>45961</v>
      </c>
      <c r="K1423" s="13">
        <v>46023</v>
      </c>
      <c r="L1423" t="s">
        <v>444</v>
      </c>
      <c r="M1423" t="s">
        <v>58</v>
      </c>
      <c r="N1423">
        <v>71395928</v>
      </c>
    </row>
    <row r="1424" spans="1:14" x14ac:dyDescent="0.25">
      <c r="A1424">
        <v>57732022</v>
      </c>
      <c r="B1424" t="s">
        <v>1679</v>
      </c>
      <c r="C1424" t="s">
        <v>3922</v>
      </c>
      <c r="D1424" t="s">
        <v>3923</v>
      </c>
      <c r="E1424" t="s">
        <v>3924</v>
      </c>
      <c r="F1424" t="s">
        <v>474</v>
      </c>
      <c r="G1424" t="s">
        <v>475</v>
      </c>
      <c r="I1424" t="s">
        <v>132</v>
      </c>
      <c r="J1424" s="13">
        <v>45961</v>
      </c>
      <c r="K1424" s="13">
        <v>46023</v>
      </c>
      <c r="L1424" t="s">
        <v>479</v>
      </c>
      <c r="M1424" t="s">
        <v>58</v>
      </c>
      <c r="N1424">
        <v>71397543</v>
      </c>
    </row>
    <row r="1425" spans="1:14" x14ac:dyDescent="0.25">
      <c r="A1425">
        <v>57735268</v>
      </c>
      <c r="B1425" t="s">
        <v>1260</v>
      </c>
      <c r="C1425" t="s">
        <v>2143</v>
      </c>
      <c r="D1425" t="s">
        <v>3925</v>
      </c>
      <c r="E1425">
        <v>8166023541</v>
      </c>
      <c r="F1425" t="s">
        <v>1147</v>
      </c>
      <c r="G1425" t="s">
        <v>1148</v>
      </c>
      <c r="I1425" t="s">
        <v>41</v>
      </c>
      <c r="J1425" s="13">
        <v>45961</v>
      </c>
      <c r="K1425" s="13">
        <v>46023</v>
      </c>
      <c r="L1425" t="s">
        <v>434</v>
      </c>
      <c r="M1425" t="s">
        <v>58</v>
      </c>
      <c r="N1425">
        <v>71399206</v>
      </c>
    </row>
    <row r="1426" spans="1:14" x14ac:dyDescent="0.25">
      <c r="A1426">
        <v>57735532</v>
      </c>
      <c r="B1426" t="s">
        <v>445</v>
      </c>
      <c r="C1426" t="s">
        <v>3926</v>
      </c>
      <c r="D1426" t="s">
        <v>3927</v>
      </c>
      <c r="E1426">
        <v>8065984499</v>
      </c>
      <c r="F1426" t="s">
        <v>684</v>
      </c>
      <c r="G1426" t="s">
        <v>685</v>
      </c>
      <c r="I1426" t="s">
        <v>686</v>
      </c>
      <c r="J1426" s="13">
        <v>45961</v>
      </c>
      <c r="K1426" s="13">
        <v>46023</v>
      </c>
      <c r="L1426" t="s">
        <v>444</v>
      </c>
      <c r="M1426" t="s">
        <v>58</v>
      </c>
      <c r="N1426">
        <v>71399313</v>
      </c>
    </row>
    <row r="1427" spans="1:14" x14ac:dyDescent="0.25">
      <c r="A1427">
        <v>57735566</v>
      </c>
      <c r="B1427" t="s">
        <v>2263</v>
      </c>
      <c r="C1427" t="s">
        <v>3928</v>
      </c>
      <c r="D1427" t="s">
        <v>3929</v>
      </c>
      <c r="E1427">
        <v>7069618969</v>
      </c>
      <c r="F1427" t="s">
        <v>615</v>
      </c>
      <c r="G1427" t="s">
        <v>616</v>
      </c>
      <c r="I1427" t="s">
        <v>617</v>
      </c>
      <c r="J1427" s="13">
        <v>45961</v>
      </c>
      <c r="K1427" s="13">
        <v>46023</v>
      </c>
      <c r="L1427" t="s">
        <v>621</v>
      </c>
      <c r="M1427" t="s">
        <v>56</v>
      </c>
      <c r="N1427">
        <v>71399364</v>
      </c>
    </row>
    <row r="1428" spans="1:14" x14ac:dyDescent="0.25">
      <c r="A1428">
        <v>57736265</v>
      </c>
      <c r="B1428" t="s">
        <v>1784</v>
      </c>
      <c r="C1428" t="s">
        <v>3113</v>
      </c>
      <c r="D1428" t="s">
        <v>3930</v>
      </c>
      <c r="E1428">
        <v>2058877228</v>
      </c>
      <c r="F1428" t="s">
        <v>842</v>
      </c>
      <c r="G1428" t="s">
        <v>843</v>
      </c>
      <c r="I1428" t="s">
        <v>98</v>
      </c>
      <c r="J1428" s="13">
        <v>45961</v>
      </c>
      <c r="K1428" s="13">
        <v>46023</v>
      </c>
      <c r="L1428" t="s">
        <v>621</v>
      </c>
      <c r="M1428" t="s">
        <v>59</v>
      </c>
      <c r="N1428">
        <v>71399703</v>
      </c>
    </row>
    <row r="1429" spans="1:14" x14ac:dyDescent="0.25">
      <c r="A1429">
        <v>57736605</v>
      </c>
      <c r="B1429" t="s">
        <v>909</v>
      </c>
      <c r="C1429" t="s">
        <v>3931</v>
      </c>
      <c r="D1429" t="s">
        <v>3932</v>
      </c>
      <c r="E1429">
        <v>5208346039</v>
      </c>
      <c r="F1429" t="s">
        <v>423</v>
      </c>
      <c r="G1429" t="s">
        <v>424</v>
      </c>
      <c r="I1429" t="s">
        <v>46</v>
      </c>
      <c r="J1429" s="13">
        <v>45961</v>
      </c>
      <c r="K1429" s="13">
        <v>46023</v>
      </c>
      <c r="L1429" t="s">
        <v>1179</v>
      </c>
      <c r="M1429" t="s">
        <v>54</v>
      </c>
      <c r="N1429">
        <v>71399911</v>
      </c>
    </row>
    <row r="1430" spans="1:14" x14ac:dyDescent="0.25">
      <c r="A1430">
        <v>57736732</v>
      </c>
      <c r="B1430" t="s">
        <v>2399</v>
      </c>
      <c r="C1430" t="s">
        <v>3933</v>
      </c>
      <c r="D1430" t="s">
        <v>3934</v>
      </c>
      <c r="E1430">
        <v>7192038183</v>
      </c>
      <c r="F1430" t="s">
        <v>705</v>
      </c>
      <c r="G1430" t="s">
        <v>706</v>
      </c>
      <c r="I1430" t="s">
        <v>12</v>
      </c>
      <c r="J1430" s="13">
        <v>45961</v>
      </c>
      <c r="K1430" s="13">
        <v>46023</v>
      </c>
      <c r="L1430" t="s">
        <v>539</v>
      </c>
      <c r="M1430" t="s">
        <v>59</v>
      </c>
      <c r="N1430">
        <v>71399993</v>
      </c>
    </row>
    <row r="1431" spans="1:14" x14ac:dyDescent="0.25">
      <c r="A1431">
        <v>57737309</v>
      </c>
      <c r="B1431" t="s">
        <v>580</v>
      </c>
      <c r="C1431" t="s">
        <v>3935</v>
      </c>
      <c r="D1431" t="s">
        <v>3936</v>
      </c>
      <c r="E1431">
        <v>8179946758</v>
      </c>
      <c r="F1431" t="s">
        <v>1013</v>
      </c>
      <c r="G1431" t="s">
        <v>1014</v>
      </c>
      <c r="I1431" t="s">
        <v>43</v>
      </c>
      <c r="J1431" s="13">
        <v>45961</v>
      </c>
      <c r="K1431" s="13">
        <v>46023</v>
      </c>
      <c r="L1431" t="s">
        <v>444</v>
      </c>
      <c r="M1431" t="s">
        <v>55</v>
      </c>
      <c r="N1431">
        <v>71400346</v>
      </c>
    </row>
    <row r="1432" spans="1:14" x14ac:dyDescent="0.25">
      <c r="A1432">
        <v>57739829</v>
      </c>
      <c r="B1432" t="s">
        <v>836</v>
      </c>
      <c r="C1432" t="s">
        <v>1334</v>
      </c>
      <c r="D1432" t="s">
        <v>3937</v>
      </c>
      <c r="E1432">
        <v>5026446490</v>
      </c>
      <c r="F1432" t="s">
        <v>790</v>
      </c>
      <c r="G1432" t="s">
        <v>791</v>
      </c>
      <c r="I1432" t="s">
        <v>119</v>
      </c>
      <c r="J1432" s="13">
        <v>45961</v>
      </c>
      <c r="K1432" s="13">
        <v>46023</v>
      </c>
      <c r="L1432" t="s">
        <v>490</v>
      </c>
      <c r="M1432" t="s">
        <v>59</v>
      </c>
      <c r="N1432">
        <v>71400352</v>
      </c>
    </row>
    <row r="1433" spans="1:14" x14ac:dyDescent="0.25">
      <c r="A1433">
        <v>57741542</v>
      </c>
      <c r="B1433" t="s">
        <v>2657</v>
      </c>
      <c r="C1433" t="s">
        <v>3938</v>
      </c>
      <c r="D1433" t="s">
        <v>3939</v>
      </c>
      <c r="E1433">
        <v>7314373385</v>
      </c>
      <c r="F1433" t="s">
        <v>1142</v>
      </c>
      <c r="G1433" t="s">
        <v>1143</v>
      </c>
      <c r="I1433" t="s">
        <v>124</v>
      </c>
      <c r="J1433" s="13">
        <v>45961</v>
      </c>
      <c r="K1433" s="13">
        <v>46023</v>
      </c>
      <c r="L1433" t="s">
        <v>479</v>
      </c>
      <c r="M1433" t="s">
        <v>56</v>
      </c>
      <c r="N1433">
        <v>71402954</v>
      </c>
    </row>
    <row r="1434" spans="1:14" x14ac:dyDescent="0.25">
      <c r="A1434">
        <v>57741549</v>
      </c>
      <c r="B1434" t="s">
        <v>3940</v>
      </c>
      <c r="C1434" t="s">
        <v>1567</v>
      </c>
      <c r="D1434" t="s">
        <v>3941</v>
      </c>
      <c r="E1434">
        <v>9282576025</v>
      </c>
      <c r="F1434" t="s">
        <v>1003</v>
      </c>
      <c r="G1434" t="s">
        <v>1004</v>
      </c>
      <c r="I1434" t="s">
        <v>89</v>
      </c>
      <c r="J1434" s="13">
        <v>45961</v>
      </c>
      <c r="K1434" s="13">
        <v>46023</v>
      </c>
      <c r="L1434" t="s">
        <v>1179</v>
      </c>
      <c r="M1434" t="s">
        <v>56</v>
      </c>
      <c r="N1434">
        <v>71402959</v>
      </c>
    </row>
    <row r="1435" spans="1:14" x14ac:dyDescent="0.25">
      <c r="A1435">
        <v>57744492</v>
      </c>
      <c r="B1435" t="s">
        <v>3326</v>
      </c>
      <c r="C1435" t="s">
        <v>3942</v>
      </c>
      <c r="D1435" t="s">
        <v>3943</v>
      </c>
      <c r="E1435">
        <v>9806218769</v>
      </c>
      <c r="F1435" t="s">
        <v>1398</v>
      </c>
      <c r="G1435" t="s">
        <v>1399</v>
      </c>
      <c r="I1435" t="s">
        <v>1400</v>
      </c>
      <c r="J1435" s="13">
        <v>45961</v>
      </c>
      <c r="K1435" s="13">
        <v>46023</v>
      </c>
      <c r="L1435" t="s">
        <v>603</v>
      </c>
      <c r="M1435" t="s">
        <v>59</v>
      </c>
      <c r="N1435">
        <v>71404210</v>
      </c>
    </row>
    <row r="1436" spans="1:14" x14ac:dyDescent="0.25">
      <c r="A1436">
        <v>57744770</v>
      </c>
      <c r="B1436" t="s">
        <v>1522</v>
      </c>
      <c r="C1436" t="s">
        <v>3944</v>
      </c>
      <c r="D1436" t="s">
        <v>3945</v>
      </c>
      <c r="E1436">
        <v>9546654261</v>
      </c>
      <c r="F1436" t="s">
        <v>775</v>
      </c>
      <c r="G1436" t="s">
        <v>776</v>
      </c>
      <c r="I1436" t="s">
        <v>22</v>
      </c>
      <c r="J1436" s="13">
        <v>45961</v>
      </c>
      <c r="K1436" s="13">
        <v>46023</v>
      </c>
      <c r="L1436" t="s">
        <v>497</v>
      </c>
      <c r="M1436" t="s">
        <v>54</v>
      </c>
      <c r="N1436">
        <v>71404472</v>
      </c>
    </row>
    <row r="1437" spans="1:14" x14ac:dyDescent="0.25">
      <c r="A1437">
        <v>57744771</v>
      </c>
      <c r="B1437" t="s">
        <v>445</v>
      </c>
      <c r="C1437" t="s">
        <v>506</v>
      </c>
      <c r="D1437" t="s">
        <v>3946</v>
      </c>
      <c r="E1437">
        <v>9197985481</v>
      </c>
      <c r="F1437" t="s">
        <v>649</v>
      </c>
      <c r="G1437" t="s">
        <v>650</v>
      </c>
      <c r="I1437" t="s">
        <v>28</v>
      </c>
      <c r="J1437" s="13">
        <v>45961</v>
      </c>
      <c r="K1437" s="13">
        <v>46023</v>
      </c>
      <c r="L1437" t="s">
        <v>603</v>
      </c>
      <c r="M1437" t="s">
        <v>56</v>
      </c>
      <c r="N1437">
        <v>71404473</v>
      </c>
    </row>
    <row r="1438" spans="1:14" x14ac:dyDescent="0.25">
      <c r="A1438">
        <v>57745262</v>
      </c>
      <c r="B1438" t="s">
        <v>3947</v>
      </c>
      <c r="C1438" t="s">
        <v>3948</v>
      </c>
      <c r="D1438" t="s">
        <v>3949</v>
      </c>
      <c r="E1438">
        <v>6027376243</v>
      </c>
      <c r="F1438" t="s">
        <v>569</v>
      </c>
      <c r="G1438" t="s">
        <v>570</v>
      </c>
      <c r="I1438" t="s">
        <v>34</v>
      </c>
      <c r="J1438" s="13">
        <v>45961</v>
      </c>
      <c r="K1438" s="13">
        <v>46023</v>
      </c>
      <c r="L1438" t="s">
        <v>1179</v>
      </c>
      <c r="M1438" t="s">
        <v>54</v>
      </c>
      <c r="N1438">
        <v>71404807</v>
      </c>
    </row>
    <row r="1439" spans="1:14" x14ac:dyDescent="0.25">
      <c r="A1439">
        <v>57747863</v>
      </c>
      <c r="B1439" t="s">
        <v>784</v>
      </c>
      <c r="C1439" t="s">
        <v>3950</v>
      </c>
      <c r="D1439" t="s">
        <v>3951</v>
      </c>
      <c r="E1439">
        <v>9034414295</v>
      </c>
      <c r="F1439" t="s">
        <v>780</v>
      </c>
      <c r="G1439" t="s">
        <v>781</v>
      </c>
      <c r="I1439" t="s">
        <v>20</v>
      </c>
      <c r="J1439" s="13">
        <v>45961</v>
      </c>
      <c r="K1439" s="13">
        <v>46023</v>
      </c>
      <c r="L1439" t="s">
        <v>444</v>
      </c>
      <c r="M1439" t="s">
        <v>61</v>
      </c>
      <c r="N1439">
        <v>71406541</v>
      </c>
    </row>
    <row r="1440" spans="1:14" x14ac:dyDescent="0.25">
      <c r="A1440">
        <v>57749683</v>
      </c>
      <c r="B1440" t="s">
        <v>548</v>
      </c>
      <c r="C1440" t="s">
        <v>2239</v>
      </c>
      <c r="D1440" t="s">
        <v>3952</v>
      </c>
      <c r="E1440">
        <v>6232879276</v>
      </c>
      <c r="F1440" t="s">
        <v>474</v>
      </c>
      <c r="G1440" t="s">
        <v>475</v>
      </c>
      <c r="I1440" t="s">
        <v>132</v>
      </c>
      <c r="J1440" s="13">
        <v>45961</v>
      </c>
      <c r="K1440" s="13">
        <v>46023</v>
      </c>
      <c r="L1440" t="s">
        <v>1179</v>
      </c>
      <c r="M1440" t="s">
        <v>58</v>
      </c>
      <c r="N1440">
        <v>71407781</v>
      </c>
    </row>
    <row r="1441" spans="1:14" x14ac:dyDescent="0.25">
      <c r="A1441">
        <v>57751880</v>
      </c>
      <c r="B1441" t="s">
        <v>524</v>
      </c>
      <c r="C1441" t="s">
        <v>3953</v>
      </c>
      <c r="D1441" t="s">
        <v>3954</v>
      </c>
      <c r="E1441">
        <v>5209063370</v>
      </c>
      <c r="F1441" t="s">
        <v>1003</v>
      </c>
      <c r="G1441" t="s">
        <v>1004</v>
      </c>
      <c r="I1441" t="s">
        <v>89</v>
      </c>
      <c r="J1441" s="13">
        <v>45961</v>
      </c>
      <c r="K1441" s="13">
        <v>46023</v>
      </c>
      <c r="L1441" t="s">
        <v>1179</v>
      </c>
      <c r="M1441" t="s">
        <v>58</v>
      </c>
      <c r="N1441">
        <v>71409284</v>
      </c>
    </row>
    <row r="1442" spans="1:14" x14ac:dyDescent="0.25">
      <c r="A1442">
        <v>57751922</v>
      </c>
      <c r="B1442" t="s">
        <v>2658</v>
      </c>
      <c r="C1442" t="s">
        <v>3955</v>
      </c>
      <c r="D1442" t="s">
        <v>3956</v>
      </c>
      <c r="E1442">
        <v>4255303732</v>
      </c>
      <c r="F1442" t="s">
        <v>615</v>
      </c>
      <c r="G1442" t="s">
        <v>616</v>
      </c>
      <c r="I1442" t="s">
        <v>617</v>
      </c>
      <c r="J1442" s="13">
        <v>45961</v>
      </c>
      <c r="K1442" s="13">
        <v>46023</v>
      </c>
      <c r="L1442" t="s">
        <v>434</v>
      </c>
      <c r="M1442" t="s">
        <v>61</v>
      </c>
      <c r="N1442">
        <v>71409317</v>
      </c>
    </row>
    <row r="1443" spans="1:14" x14ac:dyDescent="0.25">
      <c r="A1443">
        <v>57752295</v>
      </c>
      <c r="B1443" t="s">
        <v>521</v>
      </c>
      <c r="C1443" t="s">
        <v>3957</v>
      </c>
      <c r="D1443" t="s">
        <v>3958</v>
      </c>
      <c r="E1443">
        <v>8134552844</v>
      </c>
      <c r="F1443" t="s">
        <v>423</v>
      </c>
      <c r="G1443" t="s">
        <v>424</v>
      </c>
      <c r="I1443" t="s">
        <v>46</v>
      </c>
      <c r="J1443" s="13">
        <v>45961</v>
      </c>
      <c r="K1443" s="13">
        <v>46023</v>
      </c>
      <c r="L1443" t="s">
        <v>497</v>
      </c>
      <c r="M1443" t="s">
        <v>54</v>
      </c>
      <c r="N1443">
        <v>71410734</v>
      </c>
    </row>
    <row r="1444" spans="1:14" x14ac:dyDescent="0.25">
      <c r="A1444">
        <v>57753751</v>
      </c>
      <c r="B1444" t="s">
        <v>691</v>
      </c>
      <c r="C1444" t="s">
        <v>2617</v>
      </c>
      <c r="D1444" t="s">
        <v>3959</v>
      </c>
      <c r="E1444">
        <v>2057901839</v>
      </c>
      <c r="F1444" t="s">
        <v>705</v>
      </c>
      <c r="G1444" t="s">
        <v>706</v>
      </c>
      <c r="I1444" t="s">
        <v>12</v>
      </c>
      <c r="J1444" s="13">
        <v>45961</v>
      </c>
      <c r="K1444" s="13">
        <v>46023</v>
      </c>
      <c r="L1444" t="s">
        <v>450</v>
      </c>
      <c r="M1444" t="s">
        <v>58</v>
      </c>
      <c r="N1444">
        <v>71412074</v>
      </c>
    </row>
    <row r="1445" spans="1:14" x14ac:dyDescent="0.25">
      <c r="A1445">
        <v>57754036</v>
      </c>
      <c r="B1445" t="s">
        <v>1978</v>
      </c>
      <c r="C1445" t="s">
        <v>3960</v>
      </c>
      <c r="D1445" t="s">
        <v>3961</v>
      </c>
      <c r="E1445">
        <v>4346104532</v>
      </c>
      <c r="F1445" t="s">
        <v>448</v>
      </c>
      <c r="G1445" t="s">
        <v>449</v>
      </c>
      <c r="I1445" t="s">
        <v>31</v>
      </c>
      <c r="J1445" s="13">
        <v>45961</v>
      </c>
      <c r="K1445" s="13">
        <v>46023</v>
      </c>
      <c r="L1445" t="s">
        <v>454</v>
      </c>
      <c r="M1445" t="s">
        <v>58</v>
      </c>
      <c r="N1445">
        <v>71412243</v>
      </c>
    </row>
    <row r="1446" spans="1:14" x14ac:dyDescent="0.25">
      <c r="A1446">
        <v>57754212</v>
      </c>
      <c r="B1446" t="s">
        <v>2214</v>
      </c>
      <c r="C1446" t="s">
        <v>3962</v>
      </c>
      <c r="D1446" t="s">
        <v>3963</v>
      </c>
      <c r="E1446">
        <v>9542942145</v>
      </c>
      <c r="F1446" t="s">
        <v>474</v>
      </c>
      <c r="G1446" t="s">
        <v>475</v>
      </c>
      <c r="I1446" t="s">
        <v>132</v>
      </c>
      <c r="J1446" s="13">
        <v>45961</v>
      </c>
      <c r="K1446" s="13">
        <v>46023</v>
      </c>
      <c r="L1446" t="s">
        <v>497</v>
      </c>
      <c r="M1446" t="s">
        <v>56</v>
      </c>
      <c r="N1446">
        <v>71412377</v>
      </c>
    </row>
    <row r="1447" spans="1:14" x14ac:dyDescent="0.25">
      <c r="A1447">
        <v>57754443</v>
      </c>
      <c r="B1447" t="s">
        <v>3964</v>
      </c>
      <c r="C1447" t="s">
        <v>3436</v>
      </c>
      <c r="D1447" t="s">
        <v>3965</v>
      </c>
      <c r="E1447">
        <v>4642100191</v>
      </c>
      <c r="F1447" t="s">
        <v>821</v>
      </c>
      <c r="G1447" t="s">
        <v>822</v>
      </c>
      <c r="I1447" t="s">
        <v>823</v>
      </c>
      <c r="J1447" s="13">
        <v>45961</v>
      </c>
      <c r="K1447" s="13">
        <v>46023</v>
      </c>
      <c r="L1447" t="s">
        <v>470</v>
      </c>
      <c r="M1447" t="s">
        <v>59</v>
      </c>
      <c r="N1447">
        <v>71412542</v>
      </c>
    </row>
    <row r="1448" spans="1:14" x14ac:dyDescent="0.25">
      <c r="A1448">
        <v>57754604</v>
      </c>
      <c r="B1448" t="s">
        <v>672</v>
      </c>
      <c r="C1448" t="s">
        <v>3966</v>
      </c>
      <c r="D1448" t="s">
        <v>3967</v>
      </c>
      <c r="E1448">
        <v>7577421937</v>
      </c>
      <c r="F1448" t="s">
        <v>551</v>
      </c>
      <c r="G1448" t="s">
        <v>552</v>
      </c>
      <c r="I1448" t="s">
        <v>42</v>
      </c>
      <c r="J1448" s="13">
        <v>45961</v>
      </c>
      <c r="K1448" s="13">
        <v>46023</v>
      </c>
      <c r="L1448" t="s">
        <v>454</v>
      </c>
      <c r="M1448" t="s">
        <v>56</v>
      </c>
      <c r="N1448">
        <v>71412576</v>
      </c>
    </row>
    <row r="1449" spans="1:14" x14ac:dyDescent="0.25">
      <c r="A1449">
        <v>57754583</v>
      </c>
      <c r="B1449" t="s">
        <v>1167</v>
      </c>
      <c r="C1449" t="s">
        <v>3968</v>
      </c>
      <c r="D1449" t="s">
        <v>3969</v>
      </c>
      <c r="E1449">
        <v>5617293912</v>
      </c>
      <c r="F1449" t="s">
        <v>1345</v>
      </c>
      <c r="G1449" t="s">
        <v>799</v>
      </c>
      <c r="I1449" t="s">
        <v>47</v>
      </c>
      <c r="J1449" s="13">
        <v>45961</v>
      </c>
      <c r="K1449" s="13">
        <v>46023</v>
      </c>
      <c r="L1449" t="s">
        <v>497</v>
      </c>
      <c r="M1449" t="s">
        <v>56</v>
      </c>
      <c r="N1449">
        <v>71412631</v>
      </c>
    </row>
    <row r="1450" spans="1:14" x14ac:dyDescent="0.25">
      <c r="A1450">
        <v>57754843</v>
      </c>
      <c r="B1450" t="s">
        <v>476</v>
      </c>
      <c r="C1450" t="s">
        <v>3970</v>
      </c>
      <c r="D1450" t="s">
        <v>3971</v>
      </c>
      <c r="E1450">
        <v>8723006304</v>
      </c>
      <c r="F1450" t="s">
        <v>790</v>
      </c>
      <c r="G1450" t="s">
        <v>791</v>
      </c>
      <c r="I1450" t="s">
        <v>119</v>
      </c>
      <c r="J1450" s="13">
        <v>45961</v>
      </c>
      <c r="K1450" s="13">
        <v>46023</v>
      </c>
      <c r="L1450" t="s">
        <v>470</v>
      </c>
      <c r="M1450" t="s">
        <v>56</v>
      </c>
      <c r="N1450">
        <v>71412810</v>
      </c>
    </row>
    <row r="1451" spans="1:14" x14ac:dyDescent="0.25">
      <c r="A1451">
        <v>57755087</v>
      </c>
      <c r="B1451" t="s">
        <v>3737</v>
      </c>
      <c r="C1451" t="s">
        <v>3284</v>
      </c>
      <c r="D1451" t="s">
        <v>3972</v>
      </c>
      <c r="E1451" t="s">
        <v>3973</v>
      </c>
      <c r="F1451" t="s">
        <v>815</v>
      </c>
      <c r="G1451" t="s">
        <v>816</v>
      </c>
      <c r="I1451" t="s">
        <v>23</v>
      </c>
      <c r="J1451" s="13">
        <v>45961</v>
      </c>
      <c r="K1451" s="13">
        <v>46023</v>
      </c>
      <c r="L1451" t="s">
        <v>553</v>
      </c>
      <c r="M1451" t="s">
        <v>58</v>
      </c>
      <c r="N1451">
        <v>71412978</v>
      </c>
    </row>
    <row r="1452" spans="1:14" x14ac:dyDescent="0.25">
      <c r="A1452">
        <v>57755146</v>
      </c>
      <c r="B1452" t="s">
        <v>2992</v>
      </c>
      <c r="C1452" t="s">
        <v>518</v>
      </c>
      <c r="D1452" t="s">
        <v>3974</v>
      </c>
      <c r="E1452">
        <v>4174991154</v>
      </c>
      <c r="F1452" t="s">
        <v>462</v>
      </c>
      <c r="G1452" t="s">
        <v>463</v>
      </c>
      <c r="I1452" t="s">
        <v>39</v>
      </c>
      <c r="J1452" s="13">
        <v>45961</v>
      </c>
      <c r="K1452" s="13">
        <v>46023</v>
      </c>
      <c r="L1452" t="s">
        <v>520</v>
      </c>
      <c r="M1452" t="s">
        <v>59</v>
      </c>
      <c r="N1452">
        <v>71413001</v>
      </c>
    </row>
    <row r="1453" spans="1:14" x14ac:dyDescent="0.25">
      <c r="A1453">
        <v>57755573</v>
      </c>
      <c r="B1453" t="s">
        <v>3199</v>
      </c>
      <c r="C1453" t="s">
        <v>515</v>
      </c>
      <c r="D1453" t="s">
        <v>3975</v>
      </c>
      <c r="E1453">
        <v>6065841536</v>
      </c>
      <c r="F1453" t="s">
        <v>693</v>
      </c>
      <c r="G1453" t="s">
        <v>694</v>
      </c>
      <c r="I1453" t="s">
        <v>103</v>
      </c>
      <c r="J1453" s="13">
        <v>45961</v>
      </c>
      <c r="K1453" s="13">
        <v>46023</v>
      </c>
      <c r="L1453" t="s">
        <v>490</v>
      </c>
      <c r="M1453" t="s">
        <v>56</v>
      </c>
      <c r="N1453">
        <v>71413279</v>
      </c>
    </row>
    <row r="1454" spans="1:14" x14ac:dyDescent="0.25">
      <c r="A1454">
        <v>57756309</v>
      </c>
      <c r="B1454" t="s">
        <v>3976</v>
      </c>
      <c r="C1454" t="s">
        <v>3977</v>
      </c>
      <c r="D1454" t="s">
        <v>3978</v>
      </c>
      <c r="E1454">
        <v>3166315778</v>
      </c>
      <c r="F1454" t="s">
        <v>957</v>
      </c>
      <c r="G1454" t="s">
        <v>958</v>
      </c>
      <c r="H1454" t="s">
        <v>959</v>
      </c>
      <c r="I1454" t="s">
        <v>960</v>
      </c>
      <c r="J1454" s="13">
        <v>45961</v>
      </c>
      <c r="K1454" s="13">
        <v>46023</v>
      </c>
      <c r="L1454" t="s">
        <v>520</v>
      </c>
      <c r="M1454" t="s">
        <v>58</v>
      </c>
      <c r="N1454">
        <v>71413288</v>
      </c>
    </row>
    <row r="1455" spans="1:14" x14ac:dyDescent="0.25">
      <c r="A1455">
        <v>57755796</v>
      </c>
      <c r="B1455" t="s">
        <v>3979</v>
      </c>
      <c r="C1455" t="s">
        <v>3980</v>
      </c>
      <c r="D1455" t="s">
        <v>3981</v>
      </c>
      <c r="E1455">
        <v>8152020899</v>
      </c>
      <c r="F1455" t="s">
        <v>790</v>
      </c>
      <c r="G1455" t="s">
        <v>791</v>
      </c>
      <c r="I1455" t="s">
        <v>119</v>
      </c>
      <c r="J1455" s="13">
        <v>45961</v>
      </c>
      <c r="K1455" s="13">
        <v>46023</v>
      </c>
      <c r="L1455" t="s">
        <v>470</v>
      </c>
      <c r="M1455" t="s">
        <v>56</v>
      </c>
      <c r="N1455">
        <v>71413310</v>
      </c>
    </row>
    <row r="1456" spans="1:14" x14ac:dyDescent="0.25">
      <c r="A1456">
        <v>57755868</v>
      </c>
      <c r="B1456" t="s">
        <v>1773</v>
      </c>
      <c r="C1456" t="s">
        <v>3982</v>
      </c>
      <c r="D1456" t="s">
        <v>3983</v>
      </c>
      <c r="E1456">
        <v>4802904242</v>
      </c>
      <c r="F1456" t="s">
        <v>474</v>
      </c>
      <c r="G1456" t="s">
        <v>475</v>
      </c>
      <c r="I1456" t="s">
        <v>132</v>
      </c>
      <c r="J1456" s="13">
        <v>45961</v>
      </c>
      <c r="K1456" s="13">
        <v>46023</v>
      </c>
      <c r="L1456" t="s">
        <v>1179</v>
      </c>
      <c r="M1456" t="s">
        <v>59</v>
      </c>
      <c r="N1456">
        <v>71413435</v>
      </c>
    </row>
    <row r="1457" spans="1:14" x14ac:dyDescent="0.25">
      <c r="A1457">
        <v>57756024</v>
      </c>
      <c r="B1457" t="s">
        <v>2395</v>
      </c>
      <c r="C1457" t="s">
        <v>3984</v>
      </c>
      <c r="D1457" t="s">
        <v>3985</v>
      </c>
      <c r="E1457">
        <v>8434399549</v>
      </c>
      <c r="F1457" t="s">
        <v>1067</v>
      </c>
      <c r="G1457" t="s">
        <v>1068</v>
      </c>
      <c r="I1457" t="s">
        <v>35</v>
      </c>
      <c r="J1457" s="13">
        <v>45961</v>
      </c>
      <c r="K1457" s="13">
        <v>46023</v>
      </c>
      <c r="L1457" t="s">
        <v>533</v>
      </c>
      <c r="M1457" t="s">
        <v>56</v>
      </c>
      <c r="N1457">
        <v>71413524</v>
      </c>
    </row>
    <row r="1458" spans="1:14" x14ac:dyDescent="0.25">
      <c r="A1458">
        <v>57756093</v>
      </c>
      <c r="B1458" t="s">
        <v>3986</v>
      </c>
      <c r="C1458" t="s">
        <v>3987</v>
      </c>
      <c r="D1458" t="s">
        <v>3988</v>
      </c>
      <c r="E1458">
        <v>8136131595</v>
      </c>
      <c r="F1458" t="s">
        <v>462</v>
      </c>
      <c r="G1458" t="s">
        <v>463</v>
      </c>
      <c r="I1458" t="s">
        <v>39</v>
      </c>
      <c r="J1458" s="13">
        <v>45961</v>
      </c>
      <c r="K1458" s="13">
        <v>46023</v>
      </c>
      <c r="L1458" t="s">
        <v>497</v>
      </c>
      <c r="M1458" t="s">
        <v>54</v>
      </c>
      <c r="N1458">
        <v>71413571</v>
      </c>
    </row>
    <row r="1459" spans="1:14" x14ac:dyDescent="0.25">
      <c r="A1459">
        <v>57756162</v>
      </c>
      <c r="B1459" t="s">
        <v>651</v>
      </c>
      <c r="C1459" t="s">
        <v>744</v>
      </c>
      <c r="D1459" t="s">
        <v>3989</v>
      </c>
      <c r="E1459">
        <v>6236709340</v>
      </c>
      <c r="F1459" t="s">
        <v>416</v>
      </c>
      <c r="G1459" t="s">
        <v>417</v>
      </c>
      <c r="I1459" t="s">
        <v>26</v>
      </c>
      <c r="J1459" s="13">
        <v>45961</v>
      </c>
      <c r="K1459" s="13">
        <v>46023</v>
      </c>
      <c r="L1459" t="s">
        <v>1179</v>
      </c>
      <c r="M1459" t="s">
        <v>54</v>
      </c>
      <c r="N1459">
        <v>71413607</v>
      </c>
    </row>
    <row r="1460" spans="1:14" x14ac:dyDescent="0.25">
      <c r="A1460">
        <v>57756165</v>
      </c>
      <c r="B1460" t="s">
        <v>2745</v>
      </c>
      <c r="C1460" t="s">
        <v>3990</v>
      </c>
      <c r="D1460" t="s">
        <v>3991</v>
      </c>
      <c r="E1460" t="s">
        <v>3992</v>
      </c>
      <c r="F1460" t="s">
        <v>462</v>
      </c>
      <c r="G1460" t="s">
        <v>463</v>
      </c>
      <c r="I1460" t="s">
        <v>39</v>
      </c>
      <c r="J1460" s="13">
        <v>45961</v>
      </c>
      <c r="K1460" s="13">
        <v>46023</v>
      </c>
      <c r="L1460" t="s">
        <v>497</v>
      </c>
      <c r="M1460" t="s">
        <v>54</v>
      </c>
      <c r="N1460">
        <v>71413618</v>
      </c>
    </row>
    <row r="1461" spans="1:14" x14ac:dyDescent="0.25">
      <c r="A1461">
        <v>57756279</v>
      </c>
      <c r="B1461" t="s">
        <v>951</v>
      </c>
      <c r="C1461" t="s">
        <v>3993</v>
      </c>
      <c r="D1461" t="s">
        <v>3994</v>
      </c>
      <c r="E1461">
        <v>2564544655</v>
      </c>
      <c r="F1461" t="s">
        <v>615</v>
      </c>
      <c r="G1461" t="s">
        <v>616</v>
      </c>
      <c r="I1461" t="s">
        <v>617</v>
      </c>
      <c r="J1461" s="13">
        <v>45961</v>
      </c>
      <c r="K1461" s="13">
        <v>46023</v>
      </c>
      <c r="L1461" t="s">
        <v>450</v>
      </c>
      <c r="M1461" t="s">
        <v>58</v>
      </c>
      <c r="N1461">
        <v>71413706</v>
      </c>
    </row>
    <row r="1462" spans="1:14" x14ac:dyDescent="0.25">
      <c r="A1462">
        <v>57756369</v>
      </c>
      <c r="B1462" t="s">
        <v>3995</v>
      </c>
      <c r="C1462" t="s">
        <v>3996</v>
      </c>
      <c r="D1462" t="s">
        <v>3997</v>
      </c>
      <c r="E1462">
        <v>2547183562</v>
      </c>
      <c r="F1462" t="s">
        <v>684</v>
      </c>
      <c r="G1462" t="s">
        <v>685</v>
      </c>
      <c r="I1462" t="s">
        <v>686</v>
      </c>
      <c r="J1462" s="13">
        <v>45961</v>
      </c>
      <c r="K1462" s="13">
        <v>46023</v>
      </c>
      <c r="L1462" t="s">
        <v>444</v>
      </c>
      <c r="M1462" t="s">
        <v>58</v>
      </c>
      <c r="N1462">
        <v>71413748</v>
      </c>
    </row>
    <row r="1463" spans="1:14" x14ac:dyDescent="0.25">
      <c r="A1463">
        <v>57756488</v>
      </c>
      <c r="B1463" t="s">
        <v>980</v>
      </c>
      <c r="C1463" t="s">
        <v>1228</v>
      </c>
      <c r="D1463" t="s">
        <v>3998</v>
      </c>
      <c r="E1463">
        <v>4796700539</v>
      </c>
      <c r="F1463" t="s">
        <v>1147</v>
      </c>
      <c r="G1463" t="s">
        <v>1148</v>
      </c>
      <c r="I1463" t="s">
        <v>41</v>
      </c>
      <c r="J1463" s="13">
        <v>45961</v>
      </c>
      <c r="K1463" s="13">
        <v>46023</v>
      </c>
      <c r="L1463" t="s">
        <v>553</v>
      </c>
      <c r="M1463" t="s">
        <v>58</v>
      </c>
      <c r="N1463">
        <v>71413847</v>
      </c>
    </row>
    <row r="1464" spans="1:14" x14ac:dyDescent="0.25">
      <c r="A1464">
        <v>57756618</v>
      </c>
      <c r="B1464" t="s">
        <v>836</v>
      </c>
      <c r="C1464" t="s">
        <v>3999</v>
      </c>
      <c r="D1464" t="s">
        <v>4000</v>
      </c>
      <c r="E1464">
        <v>8542495157</v>
      </c>
      <c r="F1464" t="s">
        <v>574</v>
      </c>
      <c r="G1464" t="s">
        <v>575</v>
      </c>
      <c r="I1464" t="s">
        <v>14</v>
      </c>
      <c r="J1464" s="13">
        <v>45961</v>
      </c>
      <c r="K1464" s="13">
        <v>46023</v>
      </c>
      <c r="L1464" t="s">
        <v>533</v>
      </c>
      <c r="M1464" t="s">
        <v>56</v>
      </c>
      <c r="N1464">
        <v>71413890</v>
      </c>
    </row>
    <row r="1465" spans="1:14" x14ac:dyDescent="0.25">
      <c r="A1465">
        <v>61118071</v>
      </c>
      <c r="B1465" t="s">
        <v>1856</v>
      </c>
      <c r="C1465" t="s">
        <v>4001</v>
      </c>
      <c r="D1465" t="s">
        <v>4002</v>
      </c>
      <c r="E1465">
        <v>6232722602</v>
      </c>
      <c r="F1465" t="s">
        <v>1345</v>
      </c>
      <c r="G1465" t="s">
        <v>799</v>
      </c>
      <c r="I1465" t="s">
        <v>47</v>
      </c>
      <c r="J1465" s="13">
        <v>46085</v>
      </c>
      <c r="K1465" s="13">
        <v>46113</v>
      </c>
      <c r="L1465" t="s">
        <v>1179</v>
      </c>
      <c r="M1465" t="s">
        <v>56</v>
      </c>
      <c r="N1465">
        <v>71413916</v>
      </c>
    </row>
    <row r="1466" spans="1:14" x14ac:dyDescent="0.25">
      <c r="A1466">
        <v>57756750</v>
      </c>
      <c r="B1466" t="s">
        <v>1978</v>
      </c>
      <c r="C1466" t="s">
        <v>967</v>
      </c>
      <c r="D1466" t="s">
        <v>4003</v>
      </c>
      <c r="E1466">
        <v>8283037600</v>
      </c>
      <c r="F1466" t="s">
        <v>798</v>
      </c>
      <c r="G1466" t="s">
        <v>799</v>
      </c>
      <c r="I1466" t="s">
        <v>800</v>
      </c>
      <c r="J1466" s="13">
        <v>45961</v>
      </c>
      <c r="K1466" s="13">
        <v>46023</v>
      </c>
      <c r="L1466" t="s">
        <v>603</v>
      </c>
      <c r="M1466" t="s">
        <v>56</v>
      </c>
      <c r="N1466">
        <v>71413938</v>
      </c>
    </row>
    <row r="1467" spans="1:14" x14ac:dyDescent="0.25">
      <c r="A1467">
        <v>57757075</v>
      </c>
      <c r="B1467" t="s">
        <v>498</v>
      </c>
      <c r="C1467" t="s">
        <v>4004</v>
      </c>
      <c r="D1467" t="s">
        <v>4005</v>
      </c>
      <c r="E1467">
        <v>9544949624</v>
      </c>
      <c r="F1467" t="s">
        <v>775</v>
      </c>
      <c r="G1467" t="s">
        <v>776</v>
      </c>
      <c r="I1467" t="s">
        <v>22</v>
      </c>
      <c r="J1467" s="13">
        <v>45961</v>
      </c>
      <c r="K1467" s="13">
        <v>46023</v>
      </c>
      <c r="L1467" t="s">
        <v>497</v>
      </c>
      <c r="M1467" t="s">
        <v>56</v>
      </c>
      <c r="N1467">
        <v>71414141</v>
      </c>
    </row>
    <row r="1468" spans="1:14" x14ac:dyDescent="0.25">
      <c r="A1468">
        <v>57760809</v>
      </c>
      <c r="B1468" t="s">
        <v>501</v>
      </c>
      <c r="C1468" t="s">
        <v>2918</v>
      </c>
      <c r="D1468" t="s">
        <v>4006</v>
      </c>
      <c r="E1468">
        <v>8064447932</v>
      </c>
      <c r="F1468" t="s">
        <v>993</v>
      </c>
      <c r="G1468" t="s">
        <v>994</v>
      </c>
      <c r="I1468" t="s">
        <v>995</v>
      </c>
      <c r="J1468" s="13">
        <v>45962</v>
      </c>
      <c r="K1468" s="13">
        <v>46023</v>
      </c>
      <c r="L1468" t="s">
        <v>444</v>
      </c>
      <c r="M1468" t="s">
        <v>56</v>
      </c>
      <c r="N1468">
        <v>71416247</v>
      </c>
    </row>
    <row r="1469" spans="1:14" x14ac:dyDescent="0.25">
      <c r="A1469">
        <v>57760946</v>
      </c>
      <c r="B1469" t="s">
        <v>2099</v>
      </c>
      <c r="C1469" t="s">
        <v>4007</v>
      </c>
      <c r="D1469" t="s">
        <v>4008</v>
      </c>
      <c r="E1469">
        <v>9104901009</v>
      </c>
      <c r="F1469" t="s">
        <v>649</v>
      </c>
      <c r="G1469" t="s">
        <v>650</v>
      </c>
      <c r="I1469" t="s">
        <v>28</v>
      </c>
      <c r="J1469" s="13">
        <v>45962</v>
      </c>
      <c r="K1469" s="13">
        <v>46023</v>
      </c>
      <c r="L1469" t="s">
        <v>603</v>
      </c>
      <c r="M1469" t="s">
        <v>56</v>
      </c>
      <c r="N1469">
        <v>71416316</v>
      </c>
    </row>
    <row r="1470" spans="1:14" x14ac:dyDescent="0.25">
      <c r="A1470">
        <v>57761129</v>
      </c>
      <c r="B1470" t="s">
        <v>1515</v>
      </c>
      <c r="C1470" t="s">
        <v>4009</v>
      </c>
      <c r="D1470" t="s">
        <v>4010</v>
      </c>
      <c r="E1470">
        <v>4049745500</v>
      </c>
      <c r="F1470" t="s">
        <v>416</v>
      </c>
      <c r="G1470" t="s">
        <v>417</v>
      </c>
      <c r="I1470" t="s">
        <v>26</v>
      </c>
      <c r="J1470" s="13">
        <v>45962</v>
      </c>
      <c r="K1470" s="13">
        <v>46023</v>
      </c>
      <c r="L1470" t="s">
        <v>621</v>
      </c>
      <c r="M1470" t="s">
        <v>60</v>
      </c>
      <c r="N1470">
        <v>71416396</v>
      </c>
    </row>
    <row r="1471" spans="1:14" x14ac:dyDescent="0.25">
      <c r="A1471">
        <v>57761228</v>
      </c>
      <c r="B1471" t="s">
        <v>801</v>
      </c>
      <c r="C1471" t="s">
        <v>4011</v>
      </c>
      <c r="D1471" t="s">
        <v>4012</v>
      </c>
      <c r="E1471">
        <v>7195108945</v>
      </c>
      <c r="F1471" t="s">
        <v>790</v>
      </c>
      <c r="G1471" t="s">
        <v>791</v>
      </c>
      <c r="I1471" t="s">
        <v>119</v>
      </c>
      <c r="J1471" s="13">
        <v>45962</v>
      </c>
      <c r="K1471" s="13">
        <v>46023</v>
      </c>
      <c r="L1471" t="s">
        <v>539</v>
      </c>
      <c r="M1471" t="s">
        <v>59</v>
      </c>
      <c r="N1471">
        <v>71416415</v>
      </c>
    </row>
    <row r="1472" spans="1:14" x14ac:dyDescent="0.25">
      <c r="A1472">
        <v>57761417</v>
      </c>
      <c r="B1472" t="s">
        <v>498</v>
      </c>
      <c r="C1472" t="s">
        <v>4013</v>
      </c>
      <c r="D1472" t="s">
        <v>4014</v>
      </c>
      <c r="E1472">
        <v>5614018191</v>
      </c>
      <c r="F1472" t="s">
        <v>1345</v>
      </c>
      <c r="G1472" t="s">
        <v>799</v>
      </c>
      <c r="I1472" t="s">
        <v>47</v>
      </c>
      <c r="J1472" s="13">
        <v>45962</v>
      </c>
      <c r="K1472" s="13">
        <v>46023</v>
      </c>
      <c r="L1472" t="s">
        <v>497</v>
      </c>
      <c r="M1472" t="s">
        <v>56</v>
      </c>
      <c r="N1472">
        <v>71416573</v>
      </c>
    </row>
    <row r="1473" spans="1:14" x14ac:dyDescent="0.25">
      <c r="A1473">
        <v>57761709</v>
      </c>
      <c r="B1473" t="s">
        <v>4015</v>
      </c>
      <c r="C1473" t="s">
        <v>4016</v>
      </c>
      <c r="D1473" t="s">
        <v>4017</v>
      </c>
      <c r="E1473">
        <v>8393560977</v>
      </c>
      <c r="F1473" t="s">
        <v>1147</v>
      </c>
      <c r="G1473" t="s">
        <v>1148</v>
      </c>
      <c r="I1473" t="s">
        <v>41</v>
      </c>
      <c r="J1473" s="13">
        <v>45962</v>
      </c>
      <c r="K1473" s="13">
        <v>46023</v>
      </c>
      <c r="L1473" t="s">
        <v>533</v>
      </c>
      <c r="M1473" t="s">
        <v>58</v>
      </c>
      <c r="N1473">
        <v>71416713</v>
      </c>
    </row>
    <row r="1474" spans="1:14" x14ac:dyDescent="0.25">
      <c r="A1474">
        <v>57762541</v>
      </c>
      <c r="B1474" t="s">
        <v>2607</v>
      </c>
      <c r="C1474" t="s">
        <v>4018</v>
      </c>
      <c r="D1474" t="s">
        <v>4019</v>
      </c>
      <c r="E1474">
        <v>7726072229</v>
      </c>
      <c r="F1474" t="s">
        <v>1345</v>
      </c>
      <c r="G1474" t="s">
        <v>799</v>
      </c>
      <c r="I1474" t="s">
        <v>47</v>
      </c>
      <c r="J1474" s="13">
        <v>45962</v>
      </c>
      <c r="K1474" s="13">
        <v>46023</v>
      </c>
      <c r="L1474" t="s">
        <v>497</v>
      </c>
      <c r="M1474" t="s">
        <v>54</v>
      </c>
      <c r="N1474">
        <v>71417171</v>
      </c>
    </row>
    <row r="1475" spans="1:14" x14ac:dyDescent="0.25">
      <c r="A1475">
        <v>57764329</v>
      </c>
      <c r="B1475" t="s">
        <v>4020</v>
      </c>
      <c r="C1475" t="s">
        <v>4021</v>
      </c>
      <c r="D1475" t="s">
        <v>4022</v>
      </c>
      <c r="E1475">
        <v>5205309738</v>
      </c>
      <c r="F1475" t="s">
        <v>416</v>
      </c>
      <c r="G1475" t="s">
        <v>417</v>
      </c>
      <c r="I1475" t="s">
        <v>26</v>
      </c>
      <c r="J1475" s="13">
        <v>45962</v>
      </c>
      <c r="K1475" s="13">
        <v>46023</v>
      </c>
      <c r="L1475" t="s">
        <v>1179</v>
      </c>
      <c r="M1475" t="s">
        <v>54</v>
      </c>
      <c r="N1475">
        <v>71417829</v>
      </c>
    </row>
    <row r="1476" spans="1:14" x14ac:dyDescent="0.25">
      <c r="A1476">
        <v>58226035</v>
      </c>
      <c r="B1476" t="s">
        <v>2232</v>
      </c>
      <c r="C1476" t="s">
        <v>4023</v>
      </c>
      <c r="D1476" t="s">
        <v>4024</v>
      </c>
      <c r="E1476">
        <v>2054103340</v>
      </c>
      <c r="F1476" t="s">
        <v>416</v>
      </c>
      <c r="G1476" t="s">
        <v>417</v>
      </c>
      <c r="I1476" t="s">
        <v>26</v>
      </c>
      <c r="J1476" s="13">
        <v>45980</v>
      </c>
      <c r="K1476" s="13">
        <v>46023</v>
      </c>
      <c r="L1476" t="s">
        <v>497</v>
      </c>
      <c r="M1476" t="s">
        <v>56</v>
      </c>
      <c r="N1476">
        <v>71418282</v>
      </c>
    </row>
    <row r="1477" spans="1:14" x14ac:dyDescent="0.25">
      <c r="A1477">
        <v>57772569</v>
      </c>
      <c r="B1477" t="s">
        <v>4025</v>
      </c>
      <c r="C1477" t="s">
        <v>4026</v>
      </c>
      <c r="D1477" t="s">
        <v>4027</v>
      </c>
      <c r="E1477">
        <v>9106587619</v>
      </c>
      <c r="F1477" t="s">
        <v>423</v>
      </c>
      <c r="G1477" t="s">
        <v>424</v>
      </c>
      <c r="I1477" t="s">
        <v>46</v>
      </c>
      <c r="J1477" s="13">
        <v>45964</v>
      </c>
      <c r="K1477" s="13">
        <v>46023</v>
      </c>
      <c r="L1477" t="s">
        <v>603</v>
      </c>
      <c r="M1477" t="s">
        <v>56</v>
      </c>
      <c r="N1477">
        <v>71423676</v>
      </c>
    </row>
    <row r="1478" spans="1:14" x14ac:dyDescent="0.25">
      <c r="A1478">
        <v>57775773</v>
      </c>
      <c r="B1478" t="s">
        <v>1997</v>
      </c>
      <c r="C1478" t="s">
        <v>4028</v>
      </c>
      <c r="D1478" t="s">
        <v>4029</v>
      </c>
      <c r="E1478">
        <v>4703188746</v>
      </c>
      <c r="F1478" t="s">
        <v>842</v>
      </c>
      <c r="G1478" t="s">
        <v>843</v>
      </c>
      <c r="I1478" t="s">
        <v>98</v>
      </c>
      <c r="J1478" s="13">
        <v>45964</v>
      </c>
      <c r="K1478" s="13">
        <v>46023</v>
      </c>
      <c r="L1478" t="s">
        <v>621</v>
      </c>
      <c r="M1478" t="s">
        <v>59</v>
      </c>
      <c r="N1478">
        <v>71427339</v>
      </c>
    </row>
    <row r="1479" spans="1:14" x14ac:dyDescent="0.25">
      <c r="A1479">
        <v>57776136</v>
      </c>
      <c r="B1479" t="s">
        <v>3078</v>
      </c>
      <c r="C1479" t="s">
        <v>4030</v>
      </c>
      <c r="D1479" t="s">
        <v>4031</v>
      </c>
      <c r="E1479">
        <v>2143562500</v>
      </c>
      <c r="F1479" t="s">
        <v>1013</v>
      </c>
      <c r="G1479" t="s">
        <v>1014</v>
      </c>
      <c r="I1479" t="s">
        <v>43</v>
      </c>
      <c r="J1479" s="13">
        <v>45964</v>
      </c>
      <c r="K1479" s="13">
        <v>46023</v>
      </c>
      <c r="L1479" t="s">
        <v>444</v>
      </c>
      <c r="M1479" t="s">
        <v>56</v>
      </c>
      <c r="N1479">
        <v>71427561</v>
      </c>
    </row>
    <row r="1480" spans="1:14" x14ac:dyDescent="0.25">
      <c r="A1480">
        <v>57776144</v>
      </c>
      <c r="B1480" t="s">
        <v>1138</v>
      </c>
      <c r="C1480" t="s">
        <v>4032</v>
      </c>
      <c r="D1480" t="s">
        <v>4033</v>
      </c>
      <c r="E1480" t="s">
        <v>4034</v>
      </c>
      <c r="F1480" t="s">
        <v>1013</v>
      </c>
      <c r="G1480" t="s">
        <v>1014</v>
      </c>
      <c r="I1480" t="s">
        <v>43</v>
      </c>
      <c r="J1480" s="13">
        <v>45964</v>
      </c>
      <c r="K1480" s="13">
        <v>46023</v>
      </c>
      <c r="L1480" t="s">
        <v>444</v>
      </c>
      <c r="M1480" t="s">
        <v>56</v>
      </c>
      <c r="N1480">
        <v>71427568</v>
      </c>
    </row>
    <row r="1481" spans="1:14" x14ac:dyDescent="0.25">
      <c r="A1481">
        <v>57776161</v>
      </c>
      <c r="B1481" t="s">
        <v>1872</v>
      </c>
      <c r="C1481" t="s">
        <v>4035</v>
      </c>
      <c r="D1481" t="s">
        <v>4036</v>
      </c>
      <c r="E1481">
        <v>5177455861</v>
      </c>
      <c r="F1481" t="s">
        <v>821</v>
      </c>
      <c r="G1481" t="s">
        <v>822</v>
      </c>
      <c r="I1481" t="s">
        <v>823</v>
      </c>
      <c r="J1481" s="13">
        <v>45964</v>
      </c>
      <c r="K1481" s="13">
        <v>46023</v>
      </c>
      <c r="L1481" t="s">
        <v>497</v>
      </c>
      <c r="M1481" t="s">
        <v>56</v>
      </c>
      <c r="N1481">
        <v>71427577</v>
      </c>
    </row>
    <row r="1482" spans="1:14" x14ac:dyDescent="0.25">
      <c r="A1482">
        <v>57776202</v>
      </c>
      <c r="B1482" t="s">
        <v>2532</v>
      </c>
      <c r="C1482" t="s">
        <v>4037</v>
      </c>
      <c r="D1482" t="s">
        <v>4038</v>
      </c>
      <c r="E1482">
        <v>5618537702</v>
      </c>
      <c r="F1482" t="s">
        <v>870</v>
      </c>
      <c r="G1482" t="s">
        <v>871</v>
      </c>
      <c r="I1482" t="s">
        <v>872</v>
      </c>
      <c r="J1482" s="13">
        <v>45964</v>
      </c>
      <c r="K1482" s="13">
        <v>46023</v>
      </c>
      <c r="L1482" t="s">
        <v>497</v>
      </c>
      <c r="M1482" t="s">
        <v>56</v>
      </c>
      <c r="N1482">
        <v>71427595</v>
      </c>
    </row>
    <row r="1483" spans="1:14" x14ac:dyDescent="0.25">
      <c r="A1483">
        <v>57776228</v>
      </c>
      <c r="B1483" t="s">
        <v>4039</v>
      </c>
      <c r="C1483" t="s">
        <v>3892</v>
      </c>
      <c r="D1483" t="s">
        <v>4040</v>
      </c>
      <c r="E1483">
        <v>7209799826</v>
      </c>
      <c r="F1483" t="s">
        <v>474</v>
      </c>
      <c r="G1483" t="s">
        <v>475</v>
      </c>
      <c r="I1483" t="s">
        <v>132</v>
      </c>
      <c r="J1483" s="13">
        <v>45964</v>
      </c>
      <c r="K1483" s="13">
        <v>46023</v>
      </c>
      <c r="L1483" t="s">
        <v>539</v>
      </c>
      <c r="M1483" t="s">
        <v>59</v>
      </c>
      <c r="N1483">
        <v>71427612</v>
      </c>
    </row>
    <row r="1484" spans="1:14" x14ac:dyDescent="0.25">
      <c r="A1484">
        <v>57776291</v>
      </c>
      <c r="B1484" t="s">
        <v>879</v>
      </c>
      <c r="C1484" t="s">
        <v>4041</v>
      </c>
      <c r="D1484" t="s">
        <v>4042</v>
      </c>
      <c r="E1484">
        <v>7472307319</v>
      </c>
      <c r="F1484" t="s">
        <v>649</v>
      </c>
      <c r="G1484" t="s">
        <v>650</v>
      </c>
      <c r="I1484" t="s">
        <v>28</v>
      </c>
      <c r="J1484" s="13">
        <v>45964</v>
      </c>
      <c r="K1484" s="13">
        <v>46023</v>
      </c>
      <c r="L1484" t="s">
        <v>1188</v>
      </c>
      <c r="M1484" t="s">
        <v>60</v>
      </c>
      <c r="N1484">
        <v>71427663</v>
      </c>
    </row>
    <row r="1485" spans="1:14" x14ac:dyDescent="0.25">
      <c r="A1485">
        <v>57776372</v>
      </c>
      <c r="B1485" t="s">
        <v>1208</v>
      </c>
      <c r="C1485" t="s">
        <v>4043</v>
      </c>
      <c r="D1485" t="s">
        <v>4044</v>
      </c>
      <c r="E1485">
        <v>7863574355</v>
      </c>
      <c r="F1485" t="s">
        <v>775</v>
      </c>
      <c r="G1485" t="s">
        <v>776</v>
      </c>
      <c r="I1485" t="s">
        <v>22</v>
      </c>
      <c r="J1485" s="13">
        <v>45964</v>
      </c>
      <c r="K1485" s="13">
        <v>46023</v>
      </c>
      <c r="L1485" t="s">
        <v>497</v>
      </c>
      <c r="M1485" t="s">
        <v>59</v>
      </c>
      <c r="N1485">
        <v>71427735</v>
      </c>
    </row>
    <row r="1486" spans="1:14" x14ac:dyDescent="0.25">
      <c r="A1486">
        <v>57778642</v>
      </c>
      <c r="B1486" t="s">
        <v>730</v>
      </c>
      <c r="C1486" t="s">
        <v>2544</v>
      </c>
      <c r="D1486" t="s">
        <v>4045</v>
      </c>
      <c r="E1486">
        <v>3176799739</v>
      </c>
      <c r="F1486" t="s">
        <v>790</v>
      </c>
      <c r="G1486" t="s">
        <v>791</v>
      </c>
      <c r="I1486" t="s">
        <v>119</v>
      </c>
      <c r="J1486" s="13">
        <v>45964</v>
      </c>
      <c r="K1486" s="13">
        <v>46023</v>
      </c>
      <c r="L1486" t="s">
        <v>440</v>
      </c>
      <c r="M1486" t="s">
        <v>61</v>
      </c>
      <c r="N1486">
        <v>71429132</v>
      </c>
    </row>
    <row r="1487" spans="1:14" x14ac:dyDescent="0.25">
      <c r="A1487">
        <v>57779098</v>
      </c>
      <c r="B1487" t="s">
        <v>1185</v>
      </c>
      <c r="C1487" t="s">
        <v>4046</v>
      </c>
      <c r="D1487" t="s">
        <v>4047</v>
      </c>
      <c r="E1487">
        <v>8705503469</v>
      </c>
      <c r="F1487" t="s">
        <v>957</v>
      </c>
      <c r="G1487" t="s">
        <v>958</v>
      </c>
      <c r="H1487" t="s">
        <v>959</v>
      </c>
      <c r="I1487" t="s">
        <v>960</v>
      </c>
      <c r="J1487" s="13">
        <v>45964</v>
      </c>
      <c r="K1487" s="13">
        <v>46023</v>
      </c>
      <c r="L1487" t="s">
        <v>553</v>
      </c>
      <c r="M1487" t="s">
        <v>56</v>
      </c>
      <c r="N1487">
        <v>71429336</v>
      </c>
    </row>
    <row r="1488" spans="1:14" x14ac:dyDescent="0.25">
      <c r="A1488">
        <v>57779177</v>
      </c>
      <c r="B1488" t="s">
        <v>1789</v>
      </c>
      <c r="C1488" t="s">
        <v>4048</v>
      </c>
      <c r="D1488" t="s">
        <v>4049</v>
      </c>
      <c r="E1488">
        <v>7576191906</v>
      </c>
      <c r="F1488" t="s">
        <v>684</v>
      </c>
      <c r="G1488" t="s">
        <v>685</v>
      </c>
      <c r="I1488" t="s">
        <v>686</v>
      </c>
      <c r="J1488" s="13">
        <v>45964</v>
      </c>
      <c r="K1488" s="13">
        <v>46023</v>
      </c>
      <c r="L1488" t="s">
        <v>454</v>
      </c>
      <c r="M1488" t="s">
        <v>56</v>
      </c>
      <c r="N1488">
        <v>71429456</v>
      </c>
    </row>
    <row r="1489" spans="1:14" x14ac:dyDescent="0.25">
      <c r="A1489">
        <v>57779455</v>
      </c>
      <c r="B1489" t="s">
        <v>522</v>
      </c>
      <c r="C1489" t="s">
        <v>4050</v>
      </c>
      <c r="D1489" t="s">
        <v>4051</v>
      </c>
      <c r="E1489">
        <v>5619271033</v>
      </c>
      <c r="F1489" t="s">
        <v>766</v>
      </c>
      <c r="G1489" t="s">
        <v>767</v>
      </c>
      <c r="I1489" t="s">
        <v>88</v>
      </c>
      <c r="J1489" s="13">
        <v>45964</v>
      </c>
      <c r="K1489" s="13">
        <v>46023</v>
      </c>
      <c r="L1489" t="s">
        <v>497</v>
      </c>
      <c r="M1489" t="s">
        <v>54</v>
      </c>
      <c r="N1489">
        <v>71429681</v>
      </c>
    </row>
    <row r="1490" spans="1:14" x14ac:dyDescent="0.25">
      <c r="A1490">
        <v>57779601</v>
      </c>
      <c r="B1490" t="s">
        <v>2019</v>
      </c>
      <c r="C1490" t="s">
        <v>4052</v>
      </c>
      <c r="D1490" t="s">
        <v>4053</v>
      </c>
      <c r="E1490">
        <v>8723017206</v>
      </c>
      <c r="F1490" t="s">
        <v>462</v>
      </c>
      <c r="G1490" t="s">
        <v>463</v>
      </c>
      <c r="I1490" t="s">
        <v>39</v>
      </c>
      <c r="J1490" s="13">
        <v>45964</v>
      </c>
      <c r="K1490" s="13">
        <v>46023</v>
      </c>
      <c r="L1490" t="s">
        <v>470</v>
      </c>
      <c r="M1490" t="s">
        <v>56</v>
      </c>
      <c r="N1490">
        <v>71429736</v>
      </c>
    </row>
    <row r="1491" spans="1:14" x14ac:dyDescent="0.25">
      <c r="A1491">
        <v>57782015</v>
      </c>
      <c r="B1491" t="s">
        <v>691</v>
      </c>
      <c r="C1491" t="s">
        <v>4054</v>
      </c>
      <c r="D1491" t="s">
        <v>4055</v>
      </c>
      <c r="E1491">
        <v>5017642827</v>
      </c>
      <c r="F1491" t="s">
        <v>1003</v>
      </c>
      <c r="G1491" t="s">
        <v>1004</v>
      </c>
      <c r="I1491" t="s">
        <v>89</v>
      </c>
      <c r="J1491" s="13">
        <v>45964</v>
      </c>
      <c r="K1491" s="13">
        <v>46023</v>
      </c>
      <c r="L1491" t="s">
        <v>553</v>
      </c>
      <c r="M1491" t="s">
        <v>61</v>
      </c>
      <c r="N1491">
        <v>71431190</v>
      </c>
    </row>
    <row r="1492" spans="1:14" x14ac:dyDescent="0.25">
      <c r="A1492">
        <v>57782522</v>
      </c>
      <c r="B1492" t="s">
        <v>4056</v>
      </c>
      <c r="C1492" t="s">
        <v>4057</v>
      </c>
      <c r="D1492" t="s">
        <v>4058</v>
      </c>
      <c r="E1492">
        <v>3347570719</v>
      </c>
      <c r="F1492" t="s">
        <v>693</v>
      </c>
      <c r="G1492" t="s">
        <v>694</v>
      </c>
      <c r="I1492" t="s">
        <v>103</v>
      </c>
      <c r="J1492" s="13">
        <v>45964</v>
      </c>
      <c r="K1492" s="13">
        <v>46023</v>
      </c>
      <c r="L1492" t="s">
        <v>450</v>
      </c>
      <c r="M1492" t="s">
        <v>56</v>
      </c>
      <c r="N1492">
        <v>71431988</v>
      </c>
    </row>
    <row r="1493" spans="1:14" x14ac:dyDescent="0.25">
      <c r="A1493">
        <v>57782584</v>
      </c>
      <c r="B1493" t="s">
        <v>1772</v>
      </c>
      <c r="C1493" t="s">
        <v>4059</v>
      </c>
      <c r="D1493" t="s">
        <v>4060</v>
      </c>
      <c r="E1493">
        <v>3042889390</v>
      </c>
      <c r="F1493" t="s">
        <v>448</v>
      </c>
      <c r="G1493" t="s">
        <v>449</v>
      </c>
      <c r="I1493" t="s">
        <v>31</v>
      </c>
      <c r="J1493" s="13">
        <v>45964</v>
      </c>
      <c r="K1493" s="13">
        <v>46023</v>
      </c>
      <c r="L1493" t="s">
        <v>1188</v>
      </c>
      <c r="M1493" t="s">
        <v>56</v>
      </c>
      <c r="N1493">
        <v>71432119</v>
      </c>
    </row>
    <row r="1494" spans="1:14" x14ac:dyDescent="0.25">
      <c r="A1494">
        <v>57787217</v>
      </c>
      <c r="B1494" t="s">
        <v>1784</v>
      </c>
      <c r="C1494" t="s">
        <v>4061</v>
      </c>
      <c r="D1494" t="s">
        <v>4062</v>
      </c>
      <c r="E1494">
        <v>8645332087</v>
      </c>
      <c r="F1494" t="s">
        <v>957</v>
      </c>
      <c r="G1494" t="s">
        <v>958</v>
      </c>
      <c r="H1494" t="s">
        <v>959</v>
      </c>
      <c r="I1494" t="s">
        <v>960</v>
      </c>
      <c r="J1494" s="13">
        <v>45964</v>
      </c>
      <c r="K1494" s="13">
        <v>46023</v>
      </c>
      <c r="L1494" t="s">
        <v>533</v>
      </c>
      <c r="M1494" t="s">
        <v>59</v>
      </c>
      <c r="N1494">
        <v>71436561</v>
      </c>
    </row>
    <row r="1495" spans="1:14" x14ac:dyDescent="0.25">
      <c r="A1495">
        <v>57785341</v>
      </c>
      <c r="B1495" t="s">
        <v>1167</v>
      </c>
      <c r="C1495" t="s">
        <v>4063</v>
      </c>
      <c r="D1495" t="s">
        <v>4064</v>
      </c>
      <c r="E1495">
        <v>2072656193</v>
      </c>
      <c r="F1495" t="s">
        <v>1142</v>
      </c>
      <c r="G1495" t="s">
        <v>1143</v>
      </c>
      <c r="I1495" t="s">
        <v>124</v>
      </c>
      <c r="J1495" s="13">
        <v>45964</v>
      </c>
      <c r="K1495" s="13">
        <v>46023</v>
      </c>
      <c r="L1495" t="s">
        <v>941</v>
      </c>
      <c r="M1495" t="s">
        <v>61</v>
      </c>
      <c r="N1495">
        <v>71436575</v>
      </c>
    </row>
    <row r="1496" spans="1:14" x14ac:dyDescent="0.25">
      <c r="A1496">
        <v>57785487</v>
      </c>
      <c r="B1496" t="s">
        <v>517</v>
      </c>
      <c r="C1496" t="s">
        <v>4065</v>
      </c>
      <c r="D1496" t="s">
        <v>4066</v>
      </c>
      <c r="E1496">
        <v>4044539186</v>
      </c>
      <c r="F1496" t="s">
        <v>1398</v>
      </c>
      <c r="G1496" t="s">
        <v>1399</v>
      </c>
      <c r="I1496" t="s">
        <v>1400</v>
      </c>
      <c r="J1496" s="13">
        <v>45964</v>
      </c>
      <c r="K1496" s="13">
        <v>46023</v>
      </c>
      <c r="L1496" t="s">
        <v>621</v>
      </c>
      <c r="M1496" t="s">
        <v>59</v>
      </c>
      <c r="N1496">
        <v>71436623</v>
      </c>
    </row>
    <row r="1497" spans="1:14" x14ac:dyDescent="0.25">
      <c r="A1497">
        <v>57785502</v>
      </c>
      <c r="B1497" t="s">
        <v>517</v>
      </c>
      <c r="C1497" t="s">
        <v>4067</v>
      </c>
      <c r="D1497" t="s">
        <v>4068</v>
      </c>
      <c r="E1497">
        <v>4073756818</v>
      </c>
      <c r="F1497" t="s">
        <v>628</v>
      </c>
      <c r="G1497" t="s">
        <v>629</v>
      </c>
      <c r="I1497" t="s">
        <v>24</v>
      </c>
      <c r="J1497" s="13">
        <v>45964</v>
      </c>
      <c r="K1497" s="13">
        <v>46023</v>
      </c>
      <c r="L1497" t="s">
        <v>497</v>
      </c>
      <c r="M1497" t="s">
        <v>55</v>
      </c>
      <c r="N1497">
        <v>71436666</v>
      </c>
    </row>
    <row r="1498" spans="1:14" x14ac:dyDescent="0.25">
      <c r="A1498">
        <v>57785612</v>
      </c>
      <c r="B1498" t="s">
        <v>724</v>
      </c>
      <c r="C1498" t="s">
        <v>4069</v>
      </c>
      <c r="D1498" t="s">
        <v>4070</v>
      </c>
      <c r="E1498">
        <v>8632659550</v>
      </c>
      <c r="F1498" t="s">
        <v>474</v>
      </c>
      <c r="G1498" t="s">
        <v>475</v>
      </c>
      <c r="I1498" t="s">
        <v>132</v>
      </c>
      <c r="J1498" s="13">
        <v>45964</v>
      </c>
      <c r="K1498" s="13">
        <v>46023</v>
      </c>
      <c r="L1498" t="s">
        <v>497</v>
      </c>
      <c r="M1498" t="s">
        <v>56</v>
      </c>
      <c r="N1498">
        <v>71436755</v>
      </c>
    </row>
    <row r="1499" spans="1:14" x14ac:dyDescent="0.25">
      <c r="A1499">
        <v>57785745</v>
      </c>
      <c r="B1499" t="s">
        <v>445</v>
      </c>
      <c r="C1499" t="s">
        <v>2175</v>
      </c>
      <c r="D1499" t="s">
        <v>4071</v>
      </c>
      <c r="E1499" t="s">
        <v>4072</v>
      </c>
      <c r="F1499" t="s">
        <v>815</v>
      </c>
      <c r="G1499" t="s">
        <v>816</v>
      </c>
      <c r="I1499" t="s">
        <v>23</v>
      </c>
      <c r="J1499" s="13">
        <v>45964</v>
      </c>
      <c r="K1499" s="13">
        <v>46023</v>
      </c>
      <c r="L1499" t="s">
        <v>454</v>
      </c>
      <c r="M1499" t="s">
        <v>56</v>
      </c>
      <c r="N1499">
        <v>71436858</v>
      </c>
    </row>
    <row r="1500" spans="1:14" x14ac:dyDescent="0.25">
      <c r="A1500">
        <v>57786281</v>
      </c>
      <c r="B1500" t="s">
        <v>1540</v>
      </c>
      <c r="C1500" t="s">
        <v>4073</v>
      </c>
      <c r="D1500" t="s">
        <v>4074</v>
      </c>
      <c r="E1500">
        <v>4172607507</v>
      </c>
      <c r="F1500" t="s">
        <v>649</v>
      </c>
      <c r="G1500" t="s">
        <v>650</v>
      </c>
      <c r="I1500" t="s">
        <v>28</v>
      </c>
      <c r="J1500" s="13">
        <v>45964</v>
      </c>
      <c r="K1500" s="13">
        <v>46023</v>
      </c>
      <c r="L1500" t="s">
        <v>434</v>
      </c>
      <c r="M1500" t="s">
        <v>58</v>
      </c>
      <c r="N1500">
        <v>71437241</v>
      </c>
    </row>
    <row r="1501" spans="1:14" x14ac:dyDescent="0.25">
      <c r="A1501">
        <v>57786568</v>
      </c>
      <c r="B1501" t="s">
        <v>4075</v>
      </c>
      <c r="C1501" t="s">
        <v>4076</v>
      </c>
      <c r="D1501" t="s">
        <v>4077</v>
      </c>
      <c r="E1501">
        <v>7863392787</v>
      </c>
      <c r="F1501" t="s">
        <v>1345</v>
      </c>
      <c r="G1501" t="s">
        <v>799</v>
      </c>
      <c r="I1501" t="s">
        <v>47</v>
      </c>
      <c r="J1501" s="13">
        <v>45964</v>
      </c>
      <c r="K1501" s="13">
        <v>46023</v>
      </c>
      <c r="L1501" t="s">
        <v>497</v>
      </c>
      <c r="M1501" t="s">
        <v>59</v>
      </c>
      <c r="N1501">
        <v>71437396</v>
      </c>
    </row>
    <row r="1502" spans="1:14" x14ac:dyDescent="0.25">
      <c r="A1502">
        <v>57787731</v>
      </c>
      <c r="B1502" t="s">
        <v>501</v>
      </c>
      <c r="C1502" t="s">
        <v>4078</v>
      </c>
      <c r="D1502" t="s">
        <v>4079</v>
      </c>
      <c r="E1502">
        <v>9412741293</v>
      </c>
      <c r="F1502" t="s">
        <v>423</v>
      </c>
      <c r="G1502" t="s">
        <v>424</v>
      </c>
      <c r="I1502" t="s">
        <v>46</v>
      </c>
      <c r="J1502" s="13">
        <v>45964</v>
      </c>
      <c r="K1502" s="13">
        <v>46023</v>
      </c>
      <c r="L1502" t="s">
        <v>497</v>
      </c>
      <c r="M1502" t="s">
        <v>56</v>
      </c>
      <c r="N1502">
        <v>71437576</v>
      </c>
    </row>
    <row r="1503" spans="1:14" x14ac:dyDescent="0.25">
      <c r="A1503">
        <v>57787807</v>
      </c>
      <c r="B1503" t="s">
        <v>4080</v>
      </c>
      <c r="C1503" t="s">
        <v>4081</v>
      </c>
      <c r="D1503" t="s">
        <v>4082</v>
      </c>
      <c r="E1503">
        <v>2816506736</v>
      </c>
      <c r="F1503" t="s">
        <v>842</v>
      </c>
      <c r="G1503" t="s">
        <v>843</v>
      </c>
      <c r="I1503" t="s">
        <v>98</v>
      </c>
      <c r="J1503" s="13">
        <v>45964</v>
      </c>
      <c r="K1503" s="13">
        <v>46023</v>
      </c>
      <c r="L1503" t="s">
        <v>444</v>
      </c>
      <c r="M1503" t="s">
        <v>58</v>
      </c>
      <c r="N1503">
        <v>71438198</v>
      </c>
    </row>
    <row r="1504" spans="1:14" x14ac:dyDescent="0.25">
      <c r="A1504">
        <v>57788738</v>
      </c>
      <c r="B1504" t="s">
        <v>2099</v>
      </c>
      <c r="C1504" t="s">
        <v>4083</v>
      </c>
      <c r="D1504" t="s">
        <v>4084</v>
      </c>
      <c r="E1504">
        <v>9045665623</v>
      </c>
      <c r="F1504" t="s">
        <v>416</v>
      </c>
      <c r="G1504" t="s">
        <v>417</v>
      </c>
      <c r="I1504" t="s">
        <v>26</v>
      </c>
      <c r="J1504" s="13">
        <v>45964</v>
      </c>
      <c r="K1504" s="13">
        <v>46023</v>
      </c>
      <c r="L1504" t="s">
        <v>497</v>
      </c>
      <c r="M1504" t="s">
        <v>54</v>
      </c>
      <c r="N1504">
        <v>71438724</v>
      </c>
    </row>
    <row r="1505" spans="1:14" x14ac:dyDescent="0.25">
      <c r="A1505">
        <v>57789160</v>
      </c>
      <c r="B1505" t="s">
        <v>4085</v>
      </c>
      <c r="C1505" t="s">
        <v>4086</v>
      </c>
      <c r="D1505" t="s">
        <v>4087</v>
      </c>
      <c r="E1505">
        <v>3052991748</v>
      </c>
      <c r="F1505" t="s">
        <v>807</v>
      </c>
      <c r="G1505" t="s">
        <v>808</v>
      </c>
      <c r="I1505" t="s">
        <v>33</v>
      </c>
      <c r="J1505" s="13">
        <v>45964</v>
      </c>
      <c r="K1505" s="13">
        <v>46023</v>
      </c>
      <c r="L1505" t="s">
        <v>497</v>
      </c>
      <c r="M1505" t="s">
        <v>54</v>
      </c>
      <c r="N1505">
        <v>71439112</v>
      </c>
    </row>
    <row r="1506" spans="1:14" x14ac:dyDescent="0.25">
      <c r="A1506">
        <v>57790500</v>
      </c>
      <c r="B1506" t="s">
        <v>2263</v>
      </c>
      <c r="C1506" t="s">
        <v>873</v>
      </c>
      <c r="D1506" t="s">
        <v>4088</v>
      </c>
      <c r="E1506">
        <v>9044221777</v>
      </c>
      <c r="F1506" t="s">
        <v>775</v>
      </c>
      <c r="G1506" t="s">
        <v>776</v>
      </c>
      <c r="I1506" t="s">
        <v>22</v>
      </c>
      <c r="J1506" s="13">
        <v>45964</v>
      </c>
      <c r="K1506" s="13">
        <v>46023</v>
      </c>
      <c r="L1506" t="s">
        <v>1179</v>
      </c>
      <c r="M1506" t="s">
        <v>54</v>
      </c>
      <c r="N1506">
        <v>71439741</v>
      </c>
    </row>
    <row r="1507" spans="1:14" x14ac:dyDescent="0.25">
      <c r="A1507">
        <v>57792271</v>
      </c>
      <c r="B1507" t="s">
        <v>2947</v>
      </c>
      <c r="C1507" t="s">
        <v>4089</v>
      </c>
      <c r="D1507" t="s">
        <v>4090</v>
      </c>
      <c r="E1507">
        <v>9546573495</v>
      </c>
      <c r="F1507" t="s">
        <v>766</v>
      </c>
      <c r="G1507" t="s">
        <v>767</v>
      </c>
      <c r="I1507" t="s">
        <v>88</v>
      </c>
      <c r="J1507" s="13">
        <v>45964</v>
      </c>
      <c r="K1507" s="13">
        <v>46023</v>
      </c>
      <c r="L1507" t="s">
        <v>497</v>
      </c>
      <c r="M1507" t="s">
        <v>54</v>
      </c>
      <c r="N1507">
        <v>71440951</v>
      </c>
    </row>
    <row r="1508" spans="1:14" x14ac:dyDescent="0.25">
      <c r="A1508">
        <v>60371889</v>
      </c>
      <c r="B1508" t="s">
        <v>4091</v>
      </c>
      <c r="C1508" t="s">
        <v>2291</v>
      </c>
      <c r="D1508" t="s">
        <v>4092</v>
      </c>
      <c r="E1508">
        <v>7862174610</v>
      </c>
      <c r="F1508" t="s">
        <v>828</v>
      </c>
      <c r="G1508" t="s">
        <v>1148</v>
      </c>
      <c r="I1508" t="s">
        <v>17</v>
      </c>
      <c r="J1508" s="13">
        <v>46062</v>
      </c>
      <c r="K1508" s="13">
        <v>46082</v>
      </c>
      <c r="L1508" t="s">
        <v>497</v>
      </c>
      <c r="M1508" t="s">
        <v>58</v>
      </c>
      <c r="N1508">
        <v>71443807</v>
      </c>
    </row>
    <row r="1509" spans="1:14" x14ac:dyDescent="0.25">
      <c r="A1509">
        <v>57797544</v>
      </c>
      <c r="B1509" t="s">
        <v>1784</v>
      </c>
      <c r="C1509" t="s">
        <v>4093</v>
      </c>
      <c r="D1509" t="s">
        <v>4094</v>
      </c>
      <c r="E1509">
        <v>3144374332</v>
      </c>
      <c r="F1509" t="s">
        <v>551</v>
      </c>
      <c r="G1509" t="s">
        <v>552</v>
      </c>
      <c r="I1509" t="s">
        <v>42</v>
      </c>
      <c r="J1509" s="13">
        <v>45964</v>
      </c>
      <c r="K1509" s="13">
        <v>46023</v>
      </c>
      <c r="L1509" t="s">
        <v>434</v>
      </c>
      <c r="M1509" t="s">
        <v>60</v>
      </c>
      <c r="N1509">
        <v>71444191</v>
      </c>
    </row>
    <row r="1510" spans="1:14" x14ac:dyDescent="0.25">
      <c r="A1510">
        <v>57799257</v>
      </c>
      <c r="B1510" t="s">
        <v>1941</v>
      </c>
      <c r="C1510" t="s">
        <v>4095</v>
      </c>
      <c r="D1510" t="s">
        <v>4096</v>
      </c>
      <c r="E1510">
        <v>4698626377</v>
      </c>
      <c r="F1510" t="s">
        <v>790</v>
      </c>
      <c r="G1510" t="s">
        <v>791</v>
      </c>
      <c r="I1510" t="s">
        <v>119</v>
      </c>
      <c r="J1510" s="13">
        <v>45964</v>
      </c>
      <c r="K1510" s="13">
        <v>46023</v>
      </c>
      <c r="L1510" t="s">
        <v>444</v>
      </c>
      <c r="M1510" t="s">
        <v>58</v>
      </c>
      <c r="N1510">
        <v>71444225</v>
      </c>
    </row>
    <row r="1511" spans="1:14" x14ac:dyDescent="0.25">
      <c r="A1511">
        <v>57798011</v>
      </c>
      <c r="B1511" t="s">
        <v>651</v>
      </c>
      <c r="C1511" t="s">
        <v>4097</v>
      </c>
      <c r="D1511" t="s">
        <v>4098</v>
      </c>
      <c r="E1511">
        <v>4802295071</v>
      </c>
      <c r="F1511" t="s">
        <v>462</v>
      </c>
      <c r="G1511" t="s">
        <v>463</v>
      </c>
      <c r="I1511" t="s">
        <v>39</v>
      </c>
      <c r="J1511" s="13">
        <v>45964</v>
      </c>
      <c r="K1511" s="13">
        <v>46023</v>
      </c>
      <c r="L1511" t="s">
        <v>1179</v>
      </c>
      <c r="M1511" t="s">
        <v>54</v>
      </c>
      <c r="N1511">
        <v>71444655</v>
      </c>
    </row>
    <row r="1512" spans="1:14" x14ac:dyDescent="0.25">
      <c r="A1512">
        <v>57798127</v>
      </c>
      <c r="B1512" t="s">
        <v>4099</v>
      </c>
      <c r="C1512" t="s">
        <v>4100</v>
      </c>
      <c r="D1512" t="s">
        <v>4101</v>
      </c>
      <c r="E1512">
        <v>7575091022</v>
      </c>
      <c r="F1512" t="s">
        <v>828</v>
      </c>
      <c r="G1512" t="s">
        <v>1148</v>
      </c>
      <c r="I1512" t="s">
        <v>17</v>
      </c>
      <c r="J1512" s="13">
        <v>45964</v>
      </c>
      <c r="K1512" s="13">
        <v>46023</v>
      </c>
      <c r="L1512" t="s">
        <v>454</v>
      </c>
      <c r="M1512" t="s">
        <v>56</v>
      </c>
      <c r="N1512">
        <v>71444732</v>
      </c>
    </row>
    <row r="1513" spans="1:14" x14ac:dyDescent="0.25">
      <c r="A1513">
        <v>57800415</v>
      </c>
      <c r="B1513" t="s">
        <v>4102</v>
      </c>
      <c r="C1513" t="s">
        <v>4103</v>
      </c>
      <c r="D1513" t="s">
        <v>4104</v>
      </c>
      <c r="E1513">
        <v>3143961213</v>
      </c>
      <c r="F1513" t="s">
        <v>842</v>
      </c>
      <c r="G1513" t="s">
        <v>843</v>
      </c>
      <c r="I1513" t="s">
        <v>98</v>
      </c>
      <c r="J1513" s="13">
        <v>45964</v>
      </c>
      <c r="K1513" s="13">
        <v>46023</v>
      </c>
      <c r="L1513" t="s">
        <v>434</v>
      </c>
      <c r="M1513" t="s">
        <v>61</v>
      </c>
      <c r="N1513">
        <v>71446545</v>
      </c>
    </row>
    <row r="1514" spans="1:14" x14ac:dyDescent="0.25">
      <c r="A1514">
        <v>57800847</v>
      </c>
      <c r="B1514" t="s">
        <v>1286</v>
      </c>
      <c r="C1514" t="s">
        <v>655</v>
      </c>
      <c r="D1514" t="s">
        <v>4105</v>
      </c>
      <c r="E1514">
        <v>6027031576</v>
      </c>
      <c r="F1514" t="s">
        <v>842</v>
      </c>
      <c r="G1514" t="s">
        <v>1213</v>
      </c>
      <c r="I1514" t="s">
        <v>1214</v>
      </c>
      <c r="J1514" s="13">
        <v>45964</v>
      </c>
      <c r="K1514" s="13">
        <v>46023</v>
      </c>
      <c r="L1514" t="s">
        <v>1179</v>
      </c>
      <c r="M1514" t="s">
        <v>54</v>
      </c>
      <c r="N1514">
        <v>71446819</v>
      </c>
    </row>
    <row r="1515" spans="1:14" x14ac:dyDescent="0.25">
      <c r="A1515">
        <v>57801622</v>
      </c>
      <c r="B1515" t="s">
        <v>4106</v>
      </c>
      <c r="C1515" t="s">
        <v>4107</v>
      </c>
      <c r="D1515" t="s">
        <v>4108</v>
      </c>
      <c r="E1515">
        <v>3347108047</v>
      </c>
      <c r="F1515" t="s">
        <v>693</v>
      </c>
      <c r="G1515" t="s">
        <v>694</v>
      </c>
      <c r="I1515" t="s">
        <v>103</v>
      </c>
      <c r="J1515" s="13">
        <v>45964</v>
      </c>
      <c r="K1515" s="13">
        <v>46023</v>
      </c>
      <c r="L1515" t="s">
        <v>450</v>
      </c>
      <c r="M1515" t="s">
        <v>59</v>
      </c>
      <c r="N1515">
        <v>71447405</v>
      </c>
    </row>
    <row r="1516" spans="1:14" x14ac:dyDescent="0.25">
      <c r="A1516">
        <v>57803124</v>
      </c>
      <c r="B1516" t="s">
        <v>888</v>
      </c>
      <c r="C1516" t="s">
        <v>1258</v>
      </c>
      <c r="D1516" t="s">
        <v>4109</v>
      </c>
      <c r="E1516">
        <v>9042341577</v>
      </c>
      <c r="F1516" t="s">
        <v>569</v>
      </c>
      <c r="G1516" t="s">
        <v>570</v>
      </c>
      <c r="I1516" t="s">
        <v>34</v>
      </c>
      <c r="J1516" s="13">
        <v>45964</v>
      </c>
      <c r="K1516" s="13">
        <v>46023</v>
      </c>
      <c r="L1516" t="s">
        <v>603</v>
      </c>
      <c r="M1516" t="s">
        <v>56</v>
      </c>
      <c r="N1516">
        <v>71448559</v>
      </c>
    </row>
    <row r="1517" spans="1:14" x14ac:dyDescent="0.25">
      <c r="A1517">
        <v>57803258</v>
      </c>
      <c r="B1517" t="s">
        <v>4110</v>
      </c>
      <c r="C1517" t="s">
        <v>4111</v>
      </c>
      <c r="D1517" t="s">
        <v>4112</v>
      </c>
      <c r="E1517">
        <v>8643163818</v>
      </c>
      <c r="F1517" t="s">
        <v>474</v>
      </c>
      <c r="G1517" t="s">
        <v>475</v>
      </c>
      <c r="I1517" t="s">
        <v>132</v>
      </c>
      <c r="J1517" s="13">
        <v>45964</v>
      </c>
      <c r="K1517" s="13">
        <v>46023</v>
      </c>
      <c r="L1517" t="s">
        <v>533</v>
      </c>
      <c r="M1517" t="s">
        <v>56</v>
      </c>
      <c r="N1517">
        <v>71448694</v>
      </c>
    </row>
    <row r="1518" spans="1:14" x14ac:dyDescent="0.25">
      <c r="A1518">
        <v>57803378</v>
      </c>
      <c r="B1518" t="s">
        <v>1524</v>
      </c>
      <c r="C1518" t="s">
        <v>4113</v>
      </c>
      <c r="D1518" t="s">
        <v>4114</v>
      </c>
      <c r="E1518">
        <v>2052694645</v>
      </c>
      <c r="F1518" t="s">
        <v>705</v>
      </c>
      <c r="G1518" t="s">
        <v>706</v>
      </c>
      <c r="I1518" t="s">
        <v>12</v>
      </c>
      <c r="J1518" s="13">
        <v>45964</v>
      </c>
      <c r="K1518" s="13">
        <v>46023</v>
      </c>
      <c r="L1518" t="s">
        <v>450</v>
      </c>
      <c r="M1518" t="s">
        <v>59</v>
      </c>
      <c r="N1518">
        <v>71448811</v>
      </c>
    </row>
    <row r="1519" spans="1:14" x14ac:dyDescent="0.25">
      <c r="A1519">
        <v>57803416</v>
      </c>
      <c r="B1519" t="s">
        <v>1941</v>
      </c>
      <c r="C1519" t="s">
        <v>4115</v>
      </c>
      <c r="D1519" t="s">
        <v>4116</v>
      </c>
      <c r="E1519">
        <v>7543162360</v>
      </c>
      <c r="F1519" t="s">
        <v>815</v>
      </c>
      <c r="G1519" t="s">
        <v>816</v>
      </c>
      <c r="I1519" t="s">
        <v>23</v>
      </c>
      <c r="J1519" s="13">
        <v>45964</v>
      </c>
      <c r="K1519" s="13">
        <v>46023</v>
      </c>
      <c r="L1519" t="s">
        <v>497</v>
      </c>
      <c r="M1519" t="s">
        <v>59</v>
      </c>
      <c r="N1519">
        <v>71448848</v>
      </c>
    </row>
    <row r="1520" spans="1:14" x14ac:dyDescent="0.25">
      <c r="A1520">
        <v>57804032</v>
      </c>
      <c r="B1520" t="s">
        <v>4117</v>
      </c>
      <c r="C1520" t="s">
        <v>4118</v>
      </c>
      <c r="D1520" t="s">
        <v>4119</v>
      </c>
      <c r="E1520">
        <v>2709704997</v>
      </c>
      <c r="F1520" t="s">
        <v>615</v>
      </c>
      <c r="G1520" t="s">
        <v>616</v>
      </c>
      <c r="I1520" t="s">
        <v>617</v>
      </c>
      <c r="J1520" s="13">
        <v>45964</v>
      </c>
      <c r="K1520" s="13">
        <v>46023</v>
      </c>
      <c r="L1520" t="s">
        <v>490</v>
      </c>
      <c r="M1520" t="s">
        <v>61</v>
      </c>
      <c r="N1520">
        <v>71449440</v>
      </c>
    </row>
    <row r="1521" spans="1:14" x14ac:dyDescent="0.25">
      <c r="A1521">
        <v>57804294</v>
      </c>
      <c r="B1521" t="s">
        <v>4120</v>
      </c>
      <c r="C1521" t="s">
        <v>4021</v>
      </c>
      <c r="D1521" t="s">
        <v>4121</v>
      </c>
      <c r="E1521">
        <v>5205309738</v>
      </c>
      <c r="F1521" t="s">
        <v>416</v>
      </c>
      <c r="G1521" t="s">
        <v>417</v>
      </c>
      <c r="I1521" t="s">
        <v>26</v>
      </c>
      <c r="J1521" s="13">
        <v>45964</v>
      </c>
      <c r="K1521" s="13">
        <v>46023</v>
      </c>
      <c r="L1521" t="s">
        <v>1179</v>
      </c>
      <c r="M1521" t="s">
        <v>54</v>
      </c>
      <c r="N1521">
        <v>71449602</v>
      </c>
    </row>
    <row r="1522" spans="1:14" x14ac:dyDescent="0.25">
      <c r="A1522">
        <v>57809548</v>
      </c>
      <c r="B1522" t="s">
        <v>3699</v>
      </c>
      <c r="C1522" t="s">
        <v>4122</v>
      </c>
      <c r="D1522" t="s">
        <v>4123</v>
      </c>
      <c r="E1522">
        <v>4802035615</v>
      </c>
      <c r="F1522" t="s">
        <v>957</v>
      </c>
      <c r="G1522" t="s">
        <v>958</v>
      </c>
      <c r="H1522" t="s">
        <v>959</v>
      </c>
      <c r="I1522" t="s">
        <v>960</v>
      </c>
      <c r="J1522" s="13">
        <v>45964</v>
      </c>
      <c r="K1522" s="13">
        <v>46023</v>
      </c>
      <c r="L1522" t="s">
        <v>1179</v>
      </c>
      <c r="M1522" t="s">
        <v>58</v>
      </c>
      <c r="N1522">
        <v>71450368</v>
      </c>
    </row>
    <row r="1523" spans="1:14" x14ac:dyDescent="0.25">
      <c r="A1523">
        <v>57807446</v>
      </c>
      <c r="B1523" t="s">
        <v>1789</v>
      </c>
      <c r="C1523" t="s">
        <v>4124</v>
      </c>
      <c r="D1523" t="s">
        <v>4125</v>
      </c>
      <c r="E1523">
        <v>2072907433</v>
      </c>
      <c r="F1523" t="s">
        <v>448</v>
      </c>
      <c r="G1523" t="s">
        <v>449</v>
      </c>
      <c r="I1523" t="s">
        <v>31</v>
      </c>
      <c r="J1523" s="13">
        <v>45964</v>
      </c>
      <c r="K1523" s="13">
        <v>46023</v>
      </c>
      <c r="L1523" t="s">
        <v>941</v>
      </c>
      <c r="M1523" t="s">
        <v>419</v>
      </c>
      <c r="N1523">
        <v>71451782</v>
      </c>
    </row>
    <row r="1524" spans="1:14" x14ac:dyDescent="0.25">
      <c r="A1524">
        <v>57807778</v>
      </c>
      <c r="B1524" t="s">
        <v>1515</v>
      </c>
      <c r="C1524" t="s">
        <v>4126</v>
      </c>
      <c r="D1524" t="s">
        <v>4127</v>
      </c>
      <c r="E1524">
        <v>8329103575</v>
      </c>
      <c r="F1524" t="s">
        <v>770</v>
      </c>
      <c r="G1524" t="s">
        <v>771</v>
      </c>
      <c r="I1524" t="s">
        <v>25</v>
      </c>
      <c r="J1524" s="13">
        <v>45964</v>
      </c>
      <c r="K1524" s="13">
        <v>46023</v>
      </c>
      <c r="L1524" t="s">
        <v>444</v>
      </c>
      <c r="M1524" t="s">
        <v>61</v>
      </c>
      <c r="N1524">
        <v>71452021</v>
      </c>
    </row>
    <row r="1525" spans="1:14" x14ac:dyDescent="0.25">
      <c r="A1525">
        <v>57807948</v>
      </c>
      <c r="B1525" t="s">
        <v>4128</v>
      </c>
      <c r="C1525" t="s">
        <v>4129</v>
      </c>
      <c r="D1525" t="s">
        <v>4130</v>
      </c>
      <c r="E1525">
        <v>6028816819</v>
      </c>
      <c r="F1525" t="s">
        <v>766</v>
      </c>
      <c r="G1525" t="s">
        <v>767</v>
      </c>
      <c r="I1525" t="s">
        <v>88</v>
      </c>
      <c r="J1525" s="13">
        <v>45964</v>
      </c>
      <c r="K1525" s="13">
        <v>46023</v>
      </c>
      <c r="L1525" t="s">
        <v>1179</v>
      </c>
      <c r="M1525" t="s">
        <v>55</v>
      </c>
      <c r="N1525">
        <v>71452141</v>
      </c>
    </row>
    <row r="1526" spans="1:14" x14ac:dyDescent="0.25">
      <c r="A1526">
        <v>57808508</v>
      </c>
      <c r="B1526" t="s">
        <v>2490</v>
      </c>
      <c r="C1526" t="s">
        <v>4131</v>
      </c>
      <c r="D1526" t="s">
        <v>4132</v>
      </c>
      <c r="E1526">
        <v>7049025082</v>
      </c>
      <c r="F1526" t="s">
        <v>649</v>
      </c>
      <c r="G1526" t="s">
        <v>650</v>
      </c>
      <c r="I1526" t="s">
        <v>28</v>
      </c>
      <c r="J1526" s="13">
        <v>45964</v>
      </c>
      <c r="K1526" s="13">
        <v>46023</v>
      </c>
      <c r="L1526" t="s">
        <v>603</v>
      </c>
      <c r="M1526" t="s">
        <v>55</v>
      </c>
      <c r="N1526">
        <v>71452508</v>
      </c>
    </row>
    <row r="1527" spans="1:14" x14ac:dyDescent="0.25">
      <c r="A1527">
        <v>57809424</v>
      </c>
      <c r="B1527" t="s">
        <v>4133</v>
      </c>
      <c r="C1527" t="s">
        <v>4134</v>
      </c>
      <c r="D1527" t="s">
        <v>4135</v>
      </c>
      <c r="E1527">
        <v>7542612847</v>
      </c>
      <c r="F1527" t="s">
        <v>551</v>
      </c>
      <c r="G1527" t="s">
        <v>552</v>
      </c>
      <c r="I1527" t="s">
        <v>42</v>
      </c>
      <c r="J1527" s="13">
        <v>45964</v>
      </c>
      <c r="K1527" s="13">
        <v>46023</v>
      </c>
      <c r="L1527" t="s">
        <v>440</v>
      </c>
      <c r="M1527" t="s">
        <v>60</v>
      </c>
      <c r="N1527">
        <v>71453117</v>
      </c>
    </row>
    <row r="1528" spans="1:14" x14ac:dyDescent="0.25">
      <c r="A1528">
        <v>57809673</v>
      </c>
      <c r="B1528" t="s">
        <v>4136</v>
      </c>
      <c r="C1528" t="s">
        <v>4137</v>
      </c>
      <c r="D1528" t="s">
        <v>4138</v>
      </c>
      <c r="E1528">
        <v>8703844561</v>
      </c>
      <c r="F1528" t="s">
        <v>1013</v>
      </c>
      <c r="G1528" t="s">
        <v>1014</v>
      </c>
      <c r="I1528" t="s">
        <v>43</v>
      </c>
      <c r="J1528" s="13">
        <v>45964</v>
      </c>
      <c r="K1528" s="13">
        <v>46023</v>
      </c>
      <c r="L1528" t="s">
        <v>553</v>
      </c>
      <c r="M1528" t="s">
        <v>58</v>
      </c>
      <c r="N1528">
        <v>71453410</v>
      </c>
    </row>
    <row r="1529" spans="1:14" x14ac:dyDescent="0.25">
      <c r="A1529">
        <v>57810106</v>
      </c>
      <c r="B1529" t="s">
        <v>4139</v>
      </c>
      <c r="C1529" t="s">
        <v>2513</v>
      </c>
      <c r="D1529" t="s">
        <v>4140</v>
      </c>
      <c r="E1529">
        <v>7197157919</v>
      </c>
      <c r="F1529" t="s">
        <v>592</v>
      </c>
      <c r="G1529" t="s">
        <v>593</v>
      </c>
      <c r="I1529" t="s">
        <v>115</v>
      </c>
      <c r="J1529" s="13">
        <v>45964</v>
      </c>
      <c r="K1529" s="13">
        <v>46023</v>
      </c>
      <c r="L1529" t="s">
        <v>539</v>
      </c>
      <c r="M1529" t="s">
        <v>56</v>
      </c>
      <c r="N1529">
        <v>71453740</v>
      </c>
    </row>
    <row r="1530" spans="1:14" x14ac:dyDescent="0.25">
      <c r="A1530">
        <v>57810661</v>
      </c>
      <c r="B1530" t="s">
        <v>4141</v>
      </c>
      <c r="C1530" t="s">
        <v>4142</v>
      </c>
      <c r="D1530" t="s">
        <v>4143</v>
      </c>
      <c r="E1530">
        <v>7703166952</v>
      </c>
      <c r="F1530" t="s">
        <v>684</v>
      </c>
      <c r="G1530" t="s">
        <v>685</v>
      </c>
      <c r="I1530" t="s">
        <v>686</v>
      </c>
      <c r="J1530" s="13">
        <v>45964</v>
      </c>
      <c r="K1530" s="13">
        <v>46023</v>
      </c>
      <c r="L1530" t="s">
        <v>621</v>
      </c>
      <c r="M1530" t="s">
        <v>61</v>
      </c>
      <c r="N1530">
        <v>71455304</v>
      </c>
    </row>
    <row r="1531" spans="1:14" x14ac:dyDescent="0.25">
      <c r="A1531">
        <v>57811011</v>
      </c>
      <c r="B1531" t="s">
        <v>2469</v>
      </c>
      <c r="C1531" t="s">
        <v>4144</v>
      </c>
      <c r="D1531" t="s">
        <v>4145</v>
      </c>
      <c r="E1531">
        <v>5615130891</v>
      </c>
      <c r="F1531" t="s">
        <v>807</v>
      </c>
      <c r="G1531" t="s">
        <v>808</v>
      </c>
      <c r="I1531" t="s">
        <v>33</v>
      </c>
      <c r="J1531" s="13">
        <v>45964</v>
      </c>
      <c r="K1531" s="13">
        <v>46023</v>
      </c>
      <c r="L1531" t="s">
        <v>497</v>
      </c>
      <c r="M1531" t="s">
        <v>56</v>
      </c>
      <c r="N1531">
        <v>71455539</v>
      </c>
    </row>
    <row r="1532" spans="1:14" x14ac:dyDescent="0.25">
      <c r="A1532">
        <v>57811724</v>
      </c>
      <c r="B1532" t="s">
        <v>4146</v>
      </c>
      <c r="C1532" t="s">
        <v>4147</v>
      </c>
      <c r="D1532" t="s">
        <v>4148</v>
      </c>
      <c r="E1532">
        <v>9016063561</v>
      </c>
      <c r="F1532" t="s">
        <v>474</v>
      </c>
      <c r="G1532" t="s">
        <v>475</v>
      </c>
      <c r="I1532" t="s">
        <v>132</v>
      </c>
      <c r="J1532" s="13">
        <v>45964</v>
      </c>
      <c r="K1532" s="13">
        <v>46023</v>
      </c>
      <c r="L1532" t="s">
        <v>479</v>
      </c>
      <c r="M1532" t="s">
        <v>58</v>
      </c>
      <c r="N1532">
        <v>71456482</v>
      </c>
    </row>
    <row r="1533" spans="1:14" x14ac:dyDescent="0.25">
      <c r="A1533">
        <v>57811727</v>
      </c>
      <c r="B1533" t="s">
        <v>511</v>
      </c>
      <c r="C1533" t="s">
        <v>515</v>
      </c>
      <c r="D1533" t="s">
        <v>4149</v>
      </c>
      <c r="E1533">
        <v>4802320290</v>
      </c>
      <c r="F1533" t="s">
        <v>828</v>
      </c>
      <c r="G1533" t="s">
        <v>1148</v>
      </c>
      <c r="I1533" t="s">
        <v>17</v>
      </c>
      <c r="J1533" s="13">
        <v>45964</v>
      </c>
      <c r="K1533" s="13">
        <v>46023</v>
      </c>
      <c r="L1533" t="s">
        <v>1179</v>
      </c>
      <c r="M1533" t="s">
        <v>55</v>
      </c>
      <c r="N1533">
        <v>71456491</v>
      </c>
    </row>
    <row r="1534" spans="1:14" x14ac:dyDescent="0.25">
      <c r="A1534">
        <v>57812450</v>
      </c>
      <c r="B1534" t="s">
        <v>521</v>
      </c>
      <c r="C1534" t="s">
        <v>4150</v>
      </c>
      <c r="D1534" t="s">
        <v>4151</v>
      </c>
      <c r="E1534">
        <v>4807725029</v>
      </c>
      <c r="F1534" t="s">
        <v>416</v>
      </c>
      <c r="G1534" t="s">
        <v>417</v>
      </c>
      <c r="I1534" t="s">
        <v>26</v>
      </c>
      <c r="J1534" s="13">
        <v>45964</v>
      </c>
      <c r="K1534" s="13">
        <v>46023</v>
      </c>
      <c r="L1534" t="s">
        <v>1179</v>
      </c>
      <c r="M1534" t="s">
        <v>54</v>
      </c>
      <c r="N1534">
        <v>71456823</v>
      </c>
    </row>
    <row r="1535" spans="1:14" x14ac:dyDescent="0.25">
      <c r="A1535">
        <v>57813078</v>
      </c>
      <c r="B1535" t="s">
        <v>4152</v>
      </c>
      <c r="C1535" t="s">
        <v>4153</v>
      </c>
      <c r="D1535" t="s">
        <v>4154</v>
      </c>
      <c r="E1535">
        <v>9048629869</v>
      </c>
      <c r="F1535" t="s">
        <v>615</v>
      </c>
      <c r="G1535" t="s">
        <v>616</v>
      </c>
      <c r="I1535" t="s">
        <v>617</v>
      </c>
      <c r="J1535" s="13">
        <v>45964</v>
      </c>
      <c r="K1535" s="13">
        <v>46023</v>
      </c>
      <c r="L1535" t="s">
        <v>497</v>
      </c>
      <c r="M1535" t="s">
        <v>58</v>
      </c>
      <c r="N1535">
        <v>71457167</v>
      </c>
    </row>
    <row r="1536" spans="1:14" x14ac:dyDescent="0.25">
      <c r="A1536">
        <v>57813474</v>
      </c>
      <c r="B1536" t="s">
        <v>4155</v>
      </c>
      <c r="C1536" t="s">
        <v>4156</v>
      </c>
      <c r="D1536" t="s">
        <v>4157</v>
      </c>
      <c r="E1536">
        <v>7654912472</v>
      </c>
      <c r="F1536" t="s">
        <v>705</v>
      </c>
      <c r="G1536" t="s">
        <v>706</v>
      </c>
      <c r="I1536" t="s">
        <v>12</v>
      </c>
      <c r="J1536" s="13">
        <v>45964</v>
      </c>
      <c r="K1536" s="13">
        <v>46023</v>
      </c>
      <c r="L1536" t="s">
        <v>440</v>
      </c>
      <c r="M1536" t="s">
        <v>56</v>
      </c>
      <c r="N1536">
        <v>71457347</v>
      </c>
    </row>
    <row r="1537" spans="1:14" x14ac:dyDescent="0.25">
      <c r="A1537">
        <v>57814577</v>
      </c>
      <c r="B1537" t="s">
        <v>552</v>
      </c>
      <c r="C1537" t="s">
        <v>4158</v>
      </c>
      <c r="D1537" t="s">
        <v>4159</v>
      </c>
      <c r="E1537">
        <v>3346463108</v>
      </c>
      <c r="F1537" t="s">
        <v>821</v>
      </c>
      <c r="G1537" t="s">
        <v>822</v>
      </c>
      <c r="I1537" t="s">
        <v>823</v>
      </c>
      <c r="J1537" s="13">
        <v>45964</v>
      </c>
      <c r="K1537" s="13">
        <v>46023</v>
      </c>
      <c r="L1537" t="s">
        <v>450</v>
      </c>
      <c r="M1537" t="s">
        <v>58</v>
      </c>
      <c r="N1537">
        <v>71457889</v>
      </c>
    </row>
    <row r="1538" spans="1:14" x14ac:dyDescent="0.25">
      <c r="A1538">
        <v>57814803</v>
      </c>
      <c r="B1538" t="s">
        <v>1228</v>
      </c>
      <c r="C1538" t="s">
        <v>2068</v>
      </c>
      <c r="D1538" t="s">
        <v>4160</v>
      </c>
      <c r="E1538">
        <v>4129133482</v>
      </c>
      <c r="F1538" t="s">
        <v>842</v>
      </c>
      <c r="G1538" t="s">
        <v>843</v>
      </c>
      <c r="I1538" t="s">
        <v>98</v>
      </c>
      <c r="J1538" s="13">
        <v>45964</v>
      </c>
      <c r="K1538" s="13">
        <v>46023</v>
      </c>
      <c r="L1538" t="s">
        <v>621</v>
      </c>
      <c r="M1538" t="s">
        <v>59</v>
      </c>
      <c r="N1538">
        <v>71458050</v>
      </c>
    </row>
    <row r="1539" spans="1:14" x14ac:dyDescent="0.25">
      <c r="A1539">
        <v>57814869</v>
      </c>
      <c r="B1539" t="s">
        <v>3435</v>
      </c>
      <c r="C1539" t="s">
        <v>643</v>
      </c>
      <c r="D1539" t="s">
        <v>4161</v>
      </c>
      <c r="E1539">
        <v>9044725722</v>
      </c>
      <c r="F1539" t="s">
        <v>474</v>
      </c>
      <c r="G1539" t="s">
        <v>475</v>
      </c>
      <c r="I1539" t="s">
        <v>132</v>
      </c>
      <c r="J1539" s="13">
        <v>45964</v>
      </c>
      <c r="K1539" s="13">
        <v>46023</v>
      </c>
      <c r="L1539" t="s">
        <v>497</v>
      </c>
      <c r="M1539" t="s">
        <v>54</v>
      </c>
      <c r="N1539">
        <v>71458106</v>
      </c>
    </row>
    <row r="1540" spans="1:14" x14ac:dyDescent="0.25">
      <c r="A1540">
        <v>57815587</v>
      </c>
      <c r="B1540" t="s">
        <v>748</v>
      </c>
      <c r="C1540" t="s">
        <v>4162</v>
      </c>
      <c r="D1540" t="s">
        <v>4163</v>
      </c>
      <c r="E1540">
        <v>2704211227</v>
      </c>
      <c r="F1540" t="s">
        <v>790</v>
      </c>
      <c r="G1540" t="s">
        <v>791</v>
      </c>
      <c r="I1540" t="s">
        <v>119</v>
      </c>
      <c r="J1540" s="13">
        <v>45964</v>
      </c>
      <c r="K1540" s="13">
        <v>46023</v>
      </c>
      <c r="L1540" t="s">
        <v>490</v>
      </c>
      <c r="M1540" t="s">
        <v>59</v>
      </c>
      <c r="N1540">
        <v>71458288</v>
      </c>
    </row>
    <row r="1541" spans="1:14" x14ac:dyDescent="0.25">
      <c r="A1541">
        <v>57815502</v>
      </c>
      <c r="B1541" t="s">
        <v>799</v>
      </c>
      <c r="C1541" t="s">
        <v>4164</v>
      </c>
      <c r="D1541" t="s">
        <v>4165</v>
      </c>
      <c r="E1541" t="s">
        <v>4166</v>
      </c>
      <c r="F1541" t="s">
        <v>775</v>
      </c>
      <c r="G1541" t="s">
        <v>776</v>
      </c>
      <c r="I1541" t="s">
        <v>22</v>
      </c>
      <c r="J1541" s="13">
        <v>45964</v>
      </c>
      <c r="K1541" s="13">
        <v>46023</v>
      </c>
      <c r="L1541" t="s">
        <v>497</v>
      </c>
      <c r="M1541" t="s">
        <v>58</v>
      </c>
      <c r="N1541">
        <v>71458518</v>
      </c>
    </row>
    <row r="1542" spans="1:14" x14ac:dyDescent="0.25">
      <c r="A1542">
        <v>57815529</v>
      </c>
      <c r="B1542" t="s">
        <v>4167</v>
      </c>
      <c r="C1542" t="s">
        <v>2258</v>
      </c>
      <c r="D1542" t="s">
        <v>4168</v>
      </c>
      <c r="E1542">
        <v>2763449227</v>
      </c>
      <c r="F1542" t="s">
        <v>592</v>
      </c>
      <c r="G1542" t="s">
        <v>593</v>
      </c>
      <c r="I1542" t="s">
        <v>115</v>
      </c>
      <c r="J1542" s="13">
        <v>45964</v>
      </c>
      <c r="K1542" s="13">
        <v>46023</v>
      </c>
      <c r="L1542" t="s">
        <v>454</v>
      </c>
      <c r="M1542" t="s">
        <v>56</v>
      </c>
      <c r="N1542">
        <v>71458534</v>
      </c>
    </row>
    <row r="1543" spans="1:14" x14ac:dyDescent="0.25">
      <c r="A1543">
        <v>57815625</v>
      </c>
      <c r="B1543" t="s">
        <v>2071</v>
      </c>
      <c r="C1543" t="s">
        <v>1045</v>
      </c>
      <c r="D1543" t="s">
        <v>4169</v>
      </c>
      <c r="E1543">
        <v>8134079978</v>
      </c>
      <c r="F1543" t="s">
        <v>416</v>
      </c>
      <c r="G1543" t="s">
        <v>417</v>
      </c>
      <c r="I1543" t="s">
        <v>26</v>
      </c>
      <c r="J1543" s="13">
        <v>45964</v>
      </c>
      <c r="K1543" s="13">
        <v>46023</v>
      </c>
      <c r="L1543" t="s">
        <v>497</v>
      </c>
      <c r="M1543" t="s">
        <v>54</v>
      </c>
      <c r="N1543">
        <v>71458599</v>
      </c>
    </row>
    <row r="1544" spans="1:14" x14ac:dyDescent="0.25">
      <c r="A1544">
        <v>57815606</v>
      </c>
      <c r="B1544" t="s">
        <v>4170</v>
      </c>
      <c r="C1544" t="s">
        <v>4171</v>
      </c>
      <c r="D1544" t="s">
        <v>4172</v>
      </c>
      <c r="E1544">
        <v>3057761955</v>
      </c>
      <c r="F1544" t="s">
        <v>569</v>
      </c>
      <c r="G1544" t="s">
        <v>570</v>
      </c>
      <c r="I1544" t="s">
        <v>34</v>
      </c>
      <c r="J1544" s="13">
        <v>45964</v>
      </c>
      <c r="K1544" s="13">
        <v>46023</v>
      </c>
      <c r="L1544" t="s">
        <v>497</v>
      </c>
      <c r="M1544" t="s">
        <v>56</v>
      </c>
      <c r="N1544">
        <v>71458602</v>
      </c>
    </row>
    <row r="1545" spans="1:14" x14ac:dyDescent="0.25">
      <c r="A1545">
        <v>57816033</v>
      </c>
      <c r="B1545" t="s">
        <v>1038</v>
      </c>
      <c r="C1545" t="s">
        <v>4173</v>
      </c>
      <c r="D1545" t="s">
        <v>4174</v>
      </c>
      <c r="E1545">
        <v>3343042545</v>
      </c>
      <c r="F1545" t="s">
        <v>705</v>
      </c>
      <c r="G1545" t="s">
        <v>706</v>
      </c>
      <c r="I1545" t="s">
        <v>12</v>
      </c>
      <c r="J1545" s="13">
        <v>45964</v>
      </c>
      <c r="K1545" s="13">
        <v>46023</v>
      </c>
      <c r="L1545" t="s">
        <v>450</v>
      </c>
      <c r="M1545" t="s">
        <v>59</v>
      </c>
      <c r="N1545">
        <v>71459055</v>
      </c>
    </row>
    <row r="1546" spans="1:14" x14ac:dyDescent="0.25">
      <c r="A1546">
        <v>57816225</v>
      </c>
      <c r="B1546" t="s">
        <v>1100</v>
      </c>
      <c r="C1546" t="s">
        <v>4175</v>
      </c>
      <c r="D1546" t="s">
        <v>4176</v>
      </c>
      <c r="E1546">
        <v>8042216312</v>
      </c>
      <c r="F1546" t="s">
        <v>1003</v>
      </c>
      <c r="G1546" t="s">
        <v>1004</v>
      </c>
      <c r="I1546" t="s">
        <v>89</v>
      </c>
      <c r="J1546" s="13">
        <v>45964</v>
      </c>
      <c r="K1546" s="13">
        <v>46023</v>
      </c>
      <c r="L1546" t="s">
        <v>454</v>
      </c>
      <c r="M1546" t="s">
        <v>59</v>
      </c>
      <c r="N1546">
        <v>71459183</v>
      </c>
    </row>
    <row r="1547" spans="1:14" x14ac:dyDescent="0.25">
      <c r="A1547">
        <v>57816760</v>
      </c>
      <c r="B1547" t="s">
        <v>1737</v>
      </c>
      <c r="C1547" t="s">
        <v>4177</v>
      </c>
      <c r="D1547" t="s">
        <v>4178</v>
      </c>
      <c r="E1547">
        <v>3096348109</v>
      </c>
      <c r="F1547" t="s">
        <v>423</v>
      </c>
      <c r="G1547" t="s">
        <v>424</v>
      </c>
      <c r="I1547" t="s">
        <v>46</v>
      </c>
      <c r="J1547" s="13">
        <v>45964</v>
      </c>
      <c r="K1547" s="13">
        <v>46023</v>
      </c>
      <c r="L1547" t="s">
        <v>454</v>
      </c>
      <c r="M1547" t="s">
        <v>56</v>
      </c>
      <c r="N1547">
        <v>71459412</v>
      </c>
    </row>
    <row r="1548" spans="1:14" x14ac:dyDescent="0.25">
      <c r="A1548">
        <v>57816596</v>
      </c>
      <c r="B1548" t="s">
        <v>2311</v>
      </c>
      <c r="C1548" t="s">
        <v>903</v>
      </c>
      <c r="D1548" t="s">
        <v>4179</v>
      </c>
      <c r="E1548">
        <v>8157018992</v>
      </c>
      <c r="F1548" t="s">
        <v>828</v>
      </c>
      <c r="G1548" t="s">
        <v>1148</v>
      </c>
      <c r="I1548" t="s">
        <v>17</v>
      </c>
      <c r="J1548" s="13">
        <v>45964</v>
      </c>
      <c r="K1548" s="13">
        <v>46023</v>
      </c>
      <c r="L1548" t="s">
        <v>440</v>
      </c>
      <c r="M1548" t="s">
        <v>56</v>
      </c>
      <c r="N1548">
        <v>71459443</v>
      </c>
    </row>
    <row r="1549" spans="1:14" x14ac:dyDescent="0.25">
      <c r="A1549">
        <v>57816637</v>
      </c>
      <c r="B1549" t="s">
        <v>445</v>
      </c>
      <c r="C1549" t="s">
        <v>4180</v>
      </c>
      <c r="D1549" t="s">
        <v>4181</v>
      </c>
      <c r="E1549">
        <v>4303026458</v>
      </c>
      <c r="F1549" t="s">
        <v>448</v>
      </c>
      <c r="G1549" t="s">
        <v>449</v>
      </c>
      <c r="I1549" t="s">
        <v>31</v>
      </c>
      <c r="J1549" s="13">
        <v>45964</v>
      </c>
      <c r="K1549" s="13">
        <v>46023</v>
      </c>
      <c r="L1549" t="s">
        <v>444</v>
      </c>
      <c r="M1549" t="s">
        <v>56</v>
      </c>
      <c r="N1549">
        <v>71459474</v>
      </c>
    </row>
    <row r="1550" spans="1:14" x14ac:dyDescent="0.25">
      <c r="A1550">
        <v>57816772</v>
      </c>
      <c r="B1550" t="s">
        <v>2662</v>
      </c>
      <c r="C1550" t="s">
        <v>4182</v>
      </c>
      <c r="D1550" t="s">
        <v>4183</v>
      </c>
      <c r="E1550">
        <v>4782793330</v>
      </c>
      <c r="F1550" t="s">
        <v>1142</v>
      </c>
      <c r="G1550" t="s">
        <v>1143</v>
      </c>
      <c r="I1550" t="s">
        <v>124</v>
      </c>
      <c r="J1550" s="13">
        <v>45964</v>
      </c>
      <c r="K1550" s="13">
        <v>46023</v>
      </c>
      <c r="L1550" t="s">
        <v>621</v>
      </c>
      <c r="M1550" t="s">
        <v>56</v>
      </c>
      <c r="N1550">
        <v>71460325</v>
      </c>
    </row>
    <row r="1551" spans="1:14" x14ac:dyDescent="0.25">
      <c r="A1551">
        <v>57816805</v>
      </c>
      <c r="B1551" t="s">
        <v>4184</v>
      </c>
      <c r="C1551" t="s">
        <v>4185</v>
      </c>
      <c r="D1551" t="s">
        <v>4186</v>
      </c>
      <c r="E1551">
        <v>9126480275</v>
      </c>
      <c r="F1551" t="s">
        <v>928</v>
      </c>
      <c r="G1551" t="s">
        <v>929</v>
      </c>
      <c r="I1551" t="s">
        <v>30</v>
      </c>
      <c r="J1551" s="13">
        <v>45964</v>
      </c>
      <c r="K1551" s="13">
        <v>46023</v>
      </c>
      <c r="L1551" t="s">
        <v>621</v>
      </c>
      <c r="M1551" t="s">
        <v>59</v>
      </c>
      <c r="N1551">
        <v>71460687</v>
      </c>
    </row>
    <row r="1552" spans="1:14" x14ac:dyDescent="0.25">
      <c r="A1552">
        <v>57816924</v>
      </c>
      <c r="B1552" t="s">
        <v>1340</v>
      </c>
      <c r="C1552" t="s">
        <v>4187</v>
      </c>
      <c r="D1552" t="s">
        <v>4188</v>
      </c>
      <c r="E1552">
        <v>4045536432</v>
      </c>
      <c r="F1552" t="s">
        <v>798</v>
      </c>
      <c r="G1552" t="s">
        <v>799</v>
      </c>
      <c r="I1552" t="s">
        <v>800</v>
      </c>
      <c r="J1552" s="13">
        <v>45964</v>
      </c>
      <c r="K1552" s="13">
        <v>46023</v>
      </c>
      <c r="L1552" t="s">
        <v>621</v>
      </c>
      <c r="M1552" t="s">
        <v>56</v>
      </c>
      <c r="N1552">
        <v>71462092</v>
      </c>
    </row>
    <row r="1553" spans="1:14" x14ac:dyDescent="0.25">
      <c r="A1553">
        <v>57819507</v>
      </c>
      <c r="B1553" t="s">
        <v>4189</v>
      </c>
      <c r="C1553" t="s">
        <v>4190</v>
      </c>
      <c r="D1553" t="s">
        <v>4191</v>
      </c>
      <c r="E1553">
        <v>3166910318</v>
      </c>
      <c r="F1553" t="s">
        <v>957</v>
      </c>
      <c r="G1553" t="s">
        <v>958</v>
      </c>
      <c r="H1553" t="s">
        <v>959</v>
      </c>
      <c r="I1553" t="s">
        <v>960</v>
      </c>
      <c r="J1553" s="13">
        <v>45964</v>
      </c>
      <c r="K1553" s="13">
        <v>46023</v>
      </c>
      <c r="L1553" t="s">
        <v>520</v>
      </c>
      <c r="M1553" t="s">
        <v>58</v>
      </c>
      <c r="N1553">
        <v>71465013</v>
      </c>
    </row>
    <row r="1554" spans="1:14" x14ac:dyDescent="0.25">
      <c r="A1554">
        <v>57817488</v>
      </c>
      <c r="B1554" t="s">
        <v>552</v>
      </c>
      <c r="C1554" t="s">
        <v>4192</v>
      </c>
      <c r="D1554" t="s">
        <v>4193</v>
      </c>
      <c r="E1554">
        <v>7045758823</v>
      </c>
      <c r="F1554" t="s">
        <v>684</v>
      </c>
      <c r="G1554" t="s">
        <v>685</v>
      </c>
      <c r="I1554" t="s">
        <v>686</v>
      </c>
      <c r="J1554" s="13">
        <v>45964</v>
      </c>
      <c r="K1554" s="13">
        <v>46023</v>
      </c>
      <c r="L1554" t="s">
        <v>603</v>
      </c>
      <c r="M1554" t="s">
        <v>55</v>
      </c>
      <c r="N1554">
        <v>71467190</v>
      </c>
    </row>
    <row r="1555" spans="1:14" x14ac:dyDescent="0.25">
      <c r="A1555">
        <v>57817560</v>
      </c>
      <c r="B1555" t="s">
        <v>633</v>
      </c>
      <c r="C1555" t="s">
        <v>4194</v>
      </c>
      <c r="D1555" t="s">
        <v>4195</v>
      </c>
      <c r="E1555">
        <v>2146221413</v>
      </c>
      <c r="F1555" t="s">
        <v>551</v>
      </c>
      <c r="G1555" t="s">
        <v>552</v>
      </c>
      <c r="I1555" t="s">
        <v>42</v>
      </c>
      <c r="J1555" s="13">
        <v>45964</v>
      </c>
      <c r="K1555" s="13">
        <v>46023</v>
      </c>
      <c r="L1555" t="s">
        <v>444</v>
      </c>
      <c r="M1555" t="s">
        <v>60</v>
      </c>
      <c r="N1555">
        <v>71467227</v>
      </c>
    </row>
    <row r="1556" spans="1:14" x14ac:dyDescent="0.25">
      <c r="A1556">
        <v>57817605</v>
      </c>
      <c r="B1556" t="s">
        <v>4196</v>
      </c>
      <c r="C1556" t="s">
        <v>4197</v>
      </c>
      <c r="D1556" t="s">
        <v>4198</v>
      </c>
      <c r="E1556">
        <v>2544045264</v>
      </c>
      <c r="F1556" t="s">
        <v>693</v>
      </c>
      <c r="G1556" t="s">
        <v>694</v>
      </c>
      <c r="I1556" t="s">
        <v>103</v>
      </c>
      <c r="J1556" s="13">
        <v>45964</v>
      </c>
      <c r="K1556" s="13">
        <v>46023</v>
      </c>
      <c r="L1556" t="s">
        <v>444</v>
      </c>
      <c r="M1556" t="s">
        <v>419</v>
      </c>
      <c r="N1556">
        <v>71467274</v>
      </c>
    </row>
    <row r="1557" spans="1:14" x14ac:dyDescent="0.25">
      <c r="A1557">
        <v>57817641</v>
      </c>
      <c r="B1557" t="s">
        <v>4199</v>
      </c>
      <c r="C1557" t="s">
        <v>2876</v>
      </c>
      <c r="D1557" t="s">
        <v>4200</v>
      </c>
      <c r="E1557">
        <v>5203704504</v>
      </c>
      <c r="F1557" t="s">
        <v>1013</v>
      </c>
      <c r="G1557" t="s">
        <v>1014</v>
      </c>
      <c r="I1557" t="s">
        <v>43</v>
      </c>
      <c r="J1557" s="13">
        <v>45964</v>
      </c>
      <c r="K1557" s="13">
        <v>46023</v>
      </c>
      <c r="L1557" t="s">
        <v>1179</v>
      </c>
      <c r="M1557" t="s">
        <v>56</v>
      </c>
      <c r="N1557">
        <v>71467299</v>
      </c>
    </row>
    <row r="1558" spans="1:14" x14ac:dyDescent="0.25">
      <c r="A1558">
        <v>57817644</v>
      </c>
      <c r="B1558" t="s">
        <v>4201</v>
      </c>
      <c r="C1558" t="s">
        <v>4202</v>
      </c>
      <c r="D1558" t="s">
        <v>4203</v>
      </c>
      <c r="E1558" t="s">
        <v>4204</v>
      </c>
      <c r="F1558" t="s">
        <v>1013</v>
      </c>
      <c r="G1558" t="s">
        <v>1014</v>
      </c>
      <c r="I1558" t="s">
        <v>43</v>
      </c>
      <c r="J1558" s="13">
        <v>45964</v>
      </c>
      <c r="K1558" s="13">
        <v>46023</v>
      </c>
      <c r="L1558" t="s">
        <v>1179</v>
      </c>
      <c r="M1558" t="s">
        <v>56</v>
      </c>
      <c r="N1558">
        <v>71467302</v>
      </c>
    </row>
    <row r="1559" spans="1:14" x14ac:dyDescent="0.25">
      <c r="A1559">
        <v>57818523</v>
      </c>
      <c r="B1559" t="s">
        <v>1777</v>
      </c>
      <c r="C1559" t="s">
        <v>4205</v>
      </c>
      <c r="D1559" t="s">
        <v>4206</v>
      </c>
      <c r="E1559">
        <v>5207716494</v>
      </c>
      <c r="F1559" t="s">
        <v>1345</v>
      </c>
      <c r="G1559" t="s">
        <v>799</v>
      </c>
      <c r="I1559" t="s">
        <v>47</v>
      </c>
      <c r="J1559" s="13">
        <v>45964</v>
      </c>
      <c r="K1559" s="13">
        <v>46023</v>
      </c>
      <c r="L1559" t="s">
        <v>1179</v>
      </c>
      <c r="M1559" t="s">
        <v>54</v>
      </c>
      <c r="N1559">
        <v>71467497</v>
      </c>
    </row>
    <row r="1560" spans="1:14" x14ac:dyDescent="0.25">
      <c r="A1560">
        <v>57818633</v>
      </c>
      <c r="B1560" t="s">
        <v>548</v>
      </c>
      <c r="C1560" t="s">
        <v>1029</v>
      </c>
      <c r="D1560" t="s">
        <v>4207</v>
      </c>
      <c r="E1560">
        <v>7068664006</v>
      </c>
      <c r="F1560" t="s">
        <v>615</v>
      </c>
      <c r="G1560" t="s">
        <v>616</v>
      </c>
      <c r="I1560" t="s">
        <v>617</v>
      </c>
      <c r="J1560" s="13">
        <v>45964</v>
      </c>
      <c r="K1560" s="13">
        <v>46023</v>
      </c>
      <c r="L1560" t="s">
        <v>621</v>
      </c>
      <c r="M1560" t="s">
        <v>61</v>
      </c>
      <c r="N1560">
        <v>71467568</v>
      </c>
    </row>
    <row r="1561" spans="1:14" x14ac:dyDescent="0.25">
      <c r="A1561">
        <v>57819073</v>
      </c>
      <c r="B1561" t="s">
        <v>1554</v>
      </c>
      <c r="C1561" t="s">
        <v>1567</v>
      </c>
      <c r="D1561" t="s">
        <v>4208</v>
      </c>
      <c r="E1561">
        <v>9415654929</v>
      </c>
      <c r="F1561" t="s">
        <v>448</v>
      </c>
      <c r="G1561" t="s">
        <v>449</v>
      </c>
      <c r="I1561" t="s">
        <v>31</v>
      </c>
      <c r="J1561" s="13">
        <v>45964</v>
      </c>
      <c r="K1561" s="13">
        <v>46023</v>
      </c>
      <c r="L1561" t="s">
        <v>497</v>
      </c>
      <c r="M1561" t="s">
        <v>58</v>
      </c>
      <c r="N1561">
        <v>71467846</v>
      </c>
    </row>
    <row r="1562" spans="1:14" x14ac:dyDescent="0.25">
      <c r="A1562">
        <v>57819286</v>
      </c>
      <c r="B1562" t="s">
        <v>1905</v>
      </c>
      <c r="C1562" t="s">
        <v>707</v>
      </c>
      <c r="D1562" t="s">
        <v>4209</v>
      </c>
      <c r="E1562">
        <v>3527403936</v>
      </c>
      <c r="F1562" t="s">
        <v>1003</v>
      </c>
      <c r="G1562" t="s">
        <v>1004</v>
      </c>
      <c r="I1562" t="s">
        <v>89</v>
      </c>
      <c r="J1562" s="13">
        <v>45964</v>
      </c>
      <c r="K1562" s="13">
        <v>46023</v>
      </c>
      <c r="L1562" t="s">
        <v>497</v>
      </c>
      <c r="M1562" t="s">
        <v>58</v>
      </c>
      <c r="N1562">
        <v>71467961</v>
      </c>
    </row>
    <row r="1563" spans="1:14" x14ac:dyDescent="0.25">
      <c r="A1563">
        <v>57820063</v>
      </c>
      <c r="B1563" t="s">
        <v>4210</v>
      </c>
      <c r="C1563" t="s">
        <v>574</v>
      </c>
      <c r="D1563" t="s">
        <v>4211</v>
      </c>
      <c r="E1563">
        <v>3123124753</v>
      </c>
      <c r="F1563" t="s">
        <v>790</v>
      </c>
      <c r="G1563" t="s">
        <v>791</v>
      </c>
      <c r="I1563" t="s">
        <v>119</v>
      </c>
      <c r="J1563" s="13">
        <v>45964</v>
      </c>
      <c r="K1563" s="13">
        <v>46023</v>
      </c>
      <c r="L1563" t="s">
        <v>470</v>
      </c>
      <c r="M1563" t="s">
        <v>62</v>
      </c>
      <c r="N1563">
        <v>71468529</v>
      </c>
    </row>
    <row r="1564" spans="1:14" x14ac:dyDescent="0.25">
      <c r="A1564">
        <v>57820222</v>
      </c>
      <c r="B1564" t="s">
        <v>1900</v>
      </c>
      <c r="C1564" t="s">
        <v>3763</v>
      </c>
      <c r="D1564" t="s">
        <v>4212</v>
      </c>
      <c r="E1564">
        <v>5204244847</v>
      </c>
      <c r="F1564" t="s">
        <v>569</v>
      </c>
      <c r="G1564" t="s">
        <v>570</v>
      </c>
      <c r="I1564" t="s">
        <v>34</v>
      </c>
      <c r="J1564" s="13">
        <v>45964</v>
      </c>
      <c r="K1564" s="13">
        <v>46023</v>
      </c>
      <c r="L1564" t="s">
        <v>1179</v>
      </c>
      <c r="M1564" t="s">
        <v>54</v>
      </c>
      <c r="N1564">
        <v>71468654</v>
      </c>
    </row>
    <row r="1565" spans="1:14" x14ac:dyDescent="0.25">
      <c r="A1565">
        <v>57820239</v>
      </c>
      <c r="B1565" t="s">
        <v>4213</v>
      </c>
      <c r="C1565" t="s">
        <v>4153</v>
      </c>
      <c r="D1565" t="s">
        <v>4214</v>
      </c>
      <c r="E1565">
        <v>4703024418</v>
      </c>
      <c r="F1565" t="s">
        <v>815</v>
      </c>
      <c r="G1565" t="s">
        <v>816</v>
      </c>
      <c r="I1565" t="s">
        <v>23</v>
      </c>
      <c r="J1565" s="13">
        <v>45964</v>
      </c>
      <c r="K1565" s="13">
        <v>46023</v>
      </c>
      <c r="L1565" t="s">
        <v>621</v>
      </c>
      <c r="M1565" t="s">
        <v>58</v>
      </c>
      <c r="N1565">
        <v>71468667</v>
      </c>
    </row>
    <row r="1566" spans="1:14" x14ac:dyDescent="0.25">
      <c r="A1566">
        <v>57820355</v>
      </c>
      <c r="B1566" t="s">
        <v>1316</v>
      </c>
      <c r="C1566" t="s">
        <v>4215</v>
      </c>
      <c r="D1566" t="s">
        <v>4216</v>
      </c>
      <c r="E1566">
        <v>5619066053</v>
      </c>
      <c r="F1566" t="s">
        <v>775</v>
      </c>
      <c r="G1566" t="s">
        <v>776</v>
      </c>
      <c r="I1566" t="s">
        <v>22</v>
      </c>
      <c r="J1566" s="13">
        <v>45964</v>
      </c>
      <c r="K1566" s="13">
        <v>46023</v>
      </c>
      <c r="L1566" t="s">
        <v>497</v>
      </c>
      <c r="M1566" t="s">
        <v>56</v>
      </c>
      <c r="N1566">
        <v>71468722</v>
      </c>
    </row>
    <row r="1567" spans="1:14" x14ac:dyDescent="0.25">
      <c r="A1567">
        <v>59860593</v>
      </c>
      <c r="B1567" t="s">
        <v>607</v>
      </c>
      <c r="C1567" t="s">
        <v>4217</v>
      </c>
      <c r="D1567" t="s">
        <v>4218</v>
      </c>
      <c r="E1567">
        <v>5618386191</v>
      </c>
      <c r="F1567" t="s">
        <v>1345</v>
      </c>
      <c r="G1567" t="s">
        <v>799</v>
      </c>
      <c r="I1567" t="s">
        <v>47</v>
      </c>
      <c r="J1567" s="13">
        <v>46045</v>
      </c>
      <c r="K1567" s="13">
        <v>46054</v>
      </c>
      <c r="L1567" t="s">
        <v>497</v>
      </c>
      <c r="M1567" t="s">
        <v>56</v>
      </c>
      <c r="N1567">
        <v>71468859</v>
      </c>
    </row>
    <row r="1568" spans="1:14" x14ac:dyDescent="0.25">
      <c r="A1568">
        <v>57820755</v>
      </c>
      <c r="B1568" t="s">
        <v>672</v>
      </c>
      <c r="C1568" t="s">
        <v>2215</v>
      </c>
      <c r="D1568" t="s">
        <v>4219</v>
      </c>
      <c r="E1568">
        <v>2818021965</v>
      </c>
      <c r="F1568" t="s">
        <v>649</v>
      </c>
      <c r="G1568" t="s">
        <v>650</v>
      </c>
      <c r="I1568" t="s">
        <v>28</v>
      </c>
      <c r="J1568" s="13">
        <v>45964</v>
      </c>
      <c r="K1568" s="13">
        <v>46023</v>
      </c>
      <c r="L1568" t="s">
        <v>444</v>
      </c>
      <c r="M1568" t="s">
        <v>56</v>
      </c>
      <c r="N1568">
        <v>71468937</v>
      </c>
    </row>
    <row r="1569" spans="1:14" x14ac:dyDescent="0.25">
      <c r="A1569">
        <v>57823232</v>
      </c>
      <c r="B1569" t="s">
        <v>4220</v>
      </c>
      <c r="C1569" t="s">
        <v>4221</v>
      </c>
      <c r="D1569" t="s">
        <v>4222</v>
      </c>
      <c r="E1569">
        <v>4078602266</v>
      </c>
      <c r="F1569" t="s">
        <v>416</v>
      </c>
      <c r="G1569" t="s">
        <v>417</v>
      </c>
      <c r="I1569" t="s">
        <v>26</v>
      </c>
      <c r="J1569" s="13">
        <v>45965</v>
      </c>
      <c r="K1569" s="13">
        <v>46023</v>
      </c>
      <c r="L1569" t="s">
        <v>440</v>
      </c>
      <c r="M1569" t="s">
        <v>58</v>
      </c>
      <c r="N1569">
        <v>71470879</v>
      </c>
    </row>
    <row r="1570" spans="1:14" x14ac:dyDescent="0.25">
      <c r="A1570">
        <v>57824950</v>
      </c>
      <c r="B1570" t="s">
        <v>4223</v>
      </c>
      <c r="C1570" t="s">
        <v>3490</v>
      </c>
      <c r="D1570" t="s">
        <v>4224</v>
      </c>
      <c r="E1570">
        <v>7314133848</v>
      </c>
      <c r="F1570" t="s">
        <v>569</v>
      </c>
      <c r="G1570" t="s">
        <v>570</v>
      </c>
      <c r="I1570" t="s">
        <v>34</v>
      </c>
      <c r="J1570" s="13">
        <v>45965</v>
      </c>
      <c r="K1570" s="13">
        <v>46023</v>
      </c>
      <c r="L1570" t="s">
        <v>479</v>
      </c>
      <c r="M1570" t="s">
        <v>55</v>
      </c>
      <c r="N1570">
        <v>71472205</v>
      </c>
    </row>
    <row r="1571" spans="1:14" x14ac:dyDescent="0.25">
      <c r="A1571">
        <v>57825158</v>
      </c>
      <c r="B1571" t="s">
        <v>4225</v>
      </c>
      <c r="C1571" t="s">
        <v>4226</v>
      </c>
      <c r="D1571" t="s">
        <v>4227</v>
      </c>
      <c r="E1571">
        <v>3865892563</v>
      </c>
      <c r="F1571" t="s">
        <v>1003</v>
      </c>
      <c r="G1571" t="s">
        <v>1004</v>
      </c>
      <c r="I1571" t="s">
        <v>89</v>
      </c>
      <c r="J1571" s="13">
        <v>45965</v>
      </c>
      <c r="K1571" s="13">
        <v>46023</v>
      </c>
      <c r="L1571" t="s">
        <v>621</v>
      </c>
      <c r="M1571" t="s">
        <v>56</v>
      </c>
      <c r="N1571">
        <v>71472346</v>
      </c>
    </row>
    <row r="1572" spans="1:14" x14ac:dyDescent="0.25">
      <c r="A1572">
        <v>57825181</v>
      </c>
      <c r="B1572" t="s">
        <v>3075</v>
      </c>
      <c r="C1572" t="s">
        <v>4228</v>
      </c>
      <c r="D1572" t="s">
        <v>4229</v>
      </c>
      <c r="E1572">
        <v>8285514986</v>
      </c>
      <c r="F1572" t="s">
        <v>684</v>
      </c>
      <c r="G1572" t="s">
        <v>685</v>
      </c>
      <c r="I1572" t="s">
        <v>686</v>
      </c>
      <c r="J1572" s="13">
        <v>45965</v>
      </c>
      <c r="K1572" s="13">
        <v>46023</v>
      </c>
      <c r="L1572" t="s">
        <v>603</v>
      </c>
      <c r="M1572" t="s">
        <v>59</v>
      </c>
      <c r="N1572">
        <v>71472353</v>
      </c>
    </row>
    <row r="1573" spans="1:14" x14ac:dyDescent="0.25">
      <c r="A1573">
        <v>57825555</v>
      </c>
      <c r="B1573" t="s">
        <v>4230</v>
      </c>
      <c r="C1573" t="s">
        <v>1967</v>
      </c>
      <c r="D1573" t="s">
        <v>4231</v>
      </c>
      <c r="E1573">
        <v>2158248030</v>
      </c>
      <c r="F1573" t="s">
        <v>448</v>
      </c>
      <c r="G1573" t="s">
        <v>449</v>
      </c>
      <c r="I1573" t="s">
        <v>31</v>
      </c>
      <c r="J1573" s="13">
        <v>45965</v>
      </c>
      <c r="K1573" s="13">
        <v>46023</v>
      </c>
      <c r="L1573" t="s">
        <v>470</v>
      </c>
      <c r="M1573" t="s">
        <v>56</v>
      </c>
      <c r="N1573">
        <v>71473448</v>
      </c>
    </row>
    <row r="1574" spans="1:14" x14ac:dyDescent="0.25">
      <c r="A1574">
        <v>57825967</v>
      </c>
      <c r="B1574" t="s">
        <v>4232</v>
      </c>
      <c r="C1574" t="s">
        <v>4233</v>
      </c>
      <c r="D1574" t="s">
        <v>4234</v>
      </c>
      <c r="E1574">
        <v>8034167798</v>
      </c>
      <c r="F1574" t="s">
        <v>551</v>
      </c>
      <c r="G1574" t="s">
        <v>552</v>
      </c>
      <c r="I1574" t="s">
        <v>42</v>
      </c>
      <c r="J1574" s="13">
        <v>45965</v>
      </c>
      <c r="K1574" s="13">
        <v>46023</v>
      </c>
      <c r="L1574" t="s">
        <v>533</v>
      </c>
      <c r="M1574" t="s">
        <v>61</v>
      </c>
      <c r="N1574">
        <v>71473629</v>
      </c>
    </row>
    <row r="1575" spans="1:14" x14ac:dyDescent="0.25">
      <c r="A1575">
        <v>57826728</v>
      </c>
      <c r="B1575" t="s">
        <v>1527</v>
      </c>
      <c r="C1575" t="s">
        <v>1287</v>
      </c>
      <c r="D1575" t="s">
        <v>4235</v>
      </c>
      <c r="E1575">
        <v>4076589080</v>
      </c>
      <c r="F1575" t="s">
        <v>462</v>
      </c>
      <c r="G1575" t="s">
        <v>463</v>
      </c>
      <c r="I1575" t="s">
        <v>39</v>
      </c>
      <c r="J1575" s="13">
        <v>45965</v>
      </c>
      <c r="K1575" s="13">
        <v>46023</v>
      </c>
      <c r="L1575" t="s">
        <v>497</v>
      </c>
      <c r="M1575" t="s">
        <v>56</v>
      </c>
      <c r="N1575">
        <v>71474327</v>
      </c>
    </row>
    <row r="1576" spans="1:14" x14ac:dyDescent="0.25">
      <c r="A1576">
        <v>57826764</v>
      </c>
      <c r="B1576" t="s">
        <v>1518</v>
      </c>
      <c r="C1576" t="s">
        <v>4236</v>
      </c>
      <c r="D1576" t="s">
        <v>4237</v>
      </c>
      <c r="E1576">
        <v>4694940853</v>
      </c>
      <c r="F1576" t="s">
        <v>474</v>
      </c>
      <c r="G1576" t="s">
        <v>475</v>
      </c>
      <c r="I1576" t="s">
        <v>132</v>
      </c>
      <c r="J1576" s="13">
        <v>45965</v>
      </c>
      <c r="K1576" s="13">
        <v>46023</v>
      </c>
      <c r="L1576" t="s">
        <v>444</v>
      </c>
      <c r="M1576" t="s">
        <v>56</v>
      </c>
      <c r="N1576">
        <v>71474378</v>
      </c>
    </row>
    <row r="1577" spans="1:14" x14ac:dyDescent="0.25">
      <c r="A1577">
        <v>57826957</v>
      </c>
      <c r="B1577" t="s">
        <v>867</v>
      </c>
      <c r="C1577" t="s">
        <v>586</v>
      </c>
      <c r="D1577" t="s">
        <v>4238</v>
      </c>
      <c r="E1577">
        <v>5129258413</v>
      </c>
      <c r="F1577" t="s">
        <v>928</v>
      </c>
      <c r="G1577" t="s">
        <v>929</v>
      </c>
      <c r="I1577" t="s">
        <v>30</v>
      </c>
      <c r="J1577" s="13">
        <v>45965</v>
      </c>
      <c r="K1577" s="13">
        <v>46023</v>
      </c>
      <c r="L1577" t="s">
        <v>444</v>
      </c>
      <c r="M1577" t="s">
        <v>58</v>
      </c>
      <c r="N1577">
        <v>71474503</v>
      </c>
    </row>
    <row r="1578" spans="1:14" x14ac:dyDescent="0.25">
      <c r="A1578">
        <v>57827242</v>
      </c>
      <c r="B1578" t="s">
        <v>1106</v>
      </c>
      <c r="C1578" t="s">
        <v>4239</v>
      </c>
      <c r="D1578" t="s">
        <v>4240</v>
      </c>
      <c r="E1578">
        <v>2567062179</v>
      </c>
      <c r="F1578" t="s">
        <v>416</v>
      </c>
      <c r="G1578" t="s">
        <v>417</v>
      </c>
      <c r="I1578" t="s">
        <v>26</v>
      </c>
      <c r="J1578" s="13">
        <v>45965</v>
      </c>
      <c r="K1578" s="13">
        <v>46023</v>
      </c>
      <c r="L1578" t="s">
        <v>450</v>
      </c>
      <c r="M1578" t="s">
        <v>59</v>
      </c>
      <c r="N1578">
        <v>71474658</v>
      </c>
    </row>
    <row r="1579" spans="1:14" x14ac:dyDescent="0.25">
      <c r="A1579">
        <v>57827566</v>
      </c>
      <c r="B1579" t="s">
        <v>1100</v>
      </c>
      <c r="C1579" t="s">
        <v>4241</v>
      </c>
      <c r="D1579" t="s">
        <v>4242</v>
      </c>
      <c r="E1579">
        <v>8134108424</v>
      </c>
      <c r="F1579" t="s">
        <v>775</v>
      </c>
      <c r="G1579" t="s">
        <v>776</v>
      </c>
      <c r="I1579" t="s">
        <v>22</v>
      </c>
      <c r="J1579" s="13">
        <v>45965</v>
      </c>
      <c r="K1579" s="13">
        <v>46023</v>
      </c>
      <c r="L1579" t="s">
        <v>497</v>
      </c>
      <c r="M1579" t="s">
        <v>54</v>
      </c>
      <c r="N1579">
        <v>71474854</v>
      </c>
    </row>
    <row r="1580" spans="1:14" x14ac:dyDescent="0.25">
      <c r="A1580">
        <v>57828368</v>
      </c>
      <c r="B1580" t="s">
        <v>4243</v>
      </c>
      <c r="C1580" t="s">
        <v>1065</v>
      </c>
      <c r="D1580" t="s">
        <v>4244</v>
      </c>
      <c r="E1580">
        <v>7868656009</v>
      </c>
      <c r="F1580" t="s">
        <v>1067</v>
      </c>
      <c r="G1580" t="s">
        <v>1068</v>
      </c>
      <c r="I1580" t="s">
        <v>35</v>
      </c>
      <c r="J1580" s="13">
        <v>45965</v>
      </c>
      <c r="K1580" s="13">
        <v>46023</v>
      </c>
      <c r="L1580" t="s">
        <v>497</v>
      </c>
      <c r="M1580" t="s">
        <v>59</v>
      </c>
      <c r="N1580">
        <v>71475344</v>
      </c>
    </row>
    <row r="1581" spans="1:14" x14ac:dyDescent="0.25">
      <c r="A1581">
        <v>57828690</v>
      </c>
      <c r="B1581" t="s">
        <v>2419</v>
      </c>
      <c r="C1581" t="s">
        <v>4245</v>
      </c>
      <c r="D1581" t="s">
        <v>4246</v>
      </c>
      <c r="E1581">
        <v>9703790496</v>
      </c>
      <c r="F1581" t="s">
        <v>693</v>
      </c>
      <c r="G1581" t="s">
        <v>694</v>
      </c>
      <c r="I1581" t="s">
        <v>103</v>
      </c>
      <c r="J1581" s="13">
        <v>45965</v>
      </c>
      <c r="K1581" s="13">
        <v>46023</v>
      </c>
      <c r="L1581" t="s">
        <v>539</v>
      </c>
      <c r="M1581" t="s">
        <v>59</v>
      </c>
      <c r="N1581">
        <v>71475541</v>
      </c>
    </row>
    <row r="1582" spans="1:14" x14ac:dyDescent="0.25">
      <c r="A1582">
        <v>57829134</v>
      </c>
      <c r="B1582" t="s">
        <v>925</v>
      </c>
      <c r="C1582" t="s">
        <v>1644</v>
      </c>
      <c r="D1582" t="s">
        <v>4247</v>
      </c>
      <c r="E1582">
        <v>8128768844</v>
      </c>
      <c r="F1582" t="s">
        <v>870</v>
      </c>
      <c r="G1582" t="s">
        <v>871</v>
      </c>
      <c r="I1582" t="s">
        <v>872</v>
      </c>
      <c r="J1582" s="13">
        <v>45965</v>
      </c>
      <c r="K1582" s="13">
        <v>46023</v>
      </c>
      <c r="L1582" t="s">
        <v>440</v>
      </c>
      <c r="M1582" t="s">
        <v>60</v>
      </c>
      <c r="N1582">
        <v>71475864</v>
      </c>
    </row>
    <row r="1583" spans="1:14" x14ac:dyDescent="0.25">
      <c r="A1583">
        <v>57829734</v>
      </c>
      <c r="B1583" t="s">
        <v>4248</v>
      </c>
      <c r="C1583" t="s">
        <v>4249</v>
      </c>
      <c r="D1583" t="s">
        <v>4250</v>
      </c>
      <c r="E1583">
        <v>2173700794</v>
      </c>
      <c r="F1583" t="s">
        <v>423</v>
      </c>
      <c r="G1583" t="s">
        <v>424</v>
      </c>
      <c r="I1583" t="s">
        <v>46</v>
      </c>
      <c r="J1583" s="13">
        <v>45965</v>
      </c>
      <c r="K1583" s="13">
        <v>46023</v>
      </c>
      <c r="L1583" t="s">
        <v>470</v>
      </c>
      <c r="M1583" t="s">
        <v>56</v>
      </c>
      <c r="N1583">
        <v>71476263</v>
      </c>
    </row>
    <row r="1584" spans="1:14" x14ac:dyDescent="0.25">
      <c r="A1584">
        <v>57829743</v>
      </c>
      <c r="B1584" t="s">
        <v>1527</v>
      </c>
      <c r="C1584" t="s">
        <v>515</v>
      </c>
      <c r="D1584" t="s">
        <v>4251</v>
      </c>
      <c r="E1584">
        <v>2053838409</v>
      </c>
      <c r="F1584" t="s">
        <v>615</v>
      </c>
      <c r="G1584" t="s">
        <v>616</v>
      </c>
      <c r="I1584" t="s">
        <v>617</v>
      </c>
      <c r="J1584" s="13">
        <v>45965</v>
      </c>
      <c r="K1584" s="13">
        <v>46023</v>
      </c>
      <c r="L1584" t="s">
        <v>450</v>
      </c>
      <c r="M1584" t="s">
        <v>59</v>
      </c>
      <c r="N1584">
        <v>71476301</v>
      </c>
    </row>
    <row r="1585" spans="1:14" x14ac:dyDescent="0.25">
      <c r="A1585">
        <v>57830030</v>
      </c>
      <c r="B1585" t="s">
        <v>2323</v>
      </c>
      <c r="C1585" t="s">
        <v>4252</v>
      </c>
      <c r="D1585" t="s">
        <v>4253</v>
      </c>
      <c r="E1585">
        <v>7027214346</v>
      </c>
      <c r="F1585" t="s">
        <v>462</v>
      </c>
      <c r="G1585" t="s">
        <v>463</v>
      </c>
      <c r="I1585" t="s">
        <v>39</v>
      </c>
      <c r="J1585" s="13">
        <v>45965</v>
      </c>
      <c r="K1585" s="13">
        <v>46023</v>
      </c>
      <c r="L1585" t="s">
        <v>553</v>
      </c>
      <c r="M1585" t="s">
        <v>59</v>
      </c>
      <c r="N1585">
        <v>71476482</v>
      </c>
    </row>
    <row r="1586" spans="1:14" x14ac:dyDescent="0.25">
      <c r="A1586">
        <v>57830522</v>
      </c>
      <c r="B1586" t="s">
        <v>445</v>
      </c>
      <c r="C1586" t="s">
        <v>4254</v>
      </c>
      <c r="D1586" t="s">
        <v>4255</v>
      </c>
      <c r="E1586">
        <v>4808432929</v>
      </c>
      <c r="F1586" t="s">
        <v>416</v>
      </c>
      <c r="G1586" t="s">
        <v>417</v>
      </c>
      <c r="I1586" t="s">
        <v>26</v>
      </c>
      <c r="J1586" s="13">
        <v>45965</v>
      </c>
      <c r="K1586" s="13">
        <v>46023</v>
      </c>
      <c r="L1586" t="s">
        <v>1179</v>
      </c>
      <c r="M1586" t="s">
        <v>54</v>
      </c>
      <c r="N1586">
        <v>71476747</v>
      </c>
    </row>
    <row r="1587" spans="1:14" x14ac:dyDescent="0.25">
      <c r="A1587">
        <v>57830727</v>
      </c>
      <c r="B1587" t="s">
        <v>4256</v>
      </c>
      <c r="C1587" t="s">
        <v>4257</v>
      </c>
      <c r="D1587" t="s">
        <v>4258</v>
      </c>
      <c r="E1587" t="s">
        <v>4259</v>
      </c>
      <c r="F1587" t="s">
        <v>592</v>
      </c>
      <c r="G1587" t="s">
        <v>593</v>
      </c>
      <c r="I1587" t="s">
        <v>115</v>
      </c>
      <c r="J1587" s="13">
        <v>45965</v>
      </c>
      <c r="K1587" s="13">
        <v>46023</v>
      </c>
      <c r="L1587" t="s">
        <v>479</v>
      </c>
      <c r="M1587" t="s">
        <v>58</v>
      </c>
      <c r="N1587">
        <v>71476893</v>
      </c>
    </row>
    <row r="1588" spans="1:14" x14ac:dyDescent="0.25">
      <c r="A1588">
        <v>57830989</v>
      </c>
      <c r="B1588" t="s">
        <v>2771</v>
      </c>
      <c r="C1588" t="s">
        <v>4260</v>
      </c>
      <c r="D1588" t="s">
        <v>4261</v>
      </c>
      <c r="E1588">
        <v>9037384718</v>
      </c>
      <c r="F1588" t="s">
        <v>1147</v>
      </c>
      <c r="G1588" t="s">
        <v>1148</v>
      </c>
      <c r="I1588" t="s">
        <v>41</v>
      </c>
      <c r="J1588" s="13">
        <v>45965</v>
      </c>
      <c r="K1588" s="13">
        <v>46023</v>
      </c>
      <c r="L1588" t="s">
        <v>444</v>
      </c>
      <c r="M1588" t="s">
        <v>55</v>
      </c>
      <c r="N1588">
        <v>71477056</v>
      </c>
    </row>
    <row r="1589" spans="1:14" x14ac:dyDescent="0.25">
      <c r="A1589">
        <v>57830990</v>
      </c>
      <c r="B1589" t="s">
        <v>4262</v>
      </c>
      <c r="C1589" t="s">
        <v>4263</v>
      </c>
      <c r="D1589" t="s">
        <v>4264</v>
      </c>
      <c r="E1589">
        <v>8136658473</v>
      </c>
      <c r="F1589" t="s">
        <v>1003</v>
      </c>
      <c r="G1589" t="s">
        <v>1004</v>
      </c>
      <c r="I1589" t="s">
        <v>89</v>
      </c>
      <c r="J1589" s="13">
        <v>45965</v>
      </c>
      <c r="K1589" s="13">
        <v>46023</v>
      </c>
      <c r="L1589" t="s">
        <v>497</v>
      </c>
      <c r="M1589" t="s">
        <v>58</v>
      </c>
      <c r="N1589">
        <v>71477057</v>
      </c>
    </row>
    <row r="1590" spans="1:14" x14ac:dyDescent="0.25">
      <c r="A1590">
        <v>57831610</v>
      </c>
      <c r="B1590" t="s">
        <v>4265</v>
      </c>
      <c r="C1590" t="s">
        <v>4266</v>
      </c>
      <c r="D1590" t="s">
        <v>4267</v>
      </c>
      <c r="E1590">
        <v>9544799231</v>
      </c>
      <c r="F1590" t="s">
        <v>815</v>
      </c>
      <c r="G1590" t="s">
        <v>816</v>
      </c>
      <c r="I1590" t="s">
        <v>23</v>
      </c>
      <c r="J1590" s="13">
        <v>45965</v>
      </c>
      <c r="K1590" s="13">
        <v>46023</v>
      </c>
      <c r="L1590" t="s">
        <v>497</v>
      </c>
      <c r="M1590" t="s">
        <v>55</v>
      </c>
      <c r="N1590">
        <v>71477429</v>
      </c>
    </row>
    <row r="1591" spans="1:14" x14ac:dyDescent="0.25">
      <c r="A1591">
        <v>57833326</v>
      </c>
      <c r="B1591" t="s">
        <v>879</v>
      </c>
      <c r="C1591" t="s">
        <v>1136</v>
      </c>
      <c r="D1591" t="s">
        <v>4268</v>
      </c>
      <c r="E1591">
        <v>7194642946</v>
      </c>
      <c r="F1591" t="s">
        <v>693</v>
      </c>
      <c r="G1591" t="s">
        <v>694</v>
      </c>
      <c r="I1591" t="s">
        <v>103</v>
      </c>
      <c r="J1591" s="13">
        <v>45965</v>
      </c>
      <c r="K1591" s="13">
        <v>46023</v>
      </c>
      <c r="L1591" t="s">
        <v>539</v>
      </c>
      <c r="M1591" t="s">
        <v>56</v>
      </c>
      <c r="N1591">
        <v>71478585</v>
      </c>
    </row>
    <row r="1592" spans="1:14" x14ac:dyDescent="0.25">
      <c r="A1592">
        <v>57833664</v>
      </c>
      <c r="B1592" t="s">
        <v>498</v>
      </c>
      <c r="C1592" t="s">
        <v>4269</v>
      </c>
      <c r="D1592" t="s">
        <v>4270</v>
      </c>
      <c r="E1592">
        <v>2077901457</v>
      </c>
      <c r="F1592" t="s">
        <v>684</v>
      </c>
      <c r="G1592" t="s">
        <v>685</v>
      </c>
      <c r="I1592" t="s">
        <v>686</v>
      </c>
      <c r="J1592" s="13">
        <v>45965</v>
      </c>
      <c r="K1592" s="13">
        <v>46023</v>
      </c>
      <c r="L1592" t="s">
        <v>941</v>
      </c>
      <c r="M1592" t="s">
        <v>56</v>
      </c>
      <c r="N1592">
        <v>71478815</v>
      </c>
    </row>
    <row r="1593" spans="1:14" x14ac:dyDescent="0.25">
      <c r="A1593">
        <v>57834000</v>
      </c>
      <c r="B1593" t="s">
        <v>4271</v>
      </c>
      <c r="C1593" t="s">
        <v>4272</v>
      </c>
      <c r="D1593" t="s">
        <v>4273</v>
      </c>
      <c r="E1593">
        <v>3343034870</v>
      </c>
      <c r="F1593" t="s">
        <v>423</v>
      </c>
      <c r="G1593" t="s">
        <v>424</v>
      </c>
      <c r="I1593" t="s">
        <v>46</v>
      </c>
      <c r="J1593" s="13">
        <v>45965</v>
      </c>
      <c r="K1593" s="13">
        <v>46023</v>
      </c>
      <c r="L1593" t="s">
        <v>450</v>
      </c>
      <c r="M1593" t="s">
        <v>56</v>
      </c>
      <c r="N1593">
        <v>71478896</v>
      </c>
    </row>
    <row r="1594" spans="1:14" x14ac:dyDescent="0.25">
      <c r="A1594">
        <v>57833843</v>
      </c>
      <c r="B1594" t="s">
        <v>4274</v>
      </c>
      <c r="C1594" t="s">
        <v>4275</v>
      </c>
      <c r="D1594" t="s">
        <v>4276</v>
      </c>
      <c r="E1594">
        <v>7864474149</v>
      </c>
      <c r="F1594" t="s">
        <v>462</v>
      </c>
      <c r="G1594" t="s">
        <v>463</v>
      </c>
      <c r="I1594" t="s">
        <v>39</v>
      </c>
      <c r="J1594" s="13">
        <v>45965</v>
      </c>
      <c r="K1594" s="13">
        <v>46023</v>
      </c>
      <c r="L1594" t="s">
        <v>497</v>
      </c>
      <c r="M1594" t="s">
        <v>54</v>
      </c>
      <c r="N1594">
        <v>71478954</v>
      </c>
    </row>
    <row r="1595" spans="1:14" x14ac:dyDescent="0.25">
      <c r="A1595">
        <v>57834476</v>
      </c>
      <c r="B1595" t="s">
        <v>1895</v>
      </c>
      <c r="C1595" t="s">
        <v>4277</v>
      </c>
      <c r="D1595" t="s">
        <v>4278</v>
      </c>
      <c r="E1595">
        <v>2052695740</v>
      </c>
      <c r="F1595" t="s">
        <v>448</v>
      </c>
      <c r="G1595" t="s">
        <v>449</v>
      </c>
      <c r="I1595" t="s">
        <v>31</v>
      </c>
      <c r="J1595" s="13">
        <v>45965</v>
      </c>
      <c r="K1595" s="13">
        <v>46023</v>
      </c>
      <c r="L1595" t="s">
        <v>450</v>
      </c>
      <c r="M1595" t="s">
        <v>59</v>
      </c>
      <c r="N1595">
        <v>71479376</v>
      </c>
    </row>
    <row r="1596" spans="1:14" x14ac:dyDescent="0.25">
      <c r="A1596">
        <v>57834810</v>
      </c>
      <c r="B1596" t="s">
        <v>2508</v>
      </c>
      <c r="C1596" t="s">
        <v>4279</v>
      </c>
      <c r="D1596" t="s">
        <v>4280</v>
      </c>
      <c r="E1596">
        <v>9012923413</v>
      </c>
      <c r="F1596" t="s">
        <v>828</v>
      </c>
      <c r="G1596" t="s">
        <v>1148</v>
      </c>
      <c r="I1596" t="s">
        <v>17</v>
      </c>
      <c r="J1596" s="13">
        <v>45965</v>
      </c>
      <c r="K1596" s="13">
        <v>46023</v>
      </c>
      <c r="L1596" t="s">
        <v>479</v>
      </c>
      <c r="M1596" t="s">
        <v>56</v>
      </c>
      <c r="N1596">
        <v>71479618</v>
      </c>
    </row>
    <row r="1597" spans="1:14" x14ac:dyDescent="0.25">
      <c r="A1597">
        <v>57834840</v>
      </c>
      <c r="B1597" t="s">
        <v>4025</v>
      </c>
      <c r="C1597" t="s">
        <v>2498</v>
      </c>
      <c r="D1597" t="s">
        <v>4281</v>
      </c>
      <c r="E1597">
        <v>5572330038</v>
      </c>
      <c r="F1597" t="s">
        <v>842</v>
      </c>
      <c r="G1597" t="s">
        <v>843</v>
      </c>
      <c r="I1597" t="s">
        <v>98</v>
      </c>
      <c r="J1597" s="13">
        <v>45965</v>
      </c>
      <c r="K1597" s="13">
        <v>46023</v>
      </c>
      <c r="L1597" t="s">
        <v>434</v>
      </c>
      <c r="M1597" t="s">
        <v>56</v>
      </c>
      <c r="N1597">
        <v>71479637</v>
      </c>
    </row>
    <row r="1598" spans="1:14" x14ac:dyDescent="0.25">
      <c r="A1598">
        <v>57835768</v>
      </c>
      <c r="B1598" t="s">
        <v>498</v>
      </c>
      <c r="C1598" t="s">
        <v>4282</v>
      </c>
      <c r="D1598" t="s">
        <v>4283</v>
      </c>
      <c r="E1598">
        <v>5202724476</v>
      </c>
      <c r="F1598" t="s">
        <v>1398</v>
      </c>
      <c r="G1598" t="s">
        <v>1399</v>
      </c>
      <c r="I1598" t="s">
        <v>1400</v>
      </c>
      <c r="J1598" s="13">
        <v>45965</v>
      </c>
      <c r="K1598" s="13">
        <v>46023</v>
      </c>
      <c r="L1598" t="s">
        <v>1179</v>
      </c>
      <c r="M1598" t="s">
        <v>59</v>
      </c>
      <c r="N1598">
        <v>71480126</v>
      </c>
    </row>
    <row r="1599" spans="1:14" x14ac:dyDescent="0.25">
      <c r="A1599">
        <v>57836123</v>
      </c>
      <c r="B1599" t="s">
        <v>1373</v>
      </c>
      <c r="C1599" t="s">
        <v>4284</v>
      </c>
      <c r="D1599" t="s">
        <v>4285</v>
      </c>
      <c r="E1599">
        <v>4044380002</v>
      </c>
      <c r="F1599" t="s">
        <v>928</v>
      </c>
      <c r="G1599" t="s">
        <v>929</v>
      </c>
      <c r="I1599" t="s">
        <v>30</v>
      </c>
      <c r="J1599" s="13">
        <v>45965</v>
      </c>
      <c r="K1599" s="13">
        <v>46023</v>
      </c>
      <c r="L1599" t="s">
        <v>621</v>
      </c>
      <c r="M1599" t="s">
        <v>55</v>
      </c>
      <c r="N1599">
        <v>71480482</v>
      </c>
    </row>
    <row r="1600" spans="1:14" x14ac:dyDescent="0.25">
      <c r="A1600">
        <v>57837973</v>
      </c>
      <c r="B1600" t="s">
        <v>1540</v>
      </c>
      <c r="C1600" t="s">
        <v>515</v>
      </c>
      <c r="D1600" t="s">
        <v>4286</v>
      </c>
      <c r="E1600">
        <v>9312526821</v>
      </c>
      <c r="F1600" t="s">
        <v>551</v>
      </c>
      <c r="G1600" t="s">
        <v>552</v>
      </c>
      <c r="I1600" t="s">
        <v>42</v>
      </c>
      <c r="J1600" s="13">
        <v>45965</v>
      </c>
      <c r="K1600" s="13">
        <v>46023</v>
      </c>
      <c r="L1600" t="s">
        <v>479</v>
      </c>
      <c r="M1600" t="s">
        <v>56</v>
      </c>
      <c r="N1600">
        <v>71481575</v>
      </c>
    </row>
    <row r="1601" spans="1:14" x14ac:dyDescent="0.25">
      <c r="A1601">
        <v>57838063</v>
      </c>
      <c r="B1601" t="s">
        <v>4287</v>
      </c>
      <c r="C1601" t="s">
        <v>4288</v>
      </c>
      <c r="D1601" t="s">
        <v>4289</v>
      </c>
      <c r="E1601" t="s">
        <v>4290</v>
      </c>
      <c r="F1601" t="s">
        <v>448</v>
      </c>
      <c r="G1601" t="s">
        <v>449</v>
      </c>
      <c r="I1601" t="s">
        <v>31</v>
      </c>
      <c r="J1601" s="13">
        <v>45965</v>
      </c>
      <c r="K1601" s="13">
        <v>46023</v>
      </c>
      <c r="L1601" t="s">
        <v>450</v>
      </c>
      <c r="M1601" t="s">
        <v>59</v>
      </c>
      <c r="N1601">
        <v>71481805</v>
      </c>
    </row>
    <row r="1602" spans="1:14" x14ac:dyDescent="0.25">
      <c r="A1602">
        <v>57839018</v>
      </c>
      <c r="B1602" t="s">
        <v>4291</v>
      </c>
      <c r="C1602" t="s">
        <v>4292</v>
      </c>
      <c r="D1602" t="s">
        <v>4293</v>
      </c>
      <c r="E1602">
        <v>6023359948</v>
      </c>
      <c r="F1602" t="s">
        <v>416</v>
      </c>
      <c r="G1602" t="s">
        <v>417</v>
      </c>
      <c r="I1602" t="s">
        <v>26</v>
      </c>
      <c r="J1602" s="13">
        <v>45965</v>
      </c>
      <c r="K1602" s="13">
        <v>46023</v>
      </c>
      <c r="L1602" t="s">
        <v>1179</v>
      </c>
      <c r="M1602" t="s">
        <v>54</v>
      </c>
      <c r="N1602">
        <v>71482284</v>
      </c>
    </row>
    <row r="1603" spans="1:14" x14ac:dyDescent="0.25">
      <c r="A1603">
        <v>57839481</v>
      </c>
      <c r="B1603" t="s">
        <v>4294</v>
      </c>
      <c r="C1603" t="s">
        <v>4295</v>
      </c>
      <c r="D1603" t="s">
        <v>4296</v>
      </c>
      <c r="E1603">
        <v>3344496305</v>
      </c>
      <c r="F1603" t="s">
        <v>770</v>
      </c>
      <c r="G1603" t="s">
        <v>771</v>
      </c>
      <c r="I1603" t="s">
        <v>25</v>
      </c>
      <c r="J1603" s="13">
        <v>45965</v>
      </c>
      <c r="K1603" s="13">
        <v>46023</v>
      </c>
      <c r="L1603" t="s">
        <v>418</v>
      </c>
      <c r="M1603" t="s">
        <v>59</v>
      </c>
      <c r="N1603">
        <v>71482668</v>
      </c>
    </row>
    <row r="1604" spans="1:14" x14ac:dyDescent="0.25">
      <c r="A1604">
        <v>57842121</v>
      </c>
      <c r="B1604" t="s">
        <v>1316</v>
      </c>
      <c r="C1604" t="s">
        <v>4297</v>
      </c>
      <c r="D1604" t="s">
        <v>4298</v>
      </c>
      <c r="E1604">
        <v>3046135343</v>
      </c>
      <c r="F1604" t="s">
        <v>828</v>
      </c>
      <c r="G1604" t="s">
        <v>1148</v>
      </c>
      <c r="I1604" t="s">
        <v>17</v>
      </c>
      <c r="J1604" s="13">
        <v>45965</v>
      </c>
      <c r="K1604" s="13">
        <v>46023</v>
      </c>
      <c r="L1604" t="s">
        <v>1188</v>
      </c>
      <c r="M1604" t="s">
        <v>56</v>
      </c>
      <c r="N1604">
        <v>71484095</v>
      </c>
    </row>
    <row r="1605" spans="1:14" x14ac:dyDescent="0.25">
      <c r="A1605">
        <v>57842372</v>
      </c>
      <c r="B1605" t="s">
        <v>586</v>
      </c>
      <c r="C1605" t="s">
        <v>2939</v>
      </c>
      <c r="D1605" t="s">
        <v>4299</v>
      </c>
      <c r="E1605">
        <v>8726000050</v>
      </c>
      <c r="F1605" t="s">
        <v>448</v>
      </c>
      <c r="G1605" t="s">
        <v>449</v>
      </c>
      <c r="I1605" t="s">
        <v>31</v>
      </c>
      <c r="J1605" s="13">
        <v>45965</v>
      </c>
      <c r="K1605" s="13">
        <v>46023</v>
      </c>
      <c r="L1605" t="s">
        <v>470</v>
      </c>
      <c r="M1605" t="s">
        <v>56</v>
      </c>
      <c r="N1605">
        <v>71484272</v>
      </c>
    </row>
    <row r="1606" spans="1:14" x14ac:dyDescent="0.25">
      <c r="A1606">
        <v>57842485</v>
      </c>
      <c r="B1606" t="s">
        <v>879</v>
      </c>
      <c r="C1606" t="s">
        <v>1258</v>
      </c>
      <c r="D1606" t="s">
        <v>4300</v>
      </c>
      <c r="E1606">
        <v>9032848963</v>
      </c>
      <c r="F1606" t="s">
        <v>1003</v>
      </c>
      <c r="G1606" t="s">
        <v>1004</v>
      </c>
      <c r="I1606" t="s">
        <v>89</v>
      </c>
      <c r="J1606" s="13">
        <v>45965</v>
      </c>
      <c r="K1606" s="13">
        <v>46023</v>
      </c>
      <c r="L1606" t="s">
        <v>621</v>
      </c>
      <c r="M1606" t="s">
        <v>59</v>
      </c>
      <c r="N1606">
        <v>71484346</v>
      </c>
    </row>
    <row r="1607" spans="1:14" x14ac:dyDescent="0.25">
      <c r="A1607">
        <v>57843134</v>
      </c>
      <c r="B1607" t="s">
        <v>2418</v>
      </c>
      <c r="C1607" t="s">
        <v>515</v>
      </c>
      <c r="D1607" t="s">
        <v>4301</v>
      </c>
      <c r="E1607">
        <v>6062450630</v>
      </c>
      <c r="F1607" t="s">
        <v>790</v>
      </c>
      <c r="G1607" t="s">
        <v>791</v>
      </c>
      <c r="I1607" t="s">
        <v>119</v>
      </c>
      <c r="J1607" s="13">
        <v>45965</v>
      </c>
      <c r="K1607" s="13">
        <v>46023</v>
      </c>
      <c r="L1607" t="s">
        <v>490</v>
      </c>
      <c r="M1607" t="s">
        <v>58</v>
      </c>
      <c r="N1607">
        <v>71484587</v>
      </c>
    </row>
    <row r="1608" spans="1:14" x14ac:dyDescent="0.25">
      <c r="A1608">
        <v>57843042</v>
      </c>
      <c r="B1608" t="s">
        <v>4302</v>
      </c>
      <c r="C1608" t="s">
        <v>4303</v>
      </c>
      <c r="D1608" t="s">
        <v>4304</v>
      </c>
      <c r="E1608">
        <v>6237553296</v>
      </c>
      <c r="F1608" t="s">
        <v>615</v>
      </c>
      <c r="G1608" t="s">
        <v>616</v>
      </c>
      <c r="I1608" t="s">
        <v>617</v>
      </c>
      <c r="J1608" s="13">
        <v>45965</v>
      </c>
      <c r="K1608" s="13">
        <v>46023</v>
      </c>
      <c r="L1608" t="s">
        <v>1179</v>
      </c>
      <c r="M1608" t="s">
        <v>61</v>
      </c>
      <c r="N1608">
        <v>71484639</v>
      </c>
    </row>
    <row r="1609" spans="1:14" x14ac:dyDescent="0.25">
      <c r="A1609">
        <v>57843159</v>
      </c>
      <c r="B1609" t="s">
        <v>4305</v>
      </c>
      <c r="C1609" t="s">
        <v>4306</v>
      </c>
      <c r="D1609" t="s">
        <v>4307</v>
      </c>
      <c r="E1609">
        <v>7194299957</v>
      </c>
      <c r="F1609" t="s">
        <v>842</v>
      </c>
      <c r="G1609" t="s">
        <v>843</v>
      </c>
      <c r="I1609" t="s">
        <v>98</v>
      </c>
      <c r="J1609" s="13">
        <v>45965</v>
      </c>
      <c r="K1609" s="13">
        <v>46023</v>
      </c>
      <c r="L1609" t="s">
        <v>539</v>
      </c>
      <c r="M1609" t="s">
        <v>58</v>
      </c>
      <c r="N1609">
        <v>71484710</v>
      </c>
    </row>
    <row r="1610" spans="1:14" x14ac:dyDescent="0.25">
      <c r="A1610">
        <v>57843706</v>
      </c>
      <c r="B1610" t="s">
        <v>1041</v>
      </c>
      <c r="C1610" t="s">
        <v>4308</v>
      </c>
      <c r="D1610" t="s">
        <v>4309</v>
      </c>
      <c r="E1610">
        <v>4237410904</v>
      </c>
      <c r="F1610" t="s">
        <v>928</v>
      </c>
      <c r="G1610" t="s">
        <v>929</v>
      </c>
      <c r="I1610" t="s">
        <v>30</v>
      </c>
      <c r="J1610" s="13">
        <v>45965</v>
      </c>
      <c r="K1610" s="13">
        <v>46023</v>
      </c>
      <c r="L1610" t="s">
        <v>479</v>
      </c>
      <c r="M1610" t="s">
        <v>56</v>
      </c>
      <c r="N1610">
        <v>71485046</v>
      </c>
    </row>
    <row r="1611" spans="1:14" x14ac:dyDescent="0.25">
      <c r="A1611">
        <v>57843715</v>
      </c>
      <c r="B1611" t="s">
        <v>784</v>
      </c>
      <c r="C1611" t="s">
        <v>4310</v>
      </c>
      <c r="D1611" t="s">
        <v>4311</v>
      </c>
      <c r="E1611">
        <v>6026391244</v>
      </c>
      <c r="F1611" t="s">
        <v>474</v>
      </c>
      <c r="G1611" t="s">
        <v>475</v>
      </c>
      <c r="I1611" t="s">
        <v>132</v>
      </c>
      <c r="J1611" s="13">
        <v>45965</v>
      </c>
      <c r="K1611" s="13">
        <v>46023</v>
      </c>
      <c r="L1611" t="s">
        <v>1179</v>
      </c>
      <c r="M1611" t="s">
        <v>54</v>
      </c>
      <c r="N1611">
        <v>71485054</v>
      </c>
    </row>
    <row r="1612" spans="1:14" x14ac:dyDescent="0.25">
      <c r="A1612">
        <v>57843948</v>
      </c>
      <c r="B1612" t="s">
        <v>2681</v>
      </c>
      <c r="C1612" t="s">
        <v>4312</v>
      </c>
      <c r="D1612" t="s">
        <v>4313</v>
      </c>
      <c r="E1612">
        <v>4802265682</v>
      </c>
      <c r="F1612" t="s">
        <v>842</v>
      </c>
      <c r="G1612" t="s">
        <v>1213</v>
      </c>
      <c r="I1612" t="s">
        <v>1214</v>
      </c>
      <c r="J1612" s="13">
        <v>45965</v>
      </c>
      <c r="K1612" s="13">
        <v>46023</v>
      </c>
      <c r="L1612" t="s">
        <v>1179</v>
      </c>
      <c r="M1612" t="s">
        <v>54</v>
      </c>
      <c r="N1612">
        <v>71485228</v>
      </c>
    </row>
    <row r="1613" spans="1:14" x14ac:dyDescent="0.25">
      <c r="A1613">
        <v>57844355</v>
      </c>
      <c r="B1613" t="s">
        <v>4314</v>
      </c>
      <c r="C1613" t="s">
        <v>4315</v>
      </c>
      <c r="D1613" t="s">
        <v>4316</v>
      </c>
      <c r="E1613">
        <v>9043520587</v>
      </c>
      <c r="F1613" t="s">
        <v>592</v>
      </c>
      <c r="G1613" t="s">
        <v>593</v>
      </c>
      <c r="I1613" t="s">
        <v>115</v>
      </c>
      <c r="J1613" s="13">
        <v>45965</v>
      </c>
      <c r="K1613" s="13">
        <v>46023</v>
      </c>
      <c r="L1613" t="s">
        <v>497</v>
      </c>
      <c r="M1613" t="s">
        <v>59</v>
      </c>
      <c r="N1613">
        <v>71485475</v>
      </c>
    </row>
    <row r="1614" spans="1:14" x14ac:dyDescent="0.25">
      <c r="A1614">
        <v>57844356</v>
      </c>
      <c r="B1614" t="s">
        <v>4317</v>
      </c>
      <c r="C1614" t="s">
        <v>1287</v>
      </c>
      <c r="D1614" t="s">
        <v>4318</v>
      </c>
      <c r="E1614">
        <v>9284069929</v>
      </c>
      <c r="F1614" t="s">
        <v>462</v>
      </c>
      <c r="G1614" t="s">
        <v>463</v>
      </c>
      <c r="I1614" t="s">
        <v>39</v>
      </c>
      <c r="J1614" s="13">
        <v>45965</v>
      </c>
      <c r="K1614" s="13">
        <v>46023</v>
      </c>
      <c r="L1614" t="s">
        <v>1179</v>
      </c>
      <c r="M1614" t="s">
        <v>54</v>
      </c>
      <c r="N1614">
        <v>71485476</v>
      </c>
    </row>
    <row r="1615" spans="1:14" x14ac:dyDescent="0.25">
      <c r="A1615">
        <v>57844861</v>
      </c>
      <c r="B1615" t="s">
        <v>4319</v>
      </c>
      <c r="C1615" t="s">
        <v>4320</v>
      </c>
      <c r="D1615" t="s">
        <v>4321</v>
      </c>
      <c r="E1615">
        <v>5707645620</v>
      </c>
      <c r="F1615" t="s">
        <v>1345</v>
      </c>
      <c r="G1615" t="s">
        <v>799</v>
      </c>
      <c r="I1615" t="s">
        <v>47</v>
      </c>
      <c r="J1615" s="13">
        <v>45965</v>
      </c>
      <c r="K1615" s="13">
        <v>46023</v>
      </c>
      <c r="L1615" t="s">
        <v>497</v>
      </c>
      <c r="M1615" t="s">
        <v>54</v>
      </c>
      <c r="N1615">
        <v>71485720</v>
      </c>
    </row>
    <row r="1616" spans="1:14" x14ac:dyDescent="0.25">
      <c r="A1616">
        <v>59595578</v>
      </c>
      <c r="B1616" t="s">
        <v>4322</v>
      </c>
      <c r="C1616" t="s">
        <v>4323</v>
      </c>
      <c r="D1616" t="s">
        <v>4324</v>
      </c>
      <c r="E1616">
        <v>9724674994</v>
      </c>
      <c r="F1616" t="s">
        <v>815</v>
      </c>
      <c r="G1616" t="s">
        <v>816</v>
      </c>
      <c r="I1616" t="s">
        <v>23</v>
      </c>
      <c r="J1616" s="13">
        <v>46037</v>
      </c>
      <c r="K1616" s="13">
        <v>46054</v>
      </c>
      <c r="L1616" t="s">
        <v>444</v>
      </c>
      <c r="M1616" t="s">
        <v>58</v>
      </c>
      <c r="N1616">
        <v>71485956</v>
      </c>
    </row>
    <row r="1617" spans="1:14" x14ac:dyDescent="0.25">
      <c r="A1617">
        <v>57845254</v>
      </c>
      <c r="B1617" t="s">
        <v>4325</v>
      </c>
      <c r="C1617" t="s">
        <v>2335</v>
      </c>
      <c r="D1617" t="s">
        <v>4326</v>
      </c>
      <c r="E1617">
        <v>3038150253</v>
      </c>
      <c r="F1617" t="s">
        <v>448</v>
      </c>
      <c r="G1617" t="s">
        <v>449</v>
      </c>
      <c r="I1617" t="s">
        <v>31</v>
      </c>
      <c r="J1617" s="13">
        <v>45965</v>
      </c>
      <c r="K1617" s="13">
        <v>46023</v>
      </c>
      <c r="L1617" t="s">
        <v>539</v>
      </c>
      <c r="M1617" t="s">
        <v>419</v>
      </c>
      <c r="N1617">
        <v>71485968</v>
      </c>
    </row>
    <row r="1618" spans="1:14" x14ac:dyDescent="0.25">
      <c r="A1618">
        <v>57845294</v>
      </c>
      <c r="B1618" t="s">
        <v>4327</v>
      </c>
      <c r="C1618" t="s">
        <v>4328</v>
      </c>
      <c r="D1618" t="s">
        <v>4329</v>
      </c>
      <c r="E1618">
        <v>3343123158</v>
      </c>
      <c r="F1618" t="s">
        <v>705</v>
      </c>
      <c r="G1618" t="s">
        <v>706</v>
      </c>
      <c r="I1618" t="s">
        <v>12</v>
      </c>
      <c r="J1618" s="13">
        <v>45965</v>
      </c>
      <c r="K1618" s="13">
        <v>46023</v>
      </c>
      <c r="L1618" t="s">
        <v>450</v>
      </c>
      <c r="M1618" t="s">
        <v>59</v>
      </c>
      <c r="N1618">
        <v>71485996</v>
      </c>
    </row>
    <row r="1619" spans="1:14" x14ac:dyDescent="0.25">
      <c r="A1619">
        <v>57845772</v>
      </c>
      <c r="B1619" t="s">
        <v>1038</v>
      </c>
      <c r="C1619" t="s">
        <v>4330</v>
      </c>
      <c r="D1619" t="s">
        <v>4331</v>
      </c>
      <c r="E1619">
        <v>9284505751</v>
      </c>
      <c r="F1619" t="s">
        <v>1142</v>
      </c>
      <c r="G1619" t="s">
        <v>1143</v>
      </c>
      <c r="I1619" t="s">
        <v>124</v>
      </c>
      <c r="J1619" s="13">
        <v>45965</v>
      </c>
      <c r="K1619" s="13">
        <v>46023</v>
      </c>
      <c r="L1619" t="s">
        <v>1179</v>
      </c>
      <c r="M1619" t="s">
        <v>61</v>
      </c>
      <c r="N1619">
        <v>71486310</v>
      </c>
    </row>
    <row r="1620" spans="1:14" x14ac:dyDescent="0.25">
      <c r="A1620">
        <v>57845816</v>
      </c>
      <c r="B1620" t="s">
        <v>524</v>
      </c>
      <c r="C1620" t="s">
        <v>4332</v>
      </c>
      <c r="D1620" t="s">
        <v>4333</v>
      </c>
      <c r="E1620">
        <v>7068894310</v>
      </c>
      <c r="F1620" t="s">
        <v>770</v>
      </c>
      <c r="G1620" t="s">
        <v>771</v>
      </c>
      <c r="I1620" t="s">
        <v>25</v>
      </c>
      <c r="J1620" s="13">
        <v>45965</v>
      </c>
      <c r="K1620" s="13">
        <v>46023</v>
      </c>
      <c r="L1620" t="s">
        <v>621</v>
      </c>
      <c r="M1620" t="s">
        <v>59</v>
      </c>
      <c r="N1620">
        <v>71486329</v>
      </c>
    </row>
    <row r="1621" spans="1:14" x14ac:dyDescent="0.25">
      <c r="A1621">
        <v>57845879</v>
      </c>
      <c r="B1621" t="s">
        <v>4334</v>
      </c>
      <c r="C1621" t="s">
        <v>4335</v>
      </c>
      <c r="D1621" t="s">
        <v>4336</v>
      </c>
      <c r="E1621">
        <v>9364428973</v>
      </c>
      <c r="F1621" t="s">
        <v>551</v>
      </c>
      <c r="G1621" t="s">
        <v>552</v>
      </c>
      <c r="I1621" t="s">
        <v>42</v>
      </c>
      <c r="J1621" s="13">
        <v>45965</v>
      </c>
      <c r="K1621" s="13">
        <v>46023</v>
      </c>
      <c r="L1621" t="s">
        <v>444</v>
      </c>
      <c r="M1621" t="s">
        <v>419</v>
      </c>
      <c r="N1621">
        <v>71486339</v>
      </c>
    </row>
    <row r="1622" spans="1:14" x14ac:dyDescent="0.25">
      <c r="A1622">
        <v>57845825</v>
      </c>
      <c r="B1622" t="s">
        <v>4337</v>
      </c>
      <c r="C1622" t="s">
        <v>4338</v>
      </c>
      <c r="D1622" t="s">
        <v>4339</v>
      </c>
      <c r="E1622">
        <v>7863156035</v>
      </c>
      <c r="F1622" t="s">
        <v>775</v>
      </c>
      <c r="G1622" t="s">
        <v>776</v>
      </c>
      <c r="I1622" t="s">
        <v>22</v>
      </c>
      <c r="J1622" s="13">
        <v>45965</v>
      </c>
      <c r="K1622" s="13">
        <v>46023</v>
      </c>
      <c r="L1622" t="s">
        <v>497</v>
      </c>
      <c r="M1622" t="s">
        <v>56</v>
      </c>
      <c r="N1622">
        <v>71486340</v>
      </c>
    </row>
    <row r="1623" spans="1:14" x14ac:dyDescent="0.25">
      <c r="A1623">
        <v>57846005</v>
      </c>
      <c r="B1623" t="s">
        <v>4340</v>
      </c>
      <c r="C1623" t="s">
        <v>4341</v>
      </c>
      <c r="D1623" t="s">
        <v>4342</v>
      </c>
      <c r="E1623">
        <v>3212651940</v>
      </c>
      <c r="F1623" t="s">
        <v>1003</v>
      </c>
      <c r="G1623" t="s">
        <v>1004</v>
      </c>
      <c r="I1623" t="s">
        <v>89</v>
      </c>
      <c r="J1623" s="13">
        <v>45965</v>
      </c>
      <c r="K1623" s="13">
        <v>46023</v>
      </c>
      <c r="L1623" t="s">
        <v>497</v>
      </c>
      <c r="M1623" t="s">
        <v>58</v>
      </c>
      <c r="N1623">
        <v>71486445</v>
      </c>
    </row>
    <row r="1624" spans="1:14" x14ac:dyDescent="0.25">
      <c r="A1624">
        <v>57846205</v>
      </c>
      <c r="B1624" t="s">
        <v>4343</v>
      </c>
      <c r="C1624" t="s">
        <v>4344</v>
      </c>
      <c r="D1624" t="s">
        <v>4345</v>
      </c>
      <c r="E1624">
        <v>7049129790</v>
      </c>
      <c r="F1624" t="s">
        <v>1147</v>
      </c>
      <c r="G1624" t="s">
        <v>1148</v>
      </c>
      <c r="I1624" t="s">
        <v>41</v>
      </c>
      <c r="J1624" s="13">
        <v>45965</v>
      </c>
      <c r="K1624" s="13">
        <v>46023</v>
      </c>
      <c r="L1624" t="s">
        <v>603</v>
      </c>
      <c r="M1624" t="s">
        <v>59</v>
      </c>
      <c r="N1624">
        <v>71486551</v>
      </c>
    </row>
    <row r="1625" spans="1:14" x14ac:dyDescent="0.25">
      <c r="A1625">
        <v>57846664</v>
      </c>
      <c r="B1625" t="s">
        <v>3237</v>
      </c>
      <c r="C1625" t="s">
        <v>4346</v>
      </c>
      <c r="D1625" t="s">
        <v>4347</v>
      </c>
      <c r="E1625">
        <v>3146370379</v>
      </c>
      <c r="F1625" t="s">
        <v>842</v>
      </c>
      <c r="G1625" t="s">
        <v>843</v>
      </c>
      <c r="I1625" t="s">
        <v>98</v>
      </c>
      <c r="J1625" s="13">
        <v>45965</v>
      </c>
      <c r="K1625" s="13">
        <v>46023</v>
      </c>
      <c r="L1625" t="s">
        <v>434</v>
      </c>
      <c r="M1625" t="s">
        <v>59</v>
      </c>
      <c r="N1625">
        <v>71486834</v>
      </c>
    </row>
    <row r="1626" spans="1:14" x14ac:dyDescent="0.25">
      <c r="A1626">
        <v>57846908</v>
      </c>
      <c r="B1626" t="s">
        <v>2039</v>
      </c>
      <c r="C1626" t="s">
        <v>4348</v>
      </c>
      <c r="D1626" t="s">
        <v>4349</v>
      </c>
      <c r="E1626">
        <v>6785987430</v>
      </c>
      <c r="F1626" t="s">
        <v>684</v>
      </c>
      <c r="G1626" t="s">
        <v>685</v>
      </c>
      <c r="I1626" t="s">
        <v>686</v>
      </c>
      <c r="J1626" s="13">
        <v>45965</v>
      </c>
      <c r="K1626" s="13">
        <v>46023</v>
      </c>
      <c r="L1626" t="s">
        <v>621</v>
      </c>
      <c r="M1626" t="s">
        <v>59</v>
      </c>
      <c r="N1626">
        <v>71486983</v>
      </c>
    </row>
    <row r="1627" spans="1:14" x14ac:dyDescent="0.25">
      <c r="A1627">
        <v>57847015</v>
      </c>
      <c r="B1627" t="s">
        <v>1316</v>
      </c>
      <c r="C1627" t="s">
        <v>4350</v>
      </c>
      <c r="D1627" t="s">
        <v>4351</v>
      </c>
      <c r="E1627">
        <v>2605711459</v>
      </c>
      <c r="F1627" t="s">
        <v>705</v>
      </c>
      <c r="G1627" t="s">
        <v>706</v>
      </c>
      <c r="I1627" t="s">
        <v>12</v>
      </c>
      <c r="J1627" s="13">
        <v>45965</v>
      </c>
      <c r="K1627" s="13">
        <v>46023</v>
      </c>
      <c r="L1627" t="s">
        <v>440</v>
      </c>
      <c r="M1627" t="s">
        <v>59</v>
      </c>
      <c r="N1627">
        <v>71487073</v>
      </c>
    </row>
    <row r="1628" spans="1:14" x14ac:dyDescent="0.25">
      <c r="A1628">
        <v>57847079</v>
      </c>
      <c r="B1628" t="s">
        <v>522</v>
      </c>
      <c r="C1628" t="s">
        <v>1287</v>
      </c>
      <c r="D1628" t="s">
        <v>4352</v>
      </c>
      <c r="E1628">
        <v>6302401066</v>
      </c>
      <c r="F1628" t="s">
        <v>828</v>
      </c>
      <c r="G1628" t="s">
        <v>1148</v>
      </c>
      <c r="I1628" t="s">
        <v>17</v>
      </c>
      <c r="J1628" s="13">
        <v>45965</v>
      </c>
      <c r="K1628" s="13">
        <v>46023</v>
      </c>
      <c r="L1628" t="s">
        <v>440</v>
      </c>
      <c r="M1628" t="s">
        <v>56</v>
      </c>
      <c r="N1628">
        <v>71487126</v>
      </c>
    </row>
    <row r="1629" spans="1:14" x14ac:dyDescent="0.25">
      <c r="A1629">
        <v>57847080</v>
      </c>
      <c r="B1629" t="s">
        <v>1658</v>
      </c>
      <c r="C1629" t="s">
        <v>4353</v>
      </c>
      <c r="D1629" t="s">
        <v>4354</v>
      </c>
      <c r="E1629">
        <v>7726347149</v>
      </c>
      <c r="F1629" t="s">
        <v>474</v>
      </c>
      <c r="G1629" t="s">
        <v>475</v>
      </c>
      <c r="I1629" t="s">
        <v>132</v>
      </c>
      <c r="J1629" s="13">
        <v>45965</v>
      </c>
      <c r="K1629" s="13">
        <v>46023</v>
      </c>
      <c r="L1629" t="s">
        <v>497</v>
      </c>
      <c r="M1629" t="s">
        <v>54</v>
      </c>
      <c r="N1629">
        <v>71487127</v>
      </c>
    </row>
    <row r="1630" spans="1:14" x14ac:dyDescent="0.25">
      <c r="A1630">
        <v>57847586</v>
      </c>
      <c r="B1630" t="s">
        <v>4355</v>
      </c>
      <c r="C1630" t="s">
        <v>4356</v>
      </c>
      <c r="D1630" t="s">
        <v>4357</v>
      </c>
      <c r="E1630">
        <v>2146076899</v>
      </c>
      <c r="F1630" t="s">
        <v>1013</v>
      </c>
      <c r="G1630" t="s">
        <v>1014</v>
      </c>
      <c r="I1630" t="s">
        <v>43</v>
      </c>
      <c r="J1630" s="13">
        <v>45965</v>
      </c>
      <c r="K1630" s="13">
        <v>46023</v>
      </c>
      <c r="L1630" t="s">
        <v>444</v>
      </c>
      <c r="M1630" t="s">
        <v>56</v>
      </c>
      <c r="N1630">
        <v>71487423</v>
      </c>
    </row>
    <row r="1631" spans="1:14" x14ac:dyDescent="0.25">
      <c r="A1631">
        <v>57847845</v>
      </c>
      <c r="B1631" t="s">
        <v>476</v>
      </c>
      <c r="C1631" t="s">
        <v>4358</v>
      </c>
      <c r="D1631" t="s">
        <v>4359</v>
      </c>
      <c r="E1631">
        <v>8655916240</v>
      </c>
      <c r="F1631" t="s">
        <v>592</v>
      </c>
      <c r="G1631" t="s">
        <v>593</v>
      </c>
      <c r="I1631" t="s">
        <v>115</v>
      </c>
      <c r="J1631" s="13">
        <v>45965</v>
      </c>
      <c r="K1631" s="13">
        <v>46023</v>
      </c>
      <c r="L1631" t="s">
        <v>479</v>
      </c>
      <c r="M1631" t="s">
        <v>59</v>
      </c>
      <c r="N1631">
        <v>71487583</v>
      </c>
    </row>
    <row r="1632" spans="1:14" x14ac:dyDescent="0.25">
      <c r="A1632">
        <v>57847905</v>
      </c>
      <c r="B1632" t="s">
        <v>4360</v>
      </c>
      <c r="C1632" t="s">
        <v>4361</v>
      </c>
      <c r="D1632" t="s">
        <v>4362</v>
      </c>
      <c r="E1632">
        <v>2195123232</v>
      </c>
      <c r="F1632" t="s">
        <v>790</v>
      </c>
      <c r="G1632" t="s">
        <v>791</v>
      </c>
      <c r="I1632" t="s">
        <v>119</v>
      </c>
      <c r="J1632" s="13">
        <v>45965</v>
      </c>
      <c r="K1632" s="13">
        <v>46023</v>
      </c>
      <c r="L1632" t="s">
        <v>440</v>
      </c>
      <c r="M1632" t="s">
        <v>419</v>
      </c>
      <c r="N1632">
        <v>71487620</v>
      </c>
    </row>
    <row r="1633" spans="1:14" x14ac:dyDescent="0.25">
      <c r="A1633">
        <v>57848067</v>
      </c>
      <c r="B1633" t="s">
        <v>4363</v>
      </c>
      <c r="C1633" t="s">
        <v>4364</v>
      </c>
      <c r="D1633" t="s">
        <v>4365</v>
      </c>
      <c r="E1633">
        <v>8133841092</v>
      </c>
      <c r="F1633" t="s">
        <v>423</v>
      </c>
      <c r="G1633" t="s">
        <v>424</v>
      </c>
      <c r="I1633" t="s">
        <v>46</v>
      </c>
      <c r="J1633" s="13">
        <v>45965</v>
      </c>
      <c r="K1633" s="13">
        <v>46023</v>
      </c>
      <c r="L1633" t="s">
        <v>497</v>
      </c>
      <c r="M1633" t="s">
        <v>56</v>
      </c>
      <c r="N1633">
        <v>71487651</v>
      </c>
    </row>
    <row r="1634" spans="1:14" x14ac:dyDescent="0.25">
      <c r="A1634">
        <v>57848104</v>
      </c>
      <c r="B1634" t="s">
        <v>1427</v>
      </c>
      <c r="C1634" t="s">
        <v>4366</v>
      </c>
      <c r="D1634" t="s">
        <v>4367</v>
      </c>
      <c r="E1634">
        <v>7864454961</v>
      </c>
      <c r="F1634" t="s">
        <v>1444</v>
      </c>
      <c r="G1634" t="s">
        <v>1445</v>
      </c>
      <c r="I1634" t="s">
        <v>1446</v>
      </c>
      <c r="J1634" s="13">
        <v>45965</v>
      </c>
      <c r="K1634" s="13">
        <v>46023</v>
      </c>
      <c r="L1634" t="s">
        <v>497</v>
      </c>
      <c r="M1634" t="s">
        <v>56</v>
      </c>
      <c r="N1634">
        <v>71487722</v>
      </c>
    </row>
    <row r="1635" spans="1:14" x14ac:dyDescent="0.25">
      <c r="A1635">
        <v>57848866</v>
      </c>
      <c r="B1635" t="s">
        <v>4368</v>
      </c>
      <c r="C1635" t="s">
        <v>4369</v>
      </c>
      <c r="D1635" t="s">
        <v>4370</v>
      </c>
      <c r="E1635">
        <v>5613172737</v>
      </c>
      <c r="F1635" t="s">
        <v>416</v>
      </c>
      <c r="G1635" t="s">
        <v>417</v>
      </c>
      <c r="I1635" t="s">
        <v>26</v>
      </c>
      <c r="J1635" s="13">
        <v>45965</v>
      </c>
      <c r="K1635" s="13">
        <v>46023</v>
      </c>
      <c r="L1635" t="s">
        <v>497</v>
      </c>
      <c r="M1635" t="s">
        <v>54</v>
      </c>
      <c r="N1635">
        <v>71488180</v>
      </c>
    </row>
    <row r="1636" spans="1:14" x14ac:dyDescent="0.25">
      <c r="A1636">
        <v>57849003</v>
      </c>
      <c r="B1636" t="s">
        <v>4371</v>
      </c>
      <c r="C1636" t="s">
        <v>4372</v>
      </c>
      <c r="D1636" t="s">
        <v>4373</v>
      </c>
      <c r="E1636">
        <v>6027894659</v>
      </c>
      <c r="F1636" t="s">
        <v>474</v>
      </c>
      <c r="G1636" t="s">
        <v>475</v>
      </c>
      <c r="I1636" t="s">
        <v>132</v>
      </c>
      <c r="J1636" s="13">
        <v>45965</v>
      </c>
      <c r="K1636" s="13">
        <v>46023</v>
      </c>
      <c r="L1636" t="s">
        <v>1179</v>
      </c>
      <c r="M1636" t="s">
        <v>54</v>
      </c>
      <c r="N1636">
        <v>71488277</v>
      </c>
    </row>
    <row r="1637" spans="1:14" x14ac:dyDescent="0.25">
      <c r="A1637">
        <v>57849027</v>
      </c>
      <c r="B1637" t="s">
        <v>4374</v>
      </c>
      <c r="C1637" t="s">
        <v>1533</v>
      </c>
      <c r="D1637" t="s">
        <v>4375</v>
      </c>
      <c r="E1637">
        <v>8163518775</v>
      </c>
      <c r="F1637" t="s">
        <v>870</v>
      </c>
      <c r="G1637" t="s">
        <v>871</v>
      </c>
      <c r="I1637" t="s">
        <v>872</v>
      </c>
      <c r="J1637" s="13">
        <v>45965</v>
      </c>
      <c r="K1637" s="13">
        <v>46023</v>
      </c>
      <c r="L1637" t="s">
        <v>434</v>
      </c>
      <c r="M1637" t="s">
        <v>58</v>
      </c>
      <c r="N1637">
        <v>71488284</v>
      </c>
    </row>
    <row r="1638" spans="1:14" x14ac:dyDescent="0.25">
      <c r="A1638">
        <v>57849098</v>
      </c>
      <c r="B1638" t="s">
        <v>1268</v>
      </c>
      <c r="C1638" t="s">
        <v>4376</v>
      </c>
      <c r="D1638" t="s">
        <v>4377</v>
      </c>
      <c r="E1638">
        <v>9416281706</v>
      </c>
      <c r="F1638" t="s">
        <v>798</v>
      </c>
      <c r="G1638" t="s">
        <v>799</v>
      </c>
      <c r="I1638" t="s">
        <v>800</v>
      </c>
      <c r="J1638" s="13">
        <v>45965</v>
      </c>
      <c r="K1638" s="13">
        <v>46023</v>
      </c>
      <c r="L1638" t="s">
        <v>497</v>
      </c>
      <c r="M1638" t="s">
        <v>60</v>
      </c>
      <c r="N1638">
        <v>71488338</v>
      </c>
    </row>
    <row r="1639" spans="1:14" x14ac:dyDescent="0.25">
      <c r="A1639">
        <v>57849141</v>
      </c>
      <c r="B1639" t="s">
        <v>1658</v>
      </c>
      <c r="C1639" t="s">
        <v>4378</v>
      </c>
      <c r="D1639" t="s">
        <v>4379</v>
      </c>
      <c r="E1639">
        <v>5202652406</v>
      </c>
      <c r="F1639" t="s">
        <v>1345</v>
      </c>
      <c r="G1639" t="s">
        <v>799</v>
      </c>
      <c r="I1639" t="s">
        <v>47</v>
      </c>
      <c r="J1639" s="13">
        <v>45965</v>
      </c>
      <c r="K1639" s="13">
        <v>46023</v>
      </c>
      <c r="L1639" t="s">
        <v>1179</v>
      </c>
      <c r="M1639" t="s">
        <v>59</v>
      </c>
      <c r="N1639">
        <v>71488371</v>
      </c>
    </row>
    <row r="1640" spans="1:14" x14ac:dyDescent="0.25">
      <c r="A1640">
        <v>57849602</v>
      </c>
      <c r="B1640" t="s">
        <v>4380</v>
      </c>
      <c r="C1640" t="s">
        <v>4381</v>
      </c>
      <c r="D1640" t="s">
        <v>4382</v>
      </c>
      <c r="E1640">
        <v>4793252545</v>
      </c>
      <c r="F1640" t="s">
        <v>1003</v>
      </c>
      <c r="G1640" t="s">
        <v>1004</v>
      </c>
      <c r="I1640" t="s">
        <v>89</v>
      </c>
      <c r="J1640" s="13">
        <v>45965</v>
      </c>
      <c r="K1640" s="13">
        <v>46023</v>
      </c>
      <c r="L1640" t="s">
        <v>553</v>
      </c>
      <c r="M1640" t="s">
        <v>59</v>
      </c>
      <c r="N1640">
        <v>71488661</v>
      </c>
    </row>
    <row r="1641" spans="1:14" x14ac:dyDescent="0.25">
      <c r="A1641">
        <v>57849776</v>
      </c>
      <c r="B1641" t="s">
        <v>1148</v>
      </c>
      <c r="C1641" t="s">
        <v>4383</v>
      </c>
      <c r="D1641" t="s">
        <v>4384</v>
      </c>
      <c r="E1641">
        <v>4794597592</v>
      </c>
      <c r="F1641" t="s">
        <v>957</v>
      </c>
      <c r="G1641" t="s">
        <v>958</v>
      </c>
      <c r="H1641" t="s">
        <v>959</v>
      </c>
      <c r="I1641" t="s">
        <v>960</v>
      </c>
      <c r="J1641" s="13">
        <v>45965</v>
      </c>
      <c r="K1641" s="13">
        <v>46023</v>
      </c>
      <c r="L1641" t="s">
        <v>553</v>
      </c>
      <c r="M1641" t="s">
        <v>56</v>
      </c>
      <c r="N1641">
        <v>71488670</v>
      </c>
    </row>
    <row r="1642" spans="1:14" x14ac:dyDescent="0.25">
      <c r="A1642">
        <v>57849634</v>
      </c>
      <c r="B1642" t="s">
        <v>2681</v>
      </c>
      <c r="C1642" t="s">
        <v>4385</v>
      </c>
      <c r="D1642" t="s">
        <v>4386</v>
      </c>
      <c r="E1642">
        <v>8285086113</v>
      </c>
      <c r="F1642" t="s">
        <v>684</v>
      </c>
      <c r="G1642" t="s">
        <v>685</v>
      </c>
      <c r="I1642" t="s">
        <v>686</v>
      </c>
      <c r="J1642" s="13">
        <v>45965</v>
      </c>
      <c r="K1642" s="13">
        <v>46023</v>
      </c>
      <c r="L1642" t="s">
        <v>603</v>
      </c>
      <c r="M1642" t="s">
        <v>56</v>
      </c>
      <c r="N1642">
        <v>71488677</v>
      </c>
    </row>
    <row r="1643" spans="1:14" x14ac:dyDescent="0.25">
      <c r="A1643">
        <v>57849878</v>
      </c>
      <c r="B1643" t="s">
        <v>4387</v>
      </c>
      <c r="C1643" t="s">
        <v>4388</v>
      </c>
      <c r="D1643" t="s">
        <v>4389</v>
      </c>
      <c r="E1643">
        <v>9283267009</v>
      </c>
      <c r="F1643" t="s">
        <v>474</v>
      </c>
      <c r="G1643" t="s">
        <v>475</v>
      </c>
      <c r="I1643" t="s">
        <v>132</v>
      </c>
      <c r="J1643" s="13">
        <v>45965</v>
      </c>
      <c r="K1643" s="13">
        <v>46023</v>
      </c>
      <c r="L1643" t="s">
        <v>1179</v>
      </c>
      <c r="M1643" t="s">
        <v>58</v>
      </c>
      <c r="N1643">
        <v>71488836</v>
      </c>
    </row>
    <row r="1644" spans="1:14" x14ac:dyDescent="0.25">
      <c r="A1644">
        <v>57849986</v>
      </c>
      <c r="B1644" t="s">
        <v>4390</v>
      </c>
      <c r="C1644" t="s">
        <v>4391</v>
      </c>
      <c r="D1644" t="s">
        <v>4392</v>
      </c>
      <c r="E1644">
        <v>7729259525</v>
      </c>
      <c r="F1644" t="s">
        <v>592</v>
      </c>
      <c r="G1644" t="s">
        <v>593</v>
      </c>
      <c r="I1644" t="s">
        <v>115</v>
      </c>
      <c r="J1644" s="13">
        <v>45965</v>
      </c>
      <c r="K1644" s="13">
        <v>46023</v>
      </c>
      <c r="L1644" t="s">
        <v>497</v>
      </c>
      <c r="M1644" t="s">
        <v>59</v>
      </c>
      <c r="N1644">
        <v>71488912</v>
      </c>
    </row>
    <row r="1645" spans="1:14" x14ac:dyDescent="0.25">
      <c r="A1645">
        <v>57850011</v>
      </c>
      <c r="B1645" t="s">
        <v>445</v>
      </c>
      <c r="C1645" t="s">
        <v>2255</v>
      </c>
      <c r="D1645" t="s">
        <v>4393</v>
      </c>
      <c r="E1645">
        <v>2398785690</v>
      </c>
      <c r="F1645" t="s">
        <v>615</v>
      </c>
      <c r="G1645" t="s">
        <v>616</v>
      </c>
      <c r="I1645" t="s">
        <v>617</v>
      </c>
      <c r="J1645" s="13">
        <v>45965</v>
      </c>
      <c r="K1645" s="13">
        <v>46023</v>
      </c>
      <c r="L1645" t="s">
        <v>497</v>
      </c>
      <c r="M1645" t="s">
        <v>56</v>
      </c>
      <c r="N1645">
        <v>71488921</v>
      </c>
    </row>
    <row r="1646" spans="1:14" x14ac:dyDescent="0.25">
      <c r="A1646">
        <v>57850072</v>
      </c>
      <c r="B1646" t="s">
        <v>865</v>
      </c>
      <c r="C1646" t="s">
        <v>2255</v>
      </c>
      <c r="D1646" t="s">
        <v>4394</v>
      </c>
      <c r="E1646">
        <v>2398785690</v>
      </c>
      <c r="F1646" t="s">
        <v>615</v>
      </c>
      <c r="G1646" t="s">
        <v>616</v>
      </c>
      <c r="I1646" t="s">
        <v>617</v>
      </c>
      <c r="J1646" s="13">
        <v>45965</v>
      </c>
      <c r="K1646" s="13">
        <v>46023</v>
      </c>
      <c r="L1646" t="s">
        <v>497</v>
      </c>
      <c r="M1646" t="s">
        <v>56</v>
      </c>
      <c r="N1646">
        <v>71488943</v>
      </c>
    </row>
    <row r="1647" spans="1:14" x14ac:dyDescent="0.25">
      <c r="A1647">
        <v>57850119</v>
      </c>
      <c r="B1647" t="s">
        <v>4395</v>
      </c>
      <c r="C1647" t="s">
        <v>4396</v>
      </c>
      <c r="D1647" t="s">
        <v>4397</v>
      </c>
      <c r="E1647">
        <v>2294054151</v>
      </c>
      <c r="F1647" t="s">
        <v>790</v>
      </c>
      <c r="G1647" t="s">
        <v>791</v>
      </c>
      <c r="I1647" t="s">
        <v>119</v>
      </c>
      <c r="J1647" s="13">
        <v>45965</v>
      </c>
      <c r="K1647" s="13">
        <v>46023</v>
      </c>
      <c r="L1647" t="s">
        <v>621</v>
      </c>
      <c r="M1647" t="s">
        <v>58</v>
      </c>
      <c r="N1647">
        <v>71488966</v>
      </c>
    </row>
    <row r="1648" spans="1:14" x14ac:dyDescent="0.25">
      <c r="A1648">
        <v>57850248</v>
      </c>
      <c r="B1648" t="s">
        <v>4398</v>
      </c>
      <c r="C1648" t="s">
        <v>1258</v>
      </c>
      <c r="D1648" t="s">
        <v>4399</v>
      </c>
      <c r="E1648">
        <v>3528055613</v>
      </c>
      <c r="F1648" t="s">
        <v>770</v>
      </c>
      <c r="G1648" t="s">
        <v>771</v>
      </c>
      <c r="I1648" t="s">
        <v>25</v>
      </c>
      <c r="J1648" s="13">
        <v>45965</v>
      </c>
      <c r="K1648" s="13">
        <v>46023</v>
      </c>
      <c r="L1648" t="s">
        <v>497</v>
      </c>
      <c r="M1648" t="s">
        <v>59</v>
      </c>
      <c r="N1648">
        <v>71489032</v>
      </c>
    </row>
    <row r="1649" spans="1:14" x14ac:dyDescent="0.25">
      <c r="A1649">
        <v>57850946</v>
      </c>
      <c r="B1649" t="s">
        <v>552</v>
      </c>
      <c r="C1649" t="s">
        <v>4400</v>
      </c>
      <c r="D1649" t="s">
        <v>4401</v>
      </c>
      <c r="E1649">
        <v>9856342115</v>
      </c>
      <c r="F1649" t="s">
        <v>649</v>
      </c>
      <c r="G1649" t="s">
        <v>650</v>
      </c>
      <c r="I1649" t="s">
        <v>28</v>
      </c>
      <c r="J1649" s="13">
        <v>45965</v>
      </c>
      <c r="K1649" s="13">
        <v>46023</v>
      </c>
      <c r="L1649" t="s">
        <v>533</v>
      </c>
      <c r="M1649" t="s">
        <v>56</v>
      </c>
      <c r="N1649">
        <v>71489600</v>
      </c>
    </row>
    <row r="1650" spans="1:14" x14ac:dyDescent="0.25">
      <c r="A1650">
        <v>57851237</v>
      </c>
      <c r="B1650" t="s">
        <v>2927</v>
      </c>
      <c r="C1650" t="s">
        <v>4402</v>
      </c>
      <c r="D1650" t="s">
        <v>4403</v>
      </c>
      <c r="E1650">
        <v>9044761302</v>
      </c>
      <c r="F1650" t="s">
        <v>416</v>
      </c>
      <c r="G1650" t="s">
        <v>417</v>
      </c>
      <c r="I1650" t="s">
        <v>26</v>
      </c>
      <c r="J1650" s="13">
        <v>45965</v>
      </c>
      <c r="K1650" s="13">
        <v>46023</v>
      </c>
      <c r="L1650" t="s">
        <v>497</v>
      </c>
      <c r="M1650" t="s">
        <v>54</v>
      </c>
      <c r="N1650">
        <v>71489765</v>
      </c>
    </row>
    <row r="1651" spans="1:14" x14ac:dyDescent="0.25">
      <c r="A1651">
        <v>57854709</v>
      </c>
      <c r="B1651" t="s">
        <v>1148</v>
      </c>
      <c r="C1651" t="s">
        <v>1139</v>
      </c>
      <c r="D1651" t="s">
        <v>4404</v>
      </c>
      <c r="E1651">
        <v>6233875303</v>
      </c>
      <c r="F1651" t="s">
        <v>775</v>
      </c>
      <c r="G1651" t="s">
        <v>776</v>
      </c>
      <c r="I1651" t="s">
        <v>22</v>
      </c>
      <c r="J1651" s="13">
        <v>45966</v>
      </c>
      <c r="K1651" s="13">
        <v>46023</v>
      </c>
      <c r="L1651" t="s">
        <v>1179</v>
      </c>
      <c r="M1651" t="s">
        <v>59</v>
      </c>
      <c r="N1651">
        <v>71492308</v>
      </c>
    </row>
    <row r="1652" spans="1:14" x14ac:dyDescent="0.25">
      <c r="A1652">
        <v>57856735</v>
      </c>
      <c r="B1652" t="s">
        <v>4405</v>
      </c>
      <c r="C1652" t="s">
        <v>4406</v>
      </c>
      <c r="D1652" t="s">
        <v>4407</v>
      </c>
      <c r="E1652">
        <v>3046890684</v>
      </c>
      <c r="F1652" t="s">
        <v>1067</v>
      </c>
      <c r="G1652" t="s">
        <v>1068</v>
      </c>
      <c r="I1652" t="s">
        <v>35</v>
      </c>
      <c r="J1652" s="13">
        <v>45966</v>
      </c>
      <c r="K1652" s="13">
        <v>46023</v>
      </c>
      <c r="L1652" t="s">
        <v>1188</v>
      </c>
      <c r="M1652" t="s">
        <v>58</v>
      </c>
      <c r="N1652">
        <v>71493559</v>
      </c>
    </row>
    <row r="1653" spans="1:14" x14ac:dyDescent="0.25">
      <c r="A1653">
        <v>57857670</v>
      </c>
      <c r="B1653" t="s">
        <v>4408</v>
      </c>
      <c r="C1653" t="s">
        <v>4409</v>
      </c>
      <c r="D1653" t="s">
        <v>4410</v>
      </c>
      <c r="E1653">
        <v>6024026997</v>
      </c>
      <c r="F1653" t="s">
        <v>416</v>
      </c>
      <c r="G1653" t="s">
        <v>417</v>
      </c>
      <c r="I1653" t="s">
        <v>26</v>
      </c>
      <c r="J1653" s="13">
        <v>45966</v>
      </c>
      <c r="K1653" s="13">
        <v>46023</v>
      </c>
      <c r="L1653" t="s">
        <v>1179</v>
      </c>
      <c r="M1653" t="s">
        <v>54</v>
      </c>
      <c r="N1653">
        <v>71494027</v>
      </c>
    </row>
    <row r="1654" spans="1:14" x14ac:dyDescent="0.25">
      <c r="A1654">
        <v>57857641</v>
      </c>
      <c r="B1654" t="s">
        <v>4411</v>
      </c>
      <c r="C1654" t="s">
        <v>1203</v>
      </c>
      <c r="D1654" t="s">
        <v>4412</v>
      </c>
      <c r="E1654" t="s">
        <v>4413</v>
      </c>
      <c r="F1654" t="s">
        <v>448</v>
      </c>
      <c r="G1654" t="s">
        <v>449</v>
      </c>
      <c r="I1654" t="s">
        <v>31</v>
      </c>
      <c r="J1654" s="13">
        <v>45966</v>
      </c>
      <c r="K1654" s="13">
        <v>46023</v>
      </c>
      <c r="L1654" t="s">
        <v>490</v>
      </c>
      <c r="M1654" t="s">
        <v>61</v>
      </c>
      <c r="N1654">
        <v>71494033</v>
      </c>
    </row>
    <row r="1655" spans="1:14" x14ac:dyDescent="0.25">
      <c r="A1655">
        <v>57857734</v>
      </c>
      <c r="B1655" t="s">
        <v>4414</v>
      </c>
      <c r="C1655" t="s">
        <v>1773</v>
      </c>
      <c r="D1655" t="s">
        <v>4415</v>
      </c>
      <c r="E1655">
        <v>3163902513</v>
      </c>
      <c r="F1655" t="s">
        <v>821</v>
      </c>
      <c r="G1655" t="s">
        <v>822</v>
      </c>
      <c r="I1655" t="s">
        <v>823</v>
      </c>
      <c r="J1655" s="13">
        <v>45966</v>
      </c>
      <c r="K1655" s="13">
        <v>46023</v>
      </c>
      <c r="L1655" t="s">
        <v>520</v>
      </c>
      <c r="M1655" t="s">
        <v>58</v>
      </c>
      <c r="N1655">
        <v>71494089</v>
      </c>
    </row>
    <row r="1656" spans="1:14" x14ac:dyDescent="0.25">
      <c r="A1656">
        <v>57858470</v>
      </c>
      <c r="B1656" t="s">
        <v>3561</v>
      </c>
      <c r="C1656" t="s">
        <v>2482</v>
      </c>
      <c r="D1656" t="s">
        <v>4416</v>
      </c>
      <c r="E1656">
        <v>6026862405</v>
      </c>
      <c r="F1656" t="s">
        <v>1345</v>
      </c>
      <c r="G1656" t="s">
        <v>799</v>
      </c>
      <c r="I1656" t="s">
        <v>47</v>
      </c>
      <c r="J1656" s="13">
        <v>45966</v>
      </c>
      <c r="K1656" s="13">
        <v>46023</v>
      </c>
      <c r="L1656" t="s">
        <v>1179</v>
      </c>
      <c r="M1656" t="s">
        <v>54</v>
      </c>
      <c r="N1656">
        <v>71494384</v>
      </c>
    </row>
    <row r="1657" spans="1:14" x14ac:dyDescent="0.25">
      <c r="A1657">
        <v>57858946</v>
      </c>
      <c r="B1657" t="s">
        <v>687</v>
      </c>
      <c r="C1657" t="s">
        <v>2488</v>
      </c>
      <c r="D1657" t="s">
        <v>4417</v>
      </c>
      <c r="E1657">
        <v>8655676380</v>
      </c>
      <c r="F1657" t="s">
        <v>551</v>
      </c>
      <c r="G1657" t="s">
        <v>552</v>
      </c>
      <c r="I1657" t="s">
        <v>42</v>
      </c>
      <c r="J1657" s="13">
        <v>45966</v>
      </c>
      <c r="K1657" s="13">
        <v>46023</v>
      </c>
      <c r="L1657" t="s">
        <v>479</v>
      </c>
      <c r="M1657" t="s">
        <v>56</v>
      </c>
      <c r="N1657">
        <v>71494407</v>
      </c>
    </row>
    <row r="1658" spans="1:14" x14ac:dyDescent="0.25">
      <c r="A1658">
        <v>57858705</v>
      </c>
      <c r="B1658" t="s">
        <v>1304</v>
      </c>
      <c r="C1658" t="s">
        <v>2765</v>
      </c>
      <c r="D1658" t="s">
        <v>4418</v>
      </c>
      <c r="E1658">
        <v>2077407948</v>
      </c>
      <c r="F1658" t="s">
        <v>705</v>
      </c>
      <c r="G1658" t="s">
        <v>706</v>
      </c>
      <c r="I1658" t="s">
        <v>12</v>
      </c>
      <c r="J1658" s="13">
        <v>45966</v>
      </c>
      <c r="K1658" s="13">
        <v>46023</v>
      </c>
      <c r="L1658" t="s">
        <v>941</v>
      </c>
      <c r="M1658" t="s">
        <v>56</v>
      </c>
      <c r="N1658">
        <v>71494464</v>
      </c>
    </row>
    <row r="1659" spans="1:14" x14ac:dyDescent="0.25">
      <c r="A1659">
        <v>57859434</v>
      </c>
      <c r="B1659" t="s">
        <v>545</v>
      </c>
      <c r="C1659" t="s">
        <v>4419</v>
      </c>
      <c r="D1659" t="s">
        <v>4420</v>
      </c>
      <c r="E1659" t="s">
        <v>4421</v>
      </c>
      <c r="F1659" t="s">
        <v>448</v>
      </c>
      <c r="G1659" t="s">
        <v>449</v>
      </c>
      <c r="I1659" t="s">
        <v>31</v>
      </c>
      <c r="J1659" s="13">
        <v>45966</v>
      </c>
      <c r="K1659" s="13">
        <v>46023</v>
      </c>
      <c r="L1659" t="s">
        <v>490</v>
      </c>
      <c r="M1659" t="s">
        <v>58</v>
      </c>
      <c r="N1659">
        <v>71494851</v>
      </c>
    </row>
    <row r="1660" spans="1:14" x14ac:dyDescent="0.25">
      <c r="A1660">
        <v>57859478</v>
      </c>
      <c r="B1660" t="s">
        <v>4422</v>
      </c>
      <c r="C1660" t="s">
        <v>4423</v>
      </c>
      <c r="D1660" t="s">
        <v>4424</v>
      </c>
      <c r="E1660">
        <v>3122873526</v>
      </c>
      <c r="F1660" t="s">
        <v>790</v>
      </c>
      <c r="G1660" t="s">
        <v>791</v>
      </c>
      <c r="I1660" t="s">
        <v>119</v>
      </c>
      <c r="J1660" s="13">
        <v>45966</v>
      </c>
      <c r="K1660" s="13">
        <v>46023</v>
      </c>
      <c r="L1660" t="s">
        <v>470</v>
      </c>
      <c r="M1660" t="s">
        <v>56</v>
      </c>
      <c r="N1660">
        <v>71494877</v>
      </c>
    </row>
    <row r="1661" spans="1:14" x14ac:dyDescent="0.25">
      <c r="A1661">
        <v>57859553</v>
      </c>
      <c r="B1661" t="s">
        <v>548</v>
      </c>
      <c r="C1661" t="s">
        <v>4425</v>
      </c>
      <c r="D1661" t="s">
        <v>4426</v>
      </c>
      <c r="E1661">
        <v>6064015315</v>
      </c>
      <c r="F1661" t="s">
        <v>928</v>
      </c>
      <c r="G1661" t="s">
        <v>929</v>
      </c>
      <c r="I1661" t="s">
        <v>30</v>
      </c>
      <c r="J1661" s="13">
        <v>45966</v>
      </c>
      <c r="K1661" s="13">
        <v>46023</v>
      </c>
      <c r="L1661" t="s">
        <v>490</v>
      </c>
      <c r="M1661" t="s">
        <v>56</v>
      </c>
      <c r="N1661">
        <v>71494946</v>
      </c>
    </row>
    <row r="1662" spans="1:14" x14ac:dyDescent="0.25">
      <c r="A1662">
        <v>57859987</v>
      </c>
      <c r="B1662" t="s">
        <v>4427</v>
      </c>
      <c r="C1662" t="s">
        <v>1914</v>
      </c>
      <c r="D1662" t="s">
        <v>4428</v>
      </c>
      <c r="E1662">
        <v>3306127084</v>
      </c>
      <c r="F1662" t="s">
        <v>780</v>
      </c>
      <c r="G1662" t="s">
        <v>781</v>
      </c>
      <c r="I1662" t="s">
        <v>20</v>
      </c>
      <c r="J1662" s="13">
        <v>45966</v>
      </c>
      <c r="K1662" s="13">
        <v>46023</v>
      </c>
      <c r="L1662" t="s">
        <v>497</v>
      </c>
      <c r="M1662" t="s">
        <v>56</v>
      </c>
      <c r="N1662">
        <v>71495210</v>
      </c>
    </row>
    <row r="1663" spans="1:14" x14ac:dyDescent="0.25">
      <c r="A1663">
        <v>57860241</v>
      </c>
      <c r="B1663" t="s">
        <v>480</v>
      </c>
      <c r="C1663" t="s">
        <v>4429</v>
      </c>
      <c r="D1663" t="s">
        <v>4430</v>
      </c>
      <c r="E1663">
        <v>7705497816</v>
      </c>
      <c r="F1663" t="s">
        <v>842</v>
      </c>
      <c r="G1663" t="s">
        <v>843</v>
      </c>
      <c r="I1663" t="s">
        <v>98</v>
      </c>
      <c r="J1663" s="13">
        <v>45966</v>
      </c>
      <c r="K1663" s="13">
        <v>46023</v>
      </c>
      <c r="L1663" t="s">
        <v>621</v>
      </c>
      <c r="M1663" t="s">
        <v>59</v>
      </c>
      <c r="N1663">
        <v>71495368</v>
      </c>
    </row>
    <row r="1664" spans="1:14" x14ac:dyDescent="0.25">
      <c r="A1664">
        <v>57860250</v>
      </c>
      <c r="B1664" t="s">
        <v>3217</v>
      </c>
      <c r="C1664" t="s">
        <v>4431</v>
      </c>
      <c r="D1664" t="s">
        <v>4432</v>
      </c>
      <c r="E1664">
        <v>8708204827</v>
      </c>
      <c r="F1664" t="s">
        <v>574</v>
      </c>
      <c r="G1664" t="s">
        <v>575</v>
      </c>
      <c r="I1664" t="s">
        <v>14</v>
      </c>
      <c r="J1664" s="13">
        <v>45966</v>
      </c>
      <c r="K1664" s="13">
        <v>46023</v>
      </c>
      <c r="L1664" t="s">
        <v>553</v>
      </c>
      <c r="M1664" t="s">
        <v>56</v>
      </c>
      <c r="N1664">
        <v>71495374</v>
      </c>
    </row>
    <row r="1665" spans="1:14" x14ac:dyDescent="0.25">
      <c r="A1665">
        <v>57860831</v>
      </c>
      <c r="B1665" t="s">
        <v>2392</v>
      </c>
      <c r="C1665" t="s">
        <v>4433</v>
      </c>
      <c r="D1665" t="s">
        <v>4434</v>
      </c>
      <c r="E1665">
        <v>3122188983</v>
      </c>
      <c r="F1665" t="s">
        <v>423</v>
      </c>
      <c r="G1665" t="s">
        <v>424</v>
      </c>
      <c r="I1665" t="s">
        <v>46</v>
      </c>
      <c r="J1665" s="13">
        <v>45966</v>
      </c>
      <c r="K1665" s="13">
        <v>46023</v>
      </c>
      <c r="L1665" t="s">
        <v>470</v>
      </c>
      <c r="M1665" t="s">
        <v>56</v>
      </c>
      <c r="N1665">
        <v>71495473</v>
      </c>
    </row>
    <row r="1666" spans="1:14" x14ac:dyDescent="0.25">
      <c r="A1666">
        <v>57860588</v>
      </c>
      <c r="B1666" t="s">
        <v>548</v>
      </c>
      <c r="C1666" t="s">
        <v>2405</v>
      </c>
      <c r="D1666" t="s">
        <v>4435</v>
      </c>
      <c r="E1666">
        <v>2075928889</v>
      </c>
      <c r="F1666" t="s">
        <v>684</v>
      </c>
      <c r="G1666" t="s">
        <v>685</v>
      </c>
      <c r="I1666" t="s">
        <v>686</v>
      </c>
      <c r="J1666" s="13">
        <v>45966</v>
      </c>
      <c r="K1666" s="13">
        <v>46023</v>
      </c>
      <c r="L1666" t="s">
        <v>941</v>
      </c>
      <c r="M1666" t="s">
        <v>56</v>
      </c>
      <c r="N1666">
        <v>71495564</v>
      </c>
    </row>
    <row r="1667" spans="1:14" x14ac:dyDescent="0.25">
      <c r="A1667">
        <v>57860621</v>
      </c>
      <c r="B1667" t="s">
        <v>4436</v>
      </c>
      <c r="C1667" t="s">
        <v>4437</v>
      </c>
      <c r="D1667" t="s">
        <v>4438</v>
      </c>
      <c r="E1667">
        <v>5743600215</v>
      </c>
      <c r="F1667" t="s">
        <v>815</v>
      </c>
      <c r="G1667" t="s">
        <v>816</v>
      </c>
      <c r="I1667" t="s">
        <v>23</v>
      </c>
      <c r="J1667" s="13">
        <v>45966</v>
      </c>
      <c r="K1667" s="13">
        <v>46023</v>
      </c>
      <c r="L1667" t="s">
        <v>440</v>
      </c>
      <c r="M1667" t="s">
        <v>56</v>
      </c>
      <c r="N1667">
        <v>71495603</v>
      </c>
    </row>
    <row r="1668" spans="1:14" x14ac:dyDescent="0.25">
      <c r="A1668">
        <v>57860634</v>
      </c>
      <c r="B1668" t="s">
        <v>753</v>
      </c>
      <c r="C1668" t="s">
        <v>1416</v>
      </c>
      <c r="D1668" t="s">
        <v>4439</v>
      </c>
      <c r="E1668">
        <v>2172749829</v>
      </c>
      <c r="F1668" t="s">
        <v>628</v>
      </c>
      <c r="G1668" t="s">
        <v>629</v>
      </c>
      <c r="I1668" t="s">
        <v>24</v>
      </c>
      <c r="J1668" s="13">
        <v>45966</v>
      </c>
      <c r="K1668" s="13">
        <v>46023</v>
      </c>
      <c r="L1668" t="s">
        <v>470</v>
      </c>
      <c r="M1668" t="s">
        <v>60</v>
      </c>
      <c r="N1668">
        <v>71495609</v>
      </c>
    </row>
    <row r="1669" spans="1:14" x14ac:dyDescent="0.25">
      <c r="A1669">
        <v>57860732</v>
      </c>
      <c r="B1669" t="s">
        <v>706</v>
      </c>
      <c r="C1669" t="s">
        <v>4440</v>
      </c>
      <c r="D1669" t="s">
        <v>4441</v>
      </c>
      <c r="E1669">
        <v>4795470372</v>
      </c>
      <c r="F1669" t="s">
        <v>474</v>
      </c>
      <c r="G1669" t="s">
        <v>475</v>
      </c>
      <c r="I1669" t="s">
        <v>132</v>
      </c>
      <c r="J1669" s="13">
        <v>45966</v>
      </c>
      <c r="K1669" s="13">
        <v>46023</v>
      </c>
      <c r="L1669" t="s">
        <v>553</v>
      </c>
      <c r="M1669" t="s">
        <v>59</v>
      </c>
      <c r="N1669">
        <v>71495667</v>
      </c>
    </row>
    <row r="1670" spans="1:14" x14ac:dyDescent="0.25">
      <c r="A1670">
        <v>57861218</v>
      </c>
      <c r="B1670" t="s">
        <v>2794</v>
      </c>
      <c r="C1670" t="s">
        <v>4442</v>
      </c>
      <c r="D1670" t="s">
        <v>4443</v>
      </c>
      <c r="E1670">
        <v>6236949240</v>
      </c>
      <c r="F1670" t="s">
        <v>842</v>
      </c>
      <c r="G1670" t="s">
        <v>1213</v>
      </c>
      <c r="I1670" t="s">
        <v>1214</v>
      </c>
      <c r="J1670" s="13">
        <v>45966</v>
      </c>
      <c r="K1670" s="13">
        <v>46023</v>
      </c>
      <c r="L1670" t="s">
        <v>1179</v>
      </c>
      <c r="M1670" t="s">
        <v>54</v>
      </c>
      <c r="N1670">
        <v>71495961</v>
      </c>
    </row>
    <row r="1671" spans="1:14" x14ac:dyDescent="0.25">
      <c r="A1671">
        <v>57861523</v>
      </c>
      <c r="B1671" t="s">
        <v>4444</v>
      </c>
      <c r="C1671" t="s">
        <v>4445</v>
      </c>
      <c r="D1671" t="s">
        <v>4446</v>
      </c>
      <c r="E1671">
        <v>3344211564</v>
      </c>
      <c r="F1671" t="s">
        <v>828</v>
      </c>
      <c r="G1671" t="s">
        <v>1148</v>
      </c>
      <c r="I1671" t="s">
        <v>17</v>
      </c>
      <c r="J1671" s="13">
        <v>45966</v>
      </c>
      <c r="K1671" s="13">
        <v>46023</v>
      </c>
      <c r="L1671" t="s">
        <v>450</v>
      </c>
      <c r="M1671" t="s">
        <v>56</v>
      </c>
      <c r="N1671">
        <v>71496187</v>
      </c>
    </row>
    <row r="1672" spans="1:14" x14ac:dyDescent="0.25">
      <c r="A1672">
        <v>57862045</v>
      </c>
      <c r="B1672" t="s">
        <v>4447</v>
      </c>
      <c r="C1672" t="s">
        <v>4448</v>
      </c>
      <c r="D1672" t="s">
        <v>4449</v>
      </c>
      <c r="E1672">
        <v>9014172221</v>
      </c>
      <c r="F1672" t="s">
        <v>870</v>
      </c>
      <c r="G1672" t="s">
        <v>871</v>
      </c>
      <c r="I1672" t="s">
        <v>872</v>
      </c>
      <c r="J1672" s="13">
        <v>45966</v>
      </c>
      <c r="K1672" s="13">
        <v>46023</v>
      </c>
      <c r="L1672" t="s">
        <v>479</v>
      </c>
      <c r="M1672" t="s">
        <v>58</v>
      </c>
      <c r="N1672">
        <v>71496503</v>
      </c>
    </row>
    <row r="1673" spans="1:14" x14ac:dyDescent="0.25">
      <c r="A1673">
        <v>57862556</v>
      </c>
      <c r="B1673" t="s">
        <v>4450</v>
      </c>
      <c r="C1673" t="s">
        <v>4451</v>
      </c>
      <c r="D1673" t="s">
        <v>4452</v>
      </c>
      <c r="E1673">
        <v>8436550451</v>
      </c>
      <c r="F1673" t="s">
        <v>1147</v>
      </c>
      <c r="G1673" t="s">
        <v>1148</v>
      </c>
      <c r="I1673" t="s">
        <v>41</v>
      </c>
      <c r="J1673" s="13">
        <v>45966</v>
      </c>
      <c r="K1673" s="13">
        <v>46023</v>
      </c>
      <c r="L1673" t="s">
        <v>533</v>
      </c>
      <c r="M1673" t="s">
        <v>61</v>
      </c>
      <c r="N1673">
        <v>71496877</v>
      </c>
    </row>
    <row r="1674" spans="1:14" x14ac:dyDescent="0.25">
      <c r="A1674">
        <v>57865184</v>
      </c>
      <c r="B1674" t="s">
        <v>521</v>
      </c>
      <c r="C1674" t="s">
        <v>522</v>
      </c>
      <c r="D1674" t="s">
        <v>4453</v>
      </c>
      <c r="E1674">
        <v>8653168024</v>
      </c>
      <c r="F1674" t="s">
        <v>705</v>
      </c>
      <c r="G1674" t="s">
        <v>706</v>
      </c>
      <c r="I1674" t="s">
        <v>12</v>
      </c>
      <c r="J1674" s="13">
        <v>45966</v>
      </c>
      <c r="K1674" s="13">
        <v>46023</v>
      </c>
      <c r="L1674" t="s">
        <v>479</v>
      </c>
      <c r="M1674" t="s">
        <v>419</v>
      </c>
      <c r="N1674">
        <v>71498454</v>
      </c>
    </row>
    <row r="1675" spans="1:14" x14ac:dyDescent="0.25">
      <c r="A1675">
        <v>57865436</v>
      </c>
      <c r="B1675" t="s">
        <v>757</v>
      </c>
      <c r="C1675" t="s">
        <v>1258</v>
      </c>
      <c r="D1675" t="s">
        <v>4454</v>
      </c>
      <c r="E1675">
        <v>8648716478</v>
      </c>
      <c r="F1675" t="s">
        <v>1398</v>
      </c>
      <c r="G1675" t="s">
        <v>1399</v>
      </c>
      <c r="I1675" t="s">
        <v>1400</v>
      </c>
      <c r="J1675" s="13">
        <v>45966</v>
      </c>
      <c r="K1675" s="13">
        <v>46023</v>
      </c>
      <c r="L1675" t="s">
        <v>533</v>
      </c>
      <c r="M1675" t="s">
        <v>59</v>
      </c>
      <c r="N1675">
        <v>71498510</v>
      </c>
    </row>
    <row r="1676" spans="1:14" x14ac:dyDescent="0.25">
      <c r="A1676">
        <v>57865327</v>
      </c>
      <c r="B1676" t="s">
        <v>743</v>
      </c>
      <c r="C1676" t="s">
        <v>4455</v>
      </c>
      <c r="D1676" t="s">
        <v>4456</v>
      </c>
      <c r="E1676">
        <v>2029319276</v>
      </c>
      <c r="F1676" t="s">
        <v>574</v>
      </c>
      <c r="G1676" t="s">
        <v>575</v>
      </c>
      <c r="I1676" t="s">
        <v>14</v>
      </c>
      <c r="J1676" s="13">
        <v>45966</v>
      </c>
      <c r="K1676" s="13">
        <v>46023</v>
      </c>
      <c r="L1676" t="s">
        <v>454</v>
      </c>
      <c r="M1676" t="s">
        <v>56</v>
      </c>
      <c r="N1676">
        <v>71498514</v>
      </c>
    </row>
    <row r="1677" spans="1:14" x14ac:dyDescent="0.25">
      <c r="A1677">
        <v>57865385</v>
      </c>
      <c r="B1677" t="s">
        <v>888</v>
      </c>
      <c r="C1677" t="s">
        <v>4134</v>
      </c>
      <c r="D1677" t="s">
        <v>4457</v>
      </c>
      <c r="E1677">
        <v>6562401345</v>
      </c>
      <c r="F1677" t="s">
        <v>928</v>
      </c>
      <c r="G1677" t="s">
        <v>929</v>
      </c>
      <c r="I1677" t="s">
        <v>30</v>
      </c>
      <c r="J1677" s="13">
        <v>45966</v>
      </c>
      <c r="K1677" s="13">
        <v>46023</v>
      </c>
      <c r="L1677" t="s">
        <v>497</v>
      </c>
      <c r="M1677" t="s">
        <v>56</v>
      </c>
      <c r="N1677">
        <v>71498540</v>
      </c>
    </row>
    <row r="1678" spans="1:14" x14ac:dyDescent="0.25">
      <c r="A1678">
        <v>57865609</v>
      </c>
      <c r="B1678" t="s">
        <v>4458</v>
      </c>
      <c r="C1678" t="s">
        <v>4459</v>
      </c>
      <c r="D1678" t="s">
        <v>4460</v>
      </c>
      <c r="E1678">
        <v>3343124814</v>
      </c>
      <c r="F1678" t="s">
        <v>1142</v>
      </c>
      <c r="G1678" t="s">
        <v>1143</v>
      </c>
      <c r="I1678" t="s">
        <v>124</v>
      </c>
      <c r="J1678" s="13">
        <v>45966</v>
      </c>
      <c r="K1678" s="13">
        <v>46023</v>
      </c>
      <c r="L1678" t="s">
        <v>450</v>
      </c>
      <c r="M1678" t="s">
        <v>59</v>
      </c>
      <c r="N1678">
        <v>71498630</v>
      </c>
    </row>
    <row r="1679" spans="1:14" x14ac:dyDescent="0.25">
      <c r="A1679">
        <v>57865886</v>
      </c>
      <c r="B1679" t="s">
        <v>4461</v>
      </c>
      <c r="C1679" t="s">
        <v>4462</v>
      </c>
      <c r="D1679" t="s">
        <v>4463</v>
      </c>
      <c r="E1679">
        <v>6026953985</v>
      </c>
      <c r="F1679" t="s">
        <v>416</v>
      </c>
      <c r="G1679" t="s">
        <v>417</v>
      </c>
      <c r="I1679" t="s">
        <v>26</v>
      </c>
      <c r="J1679" s="13">
        <v>45966</v>
      </c>
      <c r="K1679" s="13">
        <v>46023</v>
      </c>
      <c r="L1679" t="s">
        <v>1179</v>
      </c>
      <c r="M1679" t="s">
        <v>54</v>
      </c>
      <c r="N1679">
        <v>71498778</v>
      </c>
    </row>
    <row r="1680" spans="1:14" x14ac:dyDescent="0.25">
      <c r="A1680">
        <v>57865809</v>
      </c>
      <c r="B1680" t="s">
        <v>2025</v>
      </c>
      <c r="C1680" t="s">
        <v>4464</v>
      </c>
      <c r="D1680" t="s">
        <v>4465</v>
      </c>
      <c r="E1680">
        <v>2174406388</v>
      </c>
      <c r="F1680" t="s">
        <v>448</v>
      </c>
      <c r="G1680" t="s">
        <v>449</v>
      </c>
      <c r="I1680" t="s">
        <v>31</v>
      </c>
      <c r="J1680" s="13">
        <v>45966</v>
      </c>
      <c r="K1680" s="13">
        <v>46023</v>
      </c>
      <c r="L1680" t="s">
        <v>470</v>
      </c>
      <c r="M1680" t="s">
        <v>60</v>
      </c>
      <c r="N1680">
        <v>71498786</v>
      </c>
    </row>
    <row r="1681" spans="1:14" x14ac:dyDescent="0.25">
      <c r="A1681">
        <v>57865910</v>
      </c>
      <c r="B1681" t="s">
        <v>4466</v>
      </c>
      <c r="C1681" t="s">
        <v>4467</v>
      </c>
      <c r="D1681" t="s">
        <v>4468</v>
      </c>
      <c r="E1681">
        <v>3053311582</v>
      </c>
      <c r="F1681" t="s">
        <v>474</v>
      </c>
      <c r="G1681" t="s">
        <v>475</v>
      </c>
      <c r="I1681" t="s">
        <v>132</v>
      </c>
      <c r="J1681" s="13">
        <v>45966</v>
      </c>
      <c r="K1681" s="13">
        <v>46023</v>
      </c>
      <c r="L1681" t="s">
        <v>497</v>
      </c>
      <c r="M1681" t="s">
        <v>59</v>
      </c>
      <c r="N1681">
        <v>71498860</v>
      </c>
    </row>
    <row r="1682" spans="1:14" x14ac:dyDescent="0.25">
      <c r="A1682">
        <v>57866361</v>
      </c>
      <c r="B1682" t="s">
        <v>521</v>
      </c>
      <c r="C1682" t="s">
        <v>4469</v>
      </c>
      <c r="D1682" t="s">
        <v>4470</v>
      </c>
      <c r="E1682">
        <v>5139993438</v>
      </c>
      <c r="F1682" t="s">
        <v>423</v>
      </c>
      <c r="G1682" t="s">
        <v>424</v>
      </c>
      <c r="I1682" t="s">
        <v>46</v>
      </c>
      <c r="J1682" s="13">
        <v>45966</v>
      </c>
      <c r="K1682" s="13">
        <v>46023</v>
      </c>
      <c r="L1682" t="s">
        <v>418</v>
      </c>
      <c r="M1682" t="s">
        <v>58</v>
      </c>
      <c r="N1682">
        <v>71499055</v>
      </c>
    </row>
    <row r="1683" spans="1:14" x14ac:dyDescent="0.25">
      <c r="A1683">
        <v>57866238</v>
      </c>
      <c r="B1683" t="s">
        <v>4471</v>
      </c>
      <c r="C1683" t="s">
        <v>4472</v>
      </c>
      <c r="D1683" t="s">
        <v>4473</v>
      </c>
      <c r="E1683">
        <v>9549932678</v>
      </c>
      <c r="F1683" t="s">
        <v>798</v>
      </c>
      <c r="G1683" t="s">
        <v>799</v>
      </c>
      <c r="I1683" t="s">
        <v>800</v>
      </c>
      <c r="J1683" s="13">
        <v>45966</v>
      </c>
      <c r="K1683" s="13">
        <v>46023</v>
      </c>
      <c r="L1683" t="s">
        <v>497</v>
      </c>
      <c r="M1683" t="s">
        <v>56</v>
      </c>
      <c r="N1683">
        <v>71499131</v>
      </c>
    </row>
    <row r="1684" spans="1:14" x14ac:dyDescent="0.25">
      <c r="A1684">
        <v>57866335</v>
      </c>
      <c r="B1684" t="s">
        <v>548</v>
      </c>
      <c r="C1684" t="s">
        <v>1587</v>
      </c>
      <c r="D1684" t="s">
        <v>4474</v>
      </c>
      <c r="E1684">
        <v>8133607931</v>
      </c>
      <c r="F1684" t="s">
        <v>1067</v>
      </c>
      <c r="G1684" t="s">
        <v>1068</v>
      </c>
      <c r="I1684" t="s">
        <v>35</v>
      </c>
      <c r="J1684" s="13">
        <v>45966</v>
      </c>
      <c r="K1684" s="13">
        <v>46023</v>
      </c>
      <c r="L1684" t="s">
        <v>497</v>
      </c>
      <c r="M1684" t="s">
        <v>58</v>
      </c>
      <c r="N1684">
        <v>71499176</v>
      </c>
    </row>
    <row r="1685" spans="1:14" x14ac:dyDescent="0.25">
      <c r="A1685">
        <v>60355575</v>
      </c>
      <c r="B1685" t="s">
        <v>4475</v>
      </c>
      <c r="C1685" t="s">
        <v>4476</v>
      </c>
      <c r="D1685" t="s">
        <v>4477</v>
      </c>
      <c r="F1685" t="s">
        <v>828</v>
      </c>
      <c r="G1685" t="s">
        <v>1148</v>
      </c>
      <c r="I1685" t="s">
        <v>17</v>
      </c>
      <c r="J1685" s="13">
        <v>46062</v>
      </c>
      <c r="K1685" s="13">
        <v>46082</v>
      </c>
      <c r="L1685" t="s">
        <v>497</v>
      </c>
      <c r="M1685" t="s">
        <v>56</v>
      </c>
      <c r="N1685">
        <v>71499678</v>
      </c>
    </row>
    <row r="1686" spans="1:14" x14ac:dyDescent="0.25">
      <c r="A1686">
        <v>57867635</v>
      </c>
      <c r="B1686" t="s">
        <v>3557</v>
      </c>
      <c r="C1686" t="s">
        <v>1300</v>
      </c>
      <c r="D1686" t="s">
        <v>4478</v>
      </c>
      <c r="E1686">
        <v>7206414206</v>
      </c>
      <c r="F1686" t="s">
        <v>842</v>
      </c>
      <c r="G1686" t="s">
        <v>843</v>
      </c>
      <c r="I1686" t="s">
        <v>98</v>
      </c>
      <c r="J1686" s="13">
        <v>45966</v>
      </c>
      <c r="K1686" s="13">
        <v>46023</v>
      </c>
      <c r="L1686" t="s">
        <v>539</v>
      </c>
      <c r="M1686" t="s">
        <v>59</v>
      </c>
      <c r="N1686">
        <v>71499951</v>
      </c>
    </row>
    <row r="1687" spans="1:14" x14ac:dyDescent="0.25">
      <c r="A1687">
        <v>57867966</v>
      </c>
      <c r="B1687" t="s">
        <v>1316</v>
      </c>
      <c r="C1687" t="s">
        <v>2513</v>
      </c>
      <c r="D1687" t="s">
        <v>4479</v>
      </c>
      <c r="E1687">
        <v>5613853283</v>
      </c>
      <c r="F1687" t="s">
        <v>780</v>
      </c>
      <c r="G1687" t="s">
        <v>781</v>
      </c>
      <c r="I1687" t="s">
        <v>20</v>
      </c>
      <c r="J1687" s="13">
        <v>45966</v>
      </c>
      <c r="K1687" s="13">
        <v>46023</v>
      </c>
      <c r="L1687" t="s">
        <v>497</v>
      </c>
      <c r="M1687" t="s">
        <v>56</v>
      </c>
      <c r="N1687">
        <v>71500736</v>
      </c>
    </row>
    <row r="1688" spans="1:14" x14ac:dyDescent="0.25">
      <c r="A1688">
        <v>57868144</v>
      </c>
      <c r="B1688" t="s">
        <v>4480</v>
      </c>
      <c r="C1688" t="s">
        <v>4481</v>
      </c>
      <c r="D1688" t="s">
        <v>4482</v>
      </c>
      <c r="E1688">
        <v>3178010083</v>
      </c>
      <c r="F1688" t="s">
        <v>474</v>
      </c>
      <c r="G1688" t="s">
        <v>475</v>
      </c>
      <c r="I1688" t="s">
        <v>132</v>
      </c>
      <c r="J1688" s="13">
        <v>45966</v>
      </c>
      <c r="K1688" s="13">
        <v>46023</v>
      </c>
      <c r="L1688" t="s">
        <v>440</v>
      </c>
      <c r="M1688" t="s">
        <v>62</v>
      </c>
      <c r="N1688">
        <v>71502348</v>
      </c>
    </row>
    <row r="1689" spans="1:14" x14ac:dyDescent="0.25">
      <c r="A1689">
        <v>57868145</v>
      </c>
      <c r="B1689" t="s">
        <v>1149</v>
      </c>
      <c r="C1689" t="s">
        <v>4483</v>
      </c>
      <c r="D1689" t="s">
        <v>4484</v>
      </c>
      <c r="E1689">
        <v>4804448697</v>
      </c>
      <c r="F1689" t="s">
        <v>807</v>
      </c>
      <c r="G1689" t="s">
        <v>808</v>
      </c>
      <c r="I1689" t="s">
        <v>33</v>
      </c>
      <c r="J1689" s="13">
        <v>45966</v>
      </c>
      <c r="K1689" s="13">
        <v>46023</v>
      </c>
      <c r="L1689" t="s">
        <v>1179</v>
      </c>
      <c r="M1689" t="s">
        <v>56</v>
      </c>
      <c r="N1689">
        <v>71502355</v>
      </c>
    </row>
    <row r="1690" spans="1:14" x14ac:dyDescent="0.25">
      <c r="A1690">
        <v>57868212</v>
      </c>
      <c r="B1690" t="s">
        <v>2419</v>
      </c>
      <c r="C1690" t="s">
        <v>4485</v>
      </c>
      <c r="D1690" t="s">
        <v>4486</v>
      </c>
      <c r="E1690">
        <v>9289815994</v>
      </c>
      <c r="F1690" t="s">
        <v>1013</v>
      </c>
      <c r="G1690" t="s">
        <v>1014</v>
      </c>
      <c r="I1690" t="s">
        <v>43</v>
      </c>
      <c r="J1690" s="13">
        <v>45966</v>
      </c>
      <c r="K1690" s="13">
        <v>46023</v>
      </c>
      <c r="L1690" t="s">
        <v>1179</v>
      </c>
      <c r="M1690" t="s">
        <v>61</v>
      </c>
      <c r="N1690">
        <v>71502974</v>
      </c>
    </row>
    <row r="1691" spans="1:14" x14ac:dyDescent="0.25">
      <c r="A1691">
        <v>57868979</v>
      </c>
      <c r="B1691" t="s">
        <v>672</v>
      </c>
      <c r="C1691" t="s">
        <v>4487</v>
      </c>
      <c r="D1691" t="s">
        <v>4488</v>
      </c>
      <c r="E1691">
        <v>5613883530</v>
      </c>
      <c r="F1691" t="s">
        <v>775</v>
      </c>
      <c r="G1691" t="s">
        <v>776</v>
      </c>
      <c r="I1691" t="s">
        <v>22</v>
      </c>
      <c r="J1691" s="13">
        <v>45966</v>
      </c>
      <c r="K1691" s="13">
        <v>46054</v>
      </c>
      <c r="L1691" t="s">
        <v>497</v>
      </c>
      <c r="M1691" t="s">
        <v>56</v>
      </c>
      <c r="N1691">
        <v>71510137</v>
      </c>
    </row>
    <row r="1692" spans="1:14" x14ac:dyDescent="0.25">
      <c r="A1692">
        <v>57869268</v>
      </c>
      <c r="B1692" t="s">
        <v>2719</v>
      </c>
      <c r="C1692" t="s">
        <v>4489</v>
      </c>
      <c r="D1692" t="s">
        <v>4490</v>
      </c>
      <c r="E1692">
        <v>3053591090</v>
      </c>
      <c r="F1692" t="s">
        <v>928</v>
      </c>
      <c r="G1692" t="s">
        <v>929</v>
      </c>
      <c r="I1692" t="s">
        <v>30</v>
      </c>
      <c r="J1692" s="13">
        <v>45966</v>
      </c>
      <c r="K1692" s="13">
        <v>46023</v>
      </c>
      <c r="L1692" t="s">
        <v>497</v>
      </c>
      <c r="M1692" t="s">
        <v>59</v>
      </c>
      <c r="N1692">
        <v>71512681</v>
      </c>
    </row>
    <row r="1693" spans="1:14" x14ac:dyDescent="0.25">
      <c r="A1693">
        <v>57869798</v>
      </c>
      <c r="B1693" t="s">
        <v>1038</v>
      </c>
      <c r="C1693" t="s">
        <v>1098</v>
      </c>
      <c r="D1693" t="s">
        <v>4491</v>
      </c>
      <c r="E1693">
        <v>7205462300</v>
      </c>
      <c r="F1693" t="s">
        <v>705</v>
      </c>
      <c r="G1693" t="s">
        <v>706</v>
      </c>
      <c r="I1693" t="s">
        <v>12</v>
      </c>
      <c r="J1693" s="13">
        <v>45966</v>
      </c>
      <c r="K1693" s="13">
        <v>46023</v>
      </c>
      <c r="L1693" t="s">
        <v>539</v>
      </c>
      <c r="M1693" t="s">
        <v>56</v>
      </c>
      <c r="N1693">
        <v>71516904</v>
      </c>
    </row>
    <row r="1694" spans="1:14" x14ac:dyDescent="0.25">
      <c r="A1694">
        <v>57871056</v>
      </c>
      <c r="B1694" t="s">
        <v>4492</v>
      </c>
      <c r="C1694" t="s">
        <v>4493</v>
      </c>
      <c r="D1694" t="s">
        <v>4494</v>
      </c>
      <c r="E1694">
        <v>8432473410</v>
      </c>
      <c r="F1694" t="s">
        <v>828</v>
      </c>
      <c r="G1694" t="s">
        <v>1148</v>
      </c>
      <c r="I1694" t="s">
        <v>17</v>
      </c>
      <c r="J1694" s="13">
        <v>45966</v>
      </c>
      <c r="K1694" s="13">
        <v>46023</v>
      </c>
      <c r="L1694" t="s">
        <v>533</v>
      </c>
      <c r="M1694" t="s">
        <v>56</v>
      </c>
      <c r="N1694">
        <v>71526298</v>
      </c>
    </row>
    <row r="1695" spans="1:14" x14ac:dyDescent="0.25">
      <c r="A1695">
        <v>57871130</v>
      </c>
      <c r="B1695" t="s">
        <v>3920</v>
      </c>
      <c r="C1695" t="s">
        <v>4495</v>
      </c>
      <c r="D1695" t="s">
        <v>4496</v>
      </c>
      <c r="E1695">
        <v>9546125527</v>
      </c>
      <c r="F1695" t="s">
        <v>462</v>
      </c>
      <c r="G1695" t="s">
        <v>463</v>
      </c>
      <c r="I1695" t="s">
        <v>39</v>
      </c>
      <c r="J1695" s="13">
        <v>45966</v>
      </c>
      <c r="K1695" s="13">
        <v>46023</v>
      </c>
      <c r="L1695" t="s">
        <v>497</v>
      </c>
      <c r="M1695" t="s">
        <v>54</v>
      </c>
      <c r="N1695">
        <v>71526757</v>
      </c>
    </row>
    <row r="1696" spans="1:14" x14ac:dyDescent="0.25">
      <c r="A1696">
        <v>57871461</v>
      </c>
      <c r="B1696" t="s">
        <v>4497</v>
      </c>
      <c r="C1696" t="s">
        <v>4498</v>
      </c>
      <c r="D1696" t="s">
        <v>4499</v>
      </c>
      <c r="E1696">
        <v>9412492965</v>
      </c>
      <c r="F1696" t="s">
        <v>821</v>
      </c>
      <c r="G1696" t="s">
        <v>822</v>
      </c>
      <c r="I1696" t="s">
        <v>823</v>
      </c>
      <c r="J1696" s="13">
        <v>45966</v>
      </c>
      <c r="K1696" s="13">
        <v>46023</v>
      </c>
      <c r="L1696" t="s">
        <v>497</v>
      </c>
      <c r="M1696" t="s">
        <v>58</v>
      </c>
      <c r="N1696">
        <v>71530332</v>
      </c>
    </row>
    <row r="1697" spans="1:14" x14ac:dyDescent="0.25">
      <c r="A1697">
        <v>57871571</v>
      </c>
      <c r="B1697" t="s">
        <v>1784</v>
      </c>
      <c r="C1697" t="s">
        <v>4500</v>
      </c>
      <c r="D1697" t="s">
        <v>4501</v>
      </c>
      <c r="E1697">
        <v>6302588407</v>
      </c>
      <c r="F1697" t="s">
        <v>423</v>
      </c>
      <c r="G1697" t="s">
        <v>424</v>
      </c>
      <c r="I1697" t="s">
        <v>46</v>
      </c>
      <c r="J1697" s="13">
        <v>45966</v>
      </c>
      <c r="K1697" s="13">
        <v>46023</v>
      </c>
      <c r="L1697" t="s">
        <v>497</v>
      </c>
      <c r="M1697" t="s">
        <v>54</v>
      </c>
      <c r="N1697">
        <v>71530937</v>
      </c>
    </row>
    <row r="1698" spans="1:14" x14ac:dyDescent="0.25">
      <c r="A1698">
        <v>57871581</v>
      </c>
      <c r="B1698" t="s">
        <v>600</v>
      </c>
      <c r="C1698" t="s">
        <v>4502</v>
      </c>
      <c r="D1698" t="s">
        <v>4503</v>
      </c>
      <c r="E1698">
        <v>2076493039</v>
      </c>
      <c r="F1698" t="s">
        <v>474</v>
      </c>
      <c r="G1698" t="s">
        <v>475</v>
      </c>
      <c r="I1698" t="s">
        <v>132</v>
      </c>
      <c r="J1698" s="13">
        <v>45966</v>
      </c>
      <c r="K1698" s="13">
        <v>46023</v>
      </c>
      <c r="L1698" t="s">
        <v>941</v>
      </c>
      <c r="M1698" t="s">
        <v>60</v>
      </c>
      <c r="N1698">
        <v>71531444</v>
      </c>
    </row>
    <row r="1699" spans="1:14" x14ac:dyDescent="0.25">
      <c r="A1699">
        <v>57871696</v>
      </c>
      <c r="B1699" t="s">
        <v>4504</v>
      </c>
      <c r="C1699" t="s">
        <v>4505</v>
      </c>
      <c r="D1699" t="s">
        <v>4506</v>
      </c>
      <c r="E1699">
        <v>8706135761</v>
      </c>
      <c r="F1699" t="s">
        <v>628</v>
      </c>
      <c r="G1699" t="s">
        <v>629</v>
      </c>
      <c r="I1699" t="s">
        <v>24</v>
      </c>
      <c r="J1699" s="13">
        <v>45966</v>
      </c>
      <c r="K1699" s="13">
        <v>46023</v>
      </c>
      <c r="L1699" t="s">
        <v>553</v>
      </c>
      <c r="M1699" t="s">
        <v>59</v>
      </c>
      <c r="N1699">
        <v>71532478</v>
      </c>
    </row>
    <row r="1700" spans="1:14" x14ac:dyDescent="0.25">
      <c r="A1700">
        <v>57871888</v>
      </c>
      <c r="B1700" t="s">
        <v>521</v>
      </c>
      <c r="C1700" t="s">
        <v>2722</v>
      </c>
      <c r="D1700" t="s">
        <v>4507</v>
      </c>
      <c r="E1700">
        <v>5053948638</v>
      </c>
      <c r="F1700" t="s">
        <v>1398</v>
      </c>
      <c r="G1700" t="s">
        <v>1399</v>
      </c>
      <c r="I1700" t="s">
        <v>1400</v>
      </c>
      <c r="J1700" s="13">
        <v>45966</v>
      </c>
      <c r="K1700" s="13">
        <v>46023</v>
      </c>
      <c r="L1700" t="s">
        <v>621</v>
      </c>
      <c r="M1700" t="s">
        <v>56</v>
      </c>
      <c r="N1700">
        <v>71532517</v>
      </c>
    </row>
    <row r="1701" spans="1:14" x14ac:dyDescent="0.25">
      <c r="A1701">
        <v>57871772</v>
      </c>
      <c r="B1701" t="s">
        <v>2311</v>
      </c>
      <c r="C1701" t="s">
        <v>4508</v>
      </c>
      <c r="D1701" t="s">
        <v>4509</v>
      </c>
      <c r="E1701">
        <v>7272206540</v>
      </c>
      <c r="F1701" t="s">
        <v>592</v>
      </c>
      <c r="G1701" t="s">
        <v>593</v>
      </c>
      <c r="I1701" t="s">
        <v>115</v>
      </c>
      <c r="J1701" s="13">
        <v>45966</v>
      </c>
      <c r="K1701" s="13">
        <v>46023</v>
      </c>
      <c r="L1701" t="s">
        <v>497</v>
      </c>
      <c r="M1701" t="s">
        <v>56</v>
      </c>
      <c r="N1701">
        <v>71533114</v>
      </c>
    </row>
    <row r="1702" spans="1:14" x14ac:dyDescent="0.25">
      <c r="A1702">
        <v>57873305</v>
      </c>
      <c r="B1702" t="s">
        <v>4510</v>
      </c>
      <c r="C1702" t="s">
        <v>446</v>
      </c>
      <c r="D1702" t="s">
        <v>4511</v>
      </c>
      <c r="E1702">
        <v>4074558420</v>
      </c>
      <c r="F1702" t="s">
        <v>780</v>
      </c>
      <c r="G1702" t="s">
        <v>781</v>
      </c>
      <c r="I1702" t="s">
        <v>20</v>
      </c>
      <c r="J1702" s="13">
        <v>45966</v>
      </c>
      <c r="K1702" s="13">
        <v>46023</v>
      </c>
      <c r="L1702" t="s">
        <v>497</v>
      </c>
      <c r="M1702" t="s">
        <v>59</v>
      </c>
      <c r="N1702">
        <v>71537638</v>
      </c>
    </row>
    <row r="1703" spans="1:14" x14ac:dyDescent="0.25">
      <c r="A1703">
        <v>57875103</v>
      </c>
      <c r="B1703" t="s">
        <v>1905</v>
      </c>
      <c r="C1703" t="s">
        <v>4512</v>
      </c>
      <c r="D1703" t="s">
        <v>4513</v>
      </c>
      <c r="E1703">
        <v>8645633323</v>
      </c>
      <c r="F1703" t="s">
        <v>615</v>
      </c>
      <c r="G1703" t="s">
        <v>616</v>
      </c>
      <c r="I1703" t="s">
        <v>617</v>
      </c>
      <c r="J1703" s="13">
        <v>45966</v>
      </c>
      <c r="K1703" s="13">
        <v>46023</v>
      </c>
      <c r="L1703" t="s">
        <v>533</v>
      </c>
      <c r="M1703" t="s">
        <v>59</v>
      </c>
      <c r="N1703">
        <v>71540889</v>
      </c>
    </row>
    <row r="1704" spans="1:14" x14ac:dyDescent="0.25">
      <c r="A1704">
        <v>57875671</v>
      </c>
      <c r="B1704" t="s">
        <v>865</v>
      </c>
      <c r="C1704" t="s">
        <v>4514</v>
      </c>
      <c r="D1704" t="s">
        <v>4515</v>
      </c>
      <c r="E1704">
        <v>4176319813</v>
      </c>
      <c r="F1704" t="s">
        <v>870</v>
      </c>
      <c r="G1704" t="s">
        <v>871</v>
      </c>
      <c r="I1704" t="s">
        <v>872</v>
      </c>
      <c r="J1704" s="13">
        <v>45966</v>
      </c>
      <c r="K1704" s="13">
        <v>46023</v>
      </c>
      <c r="L1704" t="s">
        <v>434</v>
      </c>
      <c r="M1704" t="s">
        <v>60</v>
      </c>
      <c r="N1704">
        <v>71543276</v>
      </c>
    </row>
    <row r="1705" spans="1:14" x14ac:dyDescent="0.25">
      <c r="A1705">
        <v>57876073</v>
      </c>
      <c r="B1705" t="s">
        <v>1406</v>
      </c>
      <c r="C1705" t="s">
        <v>1287</v>
      </c>
      <c r="D1705" t="s">
        <v>4516</v>
      </c>
      <c r="E1705">
        <v>8049700455</v>
      </c>
      <c r="F1705" t="s">
        <v>474</v>
      </c>
      <c r="G1705" t="s">
        <v>475</v>
      </c>
      <c r="I1705" t="s">
        <v>132</v>
      </c>
      <c r="J1705" s="13">
        <v>45966</v>
      </c>
      <c r="K1705" s="13">
        <v>46023</v>
      </c>
      <c r="L1705" t="s">
        <v>454</v>
      </c>
      <c r="M1705" t="s">
        <v>59</v>
      </c>
      <c r="N1705">
        <v>71545704</v>
      </c>
    </row>
    <row r="1706" spans="1:14" x14ac:dyDescent="0.25">
      <c r="A1706">
        <v>57876112</v>
      </c>
      <c r="B1706" t="s">
        <v>1109</v>
      </c>
      <c r="C1706" t="s">
        <v>4517</v>
      </c>
      <c r="D1706" t="s">
        <v>4518</v>
      </c>
      <c r="E1706">
        <v>7027286223</v>
      </c>
      <c r="F1706" t="s">
        <v>1345</v>
      </c>
      <c r="G1706" t="s">
        <v>799</v>
      </c>
      <c r="I1706" t="s">
        <v>47</v>
      </c>
      <c r="J1706" s="13">
        <v>45966</v>
      </c>
      <c r="K1706" s="13">
        <v>46023</v>
      </c>
      <c r="L1706" t="s">
        <v>497</v>
      </c>
      <c r="M1706" t="s">
        <v>54</v>
      </c>
      <c r="N1706">
        <v>71545820</v>
      </c>
    </row>
    <row r="1707" spans="1:14" x14ac:dyDescent="0.25">
      <c r="A1707">
        <v>57876117</v>
      </c>
      <c r="B1707" t="s">
        <v>804</v>
      </c>
      <c r="C1707" t="s">
        <v>3888</v>
      </c>
      <c r="D1707" t="s">
        <v>4519</v>
      </c>
      <c r="E1707">
        <v>7044924711</v>
      </c>
      <c r="F1707" t="s">
        <v>569</v>
      </c>
      <c r="G1707" t="s">
        <v>570</v>
      </c>
      <c r="I1707" t="s">
        <v>34</v>
      </c>
      <c r="J1707" s="13">
        <v>45966</v>
      </c>
      <c r="K1707" s="13">
        <v>46023</v>
      </c>
      <c r="L1707" t="s">
        <v>603</v>
      </c>
      <c r="M1707" t="s">
        <v>59</v>
      </c>
      <c r="N1707">
        <v>71545837</v>
      </c>
    </row>
    <row r="1708" spans="1:14" x14ac:dyDescent="0.25">
      <c r="A1708">
        <v>57876483</v>
      </c>
      <c r="B1708" t="s">
        <v>4520</v>
      </c>
      <c r="C1708" t="s">
        <v>4521</v>
      </c>
      <c r="D1708" t="s">
        <v>4522</v>
      </c>
      <c r="E1708">
        <v>4798412159</v>
      </c>
      <c r="F1708" t="s">
        <v>693</v>
      </c>
      <c r="G1708" t="s">
        <v>694</v>
      </c>
      <c r="I1708" t="s">
        <v>103</v>
      </c>
      <c r="J1708" s="13">
        <v>45966</v>
      </c>
      <c r="K1708" s="13">
        <v>46023</v>
      </c>
      <c r="L1708" t="s">
        <v>553</v>
      </c>
      <c r="M1708" t="s">
        <v>56</v>
      </c>
      <c r="N1708">
        <v>71547354</v>
      </c>
    </row>
    <row r="1709" spans="1:14" x14ac:dyDescent="0.25">
      <c r="A1709">
        <v>57876848</v>
      </c>
      <c r="B1709" t="s">
        <v>1370</v>
      </c>
      <c r="C1709" t="s">
        <v>4523</v>
      </c>
      <c r="D1709" t="s">
        <v>4524</v>
      </c>
      <c r="E1709">
        <v>5616023800</v>
      </c>
      <c r="F1709" t="s">
        <v>928</v>
      </c>
      <c r="G1709" t="s">
        <v>929</v>
      </c>
      <c r="I1709" t="s">
        <v>30</v>
      </c>
      <c r="J1709" s="13">
        <v>45966</v>
      </c>
      <c r="K1709" s="13">
        <v>46023</v>
      </c>
      <c r="L1709" t="s">
        <v>497</v>
      </c>
      <c r="M1709" t="s">
        <v>56</v>
      </c>
      <c r="N1709">
        <v>71549267</v>
      </c>
    </row>
    <row r="1710" spans="1:14" x14ac:dyDescent="0.25">
      <c r="A1710">
        <v>58605096</v>
      </c>
      <c r="B1710" t="s">
        <v>2681</v>
      </c>
      <c r="C1710" t="s">
        <v>4525</v>
      </c>
      <c r="D1710" t="s">
        <v>4526</v>
      </c>
      <c r="F1710" t="s">
        <v>649</v>
      </c>
      <c r="G1710" t="s">
        <v>650</v>
      </c>
      <c r="I1710" t="s">
        <v>28</v>
      </c>
      <c r="J1710" s="13">
        <v>45994</v>
      </c>
      <c r="K1710" s="13">
        <v>46023</v>
      </c>
      <c r="L1710" t="s">
        <v>533</v>
      </c>
      <c r="M1710" t="s">
        <v>55</v>
      </c>
      <c r="N1710">
        <v>71556589</v>
      </c>
    </row>
    <row r="1711" spans="1:14" x14ac:dyDescent="0.25">
      <c r="A1711">
        <v>57878793</v>
      </c>
      <c r="B1711" t="s">
        <v>2323</v>
      </c>
      <c r="C1711" t="s">
        <v>1442</v>
      </c>
      <c r="D1711" t="s">
        <v>4527</v>
      </c>
      <c r="E1711">
        <v>8032306613</v>
      </c>
      <c r="F1711" t="s">
        <v>474</v>
      </c>
      <c r="G1711" t="s">
        <v>475</v>
      </c>
      <c r="I1711" t="s">
        <v>132</v>
      </c>
      <c r="J1711" s="13">
        <v>45966</v>
      </c>
      <c r="K1711" s="13">
        <v>46023</v>
      </c>
      <c r="L1711" t="s">
        <v>533</v>
      </c>
      <c r="M1711" t="s">
        <v>59</v>
      </c>
      <c r="N1711">
        <v>71558773</v>
      </c>
    </row>
    <row r="1712" spans="1:14" x14ac:dyDescent="0.25">
      <c r="A1712">
        <v>57879642</v>
      </c>
      <c r="B1712" t="s">
        <v>4528</v>
      </c>
      <c r="C1712" t="s">
        <v>4529</v>
      </c>
      <c r="D1712" t="s">
        <v>4530</v>
      </c>
      <c r="E1712">
        <v>9126023714</v>
      </c>
      <c r="F1712" t="s">
        <v>842</v>
      </c>
      <c r="G1712" t="s">
        <v>843</v>
      </c>
      <c r="I1712" t="s">
        <v>98</v>
      </c>
      <c r="J1712" s="13">
        <v>45966</v>
      </c>
      <c r="K1712" s="13">
        <v>46023</v>
      </c>
      <c r="L1712" t="s">
        <v>621</v>
      </c>
      <c r="M1712" t="s">
        <v>56</v>
      </c>
      <c r="N1712">
        <v>71563254</v>
      </c>
    </row>
    <row r="1713" spans="1:14" x14ac:dyDescent="0.25">
      <c r="A1713">
        <v>57879857</v>
      </c>
      <c r="B1713" t="s">
        <v>1472</v>
      </c>
      <c r="C1713" t="s">
        <v>1585</v>
      </c>
      <c r="D1713" t="s">
        <v>4531</v>
      </c>
      <c r="E1713">
        <v>9192800209</v>
      </c>
      <c r="F1713" t="s">
        <v>1003</v>
      </c>
      <c r="G1713" t="s">
        <v>1004</v>
      </c>
      <c r="I1713" t="s">
        <v>89</v>
      </c>
      <c r="J1713" s="13">
        <v>45966</v>
      </c>
      <c r="K1713" s="13">
        <v>46023</v>
      </c>
      <c r="L1713" t="s">
        <v>603</v>
      </c>
      <c r="M1713" t="s">
        <v>56</v>
      </c>
      <c r="N1713">
        <v>71565232</v>
      </c>
    </row>
    <row r="1714" spans="1:14" x14ac:dyDescent="0.25">
      <c r="A1714">
        <v>57880159</v>
      </c>
      <c r="B1714" t="s">
        <v>604</v>
      </c>
      <c r="C1714" t="s">
        <v>4532</v>
      </c>
      <c r="D1714" t="s">
        <v>4533</v>
      </c>
      <c r="E1714">
        <v>9132937031</v>
      </c>
      <c r="F1714" t="s">
        <v>957</v>
      </c>
      <c r="G1714" t="s">
        <v>958</v>
      </c>
      <c r="H1714" t="s">
        <v>959</v>
      </c>
      <c r="I1714" t="s">
        <v>960</v>
      </c>
      <c r="J1714" s="13">
        <v>45966</v>
      </c>
      <c r="K1714" s="13">
        <v>46023</v>
      </c>
      <c r="L1714" t="s">
        <v>520</v>
      </c>
      <c r="M1714" t="s">
        <v>56</v>
      </c>
      <c r="N1714">
        <v>71565818</v>
      </c>
    </row>
    <row r="1715" spans="1:14" x14ac:dyDescent="0.25">
      <c r="A1715">
        <v>57880377</v>
      </c>
      <c r="B1715" t="s">
        <v>1041</v>
      </c>
      <c r="C1715" t="s">
        <v>1448</v>
      </c>
      <c r="D1715" t="s">
        <v>4534</v>
      </c>
      <c r="E1715">
        <v>7083599573</v>
      </c>
      <c r="F1715" t="s">
        <v>448</v>
      </c>
      <c r="G1715" t="s">
        <v>449</v>
      </c>
      <c r="I1715" t="s">
        <v>31</v>
      </c>
      <c r="J1715" s="13">
        <v>45966</v>
      </c>
      <c r="K1715" s="13">
        <v>46023</v>
      </c>
      <c r="L1715" t="s">
        <v>470</v>
      </c>
      <c r="M1715" t="s">
        <v>59</v>
      </c>
      <c r="N1715">
        <v>71572589</v>
      </c>
    </row>
    <row r="1716" spans="1:14" x14ac:dyDescent="0.25">
      <c r="A1716">
        <v>57881005</v>
      </c>
      <c r="B1716" t="s">
        <v>4535</v>
      </c>
      <c r="C1716" t="s">
        <v>4536</v>
      </c>
      <c r="D1716" t="s">
        <v>4537</v>
      </c>
      <c r="F1716" t="s">
        <v>551</v>
      </c>
      <c r="G1716" t="s">
        <v>552</v>
      </c>
      <c r="I1716" t="s">
        <v>42</v>
      </c>
      <c r="J1716" s="13">
        <v>45966</v>
      </c>
      <c r="K1716" s="13">
        <v>46023</v>
      </c>
      <c r="L1716" t="s">
        <v>479</v>
      </c>
      <c r="M1716" t="s">
        <v>56</v>
      </c>
      <c r="N1716">
        <v>71586289</v>
      </c>
    </row>
    <row r="1717" spans="1:14" x14ac:dyDescent="0.25">
      <c r="A1717">
        <v>57881434</v>
      </c>
      <c r="B1717" t="s">
        <v>768</v>
      </c>
      <c r="C1717" t="s">
        <v>4538</v>
      </c>
      <c r="D1717" t="s">
        <v>4539</v>
      </c>
      <c r="E1717">
        <v>9546695861</v>
      </c>
      <c r="F1717" t="s">
        <v>423</v>
      </c>
      <c r="G1717" t="s">
        <v>424</v>
      </c>
      <c r="I1717" t="s">
        <v>46</v>
      </c>
      <c r="J1717" s="13">
        <v>45966</v>
      </c>
      <c r="K1717" s="13">
        <v>46023</v>
      </c>
      <c r="L1717" t="s">
        <v>497</v>
      </c>
      <c r="M1717" t="s">
        <v>56</v>
      </c>
      <c r="N1717">
        <v>71586678</v>
      </c>
    </row>
    <row r="1718" spans="1:14" x14ac:dyDescent="0.25">
      <c r="A1718">
        <v>57881644</v>
      </c>
      <c r="B1718" t="s">
        <v>4540</v>
      </c>
      <c r="C1718" t="s">
        <v>4541</v>
      </c>
      <c r="D1718" t="s">
        <v>4542</v>
      </c>
      <c r="E1718">
        <v>7274524486</v>
      </c>
      <c r="F1718" t="s">
        <v>828</v>
      </c>
      <c r="G1718" t="s">
        <v>1148</v>
      </c>
      <c r="I1718" t="s">
        <v>17</v>
      </c>
      <c r="J1718" s="13">
        <v>45966</v>
      </c>
      <c r="K1718" s="13">
        <v>46023</v>
      </c>
      <c r="L1718" t="s">
        <v>497</v>
      </c>
      <c r="M1718" t="s">
        <v>56</v>
      </c>
      <c r="N1718">
        <v>71592291</v>
      </c>
    </row>
    <row r="1719" spans="1:14" x14ac:dyDescent="0.25">
      <c r="A1719">
        <v>57881686</v>
      </c>
      <c r="B1719" t="s">
        <v>4543</v>
      </c>
      <c r="C1719" t="s">
        <v>4544</v>
      </c>
      <c r="D1719" t="s">
        <v>4545</v>
      </c>
      <c r="E1719">
        <v>7272263061</v>
      </c>
      <c r="F1719" t="s">
        <v>1067</v>
      </c>
      <c r="G1719" t="s">
        <v>1068</v>
      </c>
      <c r="I1719" t="s">
        <v>35</v>
      </c>
      <c r="J1719" s="13">
        <v>45966</v>
      </c>
      <c r="K1719" s="13">
        <v>46023</v>
      </c>
      <c r="L1719" t="s">
        <v>497</v>
      </c>
      <c r="M1719" t="s">
        <v>58</v>
      </c>
      <c r="N1719">
        <v>71592775</v>
      </c>
    </row>
    <row r="1720" spans="1:14" x14ac:dyDescent="0.25">
      <c r="A1720">
        <v>57882110</v>
      </c>
      <c r="B1720" t="s">
        <v>1566</v>
      </c>
      <c r="C1720" t="s">
        <v>546</v>
      </c>
      <c r="D1720" t="s">
        <v>4546</v>
      </c>
      <c r="E1720">
        <v>5203433292</v>
      </c>
      <c r="F1720" t="s">
        <v>423</v>
      </c>
      <c r="G1720" t="s">
        <v>424</v>
      </c>
      <c r="I1720" t="s">
        <v>46</v>
      </c>
      <c r="J1720" s="13">
        <v>45966</v>
      </c>
      <c r="K1720" s="13">
        <v>46023</v>
      </c>
      <c r="L1720" t="s">
        <v>1179</v>
      </c>
      <c r="M1720" t="s">
        <v>59</v>
      </c>
      <c r="N1720">
        <v>71594144</v>
      </c>
    </row>
    <row r="1721" spans="1:14" x14ac:dyDescent="0.25">
      <c r="A1721">
        <v>57881809</v>
      </c>
      <c r="B1721" t="s">
        <v>4547</v>
      </c>
      <c r="C1721" t="s">
        <v>1274</v>
      </c>
      <c r="D1721" t="s">
        <v>4548</v>
      </c>
      <c r="E1721">
        <v>8133776791</v>
      </c>
      <c r="F1721" t="s">
        <v>775</v>
      </c>
      <c r="G1721" t="s">
        <v>776</v>
      </c>
      <c r="I1721" t="s">
        <v>22</v>
      </c>
      <c r="J1721" s="13">
        <v>45966</v>
      </c>
      <c r="K1721" s="13">
        <v>46023</v>
      </c>
      <c r="L1721" t="s">
        <v>497</v>
      </c>
      <c r="M1721" t="s">
        <v>59</v>
      </c>
      <c r="N1721">
        <v>71594224</v>
      </c>
    </row>
    <row r="1722" spans="1:14" x14ac:dyDescent="0.25">
      <c r="A1722">
        <v>57881945</v>
      </c>
      <c r="B1722" t="s">
        <v>2360</v>
      </c>
      <c r="C1722" t="s">
        <v>2864</v>
      </c>
      <c r="D1722" t="s">
        <v>4549</v>
      </c>
      <c r="E1722">
        <v>5208584012</v>
      </c>
      <c r="F1722" t="s">
        <v>842</v>
      </c>
      <c r="G1722" t="s">
        <v>1213</v>
      </c>
      <c r="I1722" t="s">
        <v>1214</v>
      </c>
      <c r="J1722" s="13">
        <v>45966</v>
      </c>
      <c r="K1722" s="13">
        <v>46023</v>
      </c>
      <c r="L1722" t="s">
        <v>1179</v>
      </c>
      <c r="M1722" t="s">
        <v>54</v>
      </c>
      <c r="N1722">
        <v>71596101</v>
      </c>
    </row>
    <row r="1723" spans="1:14" x14ac:dyDescent="0.25">
      <c r="A1723">
        <v>58524084</v>
      </c>
      <c r="B1723" t="s">
        <v>566</v>
      </c>
      <c r="C1723" t="s">
        <v>4550</v>
      </c>
      <c r="D1723" t="s">
        <v>4551</v>
      </c>
      <c r="E1723">
        <v>9542401619</v>
      </c>
      <c r="F1723" t="s">
        <v>1345</v>
      </c>
      <c r="G1723" t="s">
        <v>799</v>
      </c>
      <c r="I1723" t="s">
        <v>47</v>
      </c>
      <c r="J1723" s="13">
        <v>45992</v>
      </c>
      <c r="K1723" s="13">
        <v>46023</v>
      </c>
      <c r="L1723" t="s">
        <v>497</v>
      </c>
      <c r="M1723" t="s">
        <v>56</v>
      </c>
      <c r="N1723">
        <v>71598979</v>
      </c>
    </row>
    <row r="1724" spans="1:14" x14ac:dyDescent="0.25">
      <c r="A1724">
        <v>57882202</v>
      </c>
      <c r="B1724" t="s">
        <v>4552</v>
      </c>
      <c r="C1724" t="s">
        <v>725</v>
      </c>
      <c r="D1724" t="s">
        <v>4553</v>
      </c>
      <c r="E1724">
        <v>8706482596</v>
      </c>
      <c r="F1724" t="s">
        <v>870</v>
      </c>
      <c r="G1724" t="s">
        <v>871</v>
      </c>
      <c r="I1724" t="s">
        <v>872</v>
      </c>
      <c r="J1724" s="13">
        <v>45966</v>
      </c>
      <c r="K1724" s="13">
        <v>46023</v>
      </c>
      <c r="L1724" t="s">
        <v>553</v>
      </c>
      <c r="M1724" t="s">
        <v>58</v>
      </c>
      <c r="N1724">
        <v>71600118</v>
      </c>
    </row>
    <row r="1725" spans="1:14" x14ac:dyDescent="0.25">
      <c r="A1725">
        <v>57882241</v>
      </c>
      <c r="B1725" t="s">
        <v>3995</v>
      </c>
      <c r="C1725" t="s">
        <v>4554</v>
      </c>
      <c r="D1725" t="s">
        <v>4555</v>
      </c>
      <c r="E1725">
        <v>9709890338</v>
      </c>
      <c r="F1725" t="s">
        <v>842</v>
      </c>
      <c r="G1725" t="s">
        <v>843</v>
      </c>
      <c r="I1725" t="s">
        <v>98</v>
      </c>
      <c r="J1725" s="13">
        <v>45966</v>
      </c>
      <c r="K1725" s="13">
        <v>46023</v>
      </c>
      <c r="L1725" t="s">
        <v>539</v>
      </c>
      <c r="M1725" t="s">
        <v>58</v>
      </c>
      <c r="N1725">
        <v>71600923</v>
      </c>
    </row>
    <row r="1726" spans="1:14" x14ac:dyDescent="0.25">
      <c r="A1726">
        <v>57882324</v>
      </c>
      <c r="B1726" t="s">
        <v>431</v>
      </c>
      <c r="C1726" t="s">
        <v>2702</v>
      </c>
      <c r="D1726" t="s">
        <v>4556</v>
      </c>
      <c r="E1726">
        <v>6186451651</v>
      </c>
      <c r="F1726" t="s">
        <v>798</v>
      </c>
      <c r="G1726" t="s">
        <v>799</v>
      </c>
      <c r="I1726" t="s">
        <v>800</v>
      </c>
      <c r="J1726" s="13">
        <v>45966</v>
      </c>
      <c r="K1726" s="13">
        <v>46023</v>
      </c>
      <c r="L1726" t="s">
        <v>470</v>
      </c>
      <c r="M1726" t="s">
        <v>60</v>
      </c>
      <c r="N1726">
        <v>71602481</v>
      </c>
    </row>
    <row r="1727" spans="1:14" x14ac:dyDescent="0.25">
      <c r="A1727">
        <v>57882639</v>
      </c>
      <c r="B1727" t="s">
        <v>4557</v>
      </c>
      <c r="C1727" t="s">
        <v>4558</v>
      </c>
      <c r="D1727" t="s">
        <v>4559</v>
      </c>
      <c r="E1727">
        <v>7064261592</v>
      </c>
      <c r="F1727" t="s">
        <v>684</v>
      </c>
      <c r="G1727" t="s">
        <v>685</v>
      </c>
      <c r="I1727" t="s">
        <v>686</v>
      </c>
      <c r="J1727" s="13">
        <v>45966</v>
      </c>
      <c r="K1727" s="13">
        <v>46023</v>
      </c>
      <c r="L1727" t="s">
        <v>621</v>
      </c>
      <c r="M1727" t="s">
        <v>58</v>
      </c>
      <c r="N1727">
        <v>71609016</v>
      </c>
    </row>
    <row r="1728" spans="1:14" x14ac:dyDescent="0.25">
      <c r="A1728">
        <v>57882784</v>
      </c>
      <c r="B1728" t="s">
        <v>1910</v>
      </c>
      <c r="C1728" t="s">
        <v>766</v>
      </c>
      <c r="D1728" t="s">
        <v>4560</v>
      </c>
      <c r="E1728">
        <v>7623592052</v>
      </c>
      <c r="F1728" t="s">
        <v>790</v>
      </c>
      <c r="G1728" t="s">
        <v>791</v>
      </c>
      <c r="I1728" t="s">
        <v>119</v>
      </c>
      <c r="J1728" s="13">
        <v>45966</v>
      </c>
      <c r="K1728" s="13">
        <v>46023</v>
      </c>
      <c r="L1728" t="s">
        <v>621</v>
      </c>
      <c r="M1728" t="s">
        <v>58</v>
      </c>
      <c r="N1728">
        <v>71611435</v>
      </c>
    </row>
    <row r="1729" spans="1:14" x14ac:dyDescent="0.25">
      <c r="A1729">
        <v>57882762</v>
      </c>
      <c r="B1729" t="s">
        <v>4561</v>
      </c>
      <c r="C1729" t="s">
        <v>4562</v>
      </c>
      <c r="D1729" t="s">
        <v>4563</v>
      </c>
      <c r="E1729">
        <v>7066912718</v>
      </c>
      <c r="F1729" t="s">
        <v>628</v>
      </c>
      <c r="G1729" t="s">
        <v>629</v>
      </c>
      <c r="I1729" t="s">
        <v>24</v>
      </c>
      <c r="J1729" s="13">
        <v>45966</v>
      </c>
      <c r="K1729" s="13">
        <v>46023</v>
      </c>
      <c r="L1729" t="s">
        <v>621</v>
      </c>
      <c r="M1729" t="s">
        <v>59</v>
      </c>
      <c r="N1729">
        <v>71611669</v>
      </c>
    </row>
    <row r="1730" spans="1:14" x14ac:dyDescent="0.25">
      <c r="A1730">
        <v>57883110</v>
      </c>
      <c r="B1730" t="s">
        <v>4564</v>
      </c>
      <c r="C1730" t="s">
        <v>4565</v>
      </c>
      <c r="D1730" t="s">
        <v>4566</v>
      </c>
      <c r="E1730">
        <v>6303735995</v>
      </c>
      <c r="F1730" t="s">
        <v>416</v>
      </c>
      <c r="G1730" t="s">
        <v>417</v>
      </c>
      <c r="I1730" t="s">
        <v>26</v>
      </c>
      <c r="J1730" s="13">
        <v>45966</v>
      </c>
      <c r="K1730" s="13">
        <v>46023</v>
      </c>
      <c r="L1730" t="s">
        <v>1179</v>
      </c>
      <c r="M1730" t="s">
        <v>54</v>
      </c>
      <c r="N1730">
        <v>71616122</v>
      </c>
    </row>
    <row r="1731" spans="1:14" x14ac:dyDescent="0.25">
      <c r="A1731">
        <v>57883385</v>
      </c>
      <c r="B1731" t="s">
        <v>2711</v>
      </c>
      <c r="C1731" t="s">
        <v>2943</v>
      </c>
      <c r="D1731" t="s">
        <v>4567</v>
      </c>
      <c r="E1731">
        <v>7316780056</v>
      </c>
      <c r="F1731" t="s">
        <v>615</v>
      </c>
      <c r="G1731" t="s">
        <v>616</v>
      </c>
      <c r="I1731" t="s">
        <v>617</v>
      </c>
      <c r="J1731" s="13">
        <v>45966</v>
      </c>
      <c r="K1731" s="13">
        <v>46023</v>
      </c>
      <c r="L1731" t="s">
        <v>479</v>
      </c>
      <c r="M1731" t="s">
        <v>58</v>
      </c>
      <c r="N1731">
        <v>71622014</v>
      </c>
    </row>
    <row r="1732" spans="1:14" x14ac:dyDescent="0.25">
      <c r="A1732">
        <v>57883496</v>
      </c>
      <c r="B1732" t="s">
        <v>445</v>
      </c>
      <c r="C1732" t="s">
        <v>4568</v>
      </c>
      <c r="D1732" t="s">
        <v>4569</v>
      </c>
      <c r="E1732">
        <v>5612139118</v>
      </c>
      <c r="F1732" t="s">
        <v>807</v>
      </c>
      <c r="G1732" t="s">
        <v>808</v>
      </c>
      <c r="I1732" t="s">
        <v>33</v>
      </c>
      <c r="J1732" s="13">
        <v>45966</v>
      </c>
      <c r="K1732" s="13">
        <v>46023</v>
      </c>
      <c r="L1732" t="s">
        <v>497</v>
      </c>
      <c r="M1732" t="s">
        <v>54</v>
      </c>
      <c r="N1732">
        <v>71624396</v>
      </c>
    </row>
    <row r="1733" spans="1:14" x14ac:dyDescent="0.25">
      <c r="A1733">
        <v>57883549</v>
      </c>
      <c r="B1733" t="s">
        <v>4570</v>
      </c>
      <c r="C1733" t="s">
        <v>4571</v>
      </c>
      <c r="D1733" t="s">
        <v>4572</v>
      </c>
      <c r="E1733">
        <v>9283527606</v>
      </c>
      <c r="F1733" t="s">
        <v>705</v>
      </c>
      <c r="G1733" t="s">
        <v>706</v>
      </c>
      <c r="I1733" t="s">
        <v>12</v>
      </c>
      <c r="J1733" s="13">
        <v>45966</v>
      </c>
      <c r="K1733" s="13">
        <v>46023</v>
      </c>
      <c r="L1733" t="s">
        <v>1179</v>
      </c>
      <c r="M1733" t="s">
        <v>55</v>
      </c>
      <c r="N1733">
        <v>71625642</v>
      </c>
    </row>
    <row r="1734" spans="1:14" x14ac:dyDescent="0.25">
      <c r="A1734">
        <v>57883735</v>
      </c>
      <c r="B1734" t="s">
        <v>445</v>
      </c>
      <c r="C1734" t="s">
        <v>4573</v>
      </c>
      <c r="D1734" t="s">
        <v>4574</v>
      </c>
      <c r="E1734">
        <v>9542987119</v>
      </c>
      <c r="F1734" t="s">
        <v>815</v>
      </c>
      <c r="G1734" t="s">
        <v>816</v>
      </c>
      <c r="I1734" t="s">
        <v>23</v>
      </c>
      <c r="J1734" s="13">
        <v>45966</v>
      </c>
      <c r="K1734" s="13">
        <v>46023</v>
      </c>
      <c r="L1734" t="s">
        <v>497</v>
      </c>
      <c r="M1734" t="s">
        <v>58</v>
      </c>
      <c r="N1734">
        <v>71630489</v>
      </c>
    </row>
    <row r="1735" spans="1:14" x14ac:dyDescent="0.25">
      <c r="A1735">
        <v>57884184</v>
      </c>
      <c r="B1735" t="s">
        <v>4575</v>
      </c>
      <c r="C1735" t="s">
        <v>799</v>
      </c>
      <c r="D1735" t="s">
        <v>4576</v>
      </c>
      <c r="E1735">
        <v>3349095549</v>
      </c>
      <c r="F1735" t="s">
        <v>790</v>
      </c>
      <c r="G1735" t="s">
        <v>791</v>
      </c>
      <c r="I1735" t="s">
        <v>119</v>
      </c>
      <c r="J1735" s="13">
        <v>45966</v>
      </c>
      <c r="K1735" s="13">
        <v>46023</v>
      </c>
      <c r="L1735" t="s">
        <v>450</v>
      </c>
      <c r="M1735" t="s">
        <v>59</v>
      </c>
      <c r="N1735">
        <v>71640592</v>
      </c>
    </row>
    <row r="1736" spans="1:14" x14ac:dyDescent="0.25">
      <c r="A1736">
        <v>57884219</v>
      </c>
      <c r="B1736" t="s">
        <v>702</v>
      </c>
      <c r="C1736" t="s">
        <v>4577</v>
      </c>
      <c r="D1736" t="s">
        <v>4578</v>
      </c>
      <c r="E1736">
        <v>3054969975</v>
      </c>
      <c r="F1736" t="s">
        <v>592</v>
      </c>
      <c r="G1736" t="s">
        <v>593</v>
      </c>
      <c r="I1736" t="s">
        <v>115</v>
      </c>
      <c r="J1736" s="13">
        <v>45966</v>
      </c>
      <c r="K1736" s="13">
        <v>46023</v>
      </c>
      <c r="L1736" t="s">
        <v>497</v>
      </c>
      <c r="M1736" t="s">
        <v>59</v>
      </c>
      <c r="N1736">
        <v>71642312</v>
      </c>
    </row>
    <row r="1737" spans="1:14" x14ac:dyDescent="0.25">
      <c r="A1737">
        <v>57884834</v>
      </c>
      <c r="B1737" t="s">
        <v>709</v>
      </c>
      <c r="C1737" t="s">
        <v>4579</v>
      </c>
      <c r="D1737" t="s">
        <v>4580</v>
      </c>
      <c r="E1737">
        <v>5409689509</v>
      </c>
      <c r="F1737" t="s">
        <v>448</v>
      </c>
      <c r="G1737" t="s">
        <v>449</v>
      </c>
      <c r="I1737" t="s">
        <v>31</v>
      </c>
      <c r="J1737" s="13">
        <v>45966</v>
      </c>
      <c r="K1737" s="13">
        <v>46023</v>
      </c>
      <c r="L1737" t="s">
        <v>454</v>
      </c>
      <c r="M1737" t="s">
        <v>58</v>
      </c>
      <c r="N1737">
        <v>71643489</v>
      </c>
    </row>
    <row r="1738" spans="1:14" x14ac:dyDescent="0.25">
      <c r="A1738">
        <v>57884375</v>
      </c>
      <c r="B1738" t="s">
        <v>2296</v>
      </c>
      <c r="C1738" t="s">
        <v>477</v>
      </c>
      <c r="D1738" t="s">
        <v>4581</v>
      </c>
      <c r="E1738">
        <v>3044458879</v>
      </c>
      <c r="F1738" t="s">
        <v>1067</v>
      </c>
      <c r="G1738" t="s">
        <v>1068</v>
      </c>
      <c r="I1738" t="s">
        <v>35</v>
      </c>
      <c r="J1738" s="13">
        <v>45966</v>
      </c>
      <c r="K1738" s="13">
        <v>46023</v>
      </c>
      <c r="L1738" t="s">
        <v>1188</v>
      </c>
      <c r="M1738" t="s">
        <v>58</v>
      </c>
      <c r="N1738">
        <v>71647713</v>
      </c>
    </row>
    <row r="1739" spans="1:14" x14ac:dyDescent="0.25">
      <c r="A1739">
        <v>57884726</v>
      </c>
      <c r="B1739" t="s">
        <v>4582</v>
      </c>
      <c r="C1739" t="s">
        <v>4583</v>
      </c>
      <c r="D1739" t="s">
        <v>4584</v>
      </c>
      <c r="E1739">
        <v>8659240444</v>
      </c>
      <c r="F1739" t="s">
        <v>448</v>
      </c>
      <c r="G1739" t="s">
        <v>449</v>
      </c>
      <c r="I1739" t="s">
        <v>31</v>
      </c>
      <c r="J1739" s="13">
        <v>45966</v>
      </c>
      <c r="K1739" s="13">
        <v>46023</v>
      </c>
      <c r="L1739" t="s">
        <v>479</v>
      </c>
      <c r="M1739" t="s">
        <v>58</v>
      </c>
      <c r="N1739">
        <v>71658620</v>
      </c>
    </row>
    <row r="1740" spans="1:14" x14ac:dyDescent="0.25">
      <c r="A1740">
        <v>57884742</v>
      </c>
      <c r="B1740" t="s">
        <v>1766</v>
      </c>
      <c r="C1740" t="s">
        <v>4585</v>
      </c>
      <c r="D1740" t="s">
        <v>4586</v>
      </c>
      <c r="E1740" t="s">
        <v>4587</v>
      </c>
      <c r="F1740" t="s">
        <v>705</v>
      </c>
      <c r="G1740" t="s">
        <v>706</v>
      </c>
      <c r="I1740" t="s">
        <v>12</v>
      </c>
      <c r="J1740" s="13">
        <v>45966</v>
      </c>
      <c r="K1740" s="13">
        <v>46023</v>
      </c>
      <c r="L1740" t="s">
        <v>539</v>
      </c>
      <c r="M1740" t="s">
        <v>59</v>
      </c>
      <c r="N1740">
        <v>71659367</v>
      </c>
    </row>
    <row r="1741" spans="1:14" x14ac:dyDescent="0.25">
      <c r="A1741">
        <v>57888126</v>
      </c>
      <c r="B1741" t="s">
        <v>4588</v>
      </c>
      <c r="C1741" t="s">
        <v>2876</v>
      </c>
      <c r="D1741" t="s">
        <v>4589</v>
      </c>
      <c r="E1741">
        <v>9726702078</v>
      </c>
      <c r="F1741" t="s">
        <v>474</v>
      </c>
      <c r="G1741" t="s">
        <v>475</v>
      </c>
      <c r="I1741" t="s">
        <v>132</v>
      </c>
      <c r="J1741" s="13">
        <v>45967</v>
      </c>
      <c r="K1741" s="13">
        <v>46023</v>
      </c>
      <c r="L1741" t="s">
        <v>533</v>
      </c>
      <c r="M1741" t="s">
        <v>56</v>
      </c>
      <c r="N1741">
        <v>71845511</v>
      </c>
    </row>
    <row r="1742" spans="1:14" x14ac:dyDescent="0.25">
      <c r="A1742">
        <v>57889106</v>
      </c>
      <c r="B1742" t="s">
        <v>2244</v>
      </c>
      <c r="C1742" t="s">
        <v>4590</v>
      </c>
      <c r="D1742" t="s">
        <v>4591</v>
      </c>
      <c r="E1742">
        <v>2293152202</v>
      </c>
      <c r="F1742" t="s">
        <v>1003</v>
      </c>
      <c r="G1742" t="s">
        <v>1004</v>
      </c>
      <c r="I1742" t="s">
        <v>89</v>
      </c>
      <c r="J1742" s="13">
        <v>45967</v>
      </c>
      <c r="K1742" s="13">
        <v>46023</v>
      </c>
      <c r="L1742" t="s">
        <v>621</v>
      </c>
      <c r="M1742" t="s">
        <v>59</v>
      </c>
      <c r="N1742">
        <v>71846167</v>
      </c>
    </row>
    <row r="1743" spans="1:14" x14ac:dyDescent="0.25">
      <c r="A1743">
        <v>57889234</v>
      </c>
      <c r="B1743" t="s">
        <v>511</v>
      </c>
      <c r="C1743" t="s">
        <v>4592</v>
      </c>
      <c r="D1743" t="s">
        <v>4593</v>
      </c>
      <c r="E1743">
        <v>4792231468</v>
      </c>
      <c r="F1743" t="s">
        <v>551</v>
      </c>
      <c r="G1743" t="s">
        <v>552</v>
      </c>
      <c r="I1743" t="s">
        <v>42</v>
      </c>
      <c r="J1743" s="13">
        <v>45967</v>
      </c>
      <c r="K1743" s="13">
        <v>46023</v>
      </c>
      <c r="L1743" t="s">
        <v>553</v>
      </c>
      <c r="M1743" t="s">
        <v>58</v>
      </c>
      <c r="N1743">
        <v>71846217</v>
      </c>
    </row>
    <row r="1744" spans="1:14" x14ac:dyDescent="0.25">
      <c r="A1744">
        <v>57889772</v>
      </c>
      <c r="B1744" t="s">
        <v>4223</v>
      </c>
      <c r="C1744" t="s">
        <v>4594</v>
      </c>
      <c r="D1744" t="s">
        <v>4595</v>
      </c>
      <c r="E1744">
        <v>9125473607</v>
      </c>
      <c r="F1744" t="s">
        <v>928</v>
      </c>
      <c r="G1744" t="s">
        <v>929</v>
      </c>
      <c r="I1744" t="s">
        <v>30</v>
      </c>
      <c r="J1744" s="13">
        <v>45967</v>
      </c>
      <c r="K1744" s="13">
        <v>46023</v>
      </c>
      <c r="L1744" t="s">
        <v>621</v>
      </c>
      <c r="M1744" t="s">
        <v>58</v>
      </c>
      <c r="N1744">
        <v>71846784</v>
      </c>
    </row>
    <row r="1745" spans="1:14" x14ac:dyDescent="0.25">
      <c r="A1745">
        <v>57889994</v>
      </c>
      <c r="B1745" t="s">
        <v>4596</v>
      </c>
      <c r="C1745" t="s">
        <v>4597</v>
      </c>
      <c r="D1745" t="s">
        <v>4598</v>
      </c>
      <c r="E1745">
        <v>8128990278</v>
      </c>
      <c r="F1745" t="s">
        <v>448</v>
      </c>
      <c r="G1745" t="s">
        <v>449</v>
      </c>
      <c r="I1745" t="s">
        <v>31</v>
      </c>
      <c r="J1745" s="13">
        <v>45967</v>
      </c>
      <c r="K1745" s="13">
        <v>46023</v>
      </c>
      <c r="L1745" t="s">
        <v>440</v>
      </c>
      <c r="M1745" t="s">
        <v>56</v>
      </c>
      <c r="N1745">
        <v>71847036</v>
      </c>
    </row>
    <row r="1746" spans="1:14" x14ac:dyDescent="0.25">
      <c r="A1746">
        <v>57890428</v>
      </c>
      <c r="B1746" t="s">
        <v>879</v>
      </c>
      <c r="C1746" t="s">
        <v>4599</v>
      </c>
      <c r="D1746" t="s">
        <v>4600</v>
      </c>
      <c r="E1746">
        <v>6153184149</v>
      </c>
      <c r="F1746" t="s">
        <v>790</v>
      </c>
      <c r="G1746" t="s">
        <v>791</v>
      </c>
      <c r="I1746" t="s">
        <v>119</v>
      </c>
      <c r="J1746" s="13">
        <v>45967</v>
      </c>
      <c r="K1746" s="13">
        <v>46023</v>
      </c>
      <c r="L1746" t="s">
        <v>479</v>
      </c>
      <c r="M1746" t="s">
        <v>58</v>
      </c>
      <c r="N1746">
        <v>71847304</v>
      </c>
    </row>
    <row r="1747" spans="1:14" x14ac:dyDescent="0.25">
      <c r="A1747">
        <v>57890653</v>
      </c>
      <c r="B1747" t="s">
        <v>799</v>
      </c>
      <c r="C1747" t="s">
        <v>4601</v>
      </c>
      <c r="D1747" t="s">
        <v>4602</v>
      </c>
      <c r="E1747">
        <v>8705294037</v>
      </c>
      <c r="F1747" t="s">
        <v>957</v>
      </c>
      <c r="G1747" t="s">
        <v>958</v>
      </c>
      <c r="H1747" t="s">
        <v>959</v>
      </c>
      <c r="I1747" t="s">
        <v>960</v>
      </c>
      <c r="J1747" s="13">
        <v>45967</v>
      </c>
      <c r="K1747" s="13">
        <v>46023</v>
      </c>
      <c r="L1747" t="s">
        <v>553</v>
      </c>
      <c r="M1747" t="s">
        <v>61</v>
      </c>
      <c r="N1747">
        <v>71847645</v>
      </c>
    </row>
    <row r="1748" spans="1:14" x14ac:dyDescent="0.25">
      <c r="A1748">
        <v>57890722</v>
      </c>
      <c r="B1748" t="s">
        <v>3311</v>
      </c>
      <c r="C1748" t="s">
        <v>4603</v>
      </c>
      <c r="D1748" t="s">
        <v>4604</v>
      </c>
      <c r="E1748">
        <v>7723422944</v>
      </c>
      <c r="F1748" t="s">
        <v>821</v>
      </c>
      <c r="G1748" t="s">
        <v>822</v>
      </c>
      <c r="I1748" t="s">
        <v>823</v>
      </c>
      <c r="J1748" s="13">
        <v>45967</v>
      </c>
      <c r="K1748" s="13">
        <v>46023</v>
      </c>
      <c r="L1748" t="s">
        <v>497</v>
      </c>
      <c r="M1748" t="s">
        <v>56</v>
      </c>
      <c r="N1748">
        <v>71847864</v>
      </c>
    </row>
    <row r="1749" spans="1:14" x14ac:dyDescent="0.25">
      <c r="A1749">
        <v>57890875</v>
      </c>
      <c r="B1749" t="s">
        <v>4605</v>
      </c>
      <c r="C1749" t="s">
        <v>788</v>
      </c>
      <c r="D1749" t="s">
        <v>4606</v>
      </c>
      <c r="E1749">
        <v>5619072572</v>
      </c>
      <c r="F1749" t="s">
        <v>775</v>
      </c>
      <c r="G1749" t="s">
        <v>776</v>
      </c>
      <c r="I1749" t="s">
        <v>22</v>
      </c>
      <c r="J1749" s="13">
        <v>45967</v>
      </c>
      <c r="K1749" s="13">
        <v>46023</v>
      </c>
      <c r="L1749" t="s">
        <v>497</v>
      </c>
      <c r="M1749" t="s">
        <v>59</v>
      </c>
      <c r="N1749">
        <v>71848019</v>
      </c>
    </row>
    <row r="1750" spans="1:14" x14ac:dyDescent="0.25">
      <c r="A1750">
        <v>57891147</v>
      </c>
      <c r="B1750" t="s">
        <v>4607</v>
      </c>
      <c r="C1750" t="s">
        <v>2544</v>
      </c>
      <c r="D1750" t="s">
        <v>4608</v>
      </c>
      <c r="E1750">
        <v>8036347073</v>
      </c>
      <c r="F1750" t="s">
        <v>569</v>
      </c>
      <c r="G1750" t="s">
        <v>570</v>
      </c>
      <c r="I1750" t="s">
        <v>34</v>
      </c>
      <c r="J1750" s="13">
        <v>45967</v>
      </c>
      <c r="K1750" s="13">
        <v>46023</v>
      </c>
      <c r="L1750" t="s">
        <v>533</v>
      </c>
      <c r="M1750" t="s">
        <v>56</v>
      </c>
      <c r="N1750">
        <v>71848291</v>
      </c>
    </row>
    <row r="1751" spans="1:14" x14ac:dyDescent="0.25">
      <c r="A1751">
        <v>57892734</v>
      </c>
      <c r="B1751" t="s">
        <v>4609</v>
      </c>
      <c r="C1751" t="s">
        <v>4610</v>
      </c>
      <c r="D1751" t="s">
        <v>4611</v>
      </c>
      <c r="E1751">
        <v>6028002280</v>
      </c>
      <c r="F1751" t="s">
        <v>1013</v>
      </c>
      <c r="G1751" t="s">
        <v>1014</v>
      </c>
      <c r="I1751" t="s">
        <v>43</v>
      </c>
      <c r="J1751" s="13">
        <v>45967</v>
      </c>
      <c r="K1751" s="13">
        <v>46023</v>
      </c>
      <c r="L1751" t="s">
        <v>1179</v>
      </c>
      <c r="M1751" t="s">
        <v>55</v>
      </c>
      <c r="N1751">
        <v>71849635</v>
      </c>
    </row>
    <row r="1752" spans="1:14" x14ac:dyDescent="0.25">
      <c r="A1752">
        <v>57892889</v>
      </c>
      <c r="B1752" t="s">
        <v>1167</v>
      </c>
      <c r="C1752" t="s">
        <v>4612</v>
      </c>
      <c r="D1752" t="s">
        <v>4613</v>
      </c>
      <c r="E1752">
        <v>7727730729</v>
      </c>
      <c r="F1752" t="s">
        <v>462</v>
      </c>
      <c r="G1752" t="s">
        <v>463</v>
      </c>
      <c r="I1752" t="s">
        <v>39</v>
      </c>
      <c r="J1752" s="13">
        <v>45967</v>
      </c>
      <c r="K1752" s="13">
        <v>46023</v>
      </c>
      <c r="L1752" t="s">
        <v>497</v>
      </c>
      <c r="M1752" t="s">
        <v>56</v>
      </c>
      <c r="N1752">
        <v>71849776</v>
      </c>
    </row>
    <row r="1753" spans="1:14" x14ac:dyDescent="0.25">
      <c r="A1753">
        <v>57893696</v>
      </c>
      <c r="B1753" t="s">
        <v>4614</v>
      </c>
      <c r="C1753" t="s">
        <v>4615</v>
      </c>
      <c r="D1753" t="s">
        <v>4616</v>
      </c>
      <c r="E1753">
        <v>4173964124</v>
      </c>
      <c r="F1753" t="s">
        <v>842</v>
      </c>
      <c r="G1753" t="s">
        <v>843</v>
      </c>
      <c r="I1753" t="s">
        <v>98</v>
      </c>
      <c r="J1753" s="13">
        <v>45967</v>
      </c>
      <c r="K1753" s="13">
        <v>46023</v>
      </c>
      <c r="L1753" t="s">
        <v>434</v>
      </c>
      <c r="M1753" t="s">
        <v>59</v>
      </c>
      <c r="N1753">
        <v>71850516</v>
      </c>
    </row>
    <row r="1754" spans="1:14" x14ac:dyDescent="0.25">
      <c r="A1754">
        <v>57894305</v>
      </c>
      <c r="B1754" t="s">
        <v>4617</v>
      </c>
      <c r="C1754" t="s">
        <v>4618</v>
      </c>
      <c r="D1754" t="s">
        <v>4619</v>
      </c>
      <c r="E1754">
        <v>8159755616</v>
      </c>
      <c r="F1754" t="s">
        <v>798</v>
      </c>
      <c r="G1754" t="s">
        <v>799</v>
      </c>
      <c r="I1754" t="s">
        <v>800</v>
      </c>
      <c r="J1754" s="13">
        <v>45967</v>
      </c>
      <c r="K1754" s="13">
        <v>46023</v>
      </c>
      <c r="L1754" t="s">
        <v>470</v>
      </c>
      <c r="M1754" t="s">
        <v>56</v>
      </c>
      <c r="N1754">
        <v>71850968</v>
      </c>
    </row>
    <row r="1755" spans="1:14" x14ac:dyDescent="0.25">
      <c r="A1755">
        <v>57894804</v>
      </c>
      <c r="B1755" t="s">
        <v>1515</v>
      </c>
      <c r="C1755" t="s">
        <v>4620</v>
      </c>
      <c r="D1755" t="s">
        <v>4621</v>
      </c>
      <c r="E1755">
        <v>2078907925</v>
      </c>
      <c r="F1755" t="s">
        <v>474</v>
      </c>
      <c r="G1755" t="s">
        <v>475</v>
      </c>
      <c r="I1755" t="s">
        <v>132</v>
      </c>
      <c r="J1755" s="13">
        <v>45967</v>
      </c>
      <c r="K1755" s="13">
        <v>46023</v>
      </c>
      <c r="L1755" t="s">
        <v>941</v>
      </c>
      <c r="M1755" t="s">
        <v>56</v>
      </c>
      <c r="N1755">
        <v>71851309</v>
      </c>
    </row>
    <row r="1756" spans="1:14" x14ac:dyDescent="0.25">
      <c r="A1756">
        <v>57897336</v>
      </c>
      <c r="B1756" t="s">
        <v>1643</v>
      </c>
      <c r="C1756" t="s">
        <v>4622</v>
      </c>
      <c r="D1756" t="s">
        <v>4623</v>
      </c>
      <c r="E1756">
        <v>5023650275</v>
      </c>
      <c r="F1756" t="s">
        <v>551</v>
      </c>
      <c r="G1756" t="s">
        <v>552</v>
      </c>
      <c r="I1756" t="s">
        <v>42</v>
      </c>
      <c r="J1756" s="13">
        <v>45967</v>
      </c>
      <c r="K1756" s="13">
        <v>46023</v>
      </c>
      <c r="L1756" t="s">
        <v>490</v>
      </c>
      <c r="M1756" t="s">
        <v>56</v>
      </c>
      <c r="N1756">
        <v>71852767</v>
      </c>
    </row>
    <row r="1757" spans="1:14" x14ac:dyDescent="0.25">
      <c r="A1757">
        <v>57898915</v>
      </c>
      <c r="B1757" t="s">
        <v>743</v>
      </c>
      <c r="C1757" t="s">
        <v>4483</v>
      </c>
      <c r="D1757" t="s">
        <v>4624</v>
      </c>
      <c r="E1757">
        <v>8165092879</v>
      </c>
      <c r="F1757" t="s">
        <v>1003</v>
      </c>
      <c r="G1757" t="s">
        <v>1004</v>
      </c>
      <c r="I1757" t="s">
        <v>89</v>
      </c>
      <c r="J1757" s="13">
        <v>45967</v>
      </c>
      <c r="K1757" s="13">
        <v>46023</v>
      </c>
      <c r="L1757" t="s">
        <v>434</v>
      </c>
      <c r="M1757" t="s">
        <v>58</v>
      </c>
      <c r="N1757">
        <v>71854190</v>
      </c>
    </row>
    <row r="1758" spans="1:14" x14ac:dyDescent="0.25">
      <c r="A1758">
        <v>57899842</v>
      </c>
      <c r="B1758" t="s">
        <v>586</v>
      </c>
      <c r="C1758" t="s">
        <v>546</v>
      </c>
      <c r="D1758" t="s">
        <v>4625</v>
      </c>
      <c r="E1758">
        <v>6156783536</v>
      </c>
      <c r="F1758" t="s">
        <v>790</v>
      </c>
      <c r="G1758" t="s">
        <v>791</v>
      </c>
      <c r="I1758" t="s">
        <v>119</v>
      </c>
      <c r="J1758" s="13">
        <v>45967</v>
      </c>
      <c r="K1758" s="13">
        <v>46023</v>
      </c>
      <c r="L1758" t="s">
        <v>479</v>
      </c>
      <c r="M1758" t="s">
        <v>59</v>
      </c>
      <c r="N1758">
        <v>71854452</v>
      </c>
    </row>
    <row r="1759" spans="1:14" x14ac:dyDescent="0.25">
      <c r="A1759">
        <v>57899299</v>
      </c>
      <c r="B1759" t="s">
        <v>4626</v>
      </c>
      <c r="C1759" t="s">
        <v>4627</v>
      </c>
      <c r="D1759" t="s">
        <v>4628</v>
      </c>
      <c r="E1759">
        <v>3043985961</v>
      </c>
      <c r="F1759" t="s">
        <v>1398</v>
      </c>
      <c r="G1759" t="s">
        <v>1399</v>
      </c>
      <c r="I1759" t="s">
        <v>1400</v>
      </c>
      <c r="J1759" s="13">
        <v>45967</v>
      </c>
      <c r="K1759" s="13">
        <v>46023</v>
      </c>
      <c r="L1759" t="s">
        <v>1188</v>
      </c>
      <c r="M1759" t="s">
        <v>56</v>
      </c>
      <c r="N1759">
        <v>71854508</v>
      </c>
    </row>
    <row r="1760" spans="1:14" x14ac:dyDescent="0.25">
      <c r="A1760">
        <v>57899275</v>
      </c>
      <c r="B1760" t="s">
        <v>4629</v>
      </c>
      <c r="C1760" t="s">
        <v>2513</v>
      </c>
      <c r="D1760" t="s">
        <v>4630</v>
      </c>
      <c r="E1760">
        <v>3124011084</v>
      </c>
      <c r="F1760" t="s">
        <v>615</v>
      </c>
      <c r="G1760" t="s">
        <v>616</v>
      </c>
      <c r="I1760" t="s">
        <v>617</v>
      </c>
      <c r="J1760" s="13">
        <v>45967</v>
      </c>
      <c r="K1760" s="13">
        <v>46023</v>
      </c>
      <c r="L1760" t="s">
        <v>470</v>
      </c>
      <c r="M1760" t="s">
        <v>56</v>
      </c>
      <c r="N1760">
        <v>71854546</v>
      </c>
    </row>
    <row r="1761" spans="1:14" x14ac:dyDescent="0.25">
      <c r="A1761">
        <v>57900855</v>
      </c>
      <c r="B1761" t="s">
        <v>1228</v>
      </c>
      <c r="C1761" t="s">
        <v>970</v>
      </c>
      <c r="D1761" t="s">
        <v>4631</v>
      </c>
      <c r="E1761">
        <v>8033637212</v>
      </c>
      <c r="F1761" t="s">
        <v>957</v>
      </c>
      <c r="G1761" t="s">
        <v>958</v>
      </c>
      <c r="H1761" t="s">
        <v>959</v>
      </c>
      <c r="I1761" t="s">
        <v>960</v>
      </c>
      <c r="J1761" s="13">
        <v>45967</v>
      </c>
      <c r="K1761" s="13">
        <v>46023</v>
      </c>
      <c r="L1761" t="s">
        <v>533</v>
      </c>
      <c r="M1761" t="s">
        <v>60</v>
      </c>
      <c r="N1761">
        <v>71854552</v>
      </c>
    </row>
    <row r="1762" spans="1:14" x14ac:dyDescent="0.25">
      <c r="A1762">
        <v>57899477</v>
      </c>
      <c r="B1762" t="s">
        <v>4632</v>
      </c>
      <c r="C1762" t="s">
        <v>4633</v>
      </c>
      <c r="D1762" t="s">
        <v>4634</v>
      </c>
      <c r="E1762">
        <v>2513277718</v>
      </c>
      <c r="F1762" t="s">
        <v>628</v>
      </c>
      <c r="G1762" t="s">
        <v>629</v>
      </c>
      <c r="I1762" t="s">
        <v>24</v>
      </c>
      <c r="J1762" s="13">
        <v>45967</v>
      </c>
      <c r="K1762" s="13">
        <v>46023</v>
      </c>
      <c r="L1762" t="s">
        <v>450</v>
      </c>
      <c r="M1762" t="s">
        <v>59</v>
      </c>
      <c r="N1762">
        <v>71854809</v>
      </c>
    </row>
    <row r="1763" spans="1:14" x14ac:dyDescent="0.25">
      <c r="A1763">
        <v>57899620</v>
      </c>
      <c r="B1763" t="s">
        <v>2081</v>
      </c>
      <c r="C1763" t="s">
        <v>2795</v>
      </c>
      <c r="D1763" t="s">
        <v>4635</v>
      </c>
      <c r="E1763">
        <v>9102736178</v>
      </c>
      <c r="F1763" t="s">
        <v>1067</v>
      </c>
      <c r="G1763" t="s">
        <v>1068</v>
      </c>
      <c r="I1763" t="s">
        <v>35</v>
      </c>
      <c r="J1763" s="13">
        <v>45967</v>
      </c>
      <c r="K1763" s="13">
        <v>46023</v>
      </c>
      <c r="L1763" t="s">
        <v>603</v>
      </c>
      <c r="M1763" t="s">
        <v>56</v>
      </c>
      <c r="N1763">
        <v>71854953</v>
      </c>
    </row>
    <row r="1764" spans="1:14" x14ac:dyDescent="0.25">
      <c r="A1764">
        <v>57899782</v>
      </c>
      <c r="B1764" t="s">
        <v>867</v>
      </c>
      <c r="C1764" t="s">
        <v>4636</v>
      </c>
      <c r="D1764" t="s">
        <v>4637</v>
      </c>
      <c r="E1764">
        <v>8165060049</v>
      </c>
      <c r="F1764" t="s">
        <v>649</v>
      </c>
      <c r="G1764" t="s">
        <v>650</v>
      </c>
      <c r="I1764" t="s">
        <v>28</v>
      </c>
      <c r="J1764" s="13">
        <v>45967</v>
      </c>
      <c r="K1764" s="13">
        <v>46023</v>
      </c>
      <c r="L1764" t="s">
        <v>434</v>
      </c>
      <c r="M1764" t="s">
        <v>60</v>
      </c>
      <c r="N1764">
        <v>71855110</v>
      </c>
    </row>
    <row r="1765" spans="1:14" x14ac:dyDescent="0.25">
      <c r="A1765">
        <v>57899793</v>
      </c>
      <c r="B1765" t="s">
        <v>4363</v>
      </c>
      <c r="C1765" t="s">
        <v>4638</v>
      </c>
      <c r="D1765" t="s">
        <v>4639</v>
      </c>
      <c r="E1765">
        <v>2293649598</v>
      </c>
      <c r="F1765" t="s">
        <v>842</v>
      </c>
      <c r="G1765" t="s">
        <v>843</v>
      </c>
      <c r="I1765" t="s">
        <v>98</v>
      </c>
      <c r="J1765" s="13">
        <v>45967</v>
      </c>
      <c r="K1765" s="13">
        <v>46023</v>
      </c>
      <c r="L1765" t="s">
        <v>621</v>
      </c>
      <c r="M1765" t="s">
        <v>56</v>
      </c>
      <c r="N1765">
        <v>71855122</v>
      </c>
    </row>
    <row r="1766" spans="1:14" x14ac:dyDescent="0.25">
      <c r="A1766">
        <v>57899866</v>
      </c>
      <c r="B1766" t="s">
        <v>1679</v>
      </c>
      <c r="C1766" t="s">
        <v>4640</v>
      </c>
      <c r="D1766" t="s">
        <v>4641</v>
      </c>
      <c r="E1766">
        <v>4178123449</v>
      </c>
      <c r="F1766" t="s">
        <v>592</v>
      </c>
      <c r="G1766" t="s">
        <v>593</v>
      </c>
      <c r="I1766" t="s">
        <v>115</v>
      </c>
      <c r="J1766" s="13">
        <v>45967</v>
      </c>
      <c r="K1766" s="13">
        <v>46023</v>
      </c>
      <c r="L1766" t="s">
        <v>434</v>
      </c>
      <c r="M1766" t="s">
        <v>60</v>
      </c>
      <c r="N1766">
        <v>71855191</v>
      </c>
    </row>
    <row r="1767" spans="1:14" x14ac:dyDescent="0.25">
      <c r="A1767">
        <v>57899994</v>
      </c>
      <c r="B1767" t="s">
        <v>4642</v>
      </c>
      <c r="C1767" t="s">
        <v>4643</v>
      </c>
      <c r="D1767" t="s">
        <v>4644</v>
      </c>
      <c r="E1767">
        <v>4235232535</v>
      </c>
      <c r="F1767" t="s">
        <v>705</v>
      </c>
      <c r="G1767" t="s">
        <v>706</v>
      </c>
      <c r="I1767" t="s">
        <v>12</v>
      </c>
      <c r="J1767" s="13">
        <v>45967</v>
      </c>
      <c r="K1767" s="13">
        <v>46023</v>
      </c>
      <c r="L1767" t="s">
        <v>479</v>
      </c>
      <c r="M1767" t="s">
        <v>59</v>
      </c>
      <c r="N1767">
        <v>71855335</v>
      </c>
    </row>
    <row r="1768" spans="1:14" x14ac:dyDescent="0.25">
      <c r="A1768">
        <v>57900386</v>
      </c>
      <c r="B1768" t="s">
        <v>1370</v>
      </c>
      <c r="C1768" t="s">
        <v>4483</v>
      </c>
      <c r="D1768" t="s">
        <v>4645</v>
      </c>
      <c r="E1768">
        <v>9547616331</v>
      </c>
      <c r="F1768" t="s">
        <v>928</v>
      </c>
      <c r="G1768" t="s">
        <v>929</v>
      </c>
      <c r="I1768" t="s">
        <v>30</v>
      </c>
      <c r="J1768" s="13">
        <v>45967</v>
      </c>
      <c r="K1768" s="13">
        <v>46023</v>
      </c>
      <c r="L1768" t="s">
        <v>497</v>
      </c>
      <c r="M1768" t="s">
        <v>56</v>
      </c>
      <c r="N1768">
        <v>71855727</v>
      </c>
    </row>
    <row r="1769" spans="1:14" x14ac:dyDescent="0.25">
      <c r="A1769">
        <v>57901281</v>
      </c>
      <c r="B1769" t="s">
        <v>672</v>
      </c>
      <c r="C1769" t="s">
        <v>4646</v>
      </c>
      <c r="D1769" t="s">
        <v>4647</v>
      </c>
      <c r="E1769">
        <v>9014301602</v>
      </c>
      <c r="F1769" t="s">
        <v>423</v>
      </c>
      <c r="G1769" t="s">
        <v>424</v>
      </c>
      <c r="I1769" t="s">
        <v>46</v>
      </c>
      <c r="J1769" s="13">
        <v>45967</v>
      </c>
      <c r="K1769" s="13">
        <v>46023</v>
      </c>
      <c r="L1769" t="s">
        <v>479</v>
      </c>
      <c r="M1769" t="s">
        <v>56</v>
      </c>
      <c r="N1769">
        <v>71856382</v>
      </c>
    </row>
    <row r="1770" spans="1:14" x14ac:dyDescent="0.25">
      <c r="A1770">
        <v>57902507</v>
      </c>
      <c r="B1770" t="s">
        <v>1699</v>
      </c>
      <c r="C1770" t="s">
        <v>4648</v>
      </c>
      <c r="D1770" t="s">
        <v>4649</v>
      </c>
      <c r="E1770">
        <v>9283630239</v>
      </c>
      <c r="F1770" t="s">
        <v>842</v>
      </c>
      <c r="G1770" t="s">
        <v>1213</v>
      </c>
      <c r="I1770" t="s">
        <v>1214</v>
      </c>
      <c r="J1770" s="13">
        <v>45967</v>
      </c>
      <c r="K1770" s="13">
        <v>46023</v>
      </c>
      <c r="L1770" t="s">
        <v>1179</v>
      </c>
      <c r="M1770" t="s">
        <v>61</v>
      </c>
      <c r="N1770">
        <v>71857573</v>
      </c>
    </row>
    <row r="1771" spans="1:14" x14ac:dyDescent="0.25">
      <c r="A1771">
        <v>57902683</v>
      </c>
      <c r="B1771" t="s">
        <v>958</v>
      </c>
      <c r="C1771" t="s">
        <v>4650</v>
      </c>
      <c r="D1771" t="s">
        <v>4651</v>
      </c>
      <c r="E1771">
        <v>9843030058</v>
      </c>
      <c r="F1771" t="s">
        <v>569</v>
      </c>
      <c r="G1771" t="s">
        <v>570</v>
      </c>
      <c r="I1771" t="s">
        <v>34</v>
      </c>
      <c r="J1771" s="13">
        <v>45967</v>
      </c>
      <c r="K1771" s="13">
        <v>46023</v>
      </c>
      <c r="L1771" t="s">
        <v>603</v>
      </c>
      <c r="M1771" t="s">
        <v>56</v>
      </c>
      <c r="N1771">
        <v>71857720</v>
      </c>
    </row>
    <row r="1772" spans="1:14" x14ac:dyDescent="0.25">
      <c r="A1772">
        <v>57903095</v>
      </c>
      <c r="B1772" t="s">
        <v>4652</v>
      </c>
      <c r="C1772" t="s">
        <v>4653</v>
      </c>
      <c r="D1772" t="s">
        <v>4654</v>
      </c>
      <c r="E1772">
        <v>8045405188</v>
      </c>
      <c r="F1772" t="s">
        <v>574</v>
      </c>
      <c r="G1772" t="s">
        <v>575</v>
      </c>
      <c r="I1772" t="s">
        <v>14</v>
      </c>
      <c r="J1772" s="13">
        <v>45967</v>
      </c>
      <c r="K1772" s="13">
        <v>46023</v>
      </c>
      <c r="L1772" t="s">
        <v>454</v>
      </c>
      <c r="M1772" t="s">
        <v>55</v>
      </c>
      <c r="N1772">
        <v>71858039</v>
      </c>
    </row>
    <row r="1773" spans="1:14" x14ac:dyDescent="0.25">
      <c r="A1773">
        <v>57903303</v>
      </c>
      <c r="B1773" t="s">
        <v>421</v>
      </c>
      <c r="C1773" t="s">
        <v>4655</v>
      </c>
      <c r="D1773" t="s">
        <v>4656</v>
      </c>
      <c r="E1773">
        <v>7705465303</v>
      </c>
      <c r="F1773" t="s">
        <v>1398</v>
      </c>
      <c r="G1773" t="s">
        <v>1399</v>
      </c>
      <c r="I1773" t="s">
        <v>1400</v>
      </c>
      <c r="J1773" s="13">
        <v>45967</v>
      </c>
      <c r="K1773" s="13">
        <v>46023</v>
      </c>
      <c r="L1773" t="s">
        <v>621</v>
      </c>
      <c r="M1773" t="s">
        <v>59</v>
      </c>
      <c r="N1773">
        <v>71858131</v>
      </c>
    </row>
    <row r="1774" spans="1:14" x14ac:dyDescent="0.25">
      <c r="A1774">
        <v>57903631</v>
      </c>
      <c r="B1774" t="s">
        <v>4657</v>
      </c>
      <c r="C1774" t="s">
        <v>4658</v>
      </c>
      <c r="D1774" t="s">
        <v>4659</v>
      </c>
      <c r="E1774">
        <v>5613965725</v>
      </c>
      <c r="F1774" t="s">
        <v>462</v>
      </c>
      <c r="G1774" t="s">
        <v>463</v>
      </c>
      <c r="I1774" t="s">
        <v>39</v>
      </c>
      <c r="J1774" s="13">
        <v>45967</v>
      </c>
      <c r="K1774" s="13">
        <v>46023</v>
      </c>
      <c r="L1774" t="s">
        <v>497</v>
      </c>
      <c r="M1774" t="s">
        <v>54</v>
      </c>
      <c r="N1774">
        <v>71858394</v>
      </c>
    </row>
    <row r="1775" spans="1:14" x14ac:dyDescent="0.25">
      <c r="A1775">
        <v>58517397</v>
      </c>
      <c r="B1775" t="s">
        <v>1148</v>
      </c>
      <c r="C1775" t="s">
        <v>4660</v>
      </c>
      <c r="D1775" t="s">
        <v>4661</v>
      </c>
      <c r="E1775">
        <v>3044177700</v>
      </c>
      <c r="F1775" t="s">
        <v>1067</v>
      </c>
      <c r="G1775" t="s">
        <v>1068</v>
      </c>
      <c r="I1775" t="s">
        <v>35</v>
      </c>
      <c r="J1775" s="13">
        <v>45992</v>
      </c>
      <c r="K1775" s="13">
        <v>46023</v>
      </c>
      <c r="L1775" t="s">
        <v>497</v>
      </c>
      <c r="M1775" t="s">
        <v>56</v>
      </c>
      <c r="N1775">
        <v>71858568</v>
      </c>
    </row>
    <row r="1776" spans="1:14" x14ac:dyDescent="0.25">
      <c r="A1776">
        <v>57905125</v>
      </c>
      <c r="B1776" t="s">
        <v>1472</v>
      </c>
      <c r="C1776" t="s">
        <v>4662</v>
      </c>
      <c r="D1776" t="s">
        <v>4663</v>
      </c>
      <c r="E1776">
        <v>4234804719</v>
      </c>
      <c r="F1776" t="s">
        <v>474</v>
      </c>
      <c r="G1776" t="s">
        <v>475</v>
      </c>
      <c r="I1776" t="s">
        <v>132</v>
      </c>
      <c r="J1776" s="13">
        <v>45967</v>
      </c>
      <c r="K1776" s="13">
        <v>46023</v>
      </c>
      <c r="L1776" t="s">
        <v>479</v>
      </c>
      <c r="M1776" t="s">
        <v>59</v>
      </c>
      <c r="N1776">
        <v>71859403</v>
      </c>
    </row>
    <row r="1777" spans="1:14" x14ac:dyDescent="0.25">
      <c r="A1777">
        <v>57905429</v>
      </c>
      <c r="B1777" t="s">
        <v>4664</v>
      </c>
      <c r="C1777" t="s">
        <v>1473</v>
      </c>
      <c r="D1777" t="s">
        <v>4665</v>
      </c>
      <c r="E1777">
        <v>7202308659</v>
      </c>
      <c r="F1777" t="s">
        <v>790</v>
      </c>
      <c r="G1777" t="s">
        <v>791</v>
      </c>
      <c r="I1777" t="s">
        <v>119</v>
      </c>
      <c r="J1777" s="13">
        <v>45967</v>
      </c>
      <c r="K1777" s="13">
        <v>46023</v>
      </c>
      <c r="L1777" t="s">
        <v>539</v>
      </c>
      <c r="M1777" t="s">
        <v>56</v>
      </c>
      <c r="N1777">
        <v>71859585</v>
      </c>
    </row>
    <row r="1778" spans="1:14" x14ac:dyDescent="0.25">
      <c r="A1778">
        <v>57905823</v>
      </c>
      <c r="B1778" t="s">
        <v>4666</v>
      </c>
      <c r="C1778" t="s">
        <v>4667</v>
      </c>
      <c r="D1778" t="s">
        <v>4668</v>
      </c>
      <c r="E1778">
        <v>6064816037</v>
      </c>
      <c r="F1778" t="s">
        <v>815</v>
      </c>
      <c r="G1778" t="s">
        <v>816</v>
      </c>
      <c r="I1778" t="s">
        <v>23</v>
      </c>
      <c r="J1778" s="13">
        <v>45967</v>
      </c>
      <c r="K1778" s="13">
        <v>46023</v>
      </c>
      <c r="L1778" t="s">
        <v>490</v>
      </c>
      <c r="M1778" t="s">
        <v>59</v>
      </c>
      <c r="N1778">
        <v>71859881</v>
      </c>
    </row>
    <row r="1779" spans="1:14" x14ac:dyDescent="0.25">
      <c r="A1779">
        <v>57905938</v>
      </c>
      <c r="B1779" t="s">
        <v>1491</v>
      </c>
      <c r="C1779" t="s">
        <v>4669</v>
      </c>
      <c r="D1779" t="s">
        <v>4670</v>
      </c>
      <c r="E1779">
        <v>9542436185</v>
      </c>
      <c r="F1779" t="s">
        <v>416</v>
      </c>
      <c r="G1779" t="s">
        <v>417</v>
      </c>
      <c r="I1779" t="s">
        <v>26</v>
      </c>
      <c r="J1779" s="13">
        <v>45967</v>
      </c>
      <c r="K1779" s="13">
        <v>46023</v>
      </c>
      <c r="L1779" t="s">
        <v>497</v>
      </c>
      <c r="M1779" t="s">
        <v>56</v>
      </c>
      <c r="N1779">
        <v>71859927</v>
      </c>
    </row>
    <row r="1780" spans="1:14" x14ac:dyDescent="0.25">
      <c r="A1780">
        <v>57906734</v>
      </c>
      <c r="B1780" t="s">
        <v>4671</v>
      </c>
      <c r="C1780" t="s">
        <v>4672</v>
      </c>
      <c r="D1780" t="s">
        <v>4673</v>
      </c>
      <c r="E1780">
        <v>9542436185</v>
      </c>
      <c r="F1780" t="s">
        <v>416</v>
      </c>
      <c r="G1780" t="s">
        <v>417</v>
      </c>
      <c r="I1780" t="s">
        <v>26</v>
      </c>
      <c r="J1780" s="13">
        <v>45967</v>
      </c>
      <c r="K1780" s="13">
        <v>46023</v>
      </c>
      <c r="L1780" t="s">
        <v>497</v>
      </c>
      <c r="M1780" t="s">
        <v>56</v>
      </c>
      <c r="N1780">
        <v>71860404</v>
      </c>
    </row>
    <row r="1781" spans="1:14" x14ac:dyDescent="0.25">
      <c r="A1781">
        <v>57906741</v>
      </c>
      <c r="B1781" t="s">
        <v>1675</v>
      </c>
      <c r="C1781" t="s">
        <v>1676</v>
      </c>
      <c r="D1781" t="s">
        <v>4674</v>
      </c>
      <c r="E1781">
        <v>9543042610</v>
      </c>
      <c r="F1781" t="s">
        <v>807</v>
      </c>
      <c r="G1781" t="s">
        <v>808</v>
      </c>
      <c r="I1781" t="s">
        <v>33</v>
      </c>
      <c r="J1781" s="13">
        <v>45967</v>
      </c>
      <c r="K1781" s="13">
        <v>46023</v>
      </c>
      <c r="L1781" t="s">
        <v>497</v>
      </c>
      <c r="M1781" t="s">
        <v>56</v>
      </c>
      <c r="N1781">
        <v>71860445</v>
      </c>
    </row>
    <row r="1782" spans="1:14" x14ac:dyDescent="0.25">
      <c r="A1782">
        <v>57906772</v>
      </c>
      <c r="B1782" t="s">
        <v>4675</v>
      </c>
      <c r="C1782" t="s">
        <v>4676</v>
      </c>
      <c r="D1782" t="s">
        <v>4677</v>
      </c>
      <c r="E1782">
        <v>3522558748</v>
      </c>
      <c r="F1782" t="s">
        <v>828</v>
      </c>
      <c r="G1782" t="s">
        <v>1148</v>
      </c>
      <c r="I1782" t="s">
        <v>17</v>
      </c>
      <c r="J1782" s="13">
        <v>45967</v>
      </c>
      <c r="K1782" s="13">
        <v>46023</v>
      </c>
      <c r="L1782" t="s">
        <v>497</v>
      </c>
      <c r="M1782" t="s">
        <v>56</v>
      </c>
      <c r="N1782">
        <v>71860468</v>
      </c>
    </row>
    <row r="1783" spans="1:14" x14ac:dyDescent="0.25">
      <c r="A1783">
        <v>57907488</v>
      </c>
      <c r="B1783" t="s">
        <v>4678</v>
      </c>
      <c r="C1783" t="s">
        <v>4679</v>
      </c>
      <c r="D1783" t="s">
        <v>4680</v>
      </c>
      <c r="E1783">
        <v>5408184249</v>
      </c>
      <c r="F1783" t="s">
        <v>1003</v>
      </c>
      <c r="G1783" t="s">
        <v>1004</v>
      </c>
      <c r="I1783" t="s">
        <v>89</v>
      </c>
      <c r="J1783" s="13">
        <v>45967</v>
      </c>
      <c r="K1783" s="13">
        <v>46023</v>
      </c>
      <c r="L1783" t="s">
        <v>454</v>
      </c>
      <c r="M1783" t="s">
        <v>58</v>
      </c>
      <c r="N1783">
        <v>71860973</v>
      </c>
    </row>
    <row r="1784" spans="1:14" x14ac:dyDescent="0.25">
      <c r="A1784">
        <v>57909385</v>
      </c>
      <c r="B1784" t="s">
        <v>600</v>
      </c>
      <c r="C1784" t="s">
        <v>4681</v>
      </c>
      <c r="D1784" t="s">
        <v>4682</v>
      </c>
      <c r="E1784">
        <v>2293382607</v>
      </c>
      <c r="F1784" t="s">
        <v>551</v>
      </c>
      <c r="G1784" t="s">
        <v>552</v>
      </c>
      <c r="I1784" t="s">
        <v>42</v>
      </c>
      <c r="J1784" s="13">
        <v>45967</v>
      </c>
      <c r="K1784" s="13">
        <v>46023</v>
      </c>
      <c r="L1784" t="s">
        <v>621</v>
      </c>
      <c r="M1784" t="s">
        <v>60</v>
      </c>
      <c r="N1784">
        <v>71862714</v>
      </c>
    </row>
    <row r="1785" spans="1:14" x14ac:dyDescent="0.25">
      <c r="A1785">
        <v>57910238</v>
      </c>
      <c r="B1785" t="s">
        <v>990</v>
      </c>
      <c r="C1785" t="s">
        <v>4683</v>
      </c>
      <c r="D1785" t="s">
        <v>4684</v>
      </c>
      <c r="E1785">
        <v>4236195795</v>
      </c>
      <c r="F1785" t="s">
        <v>842</v>
      </c>
      <c r="G1785" t="s">
        <v>843</v>
      </c>
      <c r="I1785" t="s">
        <v>98</v>
      </c>
      <c r="J1785" s="13">
        <v>45967</v>
      </c>
      <c r="K1785" s="13">
        <v>46023</v>
      </c>
      <c r="L1785" t="s">
        <v>479</v>
      </c>
      <c r="M1785" t="s">
        <v>58</v>
      </c>
      <c r="N1785">
        <v>71864506</v>
      </c>
    </row>
    <row r="1786" spans="1:14" x14ac:dyDescent="0.25">
      <c r="A1786">
        <v>57910610</v>
      </c>
      <c r="B1786" t="s">
        <v>521</v>
      </c>
      <c r="C1786" t="s">
        <v>4685</v>
      </c>
      <c r="D1786" t="s">
        <v>4686</v>
      </c>
      <c r="E1786">
        <v>8706369303</v>
      </c>
      <c r="F1786" t="s">
        <v>1013</v>
      </c>
      <c r="G1786" t="s">
        <v>1014</v>
      </c>
      <c r="I1786" t="s">
        <v>43</v>
      </c>
      <c r="J1786" s="13">
        <v>45967</v>
      </c>
      <c r="K1786" s="13">
        <v>46023</v>
      </c>
      <c r="L1786" t="s">
        <v>553</v>
      </c>
      <c r="M1786" t="s">
        <v>59</v>
      </c>
      <c r="N1786">
        <v>71864855</v>
      </c>
    </row>
    <row r="1787" spans="1:14" x14ac:dyDescent="0.25">
      <c r="A1787">
        <v>57910869</v>
      </c>
      <c r="B1787" t="s">
        <v>4687</v>
      </c>
      <c r="C1787" t="s">
        <v>4688</v>
      </c>
      <c r="D1787" t="s">
        <v>4689</v>
      </c>
      <c r="E1787">
        <v>5613883530</v>
      </c>
      <c r="F1787" t="s">
        <v>775</v>
      </c>
      <c r="G1787" t="s">
        <v>776</v>
      </c>
      <c r="I1787" t="s">
        <v>22</v>
      </c>
      <c r="J1787" s="13">
        <v>45967</v>
      </c>
      <c r="K1787" s="13">
        <v>46023</v>
      </c>
      <c r="L1787" t="s">
        <v>497</v>
      </c>
      <c r="M1787" t="s">
        <v>54</v>
      </c>
      <c r="N1787">
        <v>71864998</v>
      </c>
    </row>
    <row r="1788" spans="1:14" x14ac:dyDescent="0.25">
      <c r="A1788">
        <v>57911624</v>
      </c>
      <c r="B1788" t="s">
        <v>4690</v>
      </c>
      <c r="C1788" t="s">
        <v>4691</v>
      </c>
      <c r="D1788" t="s">
        <v>4692</v>
      </c>
      <c r="E1788">
        <v>7577387832</v>
      </c>
      <c r="F1788" t="s">
        <v>1003</v>
      </c>
      <c r="G1788" t="s">
        <v>1004</v>
      </c>
      <c r="I1788" t="s">
        <v>89</v>
      </c>
      <c r="J1788" s="13">
        <v>45967</v>
      </c>
      <c r="K1788" s="13">
        <v>46023</v>
      </c>
      <c r="L1788" t="s">
        <v>454</v>
      </c>
      <c r="M1788" t="s">
        <v>56</v>
      </c>
      <c r="N1788">
        <v>71865489</v>
      </c>
    </row>
    <row r="1789" spans="1:14" x14ac:dyDescent="0.25">
      <c r="A1789">
        <v>57911920</v>
      </c>
      <c r="B1789" t="s">
        <v>498</v>
      </c>
      <c r="C1789" t="s">
        <v>1098</v>
      </c>
      <c r="D1789" t="s">
        <v>4693</v>
      </c>
      <c r="E1789">
        <v>9046840122</v>
      </c>
      <c r="F1789" t="s">
        <v>448</v>
      </c>
      <c r="G1789" t="s">
        <v>449</v>
      </c>
      <c r="I1789" t="s">
        <v>31</v>
      </c>
      <c r="J1789" s="13">
        <v>45967</v>
      </c>
      <c r="K1789" s="13">
        <v>46023</v>
      </c>
      <c r="L1789" t="s">
        <v>497</v>
      </c>
      <c r="M1789" t="s">
        <v>56</v>
      </c>
      <c r="N1789">
        <v>71865685</v>
      </c>
    </row>
    <row r="1790" spans="1:14" x14ac:dyDescent="0.25">
      <c r="A1790">
        <v>57911987</v>
      </c>
      <c r="B1790" t="s">
        <v>4694</v>
      </c>
      <c r="C1790" t="s">
        <v>4695</v>
      </c>
      <c r="D1790" t="s">
        <v>4696</v>
      </c>
      <c r="E1790">
        <v>2298341173</v>
      </c>
      <c r="F1790" t="s">
        <v>828</v>
      </c>
      <c r="G1790" t="s">
        <v>1148</v>
      </c>
      <c r="I1790" t="s">
        <v>17</v>
      </c>
      <c r="J1790" s="13">
        <v>45967</v>
      </c>
      <c r="K1790" s="13">
        <v>46023</v>
      </c>
      <c r="L1790" t="s">
        <v>621</v>
      </c>
      <c r="M1790" t="s">
        <v>58</v>
      </c>
      <c r="N1790">
        <v>71865739</v>
      </c>
    </row>
    <row r="1791" spans="1:14" x14ac:dyDescent="0.25">
      <c r="A1791">
        <v>57912159</v>
      </c>
      <c r="B1791" t="s">
        <v>4697</v>
      </c>
      <c r="C1791" t="s">
        <v>4698</v>
      </c>
      <c r="D1791" t="s">
        <v>4699</v>
      </c>
      <c r="E1791">
        <v>7858190117</v>
      </c>
      <c r="F1791" t="s">
        <v>957</v>
      </c>
      <c r="G1791" t="s">
        <v>958</v>
      </c>
      <c r="H1791" t="s">
        <v>959</v>
      </c>
      <c r="I1791" t="s">
        <v>960</v>
      </c>
      <c r="J1791" s="13">
        <v>45967</v>
      </c>
      <c r="K1791" s="13">
        <v>46023</v>
      </c>
      <c r="L1791" t="s">
        <v>520</v>
      </c>
      <c r="M1791" t="s">
        <v>56</v>
      </c>
      <c r="N1791">
        <v>71865749</v>
      </c>
    </row>
    <row r="1792" spans="1:14" x14ac:dyDescent="0.25">
      <c r="A1792">
        <v>57912888</v>
      </c>
      <c r="B1792" t="s">
        <v>718</v>
      </c>
      <c r="C1792" t="s">
        <v>4700</v>
      </c>
      <c r="D1792" t="s">
        <v>4701</v>
      </c>
      <c r="E1792">
        <v>6027414621</v>
      </c>
      <c r="F1792" t="s">
        <v>462</v>
      </c>
      <c r="G1792" t="s">
        <v>463</v>
      </c>
      <c r="I1792" t="s">
        <v>39</v>
      </c>
      <c r="J1792" s="13">
        <v>45967</v>
      </c>
      <c r="K1792" s="13">
        <v>46023</v>
      </c>
      <c r="L1792" t="s">
        <v>1179</v>
      </c>
      <c r="M1792" t="s">
        <v>59</v>
      </c>
      <c r="N1792">
        <v>71866232</v>
      </c>
    </row>
    <row r="1793" spans="1:14" x14ac:dyDescent="0.25">
      <c r="A1793">
        <v>57913033</v>
      </c>
      <c r="B1793" t="s">
        <v>4702</v>
      </c>
      <c r="C1793" t="s">
        <v>4703</v>
      </c>
      <c r="D1793" t="s">
        <v>4704</v>
      </c>
      <c r="E1793">
        <v>7173318392</v>
      </c>
      <c r="F1793" t="s">
        <v>569</v>
      </c>
      <c r="G1793" t="s">
        <v>570</v>
      </c>
      <c r="I1793" t="s">
        <v>34</v>
      </c>
      <c r="J1793" s="13">
        <v>45967</v>
      </c>
      <c r="K1793" s="13">
        <v>46023</v>
      </c>
      <c r="L1793" t="s">
        <v>1188</v>
      </c>
      <c r="M1793" t="s">
        <v>56</v>
      </c>
      <c r="N1793">
        <v>71866341</v>
      </c>
    </row>
    <row r="1794" spans="1:14" x14ac:dyDescent="0.25">
      <c r="A1794">
        <v>57913180</v>
      </c>
      <c r="B1794" t="s">
        <v>4705</v>
      </c>
      <c r="C1794" t="s">
        <v>944</v>
      </c>
      <c r="D1794" t="s">
        <v>4706</v>
      </c>
      <c r="E1794">
        <v>2176286400</v>
      </c>
      <c r="F1794" t="s">
        <v>790</v>
      </c>
      <c r="G1794" t="s">
        <v>791</v>
      </c>
      <c r="I1794" t="s">
        <v>119</v>
      </c>
      <c r="J1794" s="13">
        <v>45967</v>
      </c>
      <c r="K1794" s="13">
        <v>46023</v>
      </c>
      <c r="L1794" t="s">
        <v>470</v>
      </c>
      <c r="M1794" t="s">
        <v>56</v>
      </c>
      <c r="N1794">
        <v>71866446</v>
      </c>
    </row>
    <row r="1795" spans="1:14" x14ac:dyDescent="0.25">
      <c r="A1795">
        <v>57913323</v>
      </c>
      <c r="B1795" t="s">
        <v>1041</v>
      </c>
      <c r="C1795" t="s">
        <v>4707</v>
      </c>
      <c r="D1795" t="s">
        <v>4708</v>
      </c>
      <c r="E1795">
        <v>7273268088</v>
      </c>
      <c r="F1795" t="s">
        <v>474</v>
      </c>
      <c r="G1795" t="s">
        <v>475</v>
      </c>
      <c r="I1795" t="s">
        <v>132</v>
      </c>
      <c r="J1795" s="13">
        <v>45967</v>
      </c>
      <c r="K1795" s="13">
        <v>46023</v>
      </c>
      <c r="L1795" t="s">
        <v>497</v>
      </c>
      <c r="M1795" t="s">
        <v>59</v>
      </c>
      <c r="N1795">
        <v>71866539</v>
      </c>
    </row>
    <row r="1796" spans="1:14" x14ac:dyDescent="0.25">
      <c r="A1796">
        <v>57913530</v>
      </c>
      <c r="B1796" t="s">
        <v>2920</v>
      </c>
      <c r="C1796" t="s">
        <v>4709</v>
      </c>
      <c r="D1796" t="s">
        <v>4710</v>
      </c>
      <c r="E1796">
        <v>6028098476</v>
      </c>
      <c r="F1796" t="s">
        <v>416</v>
      </c>
      <c r="G1796" t="s">
        <v>417</v>
      </c>
      <c r="I1796" t="s">
        <v>26</v>
      </c>
      <c r="J1796" s="13">
        <v>45967</v>
      </c>
      <c r="K1796" s="13">
        <v>46023</v>
      </c>
      <c r="L1796" t="s">
        <v>1179</v>
      </c>
      <c r="M1796" t="s">
        <v>54</v>
      </c>
      <c r="N1796">
        <v>71866649</v>
      </c>
    </row>
    <row r="1797" spans="1:14" x14ac:dyDescent="0.25">
      <c r="A1797">
        <v>57913649</v>
      </c>
      <c r="B1797" t="s">
        <v>1408</v>
      </c>
      <c r="C1797" t="s">
        <v>4711</v>
      </c>
      <c r="D1797" t="s">
        <v>4712</v>
      </c>
      <c r="E1797">
        <v>4802324149</v>
      </c>
      <c r="F1797" t="s">
        <v>842</v>
      </c>
      <c r="G1797" t="s">
        <v>1213</v>
      </c>
      <c r="I1797" t="s">
        <v>1214</v>
      </c>
      <c r="J1797" s="13">
        <v>45967</v>
      </c>
      <c r="K1797" s="13">
        <v>46023</v>
      </c>
      <c r="L1797" t="s">
        <v>1179</v>
      </c>
      <c r="M1797" t="s">
        <v>54</v>
      </c>
      <c r="N1797">
        <v>71866748</v>
      </c>
    </row>
    <row r="1798" spans="1:14" x14ac:dyDescent="0.25">
      <c r="A1798">
        <v>57914170</v>
      </c>
      <c r="B1798" t="s">
        <v>4713</v>
      </c>
      <c r="C1798" t="s">
        <v>4714</v>
      </c>
      <c r="D1798" t="s">
        <v>4715</v>
      </c>
      <c r="E1798">
        <v>3046390346</v>
      </c>
      <c r="F1798" t="s">
        <v>1398</v>
      </c>
      <c r="G1798" t="s">
        <v>1399</v>
      </c>
      <c r="I1798" t="s">
        <v>1400</v>
      </c>
      <c r="J1798" s="13">
        <v>45967</v>
      </c>
      <c r="K1798" s="13">
        <v>46023</v>
      </c>
      <c r="L1798" t="s">
        <v>1188</v>
      </c>
      <c r="M1798" t="s">
        <v>58</v>
      </c>
      <c r="N1798">
        <v>71866835</v>
      </c>
    </row>
    <row r="1799" spans="1:14" x14ac:dyDescent="0.25">
      <c r="A1799">
        <v>57914897</v>
      </c>
      <c r="B1799" t="s">
        <v>4716</v>
      </c>
      <c r="C1799" t="s">
        <v>4717</v>
      </c>
      <c r="D1799" t="s">
        <v>4718</v>
      </c>
      <c r="E1799">
        <v>6233403902</v>
      </c>
      <c r="F1799" t="s">
        <v>423</v>
      </c>
      <c r="G1799" t="s">
        <v>424</v>
      </c>
      <c r="I1799" t="s">
        <v>46</v>
      </c>
      <c r="J1799" s="13">
        <v>45967</v>
      </c>
      <c r="K1799" s="13">
        <v>46023</v>
      </c>
      <c r="L1799" t="s">
        <v>1179</v>
      </c>
      <c r="M1799" t="s">
        <v>56</v>
      </c>
      <c r="N1799">
        <v>71867437</v>
      </c>
    </row>
    <row r="1800" spans="1:14" x14ac:dyDescent="0.25">
      <c r="A1800">
        <v>57914766</v>
      </c>
      <c r="B1800" t="s">
        <v>685</v>
      </c>
      <c r="C1800" t="s">
        <v>1702</v>
      </c>
      <c r="D1800" t="s">
        <v>4719</v>
      </c>
      <c r="E1800" t="s">
        <v>4720</v>
      </c>
      <c r="F1800" t="s">
        <v>574</v>
      </c>
      <c r="G1800" t="s">
        <v>575</v>
      </c>
      <c r="I1800" t="s">
        <v>14</v>
      </c>
      <c r="J1800" s="13">
        <v>45967</v>
      </c>
      <c r="K1800" s="13">
        <v>46023</v>
      </c>
      <c r="L1800" t="s">
        <v>1179</v>
      </c>
      <c r="M1800" t="s">
        <v>61</v>
      </c>
      <c r="N1800">
        <v>71867513</v>
      </c>
    </row>
    <row r="1801" spans="1:14" x14ac:dyDescent="0.25">
      <c r="A1801">
        <v>57915505</v>
      </c>
      <c r="B1801" t="s">
        <v>4721</v>
      </c>
      <c r="C1801" t="s">
        <v>4722</v>
      </c>
      <c r="D1801" t="s">
        <v>4723</v>
      </c>
      <c r="E1801">
        <v>7862775711</v>
      </c>
      <c r="F1801" t="s">
        <v>928</v>
      </c>
      <c r="G1801" t="s">
        <v>929</v>
      </c>
      <c r="I1801" t="s">
        <v>30</v>
      </c>
      <c r="J1801" s="13">
        <v>45967</v>
      </c>
      <c r="K1801" s="13">
        <v>46023</v>
      </c>
      <c r="L1801" t="s">
        <v>497</v>
      </c>
      <c r="M1801" t="s">
        <v>56</v>
      </c>
      <c r="N1801">
        <v>71867990</v>
      </c>
    </row>
    <row r="1802" spans="1:14" x14ac:dyDescent="0.25">
      <c r="A1802">
        <v>57915652</v>
      </c>
      <c r="B1802" t="s">
        <v>4724</v>
      </c>
      <c r="C1802" t="s">
        <v>4493</v>
      </c>
      <c r="D1802" t="s">
        <v>4725</v>
      </c>
      <c r="E1802">
        <v>8433845808</v>
      </c>
      <c r="F1802" t="s">
        <v>828</v>
      </c>
      <c r="G1802" t="s">
        <v>1148</v>
      </c>
      <c r="I1802" t="s">
        <v>17</v>
      </c>
      <c r="J1802" s="13">
        <v>45967</v>
      </c>
      <c r="K1802" s="13">
        <v>46023</v>
      </c>
      <c r="L1802" t="s">
        <v>533</v>
      </c>
      <c r="M1802" t="s">
        <v>56</v>
      </c>
      <c r="N1802">
        <v>71868084</v>
      </c>
    </row>
    <row r="1803" spans="1:14" x14ac:dyDescent="0.25">
      <c r="A1803">
        <v>57915958</v>
      </c>
      <c r="B1803" t="s">
        <v>1385</v>
      </c>
      <c r="C1803" t="s">
        <v>4726</v>
      </c>
      <c r="D1803" t="s">
        <v>4727</v>
      </c>
      <c r="E1803">
        <v>8602624040</v>
      </c>
      <c r="F1803" t="s">
        <v>474</v>
      </c>
      <c r="G1803" t="s">
        <v>475</v>
      </c>
      <c r="I1803" t="s">
        <v>132</v>
      </c>
      <c r="J1803" s="13">
        <v>45967</v>
      </c>
      <c r="K1803" s="13">
        <v>46023</v>
      </c>
      <c r="L1803" t="s">
        <v>941</v>
      </c>
      <c r="M1803" t="s">
        <v>56</v>
      </c>
      <c r="N1803">
        <v>71868291</v>
      </c>
    </row>
    <row r="1804" spans="1:14" x14ac:dyDescent="0.25">
      <c r="A1804">
        <v>57916270</v>
      </c>
      <c r="B1804" t="s">
        <v>4728</v>
      </c>
      <c r="C1804" t="s">
        <v>528</v>
      </c>
      <c r="D1804" t="s">
        <v>4729</v>
      </c>
      <c r="E1804">
        <v>4802327149</v>
      </c>
      <c r="F1804" t="s">
        <v>1013</v>
      </c>
      <c r="G1804" t="s">
        <v>1014</v>
      </c>
      <c r="I1804" t="s">
        <v>43</v>
      </c>
      <c r="J1804" s="13">
        <v>45967</v>
      </c>
      <c r="K1804" s="13">
        <v>46023</v>
      </c>
      <c r="L1804" t="s">
        <v>1179</v>
      </c>
      <c r="M1804" t="s">
        <v>55</v>
      </c>
      <c r="N1804">
        <v>71868461</v>
      </c>
    </row>
    <row r="1805" spans="1:14" x14ac:dyDescent="0.25">
      <c r="A1805">
        <v>57916534</v>
      </c>
      <c r="B1805" t="s">
        <v>1232</v>
      </c>
      <c r="C1805" t="s">
        <v>4730</v>
      </c>
      <c r="D1805" t="s">
        <v>4731</v>
      </c>
      <c r="E1805">
        <v>6024616132</v>
      </c>
      <c r="F1805" t="s">
        <v>807</v>
      </c>
      <c r="G1805" t="s">
        <v>808</v>
      </c>
      <c r="I1805" t="s">
        <v>33</v>
      </c>
      <c r="J1805" s="13">
        <v>45967</v>
      </c>
      <c r="K1805" s="13">
        <v>46023</v>
      </c>
      <c r="L1805" t="s">
        <v>1179</v>
      </c>
      <c r="M1805" t="s">
        <v>56</v>
      </c>
      <c r="N1805">
        <v>71868588</v>
      </c>
    </row>
    <row r="1806" spans="1:14" x14ac:dyDescent="0.25">
      <c r="A1806">
        <v>57916928</v>
      </c>
      <c r="B1806" t="s">
        <v>4732</v>
      </c>
      <c r="C1806" t="s">
        <v>4733</v>
      </c>
      <c r="D1806" t="s">
        <v>4734</v>
      </c>
      <c r="E1806">
        <v>2562957234</v>
      </c>
      <c r="F1806" t="s">
        <v>423</v>
      </c>
      <c r="G1806" t="s">
        <v>424</v>
      </c>
      <c r="I1806" t="s">
        <v>46</v>
      </c>
      <c r="J1806" s="13">
        <v>45967</v>
      </c>
      <c r="K1806" s="13">
        <v>46023</v>
      </c>
      <c r="L1806" t="s">
        <v>450</v>
      </c>
      <c r="M1806" t="s">
        <v>56</v>
      </c>
      <c r="N1806">
        <v>71868697</v>
      </c>
    </row>
    <row r="1807" spans="1:14" x14ac:dyDescent="0.25">
      <c r="A1807">
        <v>57917819</v>
      </c>
      <c r="B1807" t="s">
        <v>4735</v>
      </c>
      <c r="C1807" t="s">
        <v>1676</v>
      </c>
      <c r="D1807" t="s">
        <v>4736</v>
      </c>
      <c r="E1807">
        <v>8135991884</v>
      </c>
      <c r="F1807" t="s">
        <v>775</v>
      </c>
      <c r="G1807" t="s">
        <v>776</v>
      </c>
      <c r="I1807" t="s">
        <v>22</v>
      </c>
      <c r="J1807" s="13">
        <v>45967</v>
      </c>
      <c r="K1807" s="13">
        <v>46023</v>
      </c>
      <c r="L1807" t="s">
        <v>497</v>
      </c>
      <c r="M1807" t="s">
        <v>56</v>
      </c>
      <c r="N1807">
        <v>71869508</v>
      </c>
    </row>
    <row r="1808" spans="1:14" x14ac:dyDescent="0.25">
      <c r="A1808">
        <v>57918308</v>
      </c>
      <c r="B1808" t="s">
        <v>1316</v>
      </c>
      <c r="C1808" t="s">
        <v>4737</v>
      </c>
      <c r="D1808" t="s">
        <v>4738</v>
      </c>
      <c r="E1808">
        <v>6025055531</v>
      </c>
      <c r="F1808" t="s">
        <v>842</v>
      </c>
      <c r="G1808" t="s">
        <v>1213</v>
      </c>
      <c r="I1808" t="s">
        <v>1214</v>
      </c>
      <c r="J1808" s="13">
        <v>45967</v>
      </c>
      <c r="K1808" s="13">
        <v>46023</v>
      </c>
      <c r="L1808" t="s">
        <v>1179</v>
      </c>
      <c r="M1808" t="s">
        <v>54</v>
      </c>
      <c r="N1808">
        <v>71869781</v>
      </c>
    </row>
    <row r="1809" spans="1:14" x14ac:dyDescent="0.25">
      <c r="A1809">
        <v>57918466</v>
      </c>
      <c r="B1809" t="s">
        <v>3587</v>
      </c>
      <c r="C1809" t="s">
        <v>4739</v>
      </c>
      <c r="D1809" t="s">
        <v>4740</v>
      </c>
      <c r="E1809">
        <v>5716431606</v>
      </c>
      <c r="F1809" t="s">
        <v>448</v>
      </c>
      <c r="G1809" t="s">
        <v>449</v>
      </c>
      <c r="I1809" t="s">
        <v>31</v>
      </c>
      <c r="J1809" s="13">
        <v>45967</v>
      </c>
      <c r="K1809" s="13">
        <v>46023</v>
      </c>
      <c r="L1809" t="s">
        <v>497</v>
      </c>
      <c r="M1809" t="s">
        <v>56</v>
      </c>
      <c r="N1809">
        <v>71869897</v>
      </c>
    </row>
    <row r="1810" spans="1:14" x14ac:dyDescent="0.25">
      <c r="A1810">
        <v>57918611</v>
      </c>
      <c r="B1810" t="s">
        <v>4741</v>
      </c>
      <c r="C1810" t="s">
        <v>4742</v>
      </c>
      <c r="D1810" t="s">
        <v>4743</v>
      </c>
      <c r="E1810">
        <v>7622876201</v>
      </c>
      <c r="F1810" t="s">
        <v>574</v>
      </c>
      <c r="G1810" t="s">
        <v>575</v>
      </c>
      <c r="I1810" t="s">
        <v>14</v>
      </c>
      <c r="J1810" s="13">
        <v>45967</v>
      </c>
      <c r="K1810" s="13">
        <v>46023</v>
      </c>
      <c r="L1810" t="s">
        <v>621</v>
      </c>
      <c r="M1810" t="s">
        <v>56</v>
      </c>
      <c r="N1810">
        <v>71869980</v>
      </c>
    </row>
    <row r="1811" spans="1:14" x14ac:dyDescent="0.25">
      <c r="A1811">
        <v>57918616</v>
      </c>
      <c r="B1811" t="s">
        <v>1100</v>
      </c>
      <c r="C1811" t="s">
        <v>4744</v>
      </c>
      <c r="D1811" t="s">
        <v>4745</v>
      </c>
      <c r="E1811">
        <v>3349199949</v>
      </c>
      <c r="F1811" t="s">
        <v>615</v>
      </c>
      <c r="G1811" t="s">
        <v>616</v>
      </c>
      <c r="I1811" t="s">
        <v>617</v>
      </c>
      <c r="J1811" s="13">
        <v>45967</v>
      </c>
      <c r="K1811" s="13">
        <v>46023</v>
      </c>
      <c r="L1811" t="s">
        <v>450</v>
      </c>
      <c r="M1811" t="s">
        <v>56</v>
      </c>
      <c r="N1811">
        <v>71869983</v>
      </c>
    </row>
    <row r="1812" spans="1:14" x14ac:dyDescent="0.25">
      <c r="A1812">
        <v>57918678</v>
      </c>
      <c r="B1812" t="s">
        <v>4746</v>
      </c>
      <c r="C1812" t="s">
        <v>1324</v>
      </c>
      <c r="D1812" t="s">
        <v>4747</v>
      </c>
      <c r="E1812">
        <v>7705845757</v>
      </c>
      <c r="F1812" t="s">
        <v>1003</v>
      </c>
      <c r="G1812" t="s">
        <v>1004</v>
      </c>
      <c r="I1812" t="s">
        <v>89</v>
      </c>
      <c r="J1812" s="13">
        <v>45967</v>
      </c>
      <c r="K1812" s="13">
        <v>46023</v>
      </c>
      <c r="L1812" t="s">
        <v>621</v>
      </c>
      <c r="M1812" t="s">
        <v>58</v>
      </c>
      <c r="N1812">
        <v>71870015</v>
      </c>
    </row>
    <row r="1813" spans="1:14" x14ac:dyDescent="0.25">
      <c r="A1813">
        <v>57919189</v>
      </c>
      <c r="B1813" t="s">
        <v>766</v>
      </c>
      <c r="C1813" t="s">
        <v>4748</v>
      </c>
      <c r="D1813" t="s">
        <v>4749</v>
      </c>
      <c r="E1813">
        <v>8504612361</v>
      </c>
      <c r="F1813" t="s">
        <v>705</v>
      </c>
      <c r="G1813" t="s">
        <v>706</v>
      </c>
      <c r="I1813" t="s">
        <v>12</v>
      </c>
      <c r="J1813" s="13">
        <v>45967</v>
      </c>
      <c r="K1813" s="13">
        <v>46023</v>
      </c>
      <c r="L1813" t="s">
        <v>450</v>
      </c>
      <c r="M1813" t="s">
        <v>60</v>
      </c>
      <c r="N1813">
        <v>71870247</v>
      </c>
    </row>
    <row r="1814" spans="1:14" x14ac:dyDescent="0.25">
      <c r="A1814">
        <v>57919279</v>
      </c>
      <c r="B1814" t="s">
        <v>4374</v>
      </c>
      <c r="C1814" t="s">
        <v>4750</v>
      </c>
      <c r="D1814" t="s">
        <v>4751</v>
      </c>
      <c r="E1814">
        <v>8653948968</v>
      </c>
      <c r="F1814" t="s">
        <v>569</v>
      </c>
      <c r="G1814" t="s">
        <v>570</v>
      </c>
      <c r="I1814" t="s">
        <v>34</v>
      </c>
      <c r="J1814" s="13">
        <v>45967</v>
      </c>
      <c r="K1814" s="13">
        <v>46023</v>
      </c>
      <c r="L1814" t="s">
        <v>479</v>
      </c>
      <c r="M1814" t="s">
        <v>59</v>
      </c>
      <c r="N1814">
        <v>71870307</v>
      </c>
    </row>
    <row r="1815" spans="1:14" x14ac:dyDescent="0.25">
      <c r="A1815">
        <v>57919425</v>
      </c>
      <c r="B1815" t="s">
        <v>4752</v>
      </c>
      <c r="C1815" t="s">
        <v>4753</v>
      </c>
      <c r="D1815" t="s">
        <v>4754</v>
      </c>
      <c r="E1815">
        <v>6158925432</v>
      </c>
      <c r="F1815" t="s">
        <v>790</v>
      </c>
      <c r="G1815" t="s">
        <v>791</v>
      </c>
      <c r="I1815" t="s">
        <v>119</v>
      </c>
      <c r="J1815" s="13">
        <v>45967</v>
      </c>
      <c r="K1815" s="13">
        <v>46023</v>
      </c>
      <c r="L1815" t="s">
        <v>479</v>
      </c>
      <c r="M1815" t="s">
        <v>59</v>
      </c>
      <c r="N1815">
        <v>71870374</v>
      </c>
    </row>
    <row r="1816" spans="1:14" x14ac:dyDescent="0.25">
      <c r="A1816">
        <v>57924065</v>
      </c>
      <c r="B1816" t="s">
        <v>517</v>
      </c>
      <c r="C1816" t="s">
        <v>4419</v>
      </c>
      <c r="D1816" t="s">
        <v>4755</v>
      </c>
      <c r="E1816">
        <v>6364857268</v>
      </c>
      <c r="F1816" t="s">
        <v>448</v>
      </c>
      <c r="G1816" t="s">
        <v>449</v>
      </c>
      <c r="I1816" t="s">
        <v>31</v>
      </c>
      <c r="J1816" s="13">
        <v>45968</v>
      </c>
      <c r="K1816" s="13">
        <v>46023</v>
      </c>
      <c r="L1816" t="s">
        <v>434</v>
      </c>
      <c r="M1816" t="s">
        <v>419</v>
      </c>
      <c r="N1816">
        <v>71874074</v>
      </c>
    </row>
    <row r="1817" spans="1:14" x14ac:dyDescent="0.25">
      <c r="A1817">
        <v>57925733</v>
      </c>
      <c r="B1817" t="s">
        <v>1445</v>
      </c>
      <c r="C1817" t="s">
        <v>2918</v>
      </c>
      <c r="D1817" t="s">
        <v>4756</v>
      </c>
      <c r="E1817">
        <v>7736538884</v>
      </c>
      <c r="F1817" t="s">
        <v>462</v>
      </c>
      <c r="G1817" t="s">
        <v>463</v>
      </c>
      <c r="I1817" t="s">
        <v>39</v>
      </c>
      <c r="J1817" s="13">
        <v>45968</v>
      </c>
      <c r="K1817" s="13">
        <v>46023</v>
      </c>
      <c r="L1817" t="s">
        <v>470</v>
      </c>
      <c r="M1817" t="s">
        <v>60</v>
      </c>
      <c r="N1817">
        <v>71875168</v>
      </c>
    </row>
    <row r="1818" spans="1:14" x14ac:dyDescent="0.25">
      <c r="A1818">
        <v>57926542</v>
      </c>
      <c r="B1818" t="s">
        <v>2022</v>
      </c>
      <c r="C1818" t="s">
        <v>4757</v>
      </c>
      <c r="D1818" t="s">
        <v>4758</v>
      </c>
      <c r="E1818">
        <v>3365872068</v>
      </c>
      <c r="F1818" t="s">
        <v>448</v>
      </c>
      <c r="G1818" t="s">
        <v>449</v>
      </c>
      <c r="I1818" t="s">
        <v>31</v>
      </c>
      <c r="J1818" s="13">
        <v>45968</v>
      </c>
      <c r="K1818" s="13">
        <v>46023</v>
      </c>
      <c r="L1818" t="s">
        <v>603</v>
      </c>
      <c r="M1818" t="s">
        <v>56</v>
      </c>
      <c r="N1818">
        <v>71875741</v>
      </c>
    </row>
    <row r="1819" spans="1:14" x14ac:dyDescent="0.25">
      <c r="A1819">
        <v>57926902</v>
      </c>
      <c r="B1819" t="s">
        <v>445</v>
      </c>
      <c r="C1819" t="s">
        <v>4759</v>
      </c>
      <c r="D1819" t="s">
        <v>4760</v>
      </c>
      <c r="E1819">
        <v>3093735412</v>
      </c>
      <c r="F1819" t="s">
        <v>423</v>
      </c>
      <c r="G1819" t="s">
        <v>424</v>
      </c>
      <c r="I1819" t="s">
        <v>46</v>
      </c>
      <c r="J1819" s="13">
        <v>45968</v>
      </c>
      <c r="K1819" s="13">
        <v>46023</v>
      </c>
      <c r="L1819" t="s">
        <v>470</v>
      </c>
      <c r="M1819" t="s">
        <v>56</v>
      </c>
      <c r="N1819">
        <v>71875871</v>
      </c>
    </row>
    <row r="1820" spans="1:14" x14ac:dyDescent="0.25">
      <c r="A1820">
        <v>57928075</v>
      </c>
      <c r="B1820" t="s">
        <v>4761</v>
      </c>
      <c r="C1820" t="s">
        <v>4762</v>
      </c>
      <c r="D1820" t="s">
        <v>4763</v>
      </c>
      <c r="E1820">
        <v>7315898420</v>
      </c>
      <c r="F1820" t="s">
        <v>649</v>
      </c>
      <c r="G1820" t="s">
        <v>650</v>
      </c>
      <c r="I1820" t="s">
        <v>28</v>
      </c>
      <c r="J1820" s="13">
        <v>45968</v>
      </c>
      <c r="K1820" s="13">
        <v>46023</v>
      </c>
      <c r="L1820" t="s">
        <v>479</v>
      </c>
      <c r="M1820" t="s">
        <v>58</v>
      </c>
      <c r="N1820">
        <v>71876728</v>
      </c>
    </row>
    <row r="1821" spans="1:14" x14ac:dyDescent="0.25">
      <c r="A1821">
        <v>57933631</v>
      </c>
      <c r="B1821" t="s">
        <v>1515</v>
      </c>
      <c r="C1821" t="s">
        <v>4764</v>
      </c>
      <c r="D1821" t="s">
        <v>4765</v>
      </c>
      <c r="E1821">
        <v>5016812603</v>
      </c>
      <c r="F1821" t="s">
        <v>1398</v>
      </c>
      <c r="G1821" t="s">
        <v>1399</v>
      </c>
      <c r="I1821" t="s">
        <v>1400</v>
      </c>
      <c r="J1821" s="13">
        <v>45968</v>
      </c>
      <c r="K1821" s="13">
        <v>46023</v>
      </c>
      <c r="L1821" t="s">
        <v>553</v>
      </c>
      <c r="M1821" t="s">
        <v>56</v>
      </c>
      <c r="N1821">
        <v>71876730</v>
      </c>
    </row>
    <row r="1822" spans="1:14" x14ac:dyDescent="0.25">
      <c r="A1822">
        <v>57928249</v>
      </c>
      <c r="B1822" t="s">
        <v>431</v>
      </c>
      <c r="C1822" t="s">
        <v>1258</v>
      </c>
      <c r="D1822" t="s">
        <v>4766</v>
      </c>
      <c r="F1822" t="s">
        <v>628</v>
      </c>
      <c r="G1822" t="s">
        <v>629</v>
      </c>
      <c r="I1822" t="s">
        <v>24</v>
      </c>
      <c r="J1822" s="13">
        <v>45968</v>
      </c>
      <c r="K1822" s="13">
        <v>46023</v>
      </c>
      <c r="L1822" t="s">
        <v>450</v>
      </c>
      <c r="M1822" t="s">
        <v>59</v>
      </c>
      <c r="N1822">
        <v>71876841</v>
      </c>
    </row>
    <row r="1823" spans="1:14" x14ac:dyDescent="0.25">
      <c r="A1823">
        <v>57928538</v>
      </c>
      <c r="B1823" t="s">
        <v>1679</v>
      </c>
      <c r="C1823" t="s">
        <v>4767</v>
      </c>
      <c r="D1823" t="s">
        <v>4768</v>
      </c>
      <c r="E1823">
        <v>2703021453</v>
      </c>
      <c r="F1823" t="s">
        <v>693</v>
      </c>
      <c r="G1823" t="s">
        <v>694</v>
      </c>
      <c r="I1823" t="s">
        <v>103</v>
      </c>
      <c r="J1823" s="13">
        <v>45968</v>
      </c>
      <c r="K1823" s="13">
        <v>46023</v>
      </c>
      <c r="L1823" t="s">
        <v>490</v>
      </c>
      <c r="M1823" t="s">
        <v>56</v>
      </c>
      <c r="N1823">
        <v>71877027</v>
      </c>
    </row>
    <row r="1824" spans="1:14" x14ac:dyDescent="0.25">
      <c r="A1824">
        <v>57929868</v>
      </c>
      <c r="B1824" t="s">
        <v>4769</v>
      </c>
      <c r="C1824" t="s">
        <v>4770</v>
      </c>
      <c r="D1824" t="s">
        <v>4771</v>
      </c>
      <c r="E1824">
        <v>2704910193</v>
      </c>
      <c r="F1824" t="s">
        <v>790</v>
      </c>
      <c r="G1824" t="s">
        <v>791</v>
      </c>
      <c r="I1824" t="s">
        <v>119</v>
      </c>
      <c r="J1824" s="13">
        <v>45968</v>
      </c>
      <c r="K1824" s="13">
        <v>46023</v>
      </c>
      <c r="L1824" t="s">
        <v>490</v>
      </c>
      <c r="M1824" t="s">
        <v>56</v>
      </c>
      <c r="N1824">
        <v>71877171</v>
      </c>
    </row>
    <row r="1825" spans="1:14" x14ac:dyDescent="0.25">
      <c r="A1825">
        <v>57929362</v>
      </c>
      <c r="B1825" t="s">
        <v>2263</v>
      </c>
      <c r="C1825" t="s">
        <v>4772</v>
      </c>
      <c r="D1825" t="s">
        <v>4773</v>
      </c>
      <c r="E1825" t="s">
        <v>4774</v>
      </c>
      <c r="F1825" t="s">
        <v>416</v>
      </c>
      <c r="G1825" t="s">
        <v>417</v>
      </c>
      <c r="I1825" t="s">
        <v>26</v>
      </c>
      <c r="J1825" s="13">
        <v>45968</v>
      </c>
      <c r="K1825" s="13">
        <v>46023</v>
      </c>
      <c r="L1825" t="s">
        <v>1179</v>
      </c>
      <c r="M1825" t="s">
        <v>54</v>
      </c>
      <c r="N1825">
        <v>71877525</v>
      </c>
    </row>
    <row r="1826" spans="1:14" x14ac:dyDescent="0.25">
      <c r="A1826">
        <v>57929701</v>
      </c>
      <c r="B1826" t="s">
        <v>4775</v>
      </c>
      <c r="C1826" t="s">
        <v>4776</v>
      </c>
      <c r="D1826" t="s">
        <v>4777</v>
      </c>
      <c r="E1826">
        <v>4233889337</v>
      </c>
      <c r="F1826" t="s">
        <v>828</v>
      </c>
      <c r="G1826" t="s">
        <v>1148</v>
      </c>
      <c r="I1826" t="s">
        <v>17</v>
      </c>
      <c r="J1826" s="13">
        <v>45968</v>
      </c>
      <c r="K1826" s="13">
        <v>46023</v>
      </c>
      <c r="L1826" t="s">
        <v>479</v>
      </c>
      <c r="M1826" t="s">
        <v>58</v>
      </c>
      <c r="N1826">
        <v>71877826</v>
      </c>
    </row>
    <row r="1827" spans="1:14" x14ac:dyDescent="0.25">
      <c r="A1827">
        <v>57929724</v>
      </c>
      <c r="B1827" t="s">
        <v>3078</v>
      </c>
      <c r="C1827" t="s">
        <v>4778</v>
      </c>
      <c r="D1827" t="s">
        <v>4779</v>
      </c>
      <c r="E1827">
        <v>3528609045</v>
      </c>
      <c r="F1827" t="s">
        <v>615</v>
      </c>
      <c r="G1827" t="s">
        <v>616</v>
      </c>
      <c r="I1827" t="s">
        <v>617</v>
      </c>
      <c r="J1827" s="13">
        <v>45968</v>
      </c>
      <c r="K1827" s="13">
        <v>46023</v>
      </c>
      <c r="L1827" t="s">
        <v>497</v>
      </c>
      <c r="M1827" t="s">
        <v>419</v>
      </c>
      <c r="N1827">
        <v>71877841</v>
      </c>
    </row>
    <row r="1828" spans="1:14" x14ac:dyDescent="0.25">
      <c r="A1828">
        <v>57931498</v>
      </c>
      <c r="B1828" t="s">
        <v>4780</v>
      </c>
      <c r="C1828" t="s">
        <v>477</v>
      </c>
      <c r="D1828" t="s">
        <v>4781</v>
      </c>
      <c r="E1828" t="s">
        <v>4782</v>
      </c>
      <c r="F1828" t="s">
        <v>775</v>
      </c>
      <c r="G1828" t="s">
        <v>776</v>
      </c>
      <c r="I1828" t="s">
        <v>22</v>
      </c>
      <c r="J1828" s="13">
        <v>45968</v>
      </c>
      <c r="K1828" s="13">
        <v>46023</v>
      </c>
      <c r="L1828" t="s">
        <v>1179</v>
      </c>
      <c r="M1828" t="s">
        <v>54</v>
      </c>
      <c r="N1828">
        <v>71878781</v>
      </c>
    </row>
    <row r="1829" spans="1:14" x14ac:dyDescent="0.25">
      <c r="A1829">
        <v>57931517</v>
      </c>
      <c r="B1829" t="s">
        <v>1679</v>
      </c>
      <c r="C1829" t="s">
        <v>4783</v>
      </c>
      <c r="D1829" t="s">
        <v>4784</v>
      </c>
      <c r="E1829">
        <v>8636144406</v>
      </c>
      <c r="F1829" t="s">
        <v>569</v>
      </c>
      <c r="G1829" t="s">
        <v>570</v>
      </c>
      <c r="I1829" t="s">
        <v>34</v>
      </c>
      <c r="J1829" s="13">
        <v>45968</v>
      </c>
      <c r="K1829" s="13">
        <v>46023</v>
      </c>
      <c r="L1829" t="s">
        <v>497</v>
      </c>
      <c r="M1829" t="s">
        <v>56</v>
      </c>
      <c r="N1829">
        <v>71878796</v>
      </c>
    </row>
    <row r="1830" spans="1:14" x14ac:dyDescent="0.25">
      <c r="A1830">
        <v>57931712</v>
      </c>
      <c r="B1830" t="s">
        <v>548</v>
      </c>
      <c r="C1830" t="s">
        <v>4785</v>
      </c>
      <c r="D1830" t="s">
        <v>4786</v>
      </c>
      <c r="E1830">
        <v>5615239101</v>
      </c>
      <c r="F1830" t="s">
        <v>1345</v>
      </c>
      <c r="G1830" t="s">
        <v>799</v>
      </c>
      <c r="I1830" t="s">
        <v>47</v>
      </c>
      <c r="J1830" s="13">
        <v>45968</v>
      </c>
      <c r="K1830" s="13">
        <v>46023</v>
      </c>
      <c r="L1830" t="s">
        <v>497</v>
      </c>
      <c r="M1830" t="s">
        <v>54</v>
      </c>
      <c r="N1830">
        <v>71878945</v>
      </c>
    </row>
    <row r="1831" spans="1:14" x14ac:dyDescent="0.25">
      <c r="A1831">
        <v>57931848</v>
      </c>
      <c r="B1831" t="s">
        <v>431</v>
      </c>
      <c r="C1831" t="s">
        <v>4787</v>
      </c>
      <c r="D1831" t="s">
        <v>4788</v>
      </c>
      <c r="E1831">
        <v>4074551331</v>
      </c>
      <c r="F1831" t="s">
        <v>1142</v>
      </c>
      <c r="G1831" t="s">
        <v>1143</v>
      </c>
      <c r="I1831" t="s">
        <v>124</v>
      </c>
      <c r="J1831" s="13">
        <v>45968</v>
      </c>
      <c r="K1831" s="13">
        <v>46023</v>
      </c>
      <c r="L1831" t="s">
        <v>497</v>
      </c>
      <c r="M1831" t="s">
        <v>56</v>
      </c>
      <c r="N1831">
        <v>71879021</v>
      </c>
    </row>
    <row r="1832" spans="1:14" x14ac:dyDescent="0.25">
      <c r="A1832">
        <v>57932512</v>
      </c>
      <c r="B1832" t="s">
        <v>4789</v>
      </c>
      <c r="C1832" t="s">
        <v>4790</v>
      </c>
      <c r="D1832" t="s">
        <v>4791</v>
      </c>
      <c r="E1832">
        <v>7243447454</v>
      </c>
      <c r="F1832" t="s">
        <v>448</v>
      </c>
      <c r="G1832" t="s">
        <v>449</v>
      </c>
      <c r="I1832" t="s">
        <v>31</v>
      </c>
      <c r="J1832" s="13">
        <v>45968</v>
      </c>
      <c r="K1832" s="13">
        <v>46023</v>
      </c>
      <c r="L1832" t="s">
        <v>533</v>
      </c>
      <c r="M1832" t="s">
        <v>56</v>
      </c>
      <c r="N1832">
        <v>71879353</v>
      </c>
    </row>
    <row r="1833" spans="1:14" x14ac:dyDescent="0.25">
      <c r="A1833">
        <v>57933101</v>
      </c>
      <c r="B1833" t="s">
        <v>4792</v>
      </c>
      <c r="C1833" t="s">
        <v>1126</v>
      </c>
      <c r="D1833" t="s">
        <v>4793</v>
      </c>
      <c r="E1833">
        <v>6155461602</v>
      </c>
      <c r="F1833" t="s">
        <v>770</v>
      </c>
      <c r="G1833" t="s">
        <v>771</v>
      </c>
      <c r="I1833" t="s">
        <v>25</v>
      </c>
      <c r="J1833" s="13">
        <v>45968</v>
      </c>
      <c r="K1833" s="13">
        <v>46023</v>
      </c>
      <c r="L1833" t="s">
        <v>479</v>
      </c>
      <c r="M1833" t="s">
        <v>59</v>
      </c>
      <c r="N1833">
        <v>71879913</v>
      </c>
    </row>
    <row r="1834" spans="1:14" x14ac:dyDescent="0.25">
      <c r="A1834">
        <v>57934027</v>
      </c>
      <c r="B1834" t="s">
        <v>902</v>
      </c>
      <c r="C1834" t="s">
        <v>4794</v>
      </c>
      <c r="D1834" t="s">
        <v>4795</v>
      </c>
      <c r="E1834">
        <v>2244102491</v>
      </c>
      <c r="F1834" t="s">
        <v>790</v>
      </c>
      <c r="G1834" t="s">
        <v>791</v>
      </c>
      <c r="I1834" t="s">
        <v>119</v>
      </c>
      <c r="J1834" s="13">
        <v>45968</v>
      </c>
      <c r="K1834" s="13">
        <v>46023</v>
      </c>
      <c r="L1834" t="s">
        <v>470</v>
      </c>
      <c r="M1834" t="s">
        <v>58</v>
      </c>
      <c r="N1834">
        <v>71881071</v>
      </c>
    </row>
    <row r="1835" spans="1:14" x14ac:dyDescent="0.25">
      <c r="A1835">
        <v>57934071</v>
      </c>
      <c r="B1835" t="s">
        <v>1527</v>
      </c>
      <c r="C1835" t="s">
        <v>4550</v>
      </c>
      <c r="D1835" t="s">
        <v>4796</v>
      </c>
      <c r="E1835">
        <v>4804178227</v>
      </c>
      <c r="F1835" t="s">
        <v>423</v>
      </c>
      <c r="G1835" t="s">
        <v>424</v>
      </c>
      <c r="I1835" t="s">
        <v>46</v>
      </c>
      <c r="J1835" s="13">
        <v>45968</v>
      </c>
      <c r="K1835" s="13">
        <v>46023</v>
      </c>
      <c r="L1835" t="s">
        <v>1179</v>
      </c>
      <c r="M1835" t="s">
        <v>54</v>
      </c>
      <c r="N1835">
        <v>71881128</v>
      </c>
    </row>
    <row r="1836" spans="1:14" x14ac:dyDescent="0.25">
      <c r="A1836">
        <v>57934411</v>
      </c>
      <c r="B1836" t="s">
        <v>737</v>
      </c>
      <c r="C1836" t="s">
        <v>4797</v>
      </c>
      <c r="D1836" t="s">
        <v>4798</v>
      </c>
      <c r="E1836">
        <v>9842650572</v>
      </c>
      <c r="F1836" t="s">
        <v>551</v>
      </c>
      <c r="G1836" t="s">
        <v>552</v>
      </c>
      <c r="I1836" t="s">
        <v>42</v>
      </c>
      <c r="J1836" s="13">
        <v>45968</v>
      </c>
      <c r="K1836" s="13">
        <v>46023</v>
      </c>
      <c r="L1836" t="s">
        <v>603</v>
      </c>
      <c r="M1836" t="s">
        <v>58</v>
      </c>
      <c r="N1836">
        <v>71881309</v>
      </c>
    </row>
    <row r="1837" spans="1:14" x14ac:dyDescent="0.25">
      <c r="A1837">
        <v>57934386</v>
      </c>
      <c r="B1837" t="s">
        <v>4799</v>
      </c>
      <c r="C1837" t="s">
        <v>4800</v>
      </c>
      <c r="D1837" t="s">
        <v>4801</v>
      </c>
      <c r="E1837">
        <v>2107698443</v>
      </c>
      <c r="F1837" t="s">
        <v>842</v>
      </c>
      <c r="G1837" t="s">
        <v>843</v>
      </c>
      <c r="I1837" t="s">
        <v>98</v>
      </c>
      <c r="J1837" s="13">
        <v>45968</v>
      </c>
      <c r="K1837" s="13">
        <v>46023</v>
      </c>
      <c r="L1837" t="s">
        <v>444</v>
      </c>
      <c r="M1837" t="s">
        <v>58</v>
      </c>
      <c r="N1837">
        <v>71881329</v>
      </c>
    </row>
    <row r="1838" spans="1:14" x14ac:dyDescent="0.25">
      <c r="A1838">
        <v>57934916</v>
      </c>
      <c r="B1838" t="s">
        <v>4802</v>
      </c>
      <c r="C1838" t="s">
        <v>4803</v>
      </c>
      <c r="D1838" t="s">
        <v>4804</v>
      </c>
      <c r="E1838">
        <v>7734150708</v>
      </c>
      <c r="F1838" t="s">
        <v>574</v>
      </c>
      <c r="G1838" t="s">
        <v>575</v>
      </c>
      <c r="I1838" t="s">
        <v>14</v>
      </c>
      <c r="J1838" s="13">
        <v>45968</v>
      </c>
      <c r="K1838" s="13">
        <v>46023</v>
      </c>
      <c r="L1838" t="s">
        <v>470</v>
      </c>
      <c r="M1838" t="s">
        <v>56</v>
      </c>
      <c r="N1838">
        <v>71881640</v>
      </c>
    </row>
    <row r="1839" spans="1:14" x14ac:dyDescent="0.25">
      <c r="A1839">
        <v>57934920</v>
      </c>
      <c r="B1839" t="s">
        <v>3374</v>
      </c>
      <c r="C1839" t="s">
        <v>4805</v>
      </c>
      <c r="D1839" t="s">
        <v>4806</v>
      </c>
      <c r="E1839">
        <v>7542985912</v>
      </c>
      <c r="F1839" t="s">
        <v>1067</v>
      </c>
      <c r="G1839" t="s">
        <v>1068</v>
      </c>
      <c r="I1839" t="s">
        <v>35</v>
      </c>
      <c r="J1839" s="13">
        <v>45968</v>
      </c>
      <c r="K1839" s="13">
        <v>46023</v>
      </c>
      <c r="L1839" t="s">
        <v>497</v>
      </c>
      <c r="M1839" t="s">
        <v>56</v>
      </c>
      <c r="N1839">
        <v>71881641</v>
      </c>
    </row>
    <row r="1840" spans="1:14" x14ac:dyDescent="0.25">
      <c r="A1840">
        <v>57935101</v>
      </c>
      <c r="B1840" t="s">
        <v>524</v>
      </c>
      <c r="C1840" t="s">
        <v>4807</v>
      </c>
      <c r="D1840" t="s">
        <v>4808</v>
      </c>
      <c r="E1840">
        <v>4175982053</v>
      </c>
      <c r="F1840" t="s">
        <v>615</v>
      </c>
      <c r="G1840" t="s">
        <v>616</v>
      </c>
      <c r="I1840" t="s">
        <v>617</v>
      </c>
      <c r="J1840" s="13">
        <v>45968</v>
      </c>
      <c r="K1840" s="13">
        <v>46023</v>
      </c>
      <c r="L1840" t="s">
        <v>434</v>
      </c>
      <c r="M1840" t="s">
        <v>61</v>
      </c>
      <c r="N1840">
        <v>71881759</v>
      </c>
    </row>
    <row r="1841" spans="1:14" x14ac:dyDescent="0.25">
      <c r="A1841">
        <v>57935197</v>
      </c>
      <c r="B1841" t="s">
        <v>865</v>
      </c>
      <c r="C1841" t="s">
        <v>4809</v>
      </c>
      <c r="D1841" t="s">
        <v>4810</v>
      </c>
      <c r="E1841">
        <v>7866022401</v>
      </c>
      <c r="F1841" t="s">
        <v>462</v>
      </c>
      <c r="G1841" t="s">
        <v>463</v>
      </c>
      <c r="I1841" t="s">
        <v>39</v>
      </c>
      <c r="J1841" s="13">
        <v>45968</v>
      </c>
      <c r="K1841" s="13">
        <v>46023</v>
      </c>
      <c r="L1841" t="s">
        <v>497</v>
      </c>
      <c r="M1841" t="s">
        <v>54</v>
      </c>
      <c r="N1841">
        <v>71881827</v>
      </c>
    </row>
    <row r="1842" spans="1:14" x14ac:dyDescent="0.25">
      <c r="A1842">
        <v>57935638</v>
      </c>
      <c r="B1842" t="s">
        <v>4811</v>
      </c>
      <c r="C1842" t="s">
        <v>4812</v>
      </c>
      <c r="D1842" t="s">
        <v>4813</v>
      </c>
      <c r="E1842">
        <v>3366929517</v>
      </c>
      <c r="F1842" t="s">
        <v>569</v>
      </c>
      <c r="G1842" t="s">
        <v>570</v>
      </c>
      <c r="I1842" t="s">
        <v>34</v>
      </c>
      <c r="J1842" s="13">
        <v>45968</v>
      </c>
      <c r="K1842" s="13">
        <v>46023</v>
      </c>
      <c r="L1842" t="s">
        <v>603</v>
      </c>
      <c r="M1842" t="s">
        <v>56</v>
      </c>
      <c r="N1842">
        <v>71882200</v>
      </c>
    </row>
    <row r="1843" spans="1:14" x14ac:dyDescent="0.25">
      <c r="A1843">
        <v>57936206</v>
      </c>
      <c r="B1843" t="s">
        <v>772</v>
      </c>
      <c r="C1843" t="s">
        <v>2880</v>
      </c>
      <c r="D1843" t="s">
        <v>4814</v>
      </c>
      <c r="E1843" t="s">
        <v>4815</v>
      </c>
      <c r="F1843" t="s">
        <v>416</v>
      </c>
      <c r="G1843" t="s">
        <v>417</v>
      </c>
      <c r="I1843" t="s">
        <v>26</v>
      </c>
      <c r="J1843" s="13">
        <v>45968</v>
      </c>
      <c r="K1843" s="13">
        <v>46023</v>
      </c>
      <c r="L1843" t="s">
        <v>1179</v>
      </c>
      <c r="M1843" t="s">
        <v>54</v>
      </c>
      <c r="N1843">
        <v>71882560</v>
      </c>
    </row>
    <row r="1844" spans="1:14" x14ac:dyDescent="0.25">
      <c r="A1844">
        <v>57936545</v>
      </c>
      <c r="B1844" t="s">
        <v>1297</v>
      </c>
      <c r="C1844" t="s">
        <v>4816</v>
      </c>
      <c r="D1844" t="s">
        <v>4817</v>
      </c>
      <c r="E1844">
        <v>8594474174</v>
      </c>
      <c r="F1844" t="s">
        <v>1003</v>
      </c>
      <c r="G1844" t="s">
        <v>1004</v>
      </c>
      <c r="I1844" t="s">
        <v>89</v>
      </c>
      <c r="J1844" s="13">
        <v>45968</v>
      </c>
      <c r="K1844" s="13">
        <v>46023</v>
      </c>
      <c r="L1844" t="s">
        <v>490</v>
      </c>
      <c r="M1844" t="s">
        <v>59</v>
      </c>
      <c r="N1844">
        <v>71882761</v>
      </c>
    </row>
    <row r="1845" spans="1:14" x14ac:dyDescent="0.25">
      <c r="A1845">
        <v>57936644</v>
      </c>
      <c r="B1845" t="s">
        <v>867</v>
      </c>
      <c r="C1845" t="s">
        <v>4818</v>
      </c>
      <c r="D1845" t="s">
        <v>4819</v>
      </c>
      <c r="E1845">
        <v>9804329974</v>
      </c>
      <c r="F1845" t="s">
        <v>649</v>
      </c>
      <c r="G1845" t="s">
        <v>650</v>
      </c>
      <c r="I1845" t="s">
        <v>28</v>
      </c>
      <c r="J1845" s="13">
        <v>45968</v>
      </c>
      <c r="K1845" s="13">
        <v>46023</v>
      </c>
      <c r="L1845" t="s">
        <v>603</v>
      </c>
      <c r="M1845" t="s">
        <v>56</v>
      </c>
      <c r="N1845">
        <v>71882812</v>
      </c>
    </row>
    <row r="1846" spans="1:14" x14ac:dyDescent="0.25">
      <c r="A1846">
        <v>57936834</v>
      </c>
      <c r="B1846" t="s">
        <v>524</v>
      </c>
      <c r="C1846" t="s">
        <v>4820</v>
      </c>
      <c r="D1846" t="s">
        <v>4821</v>
      </c>
      <c r="E1846">
        <v>3046981638</v>
      </c>
      <c r="F1846" t="s">
        <v>448</v>
      </c>
      <c r="G1846" t="s">
        <v>449</v>
      </c>
      <c r="I1846" t="s">
        <v>31</v>
      </c>
      <c r="J1846" s="13">
        <v>45968</v>
      </c>
      <c r="K1846" s="13">
        <v>46023</v>
      </c>
      <c r="L1846" t="s">
        <v>1188</v>
      </c>
      <c r="M1846" t="s">
        <v>56</v>
      </c>
      <c r="N1846">
        <v>71882920</v>
      </c>
    </row>
    <row r="1847" spans="1:14" x14ac:dyDescent="0.25">
      <c r="A1847">
        <v>57936836</v>
      </c>
      <c r="B1847" t="s">
        <v>4822</v>
      </c>
      <c r="C1847" t="s">
        <v>4823</v>
      </c>
      <c r="D1847" t="s">
        <v>4824</v>
      </c>
      <c r="E1847">
        <v>5046104774</v>
      </c>
      <c r="F1847" t="s">
        <v>592</v>
      </c>
      <c r="G1847" t="s">
        <v>593</v>
      </c>
      <c r="I1847" t="s">
        <v>115</v>
      </c>
      <c r="J1847" s="13">
        <v>45968</v>
      </c>
      <c r="K1847" s="13">
        <v>46023</v>
      </c>
      <c r="L1847" t="s">
        <v>612</v>
      </c>
      <c r="M1847" t="s">
        <v>60</v>
      </c>
      <c r="N1847">
        <v>71882921</v>
      </c>
    </row>
    <row r="1848" spans="1:14" x14ac:dyDescent="0.25">
      <c r="A1848">
        <v>57937221</v>
      </c>
      <c r="B1848" t="s">
        <v>4825</v>
      </c>
      <c r="C1848" t="s">
        <v>4826</v>
      </c>
      <c r="D1848" t="s">
        <v>4827</v>
      </c>
      <c r="E1848">
        <v>2295855189</v>
      </c>
      <c r="F1848" t="s">
        <v>842</v>
      </c>
      <c r="G1848" t="s">
        <v>843</v>
      </c>
      <c r="I1848" t="s">
        <v>98</v>
      </c>
      <c r="J1848" s="13">
        <v>45968</v>
      </c>
      <c r="K1848" s="13">
        <v>46023</v>
      </c>
      <c r="L1848" t="s">
        <v>621</v>
      </c>
      <c r="M1848" t="s">
        <v>59</v>
      </c>
      <c r="N1848">
        <v>71883147</v>
      </c>
    </row>
    <row r="1849" spans="1:14" x14ac:dyDescent="0.25">
      <c r="A1849">
        <v>57937729</v>
      </c>
      <c r="B1849" t="s">
        <v>4828</v>
      </c>
      <c r="C1849" t="s">
        <v>4829</v>
      </c>
      <c r="D1849" t="s">
        <v>4830</v>
      </c>
      <c r="E1849">
        <v>6027961250</v>
      </c>
      <c r="F1849" t="s">
        <v>1147</v>
      </c>
      <c r="G1849" t="s">
        <v>1148</v>
      </c>
      <c r="I1849" t="s">
        <v>41</v>
      </c>
      <c r="J1849" s="13">
        <v>45968</v>
      </c>
      <c r="K1849" s="13">
        <v>46023</v>
      </c>
      <c r="L1849" t="s">
        <v>1179</v>
      </c>
      <c r="M1849" t="s">
        <v>55</v>
      </c>
      <c r="N1849">
        <v>71883472</v>
      </c>
    </row>
    <row r="1850" spans="1:14" x14ac:dyDescent="0.25">
      <c r="A1850">
        <v>57938250</v>
      </c>
      <c r="B1850" t="s">
        <v>1260</v>
      </c>
      <c r="C1850" t="s">
        <v>4831</v>
      </c>
      <c r="D1850" t="s">
        <v>4832</v>
      </c>
      <c r="E1850">
        <v>7739678025</v>
      </c>
      <c r="F1850" t="s">
        <v>798</v>
      </c>
      <c r="G1850" t="s">
        <v>799</v>
      </c>
      <c r="I1850" t="s">
        <v>800</v>
      </c>
      <c r="J1850" s="13">
        <v>45968</v>
      </c>
      <c r="K1850" s="13">
        <v>46023</v>
      </c>
      <c r="L1850" t="s">
        <v>470</v>
      </c>
      <c r="M1850" t="s">
        <v>55</v>
      </c>
      <c r="N1850">
        <v>71883792</v>
      </c>
    </row>
    <row r="1851" spans="1:14" x14ac:dyDescent="0.25">
      <c r="A1851">
        <v>58385381</v>
      </c>
      <c r="B1851" t="s">
        <v>4833</v>
      </c>
      <c r="C1851" t="s">
        <v>4834</v>
      </c>
      <c r="D1851" t="s">
        <v>4835</v>
      </c>
      <c r="E1851">
        <v>8507761132</v>
      </c>
      <c r="F1851" t="s">
        <v>537</v>
      </c>
      <c r="G1851" t="s">
        <v>538</v>
      </c>
      <c r="I1851" t="s">
        <v>49</v>
      </c>
      <c r="J1851" s="13">
        <v>45985</v>
      </c>
      <c r="K1851" s="13">
        <v>46023</v>
      </c>
      <c r="L1851" t="s">
        <v>497</v>
      </c>
      <c r="M1851" t="s">
        <v>56</v>
      </c>
      <c r="N1851">
        <v>71883841</v>
      </c>
    </row>
    <row r="1852" spans="1:14" x14ac:dyDescent="0.25">
      <c r="A1852">
        <v>57938805</v>
      </c>
      <c r="B1852" t="s">
        <v>498</v>
      </c>
      <c r="C1852" t="s">
        <v>4836</v>
      </c>
      <c r="D1852" t="s">
        <v>4837</v>
      </c>
      <c r="E1852">
        <v>6024786199</v>
      </c>
      <c r="F1852" t="s">
        <v>775</v>
      </c>
      <c r="G1852" t="s">
        <v>776</v>
      </c>
      <c r="I1852" t="s">
        <v>22</v>
      </c>
      <c r="J1852" s="13">
        <v>45968</v>
      </c>
      <c r="K1852" s="13">
        <v>46023</v>
      </c>
      <c r="L1852" t="s">
        <v>497</v>
      </c>
      <c r="M1852" t="s">
        <v>56</v>
      </c>
      <c r="N1852">
        <v>71884128</v>
      </c>
    </row>
    <row r="1853" spans="1:14" x14ac:dyDescent="0.25">
      <c r="A1853">
        <v>57939230</v>
      </c>
      <c r="B1853" t="s">
        <v>1658</v>
      </c>
      <c r="C1853" t="s">
        <v>4838</v>
      </c>
      <c r="D1853" t="s">
        <v>4839</v>
      </c>
      <c r="E1853">
        <v>6028839756</v>
      </c>
      <c r="F1853" t="s">
        <v>423</v>
      </c>
      <c r="G1853" t="s">
        <v>424</v>
      </c>
      <c r="I1853" t="s">
        <v>46</v>
      </c>
      <c r="J1853" s="13">
        <v>45968</v>
      </c>
      <c r="K1853" s="13">
        <v>46023</v>
      </c>
      <c r="L1853" t="s">
        <v>1179</v>
      </c>
      <c r="M1853" t="s">
        <v>54</v>
      </c>
      <c r="N1853">
        <v>71884358</v>
      </c>
    </row>
    <row r="1854" spans="1:14" x14ac:dyDescent="0.25">
      <c r="A1854">
        <v>57939563</v>
      </c>
      <c r="B1854" t="s">
        <v>1427</v>
      </c>
      <c r="C1854" t="s">
        <v>4840</v>
      </c>
      <c r="D1854" t="s">
        <v>4841</v>
      </c>
      <c r="E1854">
        <v>4809048114</v>
      </c>
      <c r="F1854" t="s">
        <v>1345</v>
      </c>
      <c r="G1854" t="s">
        <v>799</v>
      </c>
      <c r="I1854" t="s">
        <v>47</v>
      </c>
      <c r="J1854" s="13">
        <v>45968</v>
      </c>
      <c r="K1854" s="13">
        <v>46023</v>
      </c>
      <c r="L1854" t="s">
        <v>1179</v>
      </c>
      <c r="M1854" t="s">
        <v>54</v>
      </c>
      <c r="N1854">
        <v>71884573</v>
      </c>
    </row>
    <row r="1855" spans="1:14" x14ac:dyDescent="0.25">
      <c r="A1855">
        <v>57939944</v>
      </c>
      <c r="B1855" t="s">
        <v>1747</v>
      </c>
      <c r="C1855" t="s">
        <v>4842</v>
      </c>
      <c r="D1855" t="s">
        <v>4843</v>
      </c>
      <c r="E1855">
        <v>7272028757</v>
      </c>
      <c r="F1855" t="s">
        <v>416</v>
      </c>
      <c r="G1855" t="s">
        <v>417</v>
      </c>
      <c r="I1855" t="s">
        <v>26</v>
      </c>
      <c r="J1855" s="13">
        <v>45968</v>
      </c>
      <c r="K1855" s="13">
        <v>46023</v>
      </c>
      <c r="L1855" t="s">
        <v>497</v>
      </c>
      <c r="M1855" t="s">
        <v>54</v>
      </c>
      <c r="N1855">
        <v>71884805</v>
      </c>
    </row>
    <row r="1856" spans="1:14" x14ac:dyDescent="0.25">
      <c r="A1856">
        <v>57940327</v>
      </c>
      <c r="B1856" t="s">
        <v>4844</v>
      </c>
      <c r="C1856" t="s">
        <v>4845</v>
      </c>
      <c r="D1856" t="s">
        <v>4846</v>
      </c>
      <c r="E1856">
        <v>5013262542</v>
      </c>
      <c r="F1856" t="s">
        <v>705</v>
      </c>
      <c r="G1856" t="s">
        <v>706</v>
      </c>
      <c r="I1856" t="s">
        <v>12</v>
      </c>
      <c r="J1856" s="13">
        <v>45968</v>
      </c>
      <c r="K1856" s="13">
        <v>46023</v>
      </c>
      <c r="L1856" t="s">
        <v>553</v>
      </c>
      <c r="M1856" t="s">
        <v>60</v>
      </c>
      <c r="N1856">
        <v>71885027</v>
      </c>
    </row>
    <row r="1857" spans="1:14" x14ac:dyDescent="0.25">
      <c r="A1857">
        <v>57941176</v>
      </c>
      <c r="B1857" t="s">
        <v>4847</v>
      </c>
      <c r="C1857" t="s">
        <v>4848</v>
      </c>
      <c r="D1857" t="s">
        <v>4849</v>
      </c>
      <c r="E1857">
        <v>2602936149</v>
      </c>
      <c r="F1857" t="s">
        <v>815</v>
      </c>
      <c r="G1857" t="s">
        <v>816</v>
      </c>
      <c r="I1857" t="s">
        <v>23</v>
      </c>
      <c r="J1857" s="13">
        <v>45968</v>
      </c>
      <c r="K1857" s="13">
        <v>46023</v>
      </c>
      <c r="L1857" t="s">
        <v>440</v>
      </c>
      <c r="M1857" t="s">
        <v>419</v>
      </c>
      <c r="N1857">
        <v>71885563</v>
      </c>
    </row>
    <row r="1858" spans="1:14" x14ac:dyDescent="0.25">
      <c r="A1858">
        <v>57941671</v>
      </c>
      <c r="B1858" t="s">
        <v>833</v>
      </c>
      <c r="C1858" t="s">
        <v>4850</v>
      </c>
      <c r="D1858" t="s">
        <v>4851</v>
      </c>
      <c r="E1858">
        <v>8654041014</v>
      </c>
      <c r="F1858" t="s">
        <v>842</v>
      </c>
      <c r="G1858" t="s">
        <v>843</v>
      </c>
      <c r="I1858" t="s">
        <v>98</v>
      </c>
      <c r="J1858" s="13">
        <v>45968</v>
      </c>
      <c r="K1858" s="13">
        <v>46023</v>
      </c>
      <c r="L1858" t="s">
        <v>479</v>
      </c>
      <c r="M1858" t="s">
        <v>59</v>
      </c>
      <c r="N1858">
        <v>71885789</v>
      </c>
    </row>
    <row r="1859" spans="1:14" x14ac:dyDescent="0.25">
      <c r="A1859">
        <v>57941776</v>
      </c>
      <c r="B1859" t="s">
        <v>4852</v>
      </c>
      <c r="C1859" t="s">
        <v>4853</v>
      </c>
      <c r="D1859" t="s">
        <v>4854</v>
      </c>
      <c r="E1859">
        <v>8702815987</v>
      </c>
      <c r="F1859" t="s">
        <v>693</v>
      </c>
      <c r="G1859" t="s">
        <v>694</v>
      </c>
      <c r="I1859" t="s">
        <v>103</v>
      </c>
      <c r="J1859" s="13">
        <v>45968</v>
      </c>
      <c r="K1859" s="13">
        <v>46023</v>
      </c>
      <c r="L1859" t="s">
        <v>553</v>
      </c>
      <c r="M1859" t="s">
        <v>56</v>
      </c>
      <c r="N1859">
        <v>71886014</v>
      </c>
    </row>
    <row r="1860" spans="1:14" x14ac:dyDescent="0.25">
      <c r="A1860">
        <v>57941778</v>
      </c>
      <c r="B1860" t="s">
        <v>799</v>
      </c>
      <c r="C1860" t="s">
        <v>4855</v>
      </c>
      <c r="D1860" t="s">
        <v>4856</v>
      </c>
      <c r="E1860">
        <v>2292129495</v>
      </c>
      <c r="F1860" t="s">
        <v>1142</v>
      </c>
      <c r="G1860" t="s">
        <v>1143</v>
      </c>
      <c r="I1860" t="s">
        <v>124</v>
      </c>
      <c r="J1860" s="13">
        <v>45968</v>
      </c>
      <c r="K1860" s="13">
        <v>46023</v>
      </c>
      <c r="L1860" t="s">
        <v>621</v>
      </c>
      <c r="M1860" t="s">
        <v>58</v>
      </c>
      <c r="N1860">
        <v>71886016</v>
      </c>
    </row>
    <row r="1861" spans="1:14" x14ac:dyDescent="0.25">
      <c r="A1861">
        <v>57941993</v>
      </c>
      <c r="B1861" t="s">
        <v>4857</v>
      </c>
      <c r="C1861" t="s">
        <v>2712</v>
      </c>
      <c r="D1861" t="s">
        <v>4858</v>
      </c>
      <c r="E1861">
        <v>5202730845</v>
      </c>
      <c r="F1861" t="s">
        <v>957</v>
      </c>
      <c r="G1861" t="s">
        <v>958</v>
      </c>
      <c r="H1861" t="s">
        <v>959</v>
      </c>
      <c r="I1861" t="s">
        <v>960</v>
      </c>
      <c r="J1861" s="13">
        <v>45968</v>
      </c>
      <c r="K1861" s="13">
        <v>46023</v>
      </c>
      <c r="L1861" t="s">
        <v>1179</v>
      </c>
      <c r="M1861" t="s">
        <v>55</v>
      </c>
      <c r="N1861">
        <v>71886759</v>
      </c>
    </row>
    <row r="1862" spans="1:14" x14ac:dyDescent="0.25">
      <c r="A1862">
        <v>57942175</v>
      </c>
      <c r="B1862" t="s">
        <v>1786</v>
      </c>
      <c r="C1862" t="s">
        <v>4859</v>
      </c>
      <c r="D1862" t="s">
        <v>4860</v>
      </c>
      <c r="E1862">
        <v>6026947126</v>
      </c>
      <c r="F1862" t="s">
        <v>416</v>
      </c>
      <c r="G1862" t="s">
        <v>417</v>
      </c>
      <c r="I1862" t="s">
        <v>26</v>
      </c>
      <c r="J1862" s="13">
        <v>45968</v>
      </c>
      <c r="K1862" s="13">
        <v>46023</v>
      </c>
      <c r="L1862" t="s">
        <v>1179</v>
      </c>
      <c r="M1862" t="s">
        <v>54</v>
      </c>
      <c r="N1862">
        <v>71887297</v>
      </c>
    </row>
    <row r="1863" spans="1:14" x14ac:dyDescent="0.25">
      <c r="A1863">
        <v>57942218</v>
      </c>
      <c r="B1863" t="s">
        <v>4861</v>
      </c>
      <c r="C1863" t="s">
        <v>4862</v>
      </c>
      <c r="D1863" t="s">
        <v>4863</v>
      </c>
      <c r="E1863">
        <v>8168689384</v>
      </c>
      <c r="F1863" t="s">
        <v>1147</v>
      </c>
      <c r="G1863" t="s">
        <v>1148</v>
      </c>
      <c r="I1863" t="s">
        <v>41</v>
      </c>
      <c r="J1863" s="13">
        <v>45968</v>
      </c>
      <c r="K1863" s="13">
        <v>46023</v>
      </c>
      <c r="L1863" t="s">
        <v>434</v>
      </c>
      <c r="M1863" t="s">
        <v>55</v>
      </c>
      <c r="N1863">
        <v>71887319</v>
      </c>
    </row>
    <row r="1864" spans="1:14" x14ac:dyDescent="0.25">
      <c r="A1864">
        <v>59843907</v>
      </c>
      <c r="B1864" t="s">
        <v>4864</v>
      </c>
      <c r="C1864" t="s">
        <v>4865</v>
      </c>
      <c r="D1864" t="s">
        <v>4866</v>
      </c>
      <c r="E1864">
        <v>7542988818</v>
      </c>
      <c r="F1864" t="s">
        <v>1067</v>
      </c>
      <c r="G1864" t="s">
        <v>1068</v>
      </c>
      <c r="I1864" t="s">
        <v>35</v>
      </c>
      <c r="J1864" s="13">
        <v>46045</v>
      </c>
      <c r="K1864" s="13">
        <v>46054</v>
      </c>
      <c r="L1864" t="s">
        <v>497</v>
      </c>
      <c r="M1864" t="s">
        <v>56</v>
      </c>
      <c r="N1864">
        <v>71887353</v>
      </c>
    </row>
    <row r="1865" spans="1:14" x14ac:dyDescent="0.25">
      <c r="A1865">
        <v>57942482</v>
      </c>
      <c r="B1865" t="s">
        <v>4867</v>
      </c>
      <c r="C1865" t="s">
        <v>4868</v>
      </c>
      <c r="D1865" t="s">
        <v>4869</v>
      </c>
      <c r="E1865">
        <v>7548003713</v>
      </c>
      <c r="F1865" t="s">
        <v>1398</v>
      </c>
      <c r="G1865" t="s">
        <v>1399</v>
      </c>
      <c r="I1865" t="s">
        <v>1400</v>
      </c>
      <c r="J1865" s="13">
        <v>45968</v>
      </c>
      <c r="K1865" s="13">
        <v>46023</v>
      </c>
      <c r="L1865" t="s">
        <v>497</v>
      </c>
      <c r="M1865" t="s">
        <v>56</v>
      </c>
      <c r="N1865">
        <v>71887415</v>
      </c>
    </row>
    <row r="1866" spans="1:14" x14ac:dyDescent="0.25">
      <c r="A1866">
        <v>57942788</v>
      </c>
      <c r="B1866" t="s">
        <v>2920</v>
      </c>
      <c r="C1866" t="s">
        <v>4870</v>
      </c>
      <c r="D1866" t="s">
        <v>4871</v>
      </c>
      <c r="E1866">
        <v>7865432118</v>
      </c>
      <c r="F1866" t="s">
        <v>569</v>
      </c>
      <c r="G1866" t="s">
        <v>570</v>
      </c>
      <c r="I1866" t="s">
        <v>34</v>
      </c>
      <c r="J1866" s="13">
        <v>45968</v>
      </c>
      <c r="K1866" s="13">
        <v>46023</v>
      </c>
      <c r="L1866" t="s">
        <v>497</v>
      </c>
      <c r="M1866" t="s">
        <v>56</v>
      </c>
      <c r="N1866">
        <v>71887605</v>
      </c>
    </row>
    <row r="1867" spans="1:14" x14ac:dyDescent="0.25">
      <c r="A1867">
        <v>57943250</v>
      </c>
      <c r="B1867" t="s">
        <v>4872</v>
      </c>
      <c r="C1867" t="s">
        <v>4873</v>
      </c>
      <c r="D1867" t="s">
        <v>4874</v>
      </c>
      <c r="E1867" t="s">
        <v>4875</v>
      </c>
      <c r="F1867" t="s">
        <v>569</v>
      </c>
      <c r="G1867" t="s">
        <v>570</v>
      </c>
      <c r="I1867" t="s">
        <v>34</v>
      </c>
      <c r="J1867" s="13">
        <v>45968</v>
      </c>
      <c r="K1867" s="13">
        <v>46023</v>
      </c>
      <c r="L1867" t="s">
        <v>497</v>
      </c>
      <c r="M1867" t="s">
        <v>56</v>
      </c>
      <c r="N1867">
        <v>71887816</v>
      </c>
    </row>
    <row r="1868" spans="1:14" x14ac:dyDescent="0.25">
      <c r="A1868">
        <v>57943346</v>
      </c>
      <c r="B1868" t="s">
        <v>431</v>
      </c>
      <c r="C1868" t="s">
        <v>1567</v>
      </c>
      <c r="D1868" t="s">
        <v>4876</v>
      </c>
      <c r="E1868">
        <v>8705923572</v>
      </c>
      <c r="F1868" t="s">
        <v>828</v>
      </c>
      <c r="G1868" t="s">
        <v>1148</v>
      </c>
      <c r="I1868" t="s">
        <v>17</v>
      </c>
      <c r="J1868" s="13">
        <v>45968</v>
      </c>
      <c r="K1868" s="13">
        <v>46023</v>
      </c>
      <c r="L1868" t="s">
        <v>553</v>
      </c>
      <c r="M1868" t="s">
        <v>56</v>
      </c>
      <c r="N1868">
        <v>71887849</v>
      </c>
    </row>
    <row r="1869" spans="1:14" x14ac:dyDescent="0.25">
      <c r="A1869">
        <v>57944125</v>
      </c>
      <c r="B1869" t="s">
        <v>4877</v>
      </c>
      <c r="C1869" t="s">
        <v>549</v>
      </c>
      <c r="D1869" t="s">
        <v>4878</v>
      </c>
      <c r="E1869">
        <v>9048856384</v>
      </c>
      <c r="F1869" t="s">
        <v>423</v>
      </c>
      <c r="G1869" t="s">
        <v>424</v>
      </c>
      <c r="I1869" t="s">
        <v>46</v>
      </c>
      <c r="J1869" s="13">
        <v>45968</v>
      </c>
      <c r="K1869" s="13">
        <v>46023</v>
      </c>
      <c r="L1869" t="s">
        <v>497</v>
      </c>
      <c r="M1869" t="s">
        <v>58</v>
      </c>
      <c r="N1869">
        <v>71888136</v>
      </c>
    </row>
    <row r="1870" spans="1:14" x14ac:dyDescent="0.25">
      <c r="A1870">
        <v>57943992</v>
      </c>
      <c r="B1870" t="s">
        <v>830</v>
      </c>
      <c r="C1870" t="s">
        <v>4879</v>
      </c>
      <c r="D1870" t="s">
        <v>4880</v>
      </c>
      <c r="E1870">
        <v>8138506042</v>
      </c>
      <c r="F1870" t="s">
        <v>775</v>
      </c>
      <c r="G1870" t="s">
        <v>776</v>
      </c>
      <c r="I1870" t="s">
        <v>22</v>
      </c>
      <c r="J1870" s="13">
        <v>45968</v>
      </c>
      <c r="K1870" s="13">
        <v>46023</v>
      </c>
      <c r="L1870" t="s">
        <v>497</v>
      </c>
      <c r="M1870" t="s">
        <v>59</v>
      </c>
      <c r="N1870">
        <v>71888149</v>
      </c>
    </row>
    <row r="1871" spans="1:14" x14ac:dyDescent="0.25">
      <c r="A1871">
        <v>59979471</v>
      </c>
      <c r="B1871" t="s">
        <v>3326</v>
      </c>
      <c r="C1871" t="s">
        <v>4881</v>
      </c>
      <c r="D1871" t="s">
        <v>4882</v>
      </c>
      <c r="E1871">
        <v>5026828124</v>
      </c>
      <c r="F1871" t="s">
        <v>438</v>
      </c>
      <c r="G1871" t="s">
        <v>439</v>
      </c>
      <c r="I1871" t="s">
        <v>38</v>
      </c>
      <c r="J1871" s="13">
        <v>46050</v>
      </c>
      <c r="K1871" s="13">
        <v>46054</v>
      </c>
      <c r="L1871" t="s">
        <v>490</v>
      </c>
      <c r="M1871" t="s">
        <v>56</v>
      </c>
      <c r="N1871">
        <v>71888252</v>
      </c>
    </row>
    <row r="1872" spans="1:14" x14ac:dyDescent="0.25">
      <c r="A1872">
        <v>57944452</v>
      </c>
      <c r="B1872" t="s">
        <v>1515</v>
      </c>
      <c r="C1872" t="s">
        <v>4883</v>
      </c>
      <c r="D1872" t="s">
        <v>4884</v>
      </c>
      <c r="E1872">
        <v>9416614529</v>
      </c>
      <c r="F1872" t="s">
        <v>551</v>
      </c>
      <c r="G1872" t="s">
        <v>552</v>
      </c>
      <c r="I1872" t="s">
        <v>42</v>
      </c>
      <c r="J1872" s="13">
        <v>45968</v>
      </c>
      <c r="K1872" s="13">
        <v>46023</v>
      </c>
      <c r="L1872" t="s">
        <v>454</v>
      </c>
      <c r="M1872" t="s">
        <v>56</v>
      </c>
      <c r="N1872">
        <v>71888430</v>
      </c>
    </row>
    <row r="1873" spans="1:14" x14ac:dyDescent="0.25">
      <c r="A1873">
        <v>57944614</v>
      </c>
      <c r="B1873" t="s">
        <v>4885</v>
      </c>
      <c r="C1873" t="s">
        <v>3600</v>
      </c>
      <c r="D1873" t="s">
        <v>4886</v>
      </c>
      <c r="E1873">
        <v>8658822012</v>
      </c>
      <c r="F1873" t="s">
        <v>1142</v>
      </c>
      <c r="G1873" t="s">
        <v>1143</v>
      </c>
      <c r="I1873" t="s">
        <v>124</v>
      </c>
      <c r="J1873" s="13">
        <v>45968</v>
      </c>
      <c r="K1873" s="13">
        <v>46023</v>
      </c>
      <c r="L1873" t="s">
        <v>479</v>
      </c>
      <c r="M1873" t="s">
        <v>59</v>
      </c>
      <c r="N1873">
        <v>71888528</v>
      </c>
    </row>
    <row r="1874" spans="1:14" x14ac:dyDescent="0.25">
      <c r="A1874">
        <v>57944698</v>
      </c>
      <c r="B1874" t="s">
        <v>4887</v>
      </c>
      <c r="C1874" t="s">
        <v>4888</v>
      </c>
      <c r="D1874" t="s">
        <v>4889</v>
      </c>
      <c r="E1874">
        <v>9132195527</v>
      </c>
      <c r="F1874" t="s">
        <v>1003</v>
      </c>
      <c r="G1874" t="s">
        <v>1004</v>
      </c>
      <c r="I1874" t="s">
        <v>89</v>
      </c>
      <c r="J1874" s="13">
        <v>45968</v>
      </c>
      <c r="K1874" s="13">
        <v>46023</v>
      </c>
      <c r="L1874" t="s">
        <v>434</v>
      </c>
      <c r="M1874" t="s">
        <v>56</v>
      </c>
      <c r="N1874">
        <v>71888556</v>
      </c>
    </row>
    <row r="1875" spans="1:14" x14ac:dyDescent="0.25">
      <c r="A1875">
        <v>57945307</v>
      </c>
      <c r="B1875" t="s">
        <v>1699</v>
      </c>
      <c r="C1875" t="s">
        <v>4890</v>
      </c>
      <c r="D1875" t="s">
        <v>4891</v>
      </c>
      <c r="E1875">
        <v>8128729786</v>
      </c>
      <c r="F1875" t="s">
        <v>448</v>
      </c>
      <c r="G1875" t="s">
        <v>449</v>
      </c>
      <c r="I1875" t="s">
        <v>31</v>
      </c>
      <c r="J1875" s="13">
        <v>45968</v>
      </c>
      <c r="K1875" s="13">
        <v>46023</v>
      </c>
      <c r="L1875" t="s">
        <v>440</v>
      </c>
      <c r="M1875" t="s">
        <v>56</v>
      </c>
      <c r="N1875">
        <v>71888884</v>
      </c>
    </row>
    <row r="1876" spans="1:14" x14ac:dyDescent="0.25">
      <c r="A1876">
        <v>57945314</v>
      </c>
      <c r="B1876" t="s">
        <v>4199</v>
      </c>
      <c r="C1876" t="s">
        <v>4892</v>
      </c>
      <c r="D1876" t="s">
        <v>4893</v>
      </c>
      <c r="E1876">
        <v>6023153718</v>
      </c>
      <c r="F1876" t="s">
        <v>574</v>
      </c>
      <c r="G1876" t="s">
        <v>575</v>
      </c>
      <c r="I1876" t="s">
        <v>14</v>
      </c>
      <c r="J1876" s="13">
        <v>45968</v>
      </c>
      <c r="K1876" s="13">
        <v>46023</v>
      </c>
      <c r="L1876" t="s">
        <v>1179</v>
      </c>
      <c r="M1876" t="s">
        <v>59</v>
      </c>
      <c r="N1876">
        <v>71888887</v>
      </c>
    </row>
    <row r="1877" spans="1:14" x14ac:dyDescent="0.25">
      <c r="A1877">
        <v>57945504</v>
      </c>
      <c r="B1877" t="s">
        <v>1250</v>
      </c>
      <c r="C1877" t="s">
        <v>4894</v>
      </c>
      <c r="D1877" t="s">
        <v>4895</v>
      </c>
      <c r="E1877">
        <v>9545923103</v>
      </c>
      <c r="F1877" t="s">
        <v>423</v>
      </c>
      <c r="G1877" t="s">
        <v>424</v>
      </c>
      <c r="I1877" t="s">
        <v>46</v>
      </c>
      <c r="J1877" s="13">
        <v>45968</v>
      </c>
      <c r="K1877" s="13">
        <v>46023</v>
      </c>
      <c r="L1877" t="s">
        <v>497</v>
      </c>
      <c r="M1877" t="s">
        <v>54</v>
      </c>
      <c r="N1877">
        <v>71888964</v>
      </c>
    </row>
    <row r="1878" spans="1:14" x14ac:dyDescent="0.25">
      <c r="A1878">
        <v>57945683</v>
      </c>
      <c r="B1878" t="s">
        <v>4896</v>
      </c>
      <c r="C1878" t="s">
        <v>4897</v>
      </c>
      <c r="D1878" t="s">
        <v>4898</v>
      </c>
      <c r="E1878">
        <v>7864872743</v>
      </c>
      <c r="F1878" t="s">
        <v>416</v>
      </c>
      <c r="G1878" t="s">
        <v>417</v>
      </c>
      <c r="I1878" t="s">
        <v>26</v>
      </c>
      <c r="J1878" s="13">
        <v>45968</v>
      </c>
      <c r="K1878" s="13">
        <v>46023</v>
      </c>
      <c r="L1878" t="s">
        <v>497</v>
      </c>
      <c r="M1878" t="s">
        <v>54</v>
      </c>
      <c r="N1878">
        <v>71889108</v>
      </c>
    </row>
    <row r="1879" spans="1:14" x14ac:dyDescent="0.25">
      <c r="A1879">
        <v>57946181</v>
      </c>
      <c r="B1879" t="s">
        <v>876</v>
      </c>
      <c r="C1879" t="s">
        <v>4899</v>
      </c>
      <c r="D1879" t="s">
        <v>4900</v>
      </c>
      <c r="E1879">
        <v>9103857748</v>
      </c>
      <c r="F1879" t="s">
        <v>649</v>
      </c>
      <c r="G1879" t="s">
        <v>650</v>
      </c>
      <c r="I1879" t="s">
        <v>28</v>
      </c>
      <c r="J1879" s="13">
        <v>45968</v>
      </c>
      <c r="K1879" s="13">
        <v>46023</v>
      </c>
      <c r="L1879" t="s">
        <v>603</v>
      </c>
      <c r="M1879" t="s">
        <v>56</v>
      </c>
      <c r="N1879">
        <v>71889414</v>
      </c>
    </row>
    <row r="1880" spans="1:14" x14ac:dyDescent="0.25">
      <c r="A1880">
        <v>57946358</v>
      </c>
      <c r="B1880" t="s">
        <v>4901</v>
      </c>
      <c r="C1880" t="s">
        <v>4902</v>
      </c>
      <c r="D1880" t="s">
        <v>4903</v>
      </c>
      <c r="E1880">
        <v>4699899690</v>
      </c>
      <c r="F1880" t="s">
        <v>780</v>
      </c>
      <c r="G1880" t="s">
        <v>781</v>
      </c>
      <c r="I1880" t="s">
        <v>20</v>
      </c>
      <c r="J1880" s="13">
        <v>45968</v>
      </c>
      <c r="K1880" s="13">
        <v>46023</v>
      </c>
      <c r="L1880" t="s">
        <v>444</v>
      </c>
      <c r="M1880" t="s">
        <v>56</v>
      </c>
      <c r="N1880">
        <v>71889505</v>
      </c>
    </row>
    <row r="1881" spans="1:14" x14ac:dyDescent="0.25">
      <c r="A1881">
        <v>57946432</v>
      </c>
      <c r="B1881" t="s">
        <v>672</v>
      </c>
      <c r="C1881" t="s">
        <v>4904</v>
      </c>
      <c r="D1881" t="s">
        <v>4905</v>
      </c>
      <c r="E1881" t="s">
        <v>4906</v>
      </c>
      <c r="F1881" t="s">
        <v>416</v>
      </c>
      <c r="G1881" t="s">
        <v>417</v>
      </c>
      <c r="I1881" t="s">
        <v>26</v>
      </c>
      <c r="J1881" s="13">
        <v>45968</v>
      </c>
      <c r="K1881" s="13">
        <v>46023</v>
      </c>
      <c r="L1881" t="s">
        <v>1179</v>
      </c>
      <c r="M1881" t="s">
        <v>54</v>
      </c>
      <c r="N1881">
        <v>71889531</v>
      </c>
    </row>
    <row r="1882" spans="1:14" x14ac:dyDescent="0.25">
      <c r="A1882">
        <v>57946584</v>
      </c>
      <c r="B1882" t="s">
        <v>1905</v>
      </c>
      <c r="C1882" t="s">
        <v>522</v>
      </c>
      <c r="D1882" t="s">
        <v>4907</v>
      </c>
      <c r="E1882">
        <v>2074510499</v>
      </c>
      <c r="F1882" t="s">
        <v>649</v>
      </c>
      <c r="G1882" t="s">
        <v>650</v>
      </c>
      <c r="I1882" t="s">
        <v>28</v>
      </c>
      <c r="J1882" s="13">
        <v>45968</v>
      </c>
      <c r="K1882" s="13">
        <v>46023</v>
      </c>
      <c r="L1882" t="s">
        <v>941</v>
      </c>
      <c r="M1882" t="s">
        <v>56</v>
      </c>
      <c r="N1882">
        <v>71889592</v>
      </c>
    </row>
    <row r="1883" spans="1:14" x14ac:dyDescent="0.25">
      <c r="A1883">
        <v>57946923</v>
      </c>
      <c r="B1883" t="s">
        <v>4908</v>
      </c>
      <c r="C1883" t="s">
        <v>4909</v>
      </c>
      <c r="D1883" t="s">
        <v>4910</v>
      </c>
      <c r="E1883">
        <v>4173244507</v>
      </c>
      <c r="F1883" t="s">
        <v>1147</v>
      </c>
      <c r="G1883" t="s">
        <v>1148</v>
      </c>
      <c r="I1883" t="s">
        <v>41</v>
      </c>
      <c r="J1883" s="13">
        <v>45968</v>
      </c>
      <c r="K1883" s="13">
        <v>46023</v>
      </c>
      <c r="L1883" t="s">
        <v>434</v>
      </c>
      <c r="M1883" t="s">
        <v>59</v>
      </c>
      <c r="N1883">
        <v>71889894</v>
      </c>
    </row>
    <row r="1884" spans="1:14" x14ac:dyDescent="0.25">
      <c r="A1884">
        <v>57950739</v>
      </c>
      <c r="B1884" t="s">
        <v>4911</v>
      </c>
      <c r="C1884" t="s">
        <v>4912</v>
      </c>
      <c r="D1884" t="s">
        <v>4913</v>
      </c>
      <c r="E1884">
        <v>9123985854</v>
      </c>
      <c r="F1884" t="s">
        <v>790</v>
      </c>
      <c r="G1884" t="s">
        <v>791</v>
      </c>
      <c r="I1884" t="s">
        <v>119</v>
      </c>
      <c r="J1884" s="13">
        <v>45969</v>
      </c>
      <c r="K1884" s="13">
        <v>46023</v>
      </c>
      <c r="L1884" t="s">
        <v>621</v>
      </c>
      <c r="M1884" t="s">
        <v>59</v>
      </c>
      <c r="N1884">
        <v>71892068</v>
      </c>
    </row>
    <row r="1885" spans="1:14" x14ac:dyDescent="0.25">
      <c r="A1885">
        <v>57950659</v>
      </c>
      <c r="B1885" t="s">
        <v>1453</v>
      </c>
      <c r="C1885" t="s">
        <v>4914</v>
      </c>
      <c r="D1885" t="s">
        <v>4915</v>
      </c>
      <c r="E1885">
        <v>9038261667</v>
      </c>
      <c r="F1885" t="s">
        <v>693</v>
      </c>
      <c r="G1885" t="s">
        <v>694</v>
      </c>
      <c r="I1885" t="s">
        <v>103</v>
      </c>
      <c r="J1885" s="13">
        <v>45969</v>
      </c>
      <c r="K1885" s="13">
        <v>46023</v>
      </c>
      <c r="L1885" t="s">
        <v>553</v>
      </c>
      <c r="M1885" t="s">
        <v>56</v>
      </c>
      <c r="N1885">
        <v>71892117</v>
      </c>
    </row>
    <row r="1886" spans="1:14" x14ac:dyDescent="0.25">
      <c r="A1886">
        <v>57950720</v>
      </c>
      <c r="B1886" t="s">
        <v>4667</v>
      </c>
      <c r="C1886" t="s">
        <v>4916</v>
      </c>
      <c r="D1886" t="s">
        <v>4917</v>
      </c>
      <c r="E1886">
        <v>2292922015</v>
      </c>
      <c r="F1886" t="s">
        <v>423</v>
      </c>
      <c r="G1886" t="s">
        <v>424</v>
      </c>
      <c r="I1886" t="s">
        <v>46</v>
      </c>
      <c r="J1886" s="13">
        <v>45969</v>
      </c>
      <c r="K1886" s="13">
        <v>46023</v>
      </c>
      <c r="L1886" t="s">
        <v>621</v>
      </c>
      <c r="M1886" t="s">
        <v>58</v>
      </c>
      <c r="N1886">
        <v>71892133</v>
      </c>
    </row>
    <row r="1887" spans="1:14" x14ac:dyDescent="0.25">
      <c r="A1887">
        <v>57950929</v>
      </c>
      <c r="B1887" t="s">
        <v>548</v>
      </c>
      <c r="C1887" t="s">
        <v>546</v>
      </c>
      <c r="D1887" t="s">
        <v>4918</v>
      </c>
      <c r="E1887">
        <v>5029535085</v>
      </c>
      <c r="F1887" t="s">
        <v>815</v>
      </c>
      <c r="G1887" t="s">
        <v>816</v>
      </c>
      <c r="I1887" t="s">
        <v>23</v>
      </c>
      <c r="J1887" s="13">
        <v>45969</v>
      </c>
      <c r="K1887" s="13">
        <v>46023</v>
      </c>
      <c r="L1887" t="s">
        <v>490</v>
      </c>
      <c r="M1887" t="s">
        <v>61</v>
      </c>
      <c r="N1887">
        <v>71892281</v>
      </c>
    </row>
    <row r="1888" spans="1:14" x14ac:dyDescent="0.25">
      <c r="A1888">
        <v>57950960</v>
      </c>
      <c r="B1888" t="s">
        <v>476</v>
      </c>
      <c r="C1888" t="s">
        <v>4919</v>
      </c>
      <c r="D1888" t="s">
        <v>4920</v>
      </c>
      <c r="E1888">
        <v>3145961521</v>
      </c>
      <c r="F1888" t="s">
        <v>649</v>
      </c>
      <c r="G1888" t="s">
        <v>650</v>
      </c>
      <c r="I1888" t="s">
        <v>28</v>
      </c>
      <c r="J1888" s="13">
        <v>45969</v>
      </c>
      <c r="K1888" s="13">
        <v>46023</v>
      </c>
      <c r="L1888" t="s">
        <v>434</v>
      </c>
      <c r="M1888" t="s">
        <v>55</v>
      </c>
      <c r="N1888">
        <v>71892301</v>
      </c>
    </row>
    <row r="1889" spans="1:14" x14ac:dyDescent="0.25">
      <c r="A1889">
        <v>57951028</v>
      </c>
      <c r="B1889" t="s">
        <v>4921</v>
      </c>
      <c r="C1889" t="s">
        <v>2065</v>
      </c>
      <c r="D1889" t="s">
        <v>4922</v>
      </c>
      <c r="E1889">
        <v>8155036359</v>
      </c>
      <c r="F1889" t="s">
        <v>592</v>
      </c>
      <c r="G1889" t="s">
        <v>593</v>
      </c>
      <c r="I1889" t="s">
        <v>115</v>
      </c>
      <c r="J1889" s="13">
        <v>45969</v>
      </c>
      <c r="K1889" s="13">
        <v>46023</v>
      </c>
      <c r="L1889" t="s">
        <v>470</v>
      </c>
      <c r="M1889" t="s">
        <v>56</v>
      </c>
      <c r="N1889">
        <v>71892329</v>
      </c>
    </row>
    <row r="1890" spans="1:14" x14ac:dyDescent="0.25">
      <c r="A1890">
        <v>57951063</v>
      </c>
      <c r="B1890" t="s">
        <v>1167</v>
      </c>
      <c r="C1890" t="s">
        <v>4914</v>
      </c>
      <c r="D1890" t="s">
        <v>4923</v>
      </c>
      <c r="E1890">
        <v>9038261667</v>
      </c>
      <c r="F1890" t="s">
        <v>693</v>
      </c>
      <c r="G1890" t="s">
        <v>694</v>
      </c>
      <c r="I1890" t="s">
        <v>103</v>
      </c>
      <c r="J1890" s="13">
        <v>45969</v>
      </c>
      <c r="K1890" s="13">
        <v>46023</v>
      </c>
      <c r="L1890" t="s">
        <v>553</v>
      </c>
      <c r="M1890" t="s">
        <v>56</v>
      </c>
      <c r="N1890">
        <v>71892347</v>
      </c>
    </row>
    <row r="1891" spans="1:14" x14ac:dyDescent="0.25">
      <c r="A1891">
        <v>57951349</v>
      </c>
      <c r="B1891" t="s">
        <v>4924</v>
      </c>
      <c r="C1891" t="s">
        <v>2482</v>
      </c>
      <c r="D1891" t="s">
        <v>4925</v>
      </c>
      <c r="E1891">
        <v>8167266654</v>
      </c>
      <c r="F1891" t="s">
        <v>569</v>
      </c>
      <c r="G1891" t="s">
        <v>570</v>
      </c>
      <c r="I1891" t="s">
        <v>34</v>
      </c>
      <c r="J1891" s="13">
        <v>45994</v>
      </c>
      <c r="K1891" s="13">
        <v>46023</v>
      </c>
      <c r="L1891" t="s">
        <v>434</v>
      </c>
      <c r="M1891" t="s">
        <v>56</v>
      </c>
      <c r="N1891">
        <v>71892497</v>
      </c>
    </row>
    <row r="1892" spans="1:14" x14ac:dyDescent="0.25">
      <c r="A1892">
        <v>57951440</v>
      </c>
      <c r="B1892" t="s">
        <v>4926</v>
      </c>
      <c r="C1892" t="s">
        <v>4927</v>
      </c>
      <c r="D1892" t="s">
        <v>4928</v>
      </c>
      <c r="E1892">
        <v>6024461677</v>
      </c>
      <c r="F1892" t="s">
        <v>775</v>
      </c>
      <c r="G1892" t="s">
        <v>776</v>
      </c>
      <c r="I1892" t="s">
        <v>22</v>
      </c>
      <c r="J1892" s="13">
        <v>45969</v>
      </c>
      <c r="K1892" s="13">
        <v>46023</v>
      </c>
      <c r="L1892" t="s">
        <v>1179</v>
      </c>
      <c r="M1892" t="s">
        <v>59</v>
      </c>
      <c r="N1892">
        <v>71892542</v>
      </c>
    </row>
    <row r="1893" spans="1:14" x14ac:dyDescent="0.25">
      <c r="A1893">
        <v>57952743</v>
      </c>
      <c r="B1893" t="s">
        <v>2387</v>
      </c>
      <c r="C1893" t="s">
        <v>4929</v>
      </c>
      <c r="D1893" t="s">
        <v>4930</v>
      </c>
      <c r="E1893">
        <v>8433303392</v>
      </c>
      <c r="F1893" t="s">
        <v>448</v>
      </c>
      <c r="G1893" t="s">
        <v>449</v>
      </c>
      <c r="I1893" t="s">
        <v>31</v>
      </c>
      <c r="J1893" s="13">
        <v>45969</v>
      </c>
      <c r="K1893" s="13">
        <v>46023</v>
      </c>
      <c r="L1893" t="s">
        <v>533</v>
      </c>
      <c r="M1893" t="s">
        <v>58</v>
      </c>
      <c r="N1893">
        <v>71893223</v>
      </c>
    </row>
    <row r="1894" spans="1:14" x14ac:dyDescent="0.25">
      <c r="A1894">
        <v>57952791</v>
      </c>
      <c r="B1894" t="s">
        <v>867</v>
      </c>
      <c r="C1894" t="s">
        <v>4929</v>
      </c>
      <c r="D1894" t="s">
        <v>4931</v>
      </c>
      <c r="E1894" t="s">
        <v>4932</v>
      </c>
      <c r="F1894" t="s">
        <v>448</v>
      </c>
      <c r="G1894" t="s">
        <v>449</v>
      </c>
      <c r="I1894" t="s">
        <v>31</v>
      </c>
      <c r="J1894" s="13">
        <v>45969</v>
      </c>
      <c r="K1894" s="13">
        <v>46023</v>
      </c>
      <c r="L1894" t="s">
        <v>533</v>
      </c>
      <c r="M1894" t="s">
        <v>56</v>
      </c>
      <c r="N1894">
        <v>71893242</v>
      </c>
    </row>
    <row r="1895" spans="1:14" x14ac:dyDescent="0.25">
      <c r="A1895">
        <v>57952850</v>
      </c>
      <c r="B1895" t="s">
        <v>1931</v>
      </c>
      <c r="C1895" t="s">
        <v>4933</v>
      </c>
      <c r="D1895" t="s">
        <v>4934</v>
      </c>
      <c r="E1895">
        <v>5203122716</v>
      </c>
      <c r="F1895" t="s">
        <v>775</v>
      </c>
      <c r="G1895" t="s">
        <v>776</v>
      </c>
      <c r="I1895" t="s">
        <v>22</v>
      </c>
      <c r="J1895" s="13">
        <v>45969</v>
      </c>
      <c r="K1895" s="13">
        <v>46023</v>
      </c>
      <c r="L1895" t="s">
        <v>1179</v>
      </c>
      <c r="M1895" t="s">
        <v>54</v>
      </c>
      <c r="N1895">
        <v>71893262</v>
      </c>
    </row>
    <row r="1896" spans="1:14" x14ac:dyDescent="0.25">
      <c r="A1896">
        <v>57953096</v>
      </c>
      <c r="B1896" t="s">
        <v>4667</v>
      </c>
      <c r="C1896" t="s">
        <v>4935</v>
      </c>
      <c r="D1896" t="s">
        <v>4936</v>
      </c>
      <c r="E1896">
        <v>5025632139</v>
      </c>
      <c r="F1896" t="s">
        <v>615</v>
      </c>
      <c r="G1896" t="s">
        <v>616</v>
      </c>
      <c r="I1896" t="s">
        <v>617</v>
      </c>
      <c r="J1896" s="13">
        <v>45969</v>
      </c>
      <c r="K1896" s="13">
        <v>46023</v>
      </c>
      <c r="L1896" t="s">
        <v>490</v>
      </c>
      <c r="M1896" t="s">
        <v>59</v>
      </c>
      <c r="N1896">
        <v>71893407</v>
      </c>
    </row>
    <row r="1897" spans="1:14" x14ac:dyDescent="0.25">
      <c r="A1897">
        <v>57953444</v>
      </c>
      <c r="B1897" t="s">
        <v>2737</v>
      </c>
      <c r="C1897" t="s">
        <v>4937</v>
      </c>
      <c r="D1897" t="s">
        <v>4938</v>
      </c>
      <c r="E1897">
        <v>5204444362</v>
      </c>
      <c r="F1897" t="s">
        <v>775</v>
      </c>
      <c r="G1897" t="s">
        <v>776</v>
      </c>
      <c r="I1897" t="s">
        <v>22</v>
      </c>
      <c r="J1897" s="13">
        <v>45969</v>
      </c>
      <c r="K1897" s="13">
        <v>46023</v>
      </c>
      <c r="L1897" t="s">
        <v>1179</v>
      </c>
      <c r="M1897" t="s">
        <v>54</v>
      </c>
      <c r="N1897">
        <v>71893606</v>
      </c>
    </row>
    <row r="1898" spans="1:14" x14ac:dyDescent="0.25">
      <c r="A1898">
        <v>57953562</v>
      </c>
      <c r="B1898" t="s">
        <v>4939</v>
      </c>
      <c r="C1898" t="s">
        <v>423</v>
      </c>
      <c r="D1898" t="s">
        <v>4940</v>
      </c>
      <c r="E1898">
        <v>9017058297</v>
      </c>
      <c r="F1898" t="s">
        <v>569</v>
      </c>
      <c r="G1898" t="s">
        <v>570</v>
      </c>
      <c r="I1898" t="s">
        <v>34</v>
      </c>
      <c r="J1898" s="13">
        <v>45969</v>
      </c>
      <c r="K1898" s="13">
        <v>46023</v>
      </c>
      <c r="L1898" t="s">
        <v>479</v>
      </c>
      <c r="M1898" t="s">
        <v>419</v>
      </c>
      <c r="N1898">
        <v>71893674</v>
      </c>
    </row>
    <row r="1899" spans="1:14" x14ac:dyDescent="0.25">
      <c r="A1899">
        <v>57953579</v>
      </c>
      <c r="B1899" t="s">
        <v>4941</v>
      </c>
      <c r="C1899" t="s">
        <v>4942</v>
      </c>
      <c r="D1899" t="s">
        <v>4943</v>
      </c>
      <c r="E1899">
        <v>9192223280</v>
      </c>
      <c r="F1899" t="s">
        <v>649</v>
      </c>
      <c r="G1899" t="s">
        <v>650</v>
      </c>
      <c r="I1899" t="s">
        <v>28</v>
      </c>
      <c r="J1899" s="13">
        <v>45969</v>
      </c>
      <c r="K1899" s="13">
        <v>46023</v>
      </c>
      <c r="L1899" t="s">
        <v>603</v>
      </c>
      <c r="M1899" t="s">
        <v>58</v>
      </c>
      <c r="N1899">
        <v>71893683</v>
      </c>
    </row>
    <row r="1900" spans="1:14" x14ac:dyDescent="0.25">
      <c r="A1900">
        <v>59264550</v>
      </c>
      <c r="B1900" t="s">
        <v>548</v>
      </c>
      <c r="C1900" t="s">
        <v>4944</v>
      </c>
      <c r="D1900" t="s">
        <v>4945</v>
      </c>
      <c r="E1900">
        <v>7066047578</v>
      </c>
      <c r="F1900" t="s">
        <v>416</v>
      </c>
      <c r="G1900" t="s">
        <v>417</v>
      </c>
      <c r="I1900" t="s">
        <v>26</v>
      </c>
      <c r="J1900" s="13">
        <v>46027</v>
      </c>
      <c r="K1900" s="13">
        <v>46054</v>
      </c>
      <c r="L1900" t="s">
        <v>621</v>
      </c>
      <c r="M1900" t="s">
        <v>59</v>
      </c>
      <c r="N1900">
        <v>71900834</v>
      </c>
    </row>
    <row r="1901" spans="1:14" x14ac:dyDescent="0.25">
      <c r="A1901">
        <v>57962859</v>
      </c>
      <c r="B1901" t="s">
        <v>1864</v>
      </c>
      <c r="C1901" t="s">
        <v>1287</v>
      </c>
      <c r="D1901" t="s">
        <v>4946</v>
      </c>
      <c r="E1901">
        <v>8702888989</v>
      </c>
      <c r="F1901" t="s">
        <v>448</v>
      </c>
      <c r="G1901" t="s">
        <v>449</v>
      </c>
      <c r="I1901" t="s">
        <v>31</v>
      </c>
      <c r="J1901" s="13">
        <v>45971</v>
      </c>
      <c r="K1901" s="13">
        <v>46023</v>
      </c>
      <c r="L1901" t="s">
        <v>553</v>
      </c>
      <c r="M1901" t="s">
        <v>59</v>
      </c>
      <c r="N1901">
        <v>71901489</v>
      </c>
    </row>
    <row r="1902" spans="1:14" x14ac:dyDescent="0.25">
      <c r="A1902">
        <v>57963716</v>
      </c>
      <c r="B1902" t="s">
        <v>4450</v>
      </c>
      <c r="C1902" t="s">
        <v>4947</v>
      </c>
      <c r="D1902" t="s">
        <v>4948</v>
      </c>
      <c r="E1902">
        <v>9547785080</v>
      </c>
      <c r="F1902" t="s">
        <v>423</v>
      </c>
      <c r="G1902" t="s">
        <v>424</v>
      </c>
      <c r="I1902" t="s">
        <v>46</v>
      </c>
      <c r="J1902" s="13">
        <v>45971</v>
      </c>
      <c r="K1902" s="13">
        <v>46023</v>
      </c>
      <c r="L1902" t="s">
        <v>497</v>
      </c>
      <c r="M1902" t="s">
        <v>54</v>
      </c>
      <c r="N1902">
        <v>71901878</v>
      </c>
    </row>
    <row r="1903" spans="1:14" x14ac:dyDescent="0.25">
      <c r="A1903">
        <v>57964656</v>
      </c>
      <c r="B1903" t="s">
        <v>951</v>
      </c>
      <c r="C1903" t="s">
        <v>2697</v>
      </c>
      <c r="D1903" t="s">
        <v>4949</v>
      </c>
      <c r="E1903">
        <v>2293227291</v>
      </c>
      <c r="F1903" t="s">
        <v>842</v>
      </c>
      <c r="G1903" t="s">
        <v>843</v>
      </c>
      <c r="I1903" t="s">
        <v>98</v>
      </c>
      <c r="J1903" s="13">
        <v>45971</v>
      </c>
      <c r="K1903" s="13">
        <v>46023</v>
      </c>
      <c r="L1903" t="s">
        <v>621</v>
      </c>
      <c r="M1903" t="s">
        <v>58</v>
      </c>
      <c r="N1903">
        <v>71902540</v>
      </c>
    </row>
    <row r="1904" spans="1:14" x14ac:dyDescent="0.25">
      <c r="A1904">
        <v>57965046</v>
      </c>
      <c r="B1904" t="s">
        <v>2254</v>
      </c>
      <c r="C1904" t="s">
        <v>4950</v>
      </c>
      <c r="D1904" t="s">
        <v>4951</v>
      </c>
      <c r="E1904">
        <v>2074794866</v>
      </c>
      <c r="F1904" t="s">
        <v>448</v>
      </c>
      <c r="G1904" t="s">
        <v>449</v>
      </c>
      <c r="I1904" t="s">
        <v>31</v>
      </c>
      <c r="J1904" s="13">
        <v>45971</v>
      </c>
      <c r="K1904" s="13">
        <v>46023</v>
      </c>
      <c r="L1904" t="s">
        <v>941</v>
      </c>
      <c r="M1904" t="s">
        <v>58</v>
      </c>
      <c r="N1904">
        <v>71902782</v>
      </c>
    </row>
    <row r="1905" spans="1:14" x14ac:dyDescent="0.25">
      <c r="A1905">
        <v>57966113</v>
      </c>
      <c r="B1905" t="s">
        <v>4952</v>
      </c>
      <c r="C1905" t="s">
        <v>1145</v>
      </c>
      <c r="D1905" t="s">
        <v>4953</v>
      </c>
      <c r="E1905">
        <v>8285581883</v>
      </c>
      <c r="F1905" t="s">
        <v>828</v>
      </c>
      <c r="G1905" t="s">
        <v>1148</v>
      </c>
      <c r="I1905" t="s">
        <v>17</v>
      </c>
      <c r="J1905" s="13">
        <v>45971</v>
      </c>
      <c r="K1905" s="13">
        <v>46023</v>
      </c>
      <c r="L1905" t="s">
        <v>603</v>
      </c>
      <c r="M1905" t="s">
        <v>56</v>
      </c>
      <c r="N1905">
        <v>71903473</v>
      </c>
    </row>
    <row r="1906" spans="1:14" x14ac:dyDescent="0.25">
      <c r="A1906">
        <v>57966219</v>
      </c>
      <c r="B1906" t="s">
        <v>4319</v>
      </c>
      <c r="C1906" t="s">
        <v>4954</v>
      </c>
      <c r="D1906" t="s">
        <v>4955</v>
      </c>
      <c r="E1906">
        <v>4793531482</v>
      </c>
      <c r="F1906" t="s">
        <v>462</v>
      </c>
      <c r="G1906" t="s">
        <v>463</v>
      </c>
      <c r="I1906" t="s">
        <v>39</v>
      </c>
      <c r="J1906" s="13">
        <v>45971</v>
      </c>
      <c r="K1906" s="13">
        <v>46023</v>
      </c>
      <c r="L1906" t="s">
        <v>553</v>
      </c>
      <c r="M1906" t="s">
        <v>56</v>
      </c>
      <c r="N1906">
        <v>71903543</v>
      </c>
    </row>
    <row r="1907" spans="1:14" x14ac:dyDescent="0.25">
      <c r="A1907">
        <v>59628264</v>
      </c>
      <c r="B1907" t="s">
        <v>2392</v>
      </c>
      <c r="C1907" t="s">
        <v>4956</v>
      </c>
      <c r="D1907" t="s">
        <v>4957</v>
      </c>
      <c r="E1907">
        <v>9417552050</v>
      </c>
      <c r="F1907" t="s">
        <v>416</v>
      </c>
      <c r="G1907" t="s">
        <v>417</v>
      </c>
      <c r="I1907" t="s">
        <v>26</v>
      </c>
      <c r="J1907" s="13">
        <v>46038</v>
      </c>
      <c r="K1907" s="13">
        <v>46054</v>
      </c>
      <c r="L1907" t="s">
        <v>497</v>
      </c>
      <c r="M1907" t="s">
        <v>59</v>
      </c>
      <c r="N1907">
        <v>71903671</v>
      </c>
    </row>
    <row r="1908" spans="1:14" x14ac:dyDescent="0.25">
      <c r="A1908">
        <v>57966448</v>
      </c>
      <c r="B1908" t="s">
        <v>4958</v>
      </c>
      <c r="C1908" t="s">
        <v>1702</v>
      </c>
      <c r="D1908" t="s">
        <v>4959</v>
      </c>
      <c r="E1908">
        <v>8635892240</v>
      </c>
      <c r="F1908" t="s">
        <v>770</v>
      </c>
      <c r="G1908" t="s">
        <v>771</v>
      </c>
      <c r="I1908" t="s">
        <v>25</v>
      </c>
      <c r="J1908" s="13">
        <v>45971</v>
      </c>
      <c r="K1908" s="13">
        <v>46023</v>
      </c>
      <c r="L1908" t="s">
        <v>497</v>
      </c>
      <c r="M1908" t="s">
        <v>56</v>
      </c>
      <c r="N1908">
        <v>71903686</v>
      </c>
    </row>
    <row r="1909" spans="1:14" x14ac:dyDescent="0.25">
      <c r="A1909">
        <v>57966725</v>
      </c>
      <c r="B1909" t="s">
        <v>1304</v>
      </c>
      <c r="C1909" t="s">
        <v>4960</v>
      </c>
      <c r="D1909" t="s">
        <v>4961</v>
      </c>
      <c r="E1909">
        <v>9015907965</v>
      </c>
      <c r="F1909" t="s">
        <v>569</v>
      </c>
      <c r="G1909" t="s">
        <v>570</v>
      </c>
      <c r="I1909" t="s">
        <v>34</v>
      </c>
      <c r="J1909" s="13">
        <v>45971</v>
      </c>
      <c r="K1909" s="13">
        <v>46023</v>
      </c>
      <c r="L1909" t="s">
        <v>479</v>
      </c>
      <c r="M1909" t="s">
        <v>56</v>
      </c>
      <c r="N1909">
        <v>71903836</v>
      </c>
    </row>
    <row r="1910" spans="1:14" x14ac:dyDescent="0.25">
      <c r="A1910">
        <v>57967117</v>
      </c>
      <c r="B1910" t="s">
        <v>4387</v>
      </c>
      <c r="C1910" t="s">
        <v>4962</v>
      </c>
      <c r="D1910" t="s">
        <v>4963</v>
      </c>
      <c r="E1910">
        <v>7206786048</v>
      </c>
      <c r="F1910" t="s">
        <v>693</v>
      </c>
      <c r="G1910" t="s">
        <v>694</v>
      </c>
      <c r="I1910" t="s">
        <v>103</v>
      </c>
      <c r="J1910" s="13">
        <v>45971</v>
      </c>
      <c r="K1910" s="13">
        <v>46023</v>
      </c>
      <c r="L1910" t="s">
        <v>539</v>
      </c>
      <c r="M1910" t="s">
        <v>58</v>
      </c>
      <c r="N1910">
        <v>71904054</v>
      </c>
    </row>
    <row r="1911" spans="1:14" x14ac:dyDescent="0.25">
      <c r="A1911">
        <v>57967750</v>
      </c>
      <c r="B1911" t="s">
        <v>1268</v>
      </c>
      <c r="C1911" t="s">
        <v>766</v>
      </c>
      <c r="D1911" t="s">
        <v>4964</v>
      </c>
      <c r="E1911">
        <v>7275540020</v>
      </c>
      <c r="F1911" t="s">
        <v>821</v>
      </c>
      <c r="G1911" t="s">
        <v>822</v>
      </c>
      <c r="I1911" t="s">
        <v>823</v>
      </c>
      <c r="J1911" s="13">
        <v>45971</v>
      </c>
      <c r="K1911" s="13">
        <v>46023</v>
      </c>
      <c r="L1911" t="s">
        <v>497</v>
      </c>
      <c r="M1911" t="s">
        <v>58</v>
      </c>
      <c r="N1911">
        <v>71904591</v>
      </c>
    </row>
    <row r="1912" spans="1:14" x14ac:dyDescent="0.25">
      <c r="A1912">
        <v>57968540</v>
      </c>
      <c r="B1912" t="s">
        <v>4887</v>
      </c>
      <c r="C1912" t="s">
        <v>4965</v>
      </c>
      <c r="D1912" t="s">
        <v>4966</v>
      </c>
      <c r="E1912">
        <v>9312640616</v>
      </c>
      <c r="F1912" t="s">
        <v>815</v>
      </c>
      <c r="G1912" t="s">
        <v>816</v>
      </c>
      <c r="I1912" t="s">
        <v>23</v>
      </c>
      <c r="J1912" s="13">
        <v>45971</v>
      </c>
      <c r="K1912" s="13">
        <v>46023</v>
      </c>
      <c r="L1912" t="s">
        <v>479</v>
      </c>
      <c r="M1912" t="s">
        <v>58</v>
      </c>
      <c r="N1912">
        <v>71904963</v>
      </c>
    </row>
    <row r="1913" spans="1:14" x14ac:dyDescent="0.25">
      <c r="A1913">
        <v>57968927</v>
      </c>
      <c r="B1913" t="s">
        <v>1334</v>
      </c>
      <c r="C1913" t="s">
        <v>4967</v>
      </c>
      <c r="D1913" t="s">
        <v>4968</v>
      </c>
      <c r="E1913">
        <v>7272445568</v>
      </c>
      <c r="F1913" t="s">
        <v>798</v>
      </c>
      <c r="G1913" t="s">
        <v>799</v>
      </c>
      <c r="I1913" t="s">
        <v>800</v>
      </c>
      <c r="J1913" s="13">
        <v>45971</v>
      </c>
      <c r="K1913" s="13">
        <v>46023</v>
      </c>
      <c r="L1913" t="s">
        <v>497</v>
      </c>
      <c r="M1913" t="s">
        <v>55</v>
      </c>
      <c r="N1913">
        <v>71905080</v>
      </c>
    </row>
    <row r="1914" spans="1:14" x14ac:dyDescent="0.25">
      <c r="A1914">
        <v>57969623</v>
      </c>
      <c r="B1914" t="s">
        <v>445</v>
      </c>
      <c r="C1914" t="s">
        <v>4969</v>
      </c>
      <c r="D1914" t="s">
        <v>4970</v>
      </c>
      <c r="E1914">
        <v>3522399869</v>
      </c>
      <c r="F1914" t="s">
        <v>615</v>
      </c>
      <c r="G1914" t="s">
        <v>616</v>
      </c>
      <c r="I1914" t="s">
        <v>617</v>
      </c>
      <c r="J1914" s="13">
        <v>45971</v>
      </c>
      <c r="K1914" s="13">
        <v>46023</v>
      </c>
      <c r="L1914" t="s">
        <v>497</v>
      </c>
      <c r="M1914" t="s">
        <v>56</v>
      </c>
      <c r="N1914">
        <v>71905537</v>
      </c>
    </row>
    <row r="1915" spans="1:14" x14ac:dyDescent="0.25">
      <c r="A1915">
        <v>57971467</v>
      </c>
      <c r="B1915" t="s">
        <v>2791</v>
      </c>
      <c r="C1915" t="s">
        <v>4971</v>
      </c>
      <c r="D1915" t="s">
        <v>4972</v>
      </c>
      <c r="E1915">
        <v>9176984936</v>
      </c>
      <c r="F1915" t="s">
        <v>462</v>
      </c>
      <c r="G1915" t="s">
        <v>463</v>
      </c>
      <c r="I1915" t="s">
        <v>39</v>
      </c>
      <c r="J1915" s="13">
        <v>45994</v>
      </c>
      <c r="K1915" s="13">
        <v>46023</v>
      </c>
      <c r="L1915" t="s">
        <v>497</v>
      </c>
      <c r="M1915" t="s">
        <v>56</v>
      </c>
      <c r="N1915">
        <v>71908938</v>
      </c>
    </row>
    <row r="1916" spans="1:14" x14ac:dyDescent="0.25">
      <c r="A1916">
        <v>57972739</v>
      </c>
      <c r="B1916" t="s">
        <v>4973</v>
      </c>
      <c r="C1916" t="s">
        <v>4974</v>
      </c>
      <c r="D1916" t="s">
        <v>4975</v>
      </c>
      <c r="E1916">
        <v>8134813520</v>
      </c>
      <c r="F1916" t="s">
        <v>416</v>
      </c>
      <c r="G1916" t="s">
        <v>417</v>
      </c>
      <c r="I1916" t="s">
        <v>26</v>
      </c>
      <c r="J1916" s="13">
        <v>45971</v>
      </c>
      <c r="K1916" s="13">
        <v>46023</v>
      </c>
      <c r="L1916" t="s">
        <v>497</v>
      </c>
      <c r="M1916" t="s">
        <v>54</v>
      </c>
      <c r="N1916">
        <v>71909011</v>
      </c>
    </row>
    <row r="1917" spans="1:14" x14ac:dyDescent="0.25">
      <c r="A1917">
        <v>57973621</v>
      </c>
      <c r="B1917" t="s">
        <v>4976</v>
      </c>
      <c r="C1917" t="s">
        <v>4977</v>
      </c>
      <c r="D1917" t="s">
        <v>4978</v>
      </c>
      <c r="E1917">
        <v>4073750193</v>
      </c>
      <c r="F1917" t="s">
        <v>828</v>
      </c>
      <c r="G1917" t="s">
        <v>1148</v>
      </c>
      <c r="I1917" t="s">
        <v>17</v>
      </c>
      <c r="J1917" s="13">
        <v>45971</v>
      </c>
      <c r="K1917" s="13">
        <v>46023</v>
      </c>
      <c r="L1917" t="s">
        <v>497</v>
      </c>
      <c r="M1917" t="s">
        <v>56</v>
      </c>
      <c r="N1917">
        <v>71910408</v>
      </c>
    </row>
    <row r="1918" spans="1:14" x14ac:dyDescent="0.25">
      <c r="A1918">
        <v>57974052</v>
      </c>
      <c r="B1918" t="s">
        <v>604</v>
      </c>
      <c r="C1918" t="s">
        <v>4979</v>
      </c>
      <c r="D1918" t="s">
        <v>4980</v>
      </c>
      <c r="E1918">
        <v>7062159292</v>
      </c>
      <c r="F1918" t="s">
        <v>842</v>
      </c>
      <c r="G1918" t="s">
        <v>843</v>
      </c>
      <c r="I1918" t="s">
        <v>98</v>
      </c>
      <c r="J1918" s="13">
        <v>45971</v>
      </c>
      <c r="K1918" s="13">
        <v>46023</v>
      </c>
      <c r="L1918" t="s">
        <v>621</v>
      </c>
      <c r="M1918" t="s">
        <v>56</v>
      </c>
      <c r="N1918">
        <v>71910697</v>
      </c>
    </row>
    <row r="1919" spans="1:14" x14ac:dyDescent="0.25">
      <c r="A1919">
        <v>57975504</v>
      </c>
      <c r="B1919" t="s">
        <v>4981</v>
      </c>
      <c r="C1919" t="s">
        <v>4982</v>
      </c>
      <c r="D1919" t="s">
        <v>4983</v>
      </c>
      <c r="E1919">
        <v>2054954152</v>
      </c>
      <c r="F1919" t="s">
        <v>821</v>
      </c>
      <c r="G1919" t="s">
        <v>822</v>
      </c>
      <c r="I1919" t="s">
        <v>823</v>
      </c>
      <c r="J1919" s="13">
        <v>45971</v>
      </c>
      <c r="K1919" s="13">
        <v>46023</v>
      </c>
      <c r="L1919" t="s">
        <v>450</v>
      </c>
      <c r="M1919" t="s">
        <v>59</v>
      </c>
      <c r="N1919">
        <v>71911744</v>
      </c>
    </row>
    <row r="1920" spans="1:14" x14ac:dyDescent="0.25">
      <c r="A1920">
        <v>57975518</v>
      </c>
      <c r="B1920" t="s">
        <v>685</v>
      </c>
      <c r="C1920" t="s">
        <v>4984</v>
      </c>
      <c r="D1920" t="s">
        <v>4985</v>
      </c>
      <c r="E1920">
        <v>6028001708</v>
      </c>
      <c r="F1920" t="s">
        <v>775</v>
      </c>
      <c r="G1920" t="s">
        <v>776</v>
      </c>
      <c r="I1920" t="s">
        <v>22</v>
      </c>
      <c r="J1920" s="13">
        <v>45971</v>
      </c>
      <c r="K1920" s="13">
        <v>46023</v>
      </c>
      <c r="L1920" t="s">
        <v>1179</v>
      </c>
      <c r="M1920" t="s">
        <v>59</v>
      </c>
      <c r="N1920">
        <v>71911754</v>
      </c>
    </row>
    <row r="1921" spans="1:14" x14ac:dyDescent="0.25">
      <c r="A1921">
        <v>57976003</v>
      </c>
      <c r="B1921" t="s">
        <v>4986</v>
      </c>
      <c r="C1921" t="s">
        <v>4987</v>
      </c>
      <c r="D1921" t="s">
        <v>4988</v>
      </c>
      <c r="E1921">
        <v>3212461821</v>
      </c>
      <c r="F1921" t="s">
        <v>569</v>
      </c>
      <c r="G1921" t="s">
        <v>570</v>
      </c>
      <c r="I1921" t="s">
        <v>34</v>
      </c>
      <c r="J1921" s="13">
        <v>45971</v>
      </c>
      <c r="K1921" s="13">
        <v>46023</v>
      </c>
      <c r="L1921" t="s">
        <v>497</v>
      </c>
      <c r="M1921" t="s">
        <v>56</v>
      </c>
      <c r="N1921">
        <v>71912106</v>
      </c>
    </row>
    <row r="1922" spans="1:14" x14ac:dyDescent="0.25">
      <c r="A1922">
        <v>57976206</v>
      </c>
      <c r="B1922" t="s">
        <v>737</v>
      </c>
      <c r="C1922" t="s">
        <v>4989</v>
      </c>
      <c r="D1922" t="s">
        <v>4990</v>
      </c>
      <c r="E1922">
        <v>8708072260</v>
      </c>
      <c r="F1922" t="s">
        <v>1013</v>
      </c>
      <c r="G1922" t="s">
        <v>1014</v>
      </c>
      <c r="I1922" t="s">
        <v>43</v>
      </c>
      <c r="J1922" s="13">
        <v>45971</v>
      </c>
      <c r="K1922" s="13">
        <v>46023</v>
      </c>
      <c r="L1922" t="s">
        <v>553</v>
      </c>
      <c r="M1922" t="s">
        <v>56</v>
      </c>
      <c r="N1922">
        <v>71912267</v>
      </c>
    </row>
    <row r="1923" spans="1:14" x14ac:dyDescent="0.25">
      <c r="A1923">
        <v>57980871</v>
      </c>
      <c r="B1923" t="s">
        <v>990</v>
      </c>
      <c r="C1923" t="s">
        <v>4991</v>
      </c>
      <c r="D1923" t="s">
        <v>4992</v>
      </c>
      <c r="E1923">
        <v>7158811491</v>
      </c>
      <c r="F1923" t="s">
        <v>1147</v>
      </c>
      <c r="G1923" t="s">
        <v>1148</v>
      </c>
      <c r="I1923" t="s">
        <v>41</v>
      </c>
      <c r="J1923" s="13">
        <v>45971</v>
      </c>
      <c r="K1923" s="13">
        <v>46023</v>
      </c>
      <c r="L1923" t="s">
        <v>1179</v>
      </c>
      <c r="M1923" t="s">
        <v>55</v>
      </c>
      <c r="N1923">
        <v>71912403</v>
      </c>
    </row>
    <row r="1924" spans="1:14" x14ac:dyDescent="0.25">
      <c r="A1924">
        <v>57977729</v>
      </c>
      <c r="B1924" t="s">
        <v>784</v>
      </c>
      <c r="C1924" t="s">
        <v>4993</v>
      </c>
      <c r="D1924" t="s">
        <v>4994</v>
      </c>
      <c r="E1924">
        <v>4802338776</v>
      </c>
      <c r="F1924" t="s">
        <v>842</v>
      </c>
      <c r="G1924" t="s">
        <v>1213</v>
      </c>
      <c r="I1924" t="s">
        <v>1214</v>
      </c>
      <c r="J1924" s="13">
        <v>45971</v>
      </c>
      <c r="K1924" s="13">
        <v>46023</v>
      </c>
      <c r="L1924" t="s">
        <v>1179</v>
      </c>
      <c r="M1924" t="s">
        <v>54</v>
      </c>
      <c r="N1924">
        <v>71913390</v>
      </c>
    </row>
    <row r="1925" spans="1:14" x14ac:dyDescent="0.25">
      <c r="A1925">
        <v>57978184</v>
      </c>
      <c r="B1925" t="s">
        <v>1864</v>
      </c>
      <c r="C1925" t="s">
        <v>4995</v>
      </c>
      <c r="D1925" t="s">
        <v>4996</v>
      </c>
      <c r="E1925">
        <v>4803229548</v>
      </c>
      <c r="F1925" t="s">
        <v>423</v>
      </c>
      <c r="G1925" t="s">
        <v>424</v>
      </c>
      <c r="I1925" t="s">
        <v>46</v>
      </c>
      <c r="J1925" s="13">
        <v>45971</v>
      </c>
      <c r="K1925" s="13">
        <v>46023</v>
      </c>
      <c r="L1925" t="s">
        <v>1179</v>
      </c>
      <c r="M1925" t="s">
        <v>54</v>
      </c>
      <c r="N1925">
        <v>71913744</v>
      </c>
    </row>
    <row r="1926" spans="1:14" x14ac:dyDescent="0.25">
      <c r="A1926">
        <v>57978610</v>
      </c>
      <c r="B1926" t="s">
        <v>458</v>
      </c>
      <c r="C1926" t="s">
        <v>1676</v>
      </c>
      <c r="D1926" t="s">
        <v>4997</v>
      </c>
      <c r="E1926" t="s">
        <v>4998</v>
      </c>
      <c r="F1926" t="s">
        <v>957</v>
      </c>
      <c r="G1926" t="s">
        <v>958</v>
      </c>
      <c r="H1926" t="s">
        <v>959</v>
      </c>
      <c r="I1926" t="s">
        <v>960</v>
      </c>
      <c r="J1926" s="13">
        <v>45981</v>
      </c>
      <c r="K1926" s="13">
        <v>46023</v>
      </c>
      <c r="L1926" t="s">
        <v>603</v>
      </c>
      <c r="M1926" t="s">
        <v>61</v>
      </c>
      <c r="N1926">
        <v>71913814</v>
      </c>
    </row>
    <row r="1927" spans="1:14" x14ac:dyDescent="0.25">
      <c r="A1927">
        <v>57979217</v>
      </c>
      <c r="B1927" t="s">
        <v>4999</v>
      </c>
      <c r="C1927" t="s">
        <v>5000</v>
      </c>
      <c r="D1927" t="s">
        <v>5001</v>
      </c>
      <c r="E1927">
        <v>3524941022</v>
      </c>
      <c r="F1927" t="s">
        <v>574</v>
      </c>
      <c r="G1927" t="s">
        <v>575</v>
      </c>
      <c r="I1927" t="s">
        <v>14</v>
      </c>
      <c r="J1927" s="13">
        <v>45971</v>
      </c>
      <c r="K1927" s="13">
        <v>46023</v>
      </c>
      <c r="L1927" t="s">
        <v>497</v>
      </c>
      <c r="M1927" t="s">
        <v>56</v>
      </c>
      <c r="N1927">
        <v>71914435</v>
      </c>
    </row>
    <row r="1928" spans="1:14" x14ac:dyDescent="0.25">
      <c r="A1928">
        <v>57979838</v>
      </c>
      <c r="B1928" t="s">
        <v>5002</v>
      </c>
      <c r="C1928" t="s">
        <v>5003</v>
      </c>
      <c r="D1928" t="s">
        <v>5004</v>
      </c>
      <c r="E1928">
        <v>5206583681</v>
      </c>
      <c r="F1928" t="s">
        <v>1013</v>
      </c>
      <c r="G1928" t="s">
        <v>1014</v>
      </c>
      <c r="I1928" t="s">
        <v>43</v>
      </c>
      <c r="J1928" s="13">
        <v>45971</v>
      </c>
      <c r="K1928" s="13">
        <v>46023</v>
      </c>
      <c r="L1928" t="s">
        <v>1179</v>
      </c>
      <c r="M1928" t="s">
        <v>55</v>
      </c>
      <c r="N1928">
        <v>71914825</v>
      </c>
    </row>
    <row r="1929" spans="1:14" x14ac:dyDescent="0.25">
      <c r="A1929">
        <v>57979877</v>
      </c>
      <c r="B1929" t="s">
        <v>799</v>
      </c>
      <c r="C1929" t="s">
        <v>5005</v>
      </c>
      <c r="D1929" t="s">
        <v>5006</v>
      </c>
      <c r="E1929">
        <v>9044262394</v>
      </c>
      <c r="F1929" t="s">
        <v>770</v>
      </c>
      <c r="G1929" t="s">
        <v>771</v>
      </c>
      <c r="I1929" t="s">
        <v>25</v>
      </c>
      <c r="J1929" s="13">
        <v>45971</v>
      </c>
      <c r="K1929" s="13">
        <v>46023</v>
      </c>
      <c r="L1929" t="s">
        <v>497</v>
      </c>
      <c r="M1929" t="s">
        <v>56</v>
      </c>
      <c r="N1929">
        <v>71914857</v>
      </c>
    </row>
    <row r="1930" spans="1:14" x14ac:dyDescent="0.25">
      <c r="A1930">
        <v>57981276</v>
      </c>
      <c r="B1930" t="s">
        <v>867</v>
      </c>
      <c r="C1930" t="s">
        <v>5007</v>
      </c>
      <c r="D1930" t="s">
        <v>5008</v>
      </c>
      <c r="E1930">
        <v>6064992074</v>
      </c>
      <c r="F1930" t="s">
        <v>842</v>
      </c>
      <c r="G1930" t="s">
        <v>843</v>
      </c>
      <c r="I1930" t="s">
        <v>98</v>
      </c>
      <c r="J1930" s="13">
        <v>45971</v>
      </c>
      <c r="K1930" s="13">
        <v>46023</v>
      </c>
      <c r="L1930" t="s">
        <v>490</v>
      </c>
      <c r="M1930" t="s">
        <v>59</v>
      </c>
      <c r="N1930">
        <v>71915943</v>
      </c>
    </row>
    <row r="1931" spans="1:14" x14ac:dyDescent="0.25">
      <c r="A1931">
        <v>57981843</v>
      </c>
      <c r="B1931" t="s">
        <v>672</v>
      </c>
      <c r="C1931" t="s">
        <v>5009</v>
      </c>
      <c r="D1931" t="s">
        <v>5010</v>
      </c>
      <c r="E1931">
        <v>3864168878</v>
      </c>
      <c r="F1931" t="s">
        <v>1142</v>
      </c>
      <c r="G1931" t="s">
        <v>1143</v>
      </c>
      <c r="I1931" t="s">
        <v>124</v>
      </c>
      <c r="J1931" s="13">
        <v>45971</v>
      </c>
      <c r="K1931" s="13">
        <v>46023</v>
      </c>
      <c r="L1931" t="s">
        <v>497</v>
      </c>
      <c r="M1931" t="s">
        <v>56</v>
      </c>
      <c r="N1931">
        <v>71916369</v>
      </c>
    </row>
    <row r="1932" spans="1:14" x14ac:dyDescent="0.25">
      <c r="A1932">
        <v>57982148</v>
      </c>
      <c r="B1932" t="s">
        <v>5011</v>
      </c>
      <c r="C1932" t="s">
        <v>2544</v>
      </c>
      <c r="D1932" t="s">
        <v>5012</v>
      </c>
      <c r="E1932">
        <v>7573275384</v>
      </c>
      <c r="F1932" t="s">
        <v>798</v>
      </c>
      <c r="G1932" t="s">
        <v>799</v>
      </c>
      <c r="I1932" t="s">
        <v>800</v>
      </c>
      <c r="J1932" s="13">
        <v>45971</v>
      </c>
      <c r="K1932" s="13">
        <v>46023</v>
      </c>
      <c r="L1932" t="s">
        <v>454</v>
      </c>
      <c r="M1932" t="s">
        <v>56</v>
      </c>
      <c r="N1932">
        <v>71916559</v>
      </c>
    </row>
    <row r="1933" spans="1:14" x14ac:dyDescent="0.25">
      <c r="A1933">
        <v>57982881</v>
      </c>
      <c r="B1933" t="s">
        <v>3435</v>
      </c>
      <c r="C1933" t="s">
        <v>5013</v>
      </c>
      <c r="D1933" t="s">
        <v>5014</v>
      </c>
      <c r="E1933">
        <v>6302002366</v>
      </c>
      <c r="F1933" t="s">
        <v>551</v>
      </c>
      <c r="G1933" t="s">
        <v>552</v>
      </c>
      <c r="I1933" t="s">
        <v>42</v>
      </c>
      <c r="J1933" s="13">
        <v>45971</v>
      </c>
      <c r="K1933" s="13">
        <v>46023</v>
      </c>
      <c r="L1933" t="s">
        <v>470</v>
      </c>
      <c r="M1933" t="s">
        <v>56</v>
      </c>
      <c r="N1933">
        <v>71917063</v>
      </c>
    </row>
    <row r="1934" spans="1:14" x14ac:dyDescent="0.25">
      <c r="A1934">
        <v>57983091</v>
      </c>
      <c r="B1934" t="s">
        <v>5015</v>
      </c>
      <c r="C1934" t="s">
        <v>1203</v>
      </c>
      <c r="D1934" t="s">
        <v>5016</v>
      </c>
      <c r="E1934">
        <v>5204994741</v>
      </c>
      <c r="F1934" t="s">
        <v>4853</v>
      </c>
      <c r="G1934" t="s">
        <v>5017</v>
      </c>
      <c r="I1934" t="s">
        <v>5018</v>
      </c>
      <c r="J1934" s="13">
        <v>45971</v>
      </c>
      <c r="K1934" s="13">
        <v>46023</v>
      </c>
      <c r="L1934" t="s">
        <v>1179</v>
      </c>
      <c r="M1934" t="s">
        <v>54</v>
      </c>
      <c r="N1934">
        <v>71917325</v>
      </c>
    </row>
    <row r="1935" spans="1:14" x14ac:dyDescent="0.25">
      <c r="A1935">
        <v>57984420</v>
      </c>
      <c r="B1935" t="s">
        <v>2071</v>
      </c>
      <c r="C1935" t="s">
        <v>5019</v>
      </c>
      <c r="D1935" t="s">
        <v>5020</v>
      </c>
      <c r="E1935">
        <v>2399945926</v>
      </c>
      <c r="F1935" t="s">
        <v>448</v>
      </c>
      <c r="G1935" t="s">
        <v>449</v>
      </c>
      <c r="I1935" t="s">
        <v>31</v>
      </c>
      <c r="J1935" s="13">
        <v>45971</v>
      </c>
      <c r="K1935" s="13">
        <v>46023</v>
      </c>
      <c r="L1935" t="s">
        <v>497</v>
      </c>
      <c r="M1935" t="s">
        <v>56</v>
      </c>
      <c r="N1935">
        <v>71918245</v>
      </c>
    </row>
    <row r="1936" spans="1:14" x14ac:dyDescent="0.25">
      <c r="A1936">
        <v>57984726</v>
      </c>
      <c r="B1936" t="s">
        <v>951</v>
      </c>
      <c r="C1936" t="s">
        <v>5021</v>
      </c>
      <c r="D1936" t="s">
        <v>5022</v>
      </c>
      <c r="E1936">
        <v>7274341220</v>
      </c>
      <c r="F1936" t="s">
        <v>423</v>
      </c>
      <c r="G1936" t="s">
        <v>424</v>
      </c>
      <c r="I1936" t="s">
        <v>46</v>
      </c>
      <c r="J1936" s="13">
        <v>45971</v>
      </c>
      <c r="K1936" s="13">
        <v>46023</v>
      </c>
      <c r="L1936" t="s">
        <v>497</v>
      </c>
      <c r="M1936" t="s">
        <v>54</v>
      </c>
      <c r="N1936">
        <v>71918396</v>
      </c>
    </row>
    <row r="1937" spans="1:14" x14ac:dyDescent="0.25">
      <c r="A1937">
        <v>57985790</v>
      </c>
      <c r="B1937" t="s">
        <v>3742</v>
      </c>
      <c r="C1937" t="s">
        <v>515</v>
      </c>
      <c r="D1937" t="s">
        <v>5023</v>
      </c>
      <c r="E1937">
        <v>4236472403</v>
      </c>
      <c r="F1937" t="s">
        <v>842</v>
      </c>
      <c r="G1937" t="s">
        <v>843</v>
      </c>
      <c r="I1937" t="s">
        <v>98</v>
      </c>
      <c r="J1937" s="13">
        <v>45971</v>
      </c>
      <c r="K1937" s="13">
        <v>46023</v>
      </c>
      <c r="L1937" t="s">
        <v>621</v>
      </c>
      <c r="M1937" t="s">
        <v>59</v>
      </c>
      <c r="N1937">
        <v>71919238</v>
      </c>
    </row>
    <row r="1938" spans="1:14" x14ac:dyDescent="0.25">
      <c r="A1938">
        <v>57986747</v>
      </c>
      <c r="B1938" t="s">
        <v>5024</v>
      </c>
      <c r="C1938" t="s">
        <v>5025</v>
      </c>
      <c r="D1938" t="s">
        <v>5026</v>
      </c>
      <c r="E1938">
        <v>5209907446</v>
      </c>
      <c r="F1938" t="s">
        <v>416</v>
      </c>
      <c r="G1938" t="s">
        <v>417</v>
      </c>
      <c r="I1938" t="s">
        <v>26</v>
      </c>
      <c r="J1938" s="13">
        <v>45971</v>
      </c>
      <c r="K1938" s="13">
        <v>46023</v>
      </c>
      <c r="L1938" t="s">
        <v>1179</v>
      </c>
      <c r="M1938" t="s">
        <v>54</v>
      </c>
      <c r="N1938">
        <v>71919967</v>
      </c>
    </row>
    <row r="1939" spans="1:14" x14ac:dyDescent="0.25">
      <c r="A1939">
        <v>57988093</v>
      </c>
      <c r="B1939" t="s">
        <v>5027</v>
      </c>
      <c r="C1939" t="s">
        <v>5028</v>
      </c>
      <c r="D1939" t="s">
        <v>5029</v>
      </c>
      <c r="E1939">
        <v>2252568069</v>
      </c>
      <c r="F1939" t="s">
        <v>649</v>
      </c>
      <c r="G1939" t="s">
        <v>650</v>
      </c>
      <c r="I1939" t="s">
        <v>28</v>
      </c>
      <c r="J1939" s="13">
        <v>45971</v>
      </c>
      <c r="K1939" s="13">
        <v>46023</v>
      </c>
      <c r="L1939" t="s">
        <v>612</v>
      </c>
      <c r="M1939" t="s">
        <v>56</v>
      </c>
      <c r="N1939">
        <v>71921268</v>
      </c>
    </row>
    <row r="1940" spans="1:14" x14ac:dyDescent="0.25">
      <c r="A1940">
        <v>57988110</v>
      </c>
      <c r="B1940" t="s">
        <v>1566</v>
      </c>
      <c r="C1940" t="s">
        <v>5030</v>
      </c>
      <c r="D1940" t="s">
        <v>5031</v>
      </c>
      <c r="E1940">
        <v>9432423572</v>
      </c>
      <c r="F1940" t="s">
        <v>815</v>
      </c>
      <c r="G1940" t="s">
        <v>816</v>
      </c>
      <c r="I1940" t="s">
        <v>23</v>
      </c>
      <c r="J1940" s="13">
        <v>45971</v>
      </c>
      <c r="K1940" s="13">
        <v>46023</v>
      </c>
      <c r="L1940" t="s">
        <v>621</v>
      </c>
      <c r="M1940" t="s">
        <v>60</v>
      </c>
      <c r="N1940">
        <v>71921283</v>
      </c>
    </row>
    <row r="1941" spans="1:14" x14ac:dyDescent="0.25">
      <c r="A1941">
        <v>57990529</v>
      </c>
      <c r="B1941" t="s">
        <v>925</v>
      </c>
      <c r="C1941" t="s">
        <v>5032</v>
      </c>
      <c r="D1941" t="s">
        <v>5033</v>
      </c>
      <c r="E1941">
        <v>4707673307</v>
      </c>
      <c r="F1941" t="s">
        <v>1142</v>
      </c>
      <c r="G1941" t="s">
        <v>1143</v>
      </c>
      <c r="I1941" t="s">
        <v>124</v>
      </c>
      <c r="J1941" s="13">
        <v>45971</v>
      </c>
      <c r="K1941" s="13">
        <v>46023</v>
      </c>
      <c r="L1941" t="s">
        <v>621</v>
      </c>
      <c r="M1941" t="s">
        <v>59</v>
      </c>
      <c r="N1941">
        <v>71923357</v>
      </c>
    </row>
    <row r="1942" spans="1:14" x14ac:dyDescent="0.25">
      <c r="A1942">
        <v>57992979</v>
      </c>
      <c r="B1942" t="s">
        <v>521</v>
      </c>
      <c r="C1942" t="s">
        <v>5034</v>
      </c>
      <c r="D1942" t="s">
        <v>5035</v>
      </c>
      <c r="E1942">
        <v>9107291105</v>
      </c>
      <c r="F1942" t="s">
        <v>1067</v>
      </c>
      <c r="G1942" t="s">
        <v>1068</v>
      </c>
      <c r="I1942" t="s">
        <v>35</v>
      </c>
      <c r="J1942" s="13">
        <v>45971</v>
      </c>
      <c r="K1942" s="13">
        <v>46023</v>
      </c>
      <c r="L1942" t="s">
        <v>603</v>
      </c>
      <c r="M1942" t="s">
        <v>56</v>
      </c>
      <c r="N1942">
        <v>71925426</v>
      </c>
    </row>
    <row r="1943" spans="1:14" x14ac:dyDescent="0.25">
      <c r="A1943">
        <v>57994342</v>
      </c>
      <c r="B1943" t="s">
        <v>4735</v>
      </c>
      <c r="C1943" t="s">
        <v>2482</v>
      </c>
      <c r="D1943" t="s">
        <v>5036</v>
      </c>
      <c r="E1943">
        <v>9034029778</v>
      </c>
      <c r="F1943" t="s">
        <v>1147</v>
      </c>
      <c r="G1943" t="s">
        <v>1148</v>
      </c>
      <c r="I1943" t="s">
        <v>41</v>
      </c>
      <c r="J1943" s="13">
        <v>45971</v>
      </c>
      <c r="K1943" s="13">
        <v>46023</v>
      </c>
      <c r="L1943" t="s">
        <v>444</v>
      </c>
      <c r="M1943" t="s">
        <v>419</v>
      </c>
      <c r="N1943">
        <v>71926541</v>
      </c>
    </row>
    <row r="1944" spans="1:14" x14ac:dyDescent="0.25">
      <c r="A1944">
        <v>57995277</v>
      </c>
      <c r="B1944" t="s">
        <v>5037</v>
      </c>
      <c r="C1944" t="s">
        <v>1587</v>
      </c>
      <c r="D1944" t="s">
        <v>5038</v>
      </c>
      <c r="E1944">
        <v>8723496276</v>
      </c>
      <c r="F1944" t="s">
        <v>592</v>
      </c>
      <c r="G1944" t="s">
        <v>593</v>
      </c>
      <c r="I1944" t="s">
        <v>115</v>
      </c>
      <c r="J1944" s="13">
        <v>45971</v>
      </c>
      <c r="K1944" s="13">
        <v>46023</v>
      </c>
      <c r="L1944" t="s">
        <v>470</v>
      </c>
      <c r="M1944" t="s">
        <v>60</v>
      </c>
      <c r="N1944">
        <v>71927373</v>
      </c>
    </row>
    <row r="1945" spans="1:14" x14ac:dyDescent="0.25">
      <c r="A1945">
        <v>57995816</v>
      </c>
      <c r="B1945" t="s">
        <v>2022</v>
      </c>
      <c r="C1945" t="s">
        <v>1258</v>
      </c>
      <c r="D1945" t="s">
        <v>5039</v>
      </c>
      <c r="E1945">
        <v>9284576186</v>
      </c>
      <c r="F1945" t="s">
        <v>462</v>
      </c>
      <c r="G1945" t="s">
        <v>463</v>
      </c>
      <c r="I1945" t="s">
        <v>39</v>
      </c>
      <c r="J1945" s="13">
        <v>45971</v>
      </c>
      <c r="K1945" s="13">
        <v>46023</v>
      </c>
      <c r="L1945" t="s">
        <v>1179</v>
      </c>
      <c r="M1945" t="s">
        <v>54</v>
      </c>
      <c r="N1945">
        <v>71927809</v>
      </c>
    </row>
    <row r="1946" spans="1:14" x14ac:dyDescent="0.25">
      <c r="A1946">
        <v>57996360</v>
      </c>
      <c r="B1946" t="s">
        <v>5040</v>
      </c>
      <c r="C1946" t="s">
        <v>5041</v>
      </c>
      <c r="D1946" t="s">
        <v>5042</v>
      </c>
      <c r="E1946">
        <v>7867521045</v>
      </c>
      <c r="F1946" t="s">
        <v>423</v>
      </c>
      <c r="G1946" t="s">
        <v>424</v>
      </c>
      <c r="I1946" t="s">
        <v>46</v>
      </c>
      <c r="J1946" s="13">
        <v>45971</v>
      </c>
      <c r="K1946" s="13">
        <v>46023</v>
      </c>
      <c r="L1946" t="s">
        <v>497</v>
      </c>
      <c r="M1946" t="s">
        <v>56</v>
      </c>
      <c r="N1946">
        <v>71927980</v>
      </c>
    </row>
    <row r="1947" spans="1:14" x14ac:dyDescent="0.25">
      <c r="A1947">
        <v>57996277</v>
      </c>
      <c r="B1947" t="s">
        <v>517</v>
      </c>
      <c r="C1947" t="s">
        <v>5043</v>
      </c>
      <c r="D1947" t="s">
        <v>5044</v>
      </c>
      <c r="E1947">
        <v>7277420759</v>
      </c>
      <c r="F1947" t="s">
        <v>615</v>
      </c>
      <c r="G1947" t="s">
        <v>616</v>
      </c>
      <c r="I1947" t="s">
        <v>617</v>
      </c>
      <c r="J1947" s="13">
        <v>45971</v>
      </c>
      <c r="K1947" s="13">
        <v>46023</v>
      </c>
      <c r="L1947" t="s">
        <v>497</v>
      </c>
      <c r="M1947" t="s">
        <v>56</v>
      </c>
      <c r="N1947">
        <v>71928061</v>
      </c>
    </row>
    <row r="1948" spans="1:14" x14ac:dyDescent="0.25">
      <c r="A1948">
        <v>57996364</v>
      </c>
      <c r="B1948" t="s">
        <v>604</v>
      </c>
      <c r="C1948" t="s">
        <v>1203</v>
      </c>
      <c r="D1948" t="s">
        <v>5045</v>
      </c>
      <c r="E1948">
        <v>4705427637</v>
      </c>
      <c r="F1948" t="s">
        <v>821</v>
      </c>
      <c r="G1948" t="s">
        <v>822</v>
      </c>
      <c r="I1948" t="s">
        <v>823</v>
      </c>
      <c r="J1948" s="13">
        <v>45971</v>
      </c>
      <c r="K1948" s="13">
        <v>46023</v>
      </c>
      <c r="L1948" t="s">
        <v>621</v>
      </c>
      <c r="M1948" t="s">
        <v>55</v>
      </c>
      <c r="N1948">
        <v>71928111</v>
      </c>
    </row>
    <row r="1949" spans="1:14" x14ac:dyDescent="0.25">
      <c r="A1949">
        <v>57996529</v>
      </c>
      <c r="B1949" t="s">
        <v>1228</v>
      </c>
      <c r="C1949" t="s">
        <v>3113</v>
      </c>
      <c r="D1949" t="s">
        <v>5046</v>
      </c>
      <c r="E1949">
        <v>6028282116</v>
      </c>
      <c r="F1949" t="s">
        <v>842</v>
      </c>
      <c r="G1949" t="s">
        <v>1213</v>
      </c>
      <c r="I1949" t="s">
        <v>1214</v>
      </c>
      <c r="J1949" s="13">
        <v>45971</v>
      </c>
      <c r="K1949" s="13">
        <v>46023</v>
      </c>
      <c r="L1949" t="s">
        <v>1179</v>
      </c>
      <c r="M1949" t="s">
        <v>54</v>
      </c>
      <c r="N1949">
        <v>71928242</v>
      </c>
    </row>
    <row r="1950" spans="1:14" x14ac:dyDescent="0.25">
      <c r="A1950">
        <v>57996903</v>
      </c>
      <c r="B1950" t="s">
        <v>5047</v>
      </c>
      <c r="C1950" t="s">
        <v>5048</v>
      </c>
      <c r="D1950" t="s">
        <v>5049</v>
      </c>
      <c r="E1950">
        <v>8164333270</v>
      </c>
      <c r="F1950" t="s">
        <v>448</v>
      </c>
      <c r="G1950" t="s">
        <v>449</v>
      </c>
      <c r="I1950" t="s">
        <v>31</v>
      </c>
      <c r="J1950" s="13">
        <v>45971</v>
      </c>
      <c r="K1950" s="13">
        <v>46023</v>
      </c>
      <c r="L1950" t="s">
        <v>434</v>
      </c>
      <c r="M1950" t="s">
        <v>56</v>
      </c>
      <c r="N1950">
        <v>71928484</v>
      </c>
    </row>
    <row r="1951" spans="1:14" x14ac:dyDescent="0.25">
      <c r="A1951">
        <v>57996932</v>
      </c>
      <c r="B1951" t="s">
        <v>902</v>
      </c>
      <c r="C1951" t="s">
        <v>546</v>
      </c>
      <c r="D1951" t="s">
        <v>5050</v>
      </c>
      <c r="E1951">
        <v>5743210156</v>
      </c>
      <c r="F1951" t="s">
        <v>790</v>
      </c>
      <c r="G1951" t="s">
        <v>791</v>
      </c>
      <c r="I1951" t="s">
        <v>119</v>
      </c>
      <c r="J1951" s="13">
        <v>45971</v>
      </c>
      <c r="K1951" s="13">
        <v>46023</v>
      </c>
      <c r="L1951" t="s">
        <v>440</v>
      </c>
      <c r="M1951" t="s">
        <v>419</v>
      </c>
      <c r="N1951">
        <v>71928497</v>
      </c>
    </row>
    <row r="1952" spans="1:14" x14ac:dyDescent="0.25">
      <c r="A1952">
        <v>57997782</v>
      </c>
      <c r="B1952" t="s">
        <v>5051</v>
      </c>
      <c r="C1952" t="s">
        <v>5052</v>
      </c>
      <c r="D1952" t="s">
        <v>5053</v>
      </c>
      <c r="E1952">
        <v>4804081226</v>
      </c>
      <c r="F1952" t="s">
        <v>423</v>
      </c>
      <c r="G1952" t="s">
        <v>424</v>
      </c>
      <c r="I1952" t="s">
        <v>46</v>
      </c>
      <c r="J1952" s="13">
        <v>45971</v>
      </c>
      <c r="K1952" s="13">
        <v>46023</v>
      </c>
      <c r="L1952" t="s">
        <v>1179</v>
      </c>
      <c r="M1952" t="s">
        <v>59</v>
      </c>
      <c r="N1952">
        <v>71928973</v>
      </c>
    </row>
    <row r="1953" spans="1:14" x14ac:dyDescent="0.25">
      <c r="A1953">
        <v>57998133</v>
      </c>
      <c r="B1953" t="s">
        <v>495</v>
      </c>
      <c r="C1953" t="s">
        <v>5054</v>
      </c>
      <c r="D1953" t="s">
        <v>5055</v>
      </c>
      <c r="E1953">
        <v>9107122935</v>
      </c>
      <c r="F1953" t="s">
        <v>1067</v>
      </c>
      <c r="G1953" t="s">
        <v>1068</v>
      </c>
      <c r="I1953" t="s">
        <v>35</v>
      </c>
      <c r="J1953" s="13">
        <v>45971</v>
      </c>
      <c r="K1953" s="13">
        <v>46023</v>
      </c>
      <c r="L1953" t="s">
        <v>603</v>
      </c>
      <c r="M1953" t="s">
        <v>56</v>
      </c>
      <c r="N1953">
        <v>71929291</v>
      </c>
    </row>
    <row r="1954" spans="1:14" x14ac:dyDescent="0.25">
      <c r="A1954">
        <v>57998271</v>
      </c>
      <c r="B1954" t="s">
        <v>787</v>
      </c>
      <c r="C1954" t="s">
        <v>5056</v>
      </c>
      <c r="D1954" t="s">
        <v>5057</v>
      </c>
      <c r="E1954">
        <v>3524379090</v>
      </c>
      <c r="F1954" t="s">
        <v>780</v>
      </c>
      <c r="G1954" t="s">
        <v>781</v>
      </c>
      <c r="I1954" t="s">
        <v>20</v>
      </c>
      <c r="J1954" s="13">
        <v>45971</v>
      </c>
      <c r="K1954" s="13">
        <v>46023</v>
      </c>
      <c r="L1954" t="s">
        <v>497</v>
      </c>
      <c r="M1954" t="s">
        <v>56</v>
      </c>
      <c r="N1954">
        <v>71929373</v>
      </c>
    </row>
    <row r="1955" spans="1:14" x14ac:dyDescent="0.25">
      <c r="A1955">
        <v>57999079</v>
      </c>
      <c r="B1955" t="s">
        <v>5058</v>
      </c>
      <c r="C1955" t="s">
        <v>3440</v>
      </c>
      <c r="D1955" t="s">
        <v>5059</v>
      </c>
      <c r="E1955">
        <v>4173429482</v>
      </c>
      <c r="F1955" t="s">
        <v>815</v>
      </c>
      <c r="G1955" t="s">
        <v>816</v>
      </c>
      <c r="I1955" t="s">
        <v>23</v>
      </c>
      <c r="J1955" s="13">
        <v>45971</v>
      </c>
      <c r="K1955" s="13">
        <v>46023</v>
      </c>
      <c r="L1955" t="s">
        <v>434</v>
      </c>
      <c r="M1955" t="s">
        <v>59</v>
      </c>
      <c r="N1955">
        <v>71929875</v>
      </c>
    </row>
    <row r="1956" spans="1:14" x14ac:dyDescent="0.25">
      <c r="A1956">
        <v>57999205</v>
      </c>
      <c r="B1956" t="s">
        <v>2927</v>
      </c>
      <c r="C1956" t="s">
        <v>707</v>
      </c>
      <c r="D1956" t="s">
        <v>5060</v>
      </c>
      <c r="E1956">
        <v>5617197379</v>
      </c>
      <c r="F1956" t="s">
        <v>448</v>
      </c>
      <c r="G1956" t="s">
        <v>449</v>
      </c>
      <c r="I1956" t="s">
        <v>31</v>
      </c>
      <c r="J1956" s="13">
        <v>45971</v>
      </c>
      <c r="K1956" s="13">
        <v>46023</v>
      </c>
      <c r="L1956" t="s">
        <v>497</v>
      </c>
      <c r="M1956" t="s">
        <v>59</v>
      </c>
      <c r="N1956">
        <v>71929953</v>
      </c>
    </row>
    <row r="1957" spans="1:14" x14ac:dyDescent="0.25">
      <c r="A1957">
        <v>57999263</v>
      </c>
      <c r="B1957" t="s">
        <v>5061</v>
      </c>
      <c r="C1957" t="s">
        <v>1416</v>
      </c>
      <c r="D1957" t="s">
        <v>5062</v>
      </c>
      <c r="E1957">
        <v>2299217254</v>
      </c>
      <c r="F1957" t="s">
        <v>615</v>
      </c>
      <c r="G1957" t="s">
        <v>616</v>
      </c>
      <c r="I1957" t="s">
        <v>617</v>
      </c>
      <c r="J1957" s="13">
        <v>45971</v>
      </c>
      <c r="K1957" s="13">
        <v>46023</v>
      </c>
      <c r="L1957" t="s">
        <v>621</v>
      </c>
      <c r="M1957" t="s">
        <v>59</v>
      </c>
      <c r="N1957">
        <v>71930000</v>
      </c>
    </row>
    <row r="1958" spans="1:14" x14ac:dyDescent="0.25">
      <c r="A1958">
        <v>57999770</v>
      </c>
      <c r="B1958" t="s">
        <v>498</v>
      </c>
      <c r="C1958" t="s">
        <v>654</v>
      </c>
      <c r="D1958" t="s">
        <v>5063</v>
      </c>
      <c r="E1958">
        <v>8132703728</v>
      </c>
      <c r="F1958" t="s">
        <v>569</v>
      </c>
      <c r="G1958" t="s">
        <v>570</v>
      </c>
      <c r="I1958" t="s">
        <v>34</v>
      </c>
      <c r="J1958" s="13">
        <v>45971</v>
      </c>
      <c r="K1958" s="13">
        <v>46023</v>
      </c>
      <c r="L1958" t="s">
        <v>497</v>
      </c>
      <c r="M1958" t="s">
        <v>56</v>
      </c>
      <c r="N1958">
        <v>71930302</v>
      </c>
    </row>
    <row r="1959" spans="1:14" x14ac:dyDescent="0.25">
      <c r="A1959">
        <v>57999785</v>
      </c>
      <c r="B1959" t="s">
        <v>2681</v>
      </c>
      <c r="C1959" t="s">
        <v>981</v>
      </c>
      <c r="D1959" t="s">
        <v>5064</v>
      </c>
      <c r="E1959">
        <v>9045743165</v>
      </c>
      <c r="F1959" t="s">
        <v>569</v>
      </c>
      <c r="G1959" t="s">
        <v>570</v>
      </c>
      <c r="I1959" t="s">
        <v>34</v>
      </c>
      <c r="J1959" s="13">
        <v>45971</v>
      </c>
      <c r="K1959" s="13">
        <v>46023</v>
      </c>
      <c r="L1959" t="s">
        <v>497</v>
      </c>
      <c r="M1959" t="s">
        <v>56</v>
      </c>
      <c r="N1959">
        <v>71930316</v>
      </c>
    </row>
    <row r="1960" spans="1:14" x14ac:dyDescent="0.25">
      <c r="A1960">
        <v>58503204</v>
      </c>
      <c r="B1960" t="s">
        <v>1148</v>
      </c>
      <c r="C1960" t="s">
        <v>5065</v>
      </c>
      <c r="D1960" t="s">
        <v>5066</v>
      </c>
      <c r="E1960">
        <v>3046855813</v>
      </c>
      <c r="F1960" t="s">
        <v>1067</v>
      </c>
      <c r="G1960" t="s">
        <v>1068</v>
      </c>
      <c r="I1960" t="s">
        <v>35</v>
      </c>
      <c r="J1960" s="13">
        <v>45992</v>
      </c>
      <c r="K1960" s="13">
        <v>46023</v>
      </c>
      <c r="L1960" t="s">
        <v>1188</v>
      </c>
      <c r="M1960" t="s">
        <v>56</v>
      </c>
      <c r="N1960">
        <v>71933586</v>
      </c>
    </row>
    <row r="1961" spans="1:14" x14ac:dyDescent="0.25">
      <c r="A1961">
        <v>63242316</v>
      </c>
      <c r="B1961" t="s">
        <v>5067</v>
      </c>
      <c r="C1961" t="s">
        <v>2281</v>
      </c>
      <c r="D1961" t="s">
        <v>5068</v>
      </c>
      <c r="E1961">
        <v>8154912718</v>
      </c>
      <c r="F1961" t="s">
        <v>474</v>
      </c>
      <c r="G1961" t="s">
        <v>475</v>
      </c>
      <c r="I1961" t="s">
        <v>132</v>
      </c>
      <c r="J1961" s="13">
        <v>46129</v>
      </c>
      <c r="K1961" s="13">
        <v>46143</v>
      </c>
      <c r="L1961" t="s">
        <v>470</v>
      </c>
      <c r="M1961" t="s">
        <v>62</v>
      </c>
      <c r="N1961">
        <v>71933752</v>
      </c>
    </row>
    <row r="1962" spans="1:14" x14ac:dyDescent="0.25">
      <c r="A1962">
        <v>58004489</v>
      </c>
      <c r="B1962" t="s">
        <v>3548</v>
      </c>
      <c r="C1962" t="s">
        <v>1177</v>
      </c>
      <c r="D1962" t="s">
        <v>5069</v>
      </c>
      <c r="E1962">
        <v>7062734308</v>
      </c>
      <c r="F1962" t="s">
        <v>821</v>
      </c>
      <c r="G1962" t="s">
        <v>822</v>
      </c>
      <c r="I1962" t="s">
        <v>823</v>
      </c>
      <c r="J1962" s="13">
        <v>45972</v>
      </c>
      <c r="K1962" s="13">
        <v>46023</v>
      </c>
      <c r="L1962" t="s">
        <v>621</v>
      </c>
      <c r="M1962" t="s">
        <v>59</v>
      </c>
      <c r="N1962">
        <v>71933791</v>
      </c>
    </row>
    <row r="1963" spans="1:14" x14ac:dyDescent="0.25">
      <c r="A1963">
        <v>58004579</v>
      </c>
      <c r="B1963" t="s">
        <v>604</v>
      </c>
      <c r="C1963" t="s">
        <v>3061</v>
      </c>
      <c r="D1963" t="s">
        <v>5070</v>
      </c>
      <c r="E1963">
        <v>9046980055</v>
      </c>
      <c r="F1963" t="s">
        <v>928</v>
      </c>
      <c r="G1963" t="s">
        <v>929</v>
      </c>
      <c r="I1963" t="s">
        <v>30</v>
      </c>
      <c r="J1963" s="13">
        <v>45972</v>
      </c>
      <c r="K1963" s="13">
        <v>46023</v>
      </c>
      <c r="L1963" t="s">
        <v>497</v>
      </c>
      <c r="M1963" t="s">
        <v>56</v>
      </c>
      <c r="N1963">
        <v>71933853</v>
      </c>
    </row>
    <row r="1964" spans="1:14" x14ac:dyDescent="0.25">
      <c r="A1964">
        <v>58004599</v>
      </c>
      <c r="B1964" t="s">
        <v>1589</v>
      </c>
      <c r="C1964" t="s">
        <v>5071</v>
      </c>
      <c r="D1964" t="s">
        <v>5072</v>
      </c>
      <c r="E1964">
        <v>5743521616</v>
      </c>
      <c r="F1964" t="s">
        <v>1003</v>
      </c>
      <c r="G1964" t="s">
        <v>1004</v>
      </c>
      <c r="I1964" t="s">
        <v>89</v>
      </c>
      <c r="J1964" s="13">
        <v>45972</v>
      </c>
      <c r="K1964" s="13">
        <v>46023</v>
      </c>
      <c r="L1964" t="s">
        <v>1188</v>
      </c>
      <c r="M1964" t="s">
        <v>60</v>
      </c>
      <c r="N1964">
        <v>71933868</v>
      </c>
    </row>
    <row r="1965" spans="1:14" x14ac:dyDescent="0.25">
      <c r="A1965">
        <v>58004889</v>
      </c>
      <c r="B1965" t="s">
        <v>712</v>
      </c>
      <c r="C1965" t="s">
        <v>5073</v>
      </c>
      <c r="D1965" t="s">
        <v>5074</v>
      </c>
      <c r="E1965">
        <v>3868689748</v>
      </c>
      <c r="F1965" t="s">
        <v>615</v>
      </c>
      <c r="G1965" t="s">
        <v>616</v>
      </c>
      <c r="I1965" t="s">
        <v>617</v>
      </c>
      <c r="J1965" s="13">
        <v>45972</v>
      </c>
      <c r="K1965" s="13">
        <v>46023</v>
      </c>
      <c r="L1965" t="s">
        <v>497</v>
      </c>
      <c r="M1965" t="s">
        <v>58</v>
      </c>
      <c r="N1965">
        <v>71934058</v>
      </c>
    </row>
    <row r="1966" spans="1:14" x14ac:dyDescent="0.25">
      <c r="A1966">
        <v>58005023</v>
      </c>
      <c r="B1966" t="s">
        <v>5075</v>
      </c>
      <c r="C1966" t="s">
        <v>5076</v>
      </c>
      <c r="D1966" t="s">
        <v>5077</v>
      </c>
      <c r="E1966">
        <v>3342334677</v>
      </c>
      <c r="F1966" t="s">
        <v>448</v>
      </c>
      <c r="G1966" t="s">
        <v>449</v>
      </c>
      <c r="I1966" t="s">
        <v>31</v>
      </c>
      <c r="J1966" s="13">
        <v>45972</v>
      </c>
      <c r="K1966" s="13">
        <v>46023</v>
      </c>
      <c r="L1966" t="s">
        <v>450</v>
      </c>
      <c r="M1966" t="s">
        <v>56</v>
      </c>
      <c r="N1966">
        <v>71934149</v>
      </c>
    </row>
    <row r="1967" spans="1:14" x14ac:dyDescent="0.25">
      <c r="A1967">
        <v>58005267</v>
      </c>
      <c r="B1967" t="s">
        <v>5078</v>
      </c>
      <c r="C1967" t="s">
        <v>5079</v>
      </c>
      <c r="D1967" t="s">
        <v>5080</v>
      </c>
      <c r="E1967">
        <v>9289814349</v>
      </c>
      <c r="F1967" t="s">
        <v>842</v>
      </c>
      <c r="G1967" t="s">
        <v>1213</v>
      </c>
      <c r="I1967" t="s">
        <v>1214</v>
      </c>
      <c r="J1967" s="13">
        <v>45972</v>
      </c>
      <c r="K1967" s="13">
        <v>46023</v>
      </c>
      <c r="L1967" t="s">
        <v>1179</v>
      </c>
      <c r="M1967" t="s">
        <v>54</v>
      </c>
      <c r="N1967">
        <v>71934323</v>
      </c>
    </row>
    <row r="1968" spans="1:14" x14ac:dyDescent="0.25">
      <c r="A1968">
        <v>58005315</v>
      </c>
      <c r="B1968" t="s">
        <v>925</v>
      </c>
      <c r="C1968" t="s">
        <v>5081</v>
      </c>
      <c r="D1968" t="s">
        <v>5082</v>
      </c>
      <c r="E1968">
        <v>4072525353</v>
      </c>
      <c r="F1968" t="s">
        <v>423</v>
      </c>
      <c r="G1968" t="s">
        <v>424</v>
      </c>
      <c r="I1968" t="s">
        <v>46</v>
      </c>
      <c r="J1968" s="13">
        <v>45972</v>
      </c>
      <c r="K1968" s="13">
        <v>46023</v>
      </c>
      <c r="L1968" t="s">
        <v>497</v>
      </c>
      <c r="M1968" t="s">
        <v>54</v>
      </c>
      <c r="N1968">
        <v>71934334</v>
      </c>
    </row>
    <row r="1969" spans="1:14" x14ac:dyDescent="0.25">
      <c r="A1969">
        <v>58005788</v>
      </c>
      <c r="B1969" t="s">
        <v>1208</v>
      </c>
      <c r="C1969" t="s">
        <v>5083</v>
      </c>
      <c r="D1969" t="s">
        <v>5084</v>
      </c>
      <c r="E1969">
        <v>8032389691</v>
      </c>
      <c r="F1969" t="s">
        <v>1013</v>
      </c>
      <c r="G1969" t="s">
        <v>1014</v>
      </c>
      <c r="I1969" t="s">
        <v>43</v>
      </c>
      <c r="J1969" s="13">
        <v>45972</v>
      </c>
      <c r="K1969" s="13">
        <v>46023</v>
      </c>
      <c r="L1969" t="s">
        <v>533</v>
      </c>
      <c r="M1969" t="s">
        <v>61</v>
      </c>
      <c r="N1969">
        <v>71934612</v>
      </c>
    </row>
    <row r="1970" spans="1:14" x14ac:dyDescent="0.25">
      <c r="A1970">
        <v>58005852</v>
      </c>
      <c r="B1970" t="s">
        <v>676</v>
      </c>
      <c r="C1970" t="s">
        <v>5085</v>
      </c>
      <c r="D1970" t="s">
        <v>5086</v>
      </c>
      <c r="E1970">
        <v>9125524830</v>
      </c>
      <c r="F1970" t="s">
        <v>775</v>
      </c>
      <c r="G1970" t="s">
        <v>776</v>
      </c>
      <c r="I1970" t="s">
        <v>22</v>
      </c>
      <c r="J1970" s="13">
        <v>45972</v>
      </c>
      <c r="K1970" s="13">
        <v>46023</v>
      </c>
      <c r="L1970" t="s">
        <v>497</v>
      </c>
      <c r="M1970" t="s">
        <v>54</v>
      </c>
      <c r="N1970">
        <v>71934662</v>
      </c>
    </row>
    <row r="1971" spans="1:14" x14ac:dyDescent="0.25">
      <c r="A1971">
        <v>58006800</v>
      </c>
      <c r="B1971" t="s">
        <v>5087</v>
      </c>
      <c r="C1971" t="s">
        <v>5088</v>
      </c>
      <c r="D1971" t="s">
        <v>5089</v>
      </c>
      <c r="E1971">
        <v>7628878480</v>
      </c>
      <c r="F1971" t="s">
        <v>551</v>
      </c>
      <c r="G1971" t="s">
        <v>552</v>
      </c>
      <c r="I1971" t="s">
        <v>42</v>
      </c>
      <c r="J1971" s="13">
        <v>45972</v>
      </c>
      <c r="K1971" s="13">
        <v>46023</v>
      </c>
      <c r="L1971" t="s">
        <v>479</v>
      </c>
      <c r="M1971" t="s">
        <v>58</v>
      </c>
      <c r="N1971">
        <v>71935195</v>
      </c>
    </row>
    <row r="1972" spans="1:14" x14ac:dyDescent="0.25">
      <c r="A1972">
        <v>58006924</v>
      </c>
      <c r="B1972" t="s">
        <v>718</v>
      </c>
      <c r="C1972" t="s">
        <v>967</v>
      </c>
      <c r="D1972" t="s">
        <v>5090</v>
      </c>
      <c r="E1972">
        <v>3368317135</v>
      </c>
      <c r="F1972" t="s">
        <v>474</v>
      </c>
      <c r="G1972" t="s">
        <v>475</v>
      </c>
      <c r="I1972" t="s">
        <v>132</v>
      </c>
      <c r="J1972" s="13">
        <v>45972</v>
      </c>
      <c r="K1972" s="13">
        <v>46023</v>
      </c>
      <c r="L1972" t="s">
        <v>603</v>
      </c>
      <c r="M1972" t="s">
        <v>56</v>
      </c>
      <c r="N1972">
        <v>71935297</v>
      </c>
    </row>
    <row r="1973" spans="1:14" x14ac:dyDescent="0.25">
      <c r="A1973">
        <v>58006976</v>
      </c>
      <c r="B1973" t="s">
        <v>2639</v>
      </c>
      <c r="C1973" t="s">
        <v>5091</v>
      </c>
      <c r="D1973" t="s">
        <v>5092</v>
      </c>
      <c r="E1973">
        <v>8634458049</v>
      </c>
      <c r="F1973" t="s">
        <v>870</v>
      </c>
      <c r="G1973" t="s">
        <v>871</v>
      </c>
      <c r="I1973" t="s">
        <v>872</v>
      </c>
      <c r="J1973" s="13">
        <v>45972</v>
      </c>
      <c r="K1973" s="13">
        <v>46023</v>
      </c>
      <c r="L1973" t="s">
        <v>497</v>
      </c>
      <c r="M1973" t="s">
        <v>60</v>
      </c>
      <c r="N1973">
        <v>71935323</v>
      </c>
    </row>
    <row r="1974" spans="1:14" x14ac:dyDescent="0.25">
      <c r="A1974">
        <v>58007205</v>
      </c>
      <c r="B1974" t="s">
        <v>1148</v>
      </c>
      <c r="C1974" t="s">
        <v>5081</v>
      </c>
      <c r="D1974" t="s">
        <v>5093</v>
      </c>
      <c r="E1974" t="s">
        <v>5094</v>
      </c>
      <c r="F1974" t="s">
        <v>423</v>
      </c>
      <c r="G1974" t="s">
        <v>424</v>
      </c>
      <c r="I1974" t="s">
        <v>46</v>
      </c>
      <c r="J1974" s="13">
        <v>45972</v>
      </c>
      <c r="K1974" s="13">
        <v>46023</v>
      </c>
      <c r="L1974" t="s">
        <v>497</v>
      </c>
      <c r="M1974" t="s">
        <v>54</v>
      </c>
      <c r="N1974">
        <v>71935418</v>
      </c>
    </row>
    <row r="1975" spans="1:14" x14ac:dyDescent="0.25">
      <c r="A1975">
        <v>58007999</v>
      </c>
      <c r="B1975" t="s">
        <v>3075</v>
      </c>
      <c r="C1975" t="s">
        <v>4041</v>
      </c>
      <c r="D1975" t="s">
        <v>5095</v>
      </c>
      <c r="E1975">
        <v>8045073216</v>
      </c>
      <c r="F1975" t="s">
        <v>693</v>
      </c>
      <c r="G1975" t="s">
        <v>694</v>
      </c>
      <c r="I1975" t="s">
        <v>103</v>
      </c>
      <c r="J1975" s="13">
        <v>45972</v>
      </c>
      <c r="K1975" s="13">
        <v>46023</v>
      </c>
      <c r="L1975" t="s">
        <v>454</v>
      </c>
      <c r="M1975" t="s">
        <v>56</v>
      </c>
      <c r="N1975">
        <v>71935894</v>
      </c>
    </row>
    <row r="1976" spans="1:14" x14ac:dyDescent="0.25">
      <c r="A1976">
        <v>58313589</v>
      </c>
      <c r="B1976" t="s">
        <v>1089</v>
      </c>
      <c r="C1976" t="s">
        <v>5096</v>
      </c>
      <c r="D1976" t="s">
        <v>5097</v>
      </c>
      <c r="E1976">
        <v>4806978383</v>
      </c>
      <c r="F1976" t="s">
        <v>780</v>
      </c>
      <c r="G1976" t="s">
        <v>781</v>
      </c>
      <c r="I1976" t="s">
        <v>20</v>
      </c>
      <c r="J1976" s="13">
        <v>45982</v>
      </c>
      <c r="K1976" s="13">
        <v>46023</v>
      </c>
      <c r="L1976" t="s">
        <v>1179</v>
      </c>
      <c r="M1976" t="s">
        <v>55</v>
      </c>
      <c r="N1976">
        <v>71935899</v>
      </c>
    </row>
    <row r="1977" spans="1:14" x14ac:dyDescent="0.25">
      <c r="A1977">
        <v>58010440</v>
      </c>
      <c r="B1977" t="s">
        <v>1118</v>
      </c>
      <c r="C1977" t="s">
        <v>4974</v>
      </c>
      <c r="D1977" t="s">
        <v>5098</v>
      </c>
      <c r="E1977">
        <v>6892786846</v>
      </c>
      <c r="F1977" t="s">
        <v>821</v>
      </c>
      <c r="G1977" t="s">
        <v>822</v>
      </c>
      <c r="I1977" t="s">
        <v>823</v>
      </c>
      <c r="J1977" s="13">
        <v>45972</v>
      </c>
      <c r="K1977" s="13">
        <v>46023</v>
      </c>
      <c r="L1977" t="s">
        <v>497</v>
      </c>
      <c r="M1977" t="s">
        <v>59</v>
      </c>
      <c r="N1977">
        <v>71937243</v>
      </c>
    </row>
    <row r="1978" spans="1:14" x14ac:dyDescent="0.25">
      <c r="A1978">
        <v>58010457</v>
      </c>
      <c r="B1978" t="s">
        <v>702</v>
      </c>
      <c r="C1978" t="s">
        <v>5099</v>
      </c>
      <c r="D1978" t="s">
        <v>5100</v>
      </c>
      <c r="E1978">
        <v>9417249155</v>
      </c>
      <c r="F1978" t="s">
        <v>592</v>
      </c>
      <c r="G1978" t="s">
        <v>593</v>
      </c>
      <c r="I1978" t="s">
        <v>115</v>
      </c>
      <c r="J1978" s="13">
        <v>45972</v>
      </c>
      <c r="K1978" s="13">
        <v>46023</v>
      </c>
      <c r="L1978" t="s">
        <v>497</v>
      </c>
      <c r="M1978" t="s">
        <v>56</v>
      </c>
      <c r="N1978">
        <v>71937254</v>
      </c>
    </row>
    <row r="1979" spans="1:14" x14ac:dyDescent="0.25">
      <c r="A1979">
        <v>58010517</v>
      </c>
      <c r="B1979" t="s">
        <v>4716</v>
      </c>
      <c r="C1979" t="s">
        <v>5101</v>
      </c>
      <c r="D1979" t="s">
        <v>5102</v>
      </c>
      <c r="E1979">
        <v>4802681000</v>
      </c>
      <c r="F1979" t="s">
        <v>842</v>
      </c>
      <c r="G1979" t="s">
        <v>1213</v>
      </c>
      <c r="I1979" t="s">
        <v>1214</v>
      </c>
      <c r="J1979" s="13">
        <v>45972</v>
      </c>
      <c r="K1979" s="13">
        <v>46023</v>
      </c>
      <c r="L1979" t="s">
        <v>1179</v>
      </c>
      <c r="M1979" t="s">
        <v>61</v>
      </c>
      <c r="N1979">
        <v>71937290</v>
      </c>
    </row>
    <row r="1980" spans="1:14" x14ac:dyDescent="0.25">
      <c r="A1980">
        <v>58010593</v>
      </c>
      <c r="B1980" t="s">
        <v>687</v>
      </c>
      <c r="C1980" t="s">
        <v>5103</v>
      </c>
      <c r="D1980" t="s">
        <v>5104</v>
      </c>
      <c r="E1980">
        <v>3144098115</v>
      </c>
      <c r="F1980" t="s">
        <v>649</v>
      </c>
      <c r="G1980" t="s">
        <v>650</v>
      </c>
      <c r="I1980" t="s">
        <v>28</v>
      </c>
      <c r="J1980" s="13">
        <v>45972</v>
      </c>
      <c r="K1980" s="13">
        <v>46023</v>
      </c>
      <c r="L1980" t="s">
        <v>434</v>
      </c>
      <c r="M1980" t="s">
        <v>56</v>
      </c>
      <c r="N1980">
        <v>71937372</v>
      </c>
    </row>
    <row r="1981" spans="1:14" x14ac:dyDescent="0.25">
      <c r="A1981">
        <v>58010738</v>
      </c>
      <c r="B1981" t="s">
        <v>1566</v>
      </c>
      <c r="C1981" t="s">
        <v>5105</v>
      </c>
      <c r="D1981" t="s">
        <v>5106</v>
      </c>
      <c r="E1981">
        <v>7274344243</v>
      </c>
      <c r="F1981" t="s">
        <v>462</v>
      </c>
      <c r="G1981" t="s">
        <v>463</v>
      </c>
      <c r="I1981" t="s">
        <v>39</v>
      </c>
      <c r="J1981" s="13">
        <v>45972</v>
      </c>
      <c r="K1981" s="13">
        <v>46023</v>
      </c>
      <c r="L1981" t="s">
        <v>497</v>
      </c>
      <c r="M1981" t="s">
        <v>54</v>
      </c>
      <c r="N1981">
        <v>71937494</v>
      </c>
    </row>
    <row r="1982" spans="1:14" x14ac:dyDescent="0.25">
      <c r="A1982">
        <v>58010795</v>
      </c>
      <c r="B1982" t="s">
        <v>1925</v>
      </c>
      <c r="C1982" t="s">
        <v>5107</v>
      </c>
      <c r="D1982" t="s">
        <v>5108</v>
      </c>
      <c r="E1982">
        <v>2526751332</v>
      </c>
      <c r="F1982" t="s">
        <v>569</v>
      </c>
      <c r="G1982" t="s">
        <v>570</v>
      </c>
      <c r="I1982" t="s">
        <v>34</v>
      </c>
      <c r="J1982" s="13">
        <v>45972</v>
      </c>
      <c r="K1982" s="13">
        <v>46023</v>
      </c>
      <c r="L1982" t="s">
        <v>603</v>
      </c>
      <c r="M1982" t="s">
        <v>56</v>
      </c>
      <c r="N1982">
        <v>71937538</v>
      </c>
    </row>
    <row r="1983" spans="1:14" x14ac:dyDescent="0.25">
      <c r="A1983">
        <v>58011494</v>
      </c>
      <c r="B1983" t="s">
        <v>5109</v>
      </c>
      <c r="C1983" t="s">
        <v>5110</v>
      </c>
      <c r="D1983" t="s">
        <v>5111</v>
      </c>
      <c r="E1983">
        <v>5012150781</v>
      </c>
      <c r="F1983" t="s">
        <v>705</v>
      </c>
      <c r="G1983" t="s">
        <v>706</v>
      </c>
      <c r="I1983" t="s">
        <v>12</v>
      </c>
      <c r="J1983" s="13">
        <v>45972</v>
      </c>
      <c r="K1983" s="13">
        <v>46023</v>
      </c>
      <c r="L1983" t="s">
        <v>553</v>
      </c>
      <c r="M1983" t="s">
        <v>56</v>
      </c>
      <c r="N1983">
        <v>71938003</v>
      </c>
    </row>
    <row r="1984" spans="1:14" x14ac:dyDescent="0.25">
      <c r="A1984">
        <v>58011524</v>
      </c>
      <c r="B1984" t="s">
        <v>2418</v>
      </c>
      <c r="C1984" t="s">
        <v>5112</v>
      </c>
      <c r="D1984" t="s">
        <v>5113</v>
      </c>
      <c r="E1984">
        <v>2147106653</v>
      </c>
      <c r="F1984" t="s">
        <v>1142</v>
      </c>
      <c r="G1984" t="s">
        <v>1143</v>
      </c>
      <c r="I1984" t="s">
        <v>124</v>
      </c>
      <c r="J1984" s="13">
        <v>45972</v>
      </c>
      <c r="K1984" s="13">
        <v>46023</v>
      </c>
      <c r="L1984" t="s">
        <v>444</v>
      </c>
      <c r="M1984" t="s">
        <v>58</v>
      </c>
      <c r="N1984">
        <v>71938025</v>
      </c>
    </row>
    <row r="1985" spans="1:14" x14ac:dyDescent="0.25">
      <c r="A1985">
        <v>58011975</v>
      </c>
      <c r="B1985" t="s">
        <v>1316</v>
      </c>
      <c r="C1985" t="s">
        <v>5114</v>
      </c>
      <c r="D1985" t="s">
        <v>5115</v>
      </c>
      <c r="E1985">
        <v>4482189272</v>
      </c>
      <c r="F1985" t="s">
        <v>798</v>
      </c>
      <c r="G1985" t="s">
        <v>799</v>
      </c>
      <c r="I1985" t="s">
        <v>800</v>
      </c>
      <c r="J1985" s="13">
        <v>45972</v>
      </c>
      <c r="K1985" s="13">
        <v>46023</v>
      </c>
      <c r="L1985" t="s">
        <v>497</v>
      </c>
      <c r="M1985" t="s">
        <v>56</v>
      </c>
      <c r="N1985">
        <v>71938267</v>
      </c>
    </row>
    <row r="1986" spans="1:14" x14ac:dyDescent="0.25">
      <c r="A1986">
        <v>58012037</v>
      </c>
      <c r="B1986" t="s">
        <v>5116</v>
      </c>
      <c r="C1986" t="s">
        <v>5117</v>
      </c>
      <c r="D1986" t="s">
        <v>5118</v>
      </c>
      <c r="E1986">
        <v>7043089914</v>
      </c>
      <c r="F1986" t="s">
        <v>828</v>
      </c>
      <c r="G1986" t="s">
        <v>1148</v>
      </c>
      <c r="I1986" t="s">
        <v>17</v>
      </c>
      <c r="J1986" s="13">
        <v>45972</v>
      </c>
      <c r="K1986" s="13">
        <v>46023</v>
      </c>
      <c r="L1986" t="s">
        <v>603</v>
      </c>
      <c r="M1986" t="s">
        <v>58</v>
      </c>
      <c r="N1986">
        <v>71938303</v>
      </c>
    </row>
    <row r="1987" spans="1:14" x14ac:dyDescent="0.25">
      <c r="A1987">
        <v>58012193</v>
      </c>
      <c r="B1987" t="s">
        <v>445</v>
      </c>
      <c r="C1987" t="s">
        <v>5119</v>
      </c>
      <c r="D1987" t="s">
        <v>5120</v>
      </c>
      <c r="E1987">
        <v>9417040860</v>
      </c>
      <c r="F1987" t="s">
        <v>1345</v>
      </c>
      <c r="G1987" t="s">
        <v>799</v>
      </c>
      <c r="I1987" t="s">
        <v>47</v>
      </c>
      <c r="J1987" s="13">
        <v>45972</v>
      </c>
      <c r="K1987" s="13">
        <v>46023</v>
      </c>
      <c r="L1987" t="s">
        <v>497</v>
      </c>
      <c r="M1987" t="s">
        <v>54</v>
      </c>
      <c r="N1987">
        <v>71938397</v>
      </c>
    </row>
    <row r="1988" spans="1:14" x14ac:dyDescent="0.25">
      <c r="A1988">
        <v>58012219</v>
      </c>
      <c r="B1988" t="s">
        <v>2214</v>
      </c>
      <c r="C1988" t="s">
        <v>5121</v>
      </c>
      <c r="D1988" t="s">
        <v>5122</v>
      </c>
      <c r="E1988">
        <v>9282002845</v>
      </c>
      <c r="F1988" t="s">
        <v>775</v>
      </c>
      <c r="G1988" t="s">
        <v>776</v>
      </c>
      <c r="I1988" t="s">
        <v>22</v>
      </c>
      <c r="J1988" s="13">
        <v>45972</v>
      </c>
      <c r="K1988" s="13">
        <v>46023</v>
      </c>
      <c r="L1988" t="s">
        <v>1179</v>
      </c>
      <c r="M1988" t="s">
        <v>54</v>
      </c>
      <c r="N1988">
        <v>71938407</v>
      </c>
    </row>
    <row r="1989" spans="1:14" x14ac:dyDescent="0.25">
      <c r="A1989">
        <v>58012357</v>
      </c>
      <c r="B1989" t="s">
        <v>5123</v>
      </c>
      <c r="C1989" t="s">
        <v>5124</v>
      </c>
      <c r="D1989" t="s">
        <v>5125</v>
      </c>
      <c r="E1989">
        <v>9402308640</v>
      </c>
      <c r="F1989" t="s">
        <v>770</v>
      </c>
      <c r="G1989" t="s">
        <v>771</v>
      </c>
      <c r="I1989" t="s">
        <v>25</v>
      </c>
      <c r="J1989" s="13">
        <v>45972</v>
      </c>
      <c r="K1989" s="13">
        <v>46023</v>
      </c>
      <c r="L1989" t="s">
        <v>497</v>
      </c>
      <c r="M1989" t="s">
        <v>56</v>
      </c>
      <c r="N1989">
        <v>71938478</v>
      </c>
    </row>
    <row r="1990" spans="1:14" x14ac:dyDescent="0.25">
      <c r="A1990">
        <v>58012563</v>
      </c>
      <c r="B1990" t="s">
        <v>1856</v>
      </c>
      <c r="C1990" t="s">
        <v>5126</v>
      </c>
      <c r="D1990" t="s">
        <v>5127</v>
      </c>
      <c r="E1990" t="s">
        <v>5128</v>
      </c>
      <c r="F1990" t="s">
        <v>4853</v>
      </c>
      <c r="G1990" t="s">
        <v>5017</v>
      </c>
      <c r="I1990" t="s">
        <v>5018</v>
      </c>
      <c r="J1990" s="13">
        <v>45972</v>
      </c>
      <c r="K1990" s="13">
        <v>46023</v>
      </c>
      <c r="L1990" t="s">
        <v>1179</v>
      </c>
      <c r="M1990" t="s">
        <v>54</v>
      </c>
      <c r="N1990">
        <v>71938599</v>
      </c>
    </row>
    <row r="1991" spans="1:14" x14ac:dyDescent="0.25">
      <c r="A1991">
        <v>58013566</v>
      </c>
      <c r="B1991" t="s">
        <v>5129</v>
      </c>
      <c r="C1991" t="s">
        <v>1195</v>
      </c>
      <c r="D1991" t="s">
        <v>5130</v>
      </c>
      <c r="E1991" t="s">
        <v>5131</v>
      </c>
      <c r="F1991" t="s">
        <v>790</v>
      </c>
      <c r="G1991" t="s">
        <v>791</v>
      </c>
      <c r="I1991" t="s">
        <v>119</v>
      </c>
      <c r="J1991" s="13">
        <v>45972</v>
      </c>
      <c r="K1991" s="13">
        <v>46023</v>
      </c>
      <c r="L1991" t="s">
        <v>450</v>
      </c>
      <c r="M1991" t="s">
        <v>56</v>
      </c>
      <c r="N1991">
        <v>71938972</v>
      </c>
    </row>
    <row r="1992" spans="1:14" x14ac:dyDescent="0.25">
      <c r="A1992">
        <v>58014191</v>
      </c>
      <c r="B1992" t="s">
        <v>5132</v>
      </c>
      <c r="C1992" t="s">
        <v>1939</v>
      </c>
      <c r="D1992" t="s">
        <v>5133</v>
      </c>
      <c r="E1992">
        <v>6785221111</v>
      </c>
      <c r="F1992" t="s">
        <v>551</v>
      </c>
      <c r="G1992" t="s">
        <v>552</v>
      </c>
      <c r="I1992" t="s">
        <v>42</v>
      </c>
      <c r="J1992" s="13">
        <v>45972</v>
      </c>
      <c r="K1992" s="13">
        <v>46023</v>
      </c>
      <c r="L1992" t="s">
        <v>621</v>
      </c>
      <c r="M1992" t="s">
        <v>56</v>
      </c>
      <c r="N1992">
        <v>71939156</v>
      </c>
    </row>
    <row r="1993" spans="1:14" x14ac:dyDescent="0.25">
      <c r="A1993">
        <v>58015806</v>
      </c>
      <c r="B1993" t="s">
        <v>5134</v>
      </c>
      <c r="C1993" t="s">
        <v>5135</v>
      </c>
      <c r="D1993" t="s">
        <v>5136</v>
      </c>
      <c r="E1993">
        <v>9046494475</v>
      </c>
      <c r="F1993" t="s">
        <v>416</v>
      </c>
      <c r="G1993" t="s">
        <v>417</v>
      </c>
      <c r="I1993" t="s">
        <v>26</v>
      </c>
      <c r="J1993" s="13">
        <v>45972</v>
      </c>
      <c r="K1993" s="13">
        <v>46023</v>
      </c>
      <c r="L1993" t="s">
        <v>497</v>
      </c>
      <c r="M1993" t="s">
        <v>54</v>
      </c>
      <c r="N1993">
        <v>71939503</v>
      </c>
    </row>
    <row r="1994" spans="1:14" x14ac:dyDescent="0.25">
      <c r="A1994">
        <v>58015695</v>
      </c>
      <c r="B1994" t="s">
        <v>5137</v>
      </c>
      <c r="C1994" t="s">
        <v>5138</v>
      </c>
      <c r="D1994" t="s">
        <v>5139</v>
      </c>
      <c r="E1994">
        <v>6362106835</v>
      </c>
      <c r="F1994" t="s">
        <v>1147</v>
      </c>
      <c r="G1994" t="s">
        <v>1148</v>
      </c>
      <c r="I1994" t="s">
        <v>41</v>
      </c>
      <c r="J1994" s="13">
        <v>45972</v>
      </c>
      <c r="K1994" s="13">
        <v>46023</v>
      </c>
      <c r="L1994" t="s">
        <v>434</v>
      </c>
      <c r="M1994" t="s">
        <v>56</v>
      </c>
      <c r="N1994">
        <v>71939675</v>
      </c>
    </row>
    <row r="1995" spans="1:14" x14ac:dyDescent="0.25">
      <c r="A1995">
        <v>58016213</v>
      </c>
      <c r="B1995" t="s">
        <v>1406</v>
      </c>
      <c r="C1995" t="s">
        <v>2239</v>
      </c>
      <c r="D1995" t="s">
        <v>5140</v>
      </c>
      <c r="E1995">
        <v>2107084469</v>
      </c>
      <c r="F1995" t="s">
        <v>574</v>
      </c>
      <c r="G1995" t="s">
        <v>575</v>
      </c>
      <c r="I1995" t="s">
        <v>14</v>
      </c>
      <c r="J1995" s="13">
        <v>45972</v>
      </c>
      <c r="K1995" s="13">
        <v>46023</v>
      </c>
      <c r="L1995" t="s">
        <v>444</v>
      </c>
      <c r="M1995" t="s">
        <v>56</v>
      </c>
      <c r="N1995">
        <v>71940043</v>
      </c>
    </row>
    <row r="1996" spans="1:14" x14ac:dyDescent="0.25">
      <c r="A1996">
        <v>58016819</v>
      </c>
      <c r="B1996" t="s">
        <v>5141</v>
      </c>
      <c r="C1996" t="s">
        <v>923</v>
      </c>
      <c r="D1996" t="s">
        <v>5142</v>
      </c>
      <c r="E1996">
        <v>4805795436</v>
      </c>
      <c r="F1996" t="s">
        <v>423</v>
      </c>
      <c r="G1996" t="s">
        <v>424</v>
      </c>
      <c r="I1996" t="s">
        <v>46</v>
      </c>
      <c r="J1996" s="13">
        <v>45972</v>
      </c>
      <c r="K1996" s="13">
        <v>46023</v>
      </c>
      <c r="L1996" t="s">
        <v>1179</v>
      </c>
      <c r="M1996" t="s">
        <v>59</v>
      </c>
      <c r="N1996">
        <v>71940188</v>
      </c>
    </row>
    <row r="1997" spans="1:14" x14ac:dyDescent="0.25">
      <c r="A1997">
        <v>58016567</v>
      </c>
      <c r="B1997" t="s">
        <v>4139</v>
      </c>
      <c r="C1997" t="s">
        <v>903</v>
      </c>
      <c r="D1997" t="s">
        <v>5143</v>
      </c>
      <c r="E1997">
        <v>8167932575</v>
      </c>
      <c r="F1997" t="s">
        <v>928</v>
      </c>
      <c r="G1997" t="s">
        <v>929</v>
      </c>
      <c r="I1997" t="s">
        <v>30</v>
      </c>
      <c r="J1997" s="13">
        <v>45972</v>
      </c>
      <c r="K1997" s="13">
        <v>46023</v>
      </c>
      <c r="L1997" t="s">
        <v>434</v>
      </c>
      <c r="M1997" t="s">
        <v>56</v>
      </c>
      <c r="N1997">
        <v>71940312</v>
      </c>
    </row>
    <row r="1998" spans="1:14" x14ac:dyDescent="0.25">
      <c r="A1998">
        <v>58017030</v>
      </c>
      <c r="B1998" t="s">
        <v>5144</v>
      </c>
      <c r="C1998" t="s">
        <v>2678</v>
      </c>
      <c r="D1998" t="s">
        <v>5145</v>
      </c>
      <c r="E1998">
        <v>7735375040</v>
      </c>
      <c r="F1998" t="s">
        <v>448</v>
      </c>
      <c r="G1998" t="s">
        <v>449</v>
      </c>
      <c r="I1998" t="s">
        <v>31</v>
      </c>
      <c r="J1998" s="13">
        <v>45972</v>
      </c>
      <c r="K1998" s="13">
        <v>46023</v>
      </c>
      <c r="L1998" t="s">
        <v>470</v>
      </c>
      <c r="M1998" t="s">
        <v>56</v>
      </c>
      <c r="N1998">
        <v>71940684</v>
      </c>
    </row>
    <row r="1999" spans="1:14" x14ac:dyDescent="0.25">
      <c r="A1999">
        <v>58017774</v>
      </c>
      <c r="B1999" t="s">
        <v>3351</v>
      </c>
      <c r="C1999" t="s">
        <v>1203</v>
      </c>
      <c r="D1999" t="s">
        <v>5146</v>
      </c>
      <c r="E1999">
        <v>7573942103</v>
      </c>
      <c r="F1999" t="s">
        <v>842</v>
      </c>
      <c r="G1999" t="s">
        <v>843</v>
      </c>
      <c r="I1999" t="s">
        <v>98</v>
      </c>
      <c r="J1999" s="13">
        <v>45972</v>
      </c>
      <c r="K1999" s="13">
        <v>46023</v>
      </c>
      <c r="L1999" t="s">
        <v>454</v>
      </c>
      <c r="M1999" t="s">
        <v>56</v>
      </c>
      <c r="N1999">
        <v>71941058</v>
      </c>
    </row>
    <row r="2000" spans="1:14" x14ac:dyDescent="0.25">
      <c r="A2000">
        <v>58018069</v>
      </c>
      <c r="B2000" t="s">
        <v>695</v>
      </c>
      <c r="C2000" t="s">
        <v>468</v>
      </c>
      <c r="D2000" t="s">
        <v>5147</v>
      </c>
      <c r="E2000">
        <v>9412247046</v>
      </c>
      <c r="F2000" t="s">
        <v>462</v>
      </c>
      <c r="G2000" t="s">
        <v>463</v>
      </c>
      <c r="I2000" t="s">
        <v>39</v>
      </c>
      <c r="J2000" s="13">
        <v>45972</v>
      </c>
      <c r="K2000" s="13">
        <v>46023</v>
      </c>
      <c r="L2000" t="s">
        <v>497</v>
      </c>
      <c r="M2000" t="s">
        <v>59</v>
      </c>
      <c r="N2000">
        <v>71941233</v>
      </c>
    </row>
    <row r="2001" spans="1:14" x14ac:dyDescent="0.25">
      <c r="A2001">
        <v>58018413</v>
      </c>
      <c r="B2001" t="s">
        <v>1041</v>
      </c>
      <c r="C2001" t="s">
        <v>2230</v>
      </c>
      <c r="D2001" t="s">
        <v>5148</v>
      </c>
      <c r="E2001">
        <v>5734184631</v>
      </c>
      <c r="F2001" t="s">
        <v>1142</v>
      </c>
      <c r="G2001" t="s">
        <v>1143</v>
      </c>
      <c r="I2001" t="s">
        <v>124</v>
      </c>
      <c r="J2001" s="13">
        <v>45972</v>
      </c>
      <c r="K2001" s="13">
        <v>46023</v>
      </c>
      <c r="L2001" t="s">
        <v>434</v>
      </c>
      <c r="M2001" t="s">
        <v>61</v>
      </c>
      <c r="N2001">
        <v>71941427</v>
      </c>
    </row>
    <row r="2002" spans="1:14" x14ac:dyDescent="0.25">
      <c r="A2002">
        <v>58018498</v>
      </c>
      <c r="B2002" t="s">
        <v>645</v>
      </c>
      <c r="C2002" t="s">
        <v>5149</v>
      </c>
      <c r="D2002" t="s">
        <v>5150</v>
      </c>
      <c r="E2002">
        <v>2244686088</v>
      </c>
      <c r="F2002" t="s">
        <v>705</v>
      </c>
      <c r="G2002" t="s">
        <v>706</v>
      </c>
      <c r="I2002" t="s">
        <v>12</v>
      </c>
      <c r="J2002" s="13">
        <v>45972</v>
      </c>
      <c r="K2002" s="13">
        <v>46023</v>
      </c>
      <c r="L2002" t="s">
        <v>470</v>
      </c>
      <c r="M2002" t="s">
        <v>56</v>
      </c>
      <c r="N2002">
        <v>71941462</v>
      </c>
    </row>
    <row r="2003" spans="1:14" x14ac:dyDescent="0.25">
      <c r="A2003">
        <v>58019996</v>
      </c>
      <c r="B2003" t="s">
        <v>5151</v>
      </c>
      <c r="C2003" t="s">
        <v>5152</v>
      </c>
      <c r="D2003" t="s">
        <v>5153</v>
      </c>
      <c r="E2003">
        <v>5612014763</v>
      </c>
      <c r="F2003" t="s">
        <v>416</v>
      </c>
      <c r="G2003" t="s">
        <v>417</v>
      </c>
      <c r="I2003" t="s">
        <v>26</v>
      </c>
      <c r="J2003" s="13">
        <v>45972</v>
      </c>
      <c r="K2003" s="13">
        <v>46023</v>
      </c>
      <c r="L2003" t="s">
        <v>497</v>
      </c>
      <c r="M2003" t="s">
        <v>54</v>
      </c>
      <c r="N2003">
        <v>71941581</v>
      </c>
    </row>
    <row r="2004" spans="1:14" x14ac:dyDescent="0.25">
      <c r="A2004">
        <v>58019320</v>
      </c>
      <c r="B2004" t="s">
        <v>1370</v>
      </c>
      <c r="C2004" t="s">
        <v>981</v>
      </c>
      <c r="D2004" t="s">
        <v>5154</v>
      </c>
      <c r="E2004">
        <v>4802027943</v>
      </c>
      <c r="F2004" t="s">
        <v>615</v>
      </c>
      <c r="G2004" t="s">
        <v>616</v>
      </c>
      <c r="I2004" t="s">
        <v>617</v>
      </c>
      <c r="J2004" s="13">
        <v>45972</v>
      </c>
      <c r="K2004" s="13">
        <v>46023</v>
      </c>
      <c r="L2004" t="s">
        <v>1179</v>
      </c>
      <c r="M2004" t="s">
        <v>59</v>
      </c>
      <c r="N2004">
        <v>71941920</v>
      </c>
    </row>
    <row r="2005" spans="1:14" x14ac:dyDescent="0.25">
      <c r="A2005">
        <v>58019388</v>
      </c>
      <c r="B2005" t="s">
        <v>5155</v>
      </c>
      <c r="C2005" t="s">
        <v>5156</v>
      </c>
      <c r="D2005" t="s">
        <v>5157</v>
      </c>
      <c r="E2005">
        <v>3178093788</v>
      </c>
      <c r="F2005" t="s">
        <v>693</v>
      </c>
      <c r="G2005" t="s">
        <v>694</v>
      </c>
      <c r="I2005" t="s">
        <v>103</v>
      </c>
      <c r="J2005" s="13">
        <v>45972</v>
      </c>
      <c r="K2005" s="13">
        <v>46023</v>
      </c>
      <c r="L2005" t="s">
        <v>440</v>
      </c>
      <c r="M2005" t="s">
        <v>58</v>
      </c>
      <c r="N2005">
        <v>71942119</v>
      </c>
    </row>
    <row r="2006" spans="1:14" x14ac:dyDescent="0.25">
      <c r="A2006">
        <v>58019850</v>
      </c>
      <c r="B2006" t="s">
        <v>607</v>
      </c>
      <c r="C2006" t="s">
        <v>1203</v>
      </c>
      <c r="D2006" t="s">
        <v>5158</v>
      </c>
      <c r="E2006">
        <v>4802740548</v>
      </c>
      <c r="F2006" t="s">
        <v>957</v>
      </c>
      <c r="G2006" t="s">
        <v>958</v>
      </c>
      <c r="H2006" t="s">
        <v>959</v>
      </c>
      <c r="I2006" t="s">
        <v>960</v>
      </c>
      <c r="J2006" s="13">
        <v>45972</v>
      </c>
      <c r="K2006" s="13">
        <v>46023</v>
      </c>
      <c r="L2006" t="s">
        <v>1179</v>
      </c>
      <c r="M2006" t="s">
        <v>55</v>
      </c>
      <c r="N2006">
        <v>71942898</v>
      </c>
    </row>
    <row r="2007" spans="1:14" x14ac:dyDescent="0.25">
      <c r="A2007">
        <v>58020075</v>
      </c>
      <c r="B2007" t="s">
        <v>2311</v>
      </c>
      <c r="C2007" t="s">
        <v>5159</v>
      </c>
      <c r="D2007" t="s">
        <v>5160</v>
      </c>
      <c r="E2007">
        <v>2763011893</v>
      </c>
      <c r="F2007" t="s">
        <v>474</v>
      </c>
      <c r="G2007" t="s">
        <v>475</v>
      </c>
      <c r="I2007" t="s">
        <v>132</v>
      </c>
      <c r="J2007" s="13">
        <v>45972</v>
      </c>
      <c r="K2007" s="13">
        <v>46023</v>
      </c>
      <c r="L2007" t="s">
        <v>454</v>
      </c>
      <c r="M2007" t="s">
        <v>59</v>
      </c>
      <c r="N2007">
        <v>71943113</v>
      </c>
    </row>
    <row r="2008" spans="1:14" x14ac:dyDescent="0.25">
      <c r="A2008">
        <v>58020462</v>
      </c>
      <c r="B2008" t="s">
        <v>5161</v>
      </c>
      <c r="C2008" t="s">
        <v>5162</v>
      </c>
      <c r="D2008" t="s">
        <v>5163</v>
      </c>
      <c r="E2008">
        <v>6813057150</v>
      </c>
      <c r="F2008" t="s">
        <v>574</v>
      </c>
      <c r="G2008" t="s">
        <v>575</v>
      </c>
      <c r="I2008" t="s">
        <v>14</v>
      </c>
      <c r="J2008" s="13">
        <v>45972</v>
      </c>
      <c r="K2008" s="13">
        <v>46023</v>
      </c>
      <c r="L2008" t="s">
        <v>1188</v>
      </c>
      <c r="M2008" t="s">
        <v>56</v>
      </c>
      <c r="N2008">
        <v>71943374</v>
      </c>
    </row>
    <row r="2009" spans="1:14" x14ac:dyDescent="0.25">
      <c r="A2009">
        <v>58020637</v>
      </c>
      <c r="B2009" t="s">
        <v>439</v>
      </c>
      <c r="C2009" t="s">
        <v>5164</v>
      </c>
      <c r="D2009" t="s">
        <v>5165</v>
      </c>
      <c r="E2009" t="s">
        <v>5166</v>
      </c>
      <c r="F2009" t="s">
        <v>462</v>
      </c>
      <c r="G2009" t="s">
        <v>463</v>
      </c>
      <c r="I2009" t="s">
        <v>39</v>
      </c>
      <c r="J2009" s="13">
        <v>45972</v>
      </c>
      <c r="K2009" s="13">
        <v>46023</v>
      </c>
      <c r="L2009" t="s">
        <v>497</v>
      </c>
      <c r="M2009" t="s">
        <v>54</v>
      </c>
      <c r="N2009">
        <v>71943488</v>
      </c>
    </row>
    <row r="2010" spans="1:14" x14ac:dyDescent="0.25">
      <c r="A2010">
        <v>58020649</v>
      </c>
      <c r="B2010" t="s">
        <v>445</v>
      </c>
      <c r="C2010" t="s">
        <v>5167</v>
      </c>
      <c r="D2010" t="s">
        <v>5168</v>
      </c>
      <c r="E2010">
        <v>6204330744</v>
      </c>
      <c r="F2010" t="s">
        <v>821</v>
      </c>
      <c r="G2010" t="s">
        <v>822</v>
      </c>
      <c r="I2010" t="s">
        <v>823</v>
      </c>
      <c r="J2010" s="13">
        <v>45972</v>
      </c>
      <c r="K2010" s="13">
        <v>46023</v>
      </c>
      <c r="L2010" t="s">
        <v>520</v>
      </c>
      <c r="M2010" t="s">
        <v>58</v>
      </c>
      <c r="N2010">
        <v>71943500</v>
      </c>
    </row>
    <row r="2011" spans="1:14" x14ac:dyDescent="0.25">
      <c r="A2011">
        <v>58020704</v>
      </c>
      <c r="B2011" t="s">
        <v>420</v>
      </c>
      <c r="C2011" t="s">
        <v>5169</v>
      </c>
      <c r="D2011" t="s">
        <v>5170</v>
      </c>
      <c r="E2011">
        <v>6783688636</v>
      </c>
      <c r="F2011" t="s">
        <v>842</v>
      </c>
      <c r="G2011" t="s">
        <v>843</v>
      </c>
      <c r="I2011" t="s">
        <v>98</v>
      </c>
      <c r="J2011" s="13">
        <v>45972</v>
      </c>
      <c r="K2011" s="13">
        <v>46023</v>
      </c>
      <c r="L2011" t="s">
        <v>621</v>
      </c>
      <c r="M2011" t="s">
        <v>58</v>
      </c>
      <c r="N2011">
        <v>71943522</v>
      </c>
    </row>
    <row r="2012" spans="1:14" x14ac:dyDescent="0.25">
      <c r="A2012">
        <v>58023165</v>
      </c>
      <c r="B2012" t="s">
        <v>2392</v>
      </c>
      <c r="C2012" t="s">
        <v>5171</v>
      </c>
      <c r="D2012" t="s">
        <v>5172</v>
      </c>
      <c r="E2012">
        <v>4233551879</v>
      </c>
      <c r="F2012" t="s">
        <v>828</v>
      </c>
      <c r="G2012" t="s">
        <v>1148</v>
      </c>
      <c r="I2012" t="s">
        <v>17</v>
      </c>
      <c r="J2012" s="13">
        <v>45972</v>
      </c>
      <c r="K2012" s="13">
        <v>46023</v>
      </c>
      <c r="L2012" t="s">
        <v>479</v>
      </c>
      <c r="M2012" t="s">
        <v>55</v>
      </c>
      <c r="N2012">
        <v>71944777</v>
      </c>
    </row>
    <row r="2013" spans="1:14" x14ac:dyDescent="0.25">
      <c r="A2013">
        <v>58023532</v>
      </c>
      <c r="B2013" t="s">
        <v>1997</v>
      </c>
      <c r="C2013" t="s">
        <v>5173</v>
      </c>
      <c r="D2013" t="s">
        <v>5174</v>
      </c>
      <c r="E2013">
        <v>6062549905</v>
      </c>
      <c r="F2013" t="s">
        <v>551</v>
      </c>
      <c r="G2013" t="s">
        <v>552</v>
      </c>
      <c r="I2013" t="s">
        <v>42</v>
      </c>
      <c r="J2013" s="13">
        <v>45972</v>
      </c>
      <c r="K2013" s="13">
        <v>46023</v>
      </c>
      <c r="L2013" t="s">
        <v>490</v>
      </c>
      <c r="M2013" t="s">
        <v>56</v>
      </c>
      <c r="N2013">
        <v>71944945</v>
      </c>
    </row>
    <row r="2014" spans="1:14" x14ac:dyDescent="0.25">
      <c r="A2014">
        <v>58023881</v>
      </c>
      <c r="B2014" t="s">
        <v>787</v>
      </c>
      <c r="C2014" t="s">
        <v>5175</v>
      </c>
      <c r="D2014" t="s">
        <v>5176</v>
      </c>
      <c r="E2014">
        <v>8322032849</v>
      </c>
      <c r="F2014" t="s">
        <v>592</v>
      </c>
      <c r="G2014" t="s">
        <v>593</v>
      </c>
      <c r="I2014" t="s">
        <v>115</v>
      </c>
      <c r="J2014" s="13">
        <v>45972</v>
      </c>
      <c r="K2014" s="13">
        <v>46023</v>
      </c>
      <c r="L2014" t="s">
        <v>444</v>
      </c>
      <c r="M2014" t="s">
        <v>61</v>
      </c>
      <c r="N2014">
        <v>71945166</v>
      </c>
    </row>
    <row r="2015" spans="1:14" x14ac:dyDescent="0.25">
      <c r="A2015">
        <v>58024193</v>
      </c>
      <c r="B2015" t="s">
        <v>5177</v>
      </c>
      <c r="C2015" t="s">
        <v>5178</v>
      </c>
      <c r="D2015" t="s">
        <v>5179</v>
      </c>
      <c r="E2015">
        <v>7047401016</v>
      </c>
      <c r="F2015" t="s">
        <v>693</v>
      </c>
      <c r="G2015" t="s">
        <v>694</v>
      </c>
      <c r="I2015" t="s">
        <v>103</v>
      </c>
      <c r="J2015" s="13">
        <v>45972</v>
      </c>
      <c r="K2015" s="13">
        <v>46023</v>
      </c>
      <c r="L2015" t="s">
        <v>603</v>
      </c>
      <c r="M2015" t="s">
        <v>61</v>
      </c>
      <c r="N2015">
        <v>71945375</v>
      </c>
    </row>
    <row r="2016" spans="1:14" x14ac:dyDescent="0.25">
      <c r="A2016">
        <v>58024767</v>
      </c>
      <c r="B2016" t="s">
        <v>5180</v>
      </c>
      <c r="C2016" t="s">
        <v>5181</v>
      </c>
      <c r="D2016" t="s">
        <v>5182</v>
      </c>
      <c r="E2016">
        <v>3053051792</v>
      </c>
      <c r="F2016" t="s">
        <v>1345</v>
      </c>
      <c r="G2016" t="s">
        <v>799</v>
      </c>
      <c r="I2016" t="s">
        <v>47</v>
      </c>
      <c r="J2016" s="13">
        <v>45972</v>
      </c>
      <c r="K2016" s="13">
        <v>46023</v>
      </c>
      <c r="L2016" t="s">
        <v>497</v>
      </c>
      <c r="M2016" t="s">
        <v>54</v>
      </c>
      <c r="N2016">
        <v>71945708</v>
      </c>
    </row>
    <row r="2017" spans="1:14" x14ac:dyDescent="0.25">
      <c r="A2017">
        <v>58024866</v>
      </c>
      <c r="B2017" t="s">
        <v>1232</v>
      </c>
      <c r="C2017" t="s">
        <v>564</v>
      </c>
      <c r="D2017" t="s">
        <v>5183</v>
      </c>
      <c r="E2017">
        <v>9412663770</v>
      </c>
      <c r="F2017" t="s">
        <v>448</v>
      </c>
      <c r="G2017" t="s">
        <v>449</v>
      </c>
      <c r="I2017" t="s">
        <v>31</v>
      </c>
      <c r="J2017" s="13">
        <v>45972</v>
      </c>
      <c r="K2017" s="13">
        <v>46023</v>
      </c>
      <c r="L2017" t="s">
        <v>497</v>
      </c>
      <c r="M2017" t="s">
        <v>56</v>
      </c>
      <c r="N2017">
        <v>71945750</v>
      </c>
    </row>
    <row r="2018" spans="1:14" x14ac:dyDescent="0.25">
      <c r="A2018">
        <v>58024916</v>
      </c>
      <c r="B2018" t="s">
        <v>5184</v>
      </c>
      <c r="C2018" t="s">
        <v>903</v>
      </c>
      <c r="D2018" t="s">
        <v>5185</v>
      </c>
      <c r="E2018">
        <v>2148682745</v>
      </c>
      <c r="F2018" t="s">
        <v>474</v>
      </c>
      <c r="G2018" t="s">
        <v>475</v>
      </c>
      <c r="I2018" t="s">
        <v>132</v>
      </c>
      <c r="J2018" s="13">
        <v>45972</v>
      </c>
      <c r="K2018" s="13">
        <v>46023</v>
      </c>
      <c r="L2018" t="s">
        <v>444</v>
      </c>
      <c r="M2018" t="s">
        <v>56</v>
      </c>
      <c r="N2018">
        <v>71945777</v>
      </c>
    </row>
    <row r="2019" spans="1:14" x14ac:dyDescent="0.25">
      <c r="A2019">
        <v>58024981</v>
      </c>
      <c r="B2019" t="s">
        <v>1123</v>
      </c>
      <c r="C2019" t="s">
        <v>5186</v>
      </c>
      <c r="D2019" t="s">
        <v>5187</v>
      </c>
      <c r="E2019">
        <v>5183691121</v>
      </c>
      <c r="F2019" t="s">
        <v>462</v>
      </c>
      <c r="G2019" t="s">
        <v>463</v>
      </c>
      <c r="I2019" t="s">
        <v>39</v>
      </c>
      <c r="J2019" s="13">
        <v>45972</v>
      </c>
      <c r="K2019" s="13">
        <v>46023</v>
      </c>
      <c r="L2019" t="s">
        <v>497</v>
      </c>
      <c r="M2019" t="s">
        <v>56</v>
      </c>
      <c r="N2019">
        <v>71945814</v>
      </c>
    </row>
    <row r="2020" spans="1:14" x14ac:dyDescent="0.25">
      <c r="A2020">
        <v>58025265</v>
      </c>
      <c r="B2020" t="s">
        <v>784</v>
      </c>
      <c r="C2020" t="s">
        <v>1292</v>
      </c>
      <c r="D2020" t="s">
        <v>5188</v>
      </c>
      <c r="E2020">
        <v>7064375309</v>
      </c>
      <c r="F2020" t="s">
        <v>798</v>
      </c>
      <c r="G2020" t="s">
        <v>799</v>
      </c>
      <c r="I2020" t="s">
        <v>800</v>
      </c>
      <c r="J2020" s="13">
        <v>45972</v>
      </c>
      <c r="K2020" s="13">
        <v>46023</v>
      </c>
      <c r="L2020" t="s">
        <v>621</v>
      </c>
      <c r="M2020" t="s">
        <v>59</v>
      </c>
      <c r="N2020">
        <v>71945946</v>
      </c>
    </row>
    <row r="2021" spans="1:14" x14ac:dyDescent="0.25">
      <c r="A2021">
        <v>58026469</v>
      </c>
      <c r="B2021" t="s">
        <v>2745</v>
      </c>
      <c r="C2021" t="s">
        <v>5189</v>
      </c>
      <c r="D2021" t="s">
        <v>5190</v>
      </c>
      <c r="E2021">
        <v>6024417160</v>
      </c>
      <c r="F2021" t="s">
        <v>416</v>
      </c>
      <c r="G2021" t="s">
        <v>417</v>
      </c>
      <c r="I2021" t="s">
        <v>26</v>
      </c>
      <c r="J2021" s="13">
        <v>45972</v>
      </c>
      <c r="K2021" s="13">
        <v>46023</v>
      </c>
      <c r="L2021" t="s">
        <v>1179</v>
      </c>
      <c r="M2021" t="s">
        <v>54</v>
      </c>
      <c r="N2021">
        <v>71946609</v>
      </c>
    </row>
    <row r="2022" spans="1:14" x14ac:dyDescent="0.25">
      <c r="A2022">
        <v>58026605</v>
      </c>
      <c r="B2022" t="s">
        <v>748</v>
      </c>
      <c r="C2022" t="s">
        <v>5191</v>
      </c>
      <c r="D2022" t="s">
        <v>5192</v>
      </c>
      <c r="E2022">
        <v>5202702591</v>
      </c>
      <c r="F2022" t="s">
        <v>1345</v>
      </c>
      <c r="G2022" t="s">
        <v>799</v>
      </c>
      <c r="I2022" t="s">
        <v>47</v>
      </c>
      <c r="J2022" s="13">
        <v>45972</v>
      </c>
      <c r="K2022" s="13">
        <v>46023</v>
      </c>
      <c r="L2022" t="s">
        <v>1179</v>
      </c>
      <c r="M2022" t="s">
        <v>54</v>
      </c>
      <c r="N2022">
        <v>71946697</v>
      </c>
    </row>
    <row r="2023" spans="1:14" x14ac:dyDescent="0.25">
      <c r="A2023">
        <v>58026613</v>
      </c>
      <c r="B2023" t="s">
        <v>1362</v>
      </c>
      <c r="C2023" t="s">
        <v>5193</v>
      </c>
      <c r="D2023" t="s">
        <v>5194</v>
      </c>
      <c r="E2023">
        <v>8594365682</v>
      </c>
      <c r="F2023" t="s">
        <v>448</v>
      </c>
      <c r="G2023" t="s">
        <v>449</v>
      </c>
      <c r="I2023" t="s">
        <v>31</v>
      </c>
      <c r="J2023" s="13">
        <v>45972</v>
      </c>
      <c r="K2023" s="13">
        <v>46023</v>
      </c>
      <c r="L2023" t="s">
        <v>490</v>
      </c>
      <c r="M2023" t="s">
        <v>59</v>
      </c>
      <c r="N2023">
        <v>71946702</v>
      </c>
    </row>
    <row r="2024" spans="1:14" x14ac:dyDescent="0.25">
      <c r="A2024">
        <v>58029432</v>
      </c>
      <c r="B2024" t="s">
        <v>669</v>
      </c>
      <c r="C2024" t="s">
        <v>5195</v>
      </c>
      <c r="D2024" t="s">
        <v>5196</v>
      </c>
      <c r="E2024">
        <v>5572181012</v>
      </c>
      <c r="F2024" t="s">
        <v>448</v>
      </c>
      <c r="G2024" t="s">
        <v>449</v>
      </c>
      <c r="I2024" t="s">
        <v>31</v>
      </c>
      <c r="J2024" s="13">
        <v>45973</v>
      </c>
      <c r="K2024" s="13">
        <v>46023</v>
      </c>
      <c r="L2024" t="s">
        <v>434</v>
      </c>
      <c r="M2024" t="s">
        <v>58</v>
      </c>
      <c r="N2024">
        <v>71948967</v>
      </c>
    </row>
    <row r="2025" spans="1:14" x14ac:dyDescent="0.25">
      <c r="A2025">
        <v>58029517</v>
      </c>
      <c r="B2025" t="s">
        <v>1997</v>
      </c>
      <c r="C2025" t="s">
        <v>1300</v>
      </c>
      <c r="D2025" t="s">
        <v>5197</v>
      </c>
      <c r="E2025">
        <v>7734419068</v>
      </c>
      <c r="F2025" t="s">
        <v>474</v>
      </c>
      <c r="G2025" t="s">
        <v>475</v>
      </c>
      <c r="I2025" t="s">
        <v>132</v>
      </c>
      <c r="J2025" s="13">
        <v>45973</v>
      </c>
      <c r="K2025" s="13">
        <v>46023</v>
      </c>
      <c r="L2025" t="s">
        <v>470</v>
      </c>
      <c r="M2025" t="s">
        <v>62</v>
      </c>
      <c r="N2025">
        <v>71950334</v>
      </c>
    </row>
    <row r="2026" spans="1:14" x14ac:dyDescent="0.25">
      <c r="A2026">
        <v>58030772</v>
      </c>
      <c r="B2026" t="s">
        <v>431</v>
      </c>
      <c r="C2026" t="s">
        <v>5198</v>
      </c>
      <c r="D2026" t="s">
        <v>5199</v>
      </c>
      <c r="E2026">
        <v>6308026025</v>
      </c>
      <c r="F2026" t="s">
        <v>474</v>
      </c>
      <c r="G2026" t="s">
        <v>475</v>
      </c>
      <c r="I2026" t="s">
        <v>132</v>
      </c>
      <c r="J2026" s="13">
        <v>45973</v>
      </c>
      <c r="K2026" s="13">
        <v>46023</v>
      </c>
      <c r="L2026" t="s">
        <v>533</v>
      </c>
      <c r="M2026" t="s">
        <v>56</v>
      </c>
      <c r="N2026">
        <v>71952260</v>
      </c>
    </row>
    <row r="2027" spans="1:14" x14ac:dyDescent="0.25">
      <c r="A2027">
        <v>58030936</v>
      </c>
      <c r="B2027" t="s">
        <v>3133</v>
      </c>
      <c r="C2027" t="s">
        <v>5200</v>
      </c>
      <c r="D2027" t="s">
        <v>5201</v>
      </c>
      <c r="E2027">
        <v>8707071216</v>
      </c>
      <c r="F2027" t="s">
        <v>1013</v>
      </c>
      <c r="G2027" t="s">
        <v>1014</v>
      </c>
      <c r="I2027" t="s">
        <v>43</v>
      </c>
      <c r="J2027" s="13">
        <v>45973</v>
      </c>
      <c r="K2027" s="13">
        <v>46023</v>
      </c>
      <c r="L2027" t="s">
        <v>553</v>
      </c>
      <c r="M2027" t="s">
        <v>56</v>
      </c>
      <c r="N2027">
        <v>71952384</v>
      </c>
    </row>
    <row r="2028" spans="1:14" x14ac:dyDescent="0.25">
      <c r="A2028">
        <v>58031023</v>
      </c>
      <c r="B2028" t="s">
        <v>1589</v>
      </c>
      <c r="C2028" t="s">
        <v>5202</v>
      </c>
      <c r="D2028" t="s">
        <v>5203</v>
      </c>
      <c r="E2028">
        <v>9414451565</v>
      </c>
      <c r="F2028" t="s">
        <v>770</v>
      </c>
      <c r="G2028" t="s">
        <v>771</v>
      </c>
      <c r="I2028" t="s">
        <v>25</v>
      </c>
      <c r="J2028" s="13">
        <v>45973</v>
      </c>
      <c r="K2028" s="13">
        <v>46023</v>
      </c>
      <c r="L2028" t="s">
        <v>621</v>
      </c>
      <c r="M2028" t="s">
        <v>56</v>
      </c>
      <c r="N2028">
        <v>71952453</v>
      </c>
    </row>
    <row r="2029" spans="1:14" x14ac:dyDescent="0.25">
      <c r="A2029">
        <v>58031558</v>
      </c>
      <c r="B2029" t="s">
        <v>5204</v>
      </c>
      <c r="C2029" t="s">
        <v>5205</v>
      </c>
      <c r="D2029" t="s">
        <v>5206</v>
      </c>
      <c r="E2029">
        <v>5612559111</v>
      </c>
      <c r="F2029" t="s">
        <v>462</v>
      </c>
      <c r="G2029" t="s">
        <v>463</v>
      </c>
      <c r="I2029" t="s">
        <v>39</v>
      </c>
      <c r="J2029" s="13">
        <v>45973</v>
      </c>
      <c r="K2029" s="13">
        <v>46023</v>
      </c>
      <c r="L2029" t="s">
        <v>497</v>
      </c>
      <c r="M2029" t="s">
        <v>54</v>
      </c>
      <c r="N2029">
        <v>71952853</v>
      </c>
    </row>
    <row r="2030" spans="1:14" x14ac:dyDescent="0.25">
      <c r="A2030">
        <v>58032041</v>
      </c>
      <c r="B2030" t="s">
        <v>1226</v>
      </c>
      <c r="C2030" t="s">
        <v>5207</v>
      </c>
      <c r="D2030" t="s">
        <v>5208</v>
      </c>
      <c r="E2030">
        <v>2694622149</v>
      </c>
      <c r="F2030" t="s">
        <v>705</v>
      </c>
      <c r="G2030" t="s">
        <v>706</v>
      </c>
      <c r="I2030" t="s">
        <v>12</v>
      </c>
      <c r="J2030" s="13">
        <v>45973</v>
      </c>
      <c r="K2030" s="13">
        <v>46023</v>
      </c>
      <c r="L2030" t="s">
        <v>490</v>
      </c>
      <c r="M2030" t="s">
        <v>56</v>
      </c>
      <c r="N2030">
        <v>71953122</v>
      </c>
    </row>
    <row r="2031" spans="1:14" x14ac:dyDescent="0.25">
      <c r="A2031">
        <v>58032188</v>
      </c>
      <c r="B2031" t="s">
        <v>1527</v>
      </c>
      <c r="C2031" t="s">
        <v>515</v>
      </c>
      <c r="D2031" t="s">
        <v>5209</v>
      </c>
      <c r="E2031">
        <v>4074088962</v>
      </c>
      <c r="F2031" t="s">
        <v>928</v>
      </c>
      <c r="G2031" t="s">
        <v>929</v>
      </c>
      <c r="I2031" t="s">
        <v>30</v>
      </c>
      <c r="J2031" s="13">
        <v>45973</v>
      </c>
      <c r="K2031" s="13">
        <v>46023</v>
      </c>
      <c r="L2031" t="s">
        <v>497</v>
      </c>
      <c r="M2031" t="s">
        <v>59</v>
      </c>
      <c r="N2031">
        <v>71953197</v>
      </c>
    </row>
    <row r="2032" spans="1:14" x14ac:dyDescent="0.25">
      <c r="A2032">
        <v>58032201</v>
      </c>
      <c r="B2032" t="s">
        <v>2771</v>
      </c>
      <c r="C2032" t="s">
        <v>5210</v>
      </c>
      <c r="D2032" t="s">
        <v>5211</v>
      </c>
      <c r="E2032">
        <v>4799667288</v>
      </c>
      <c r="F2032" t="s">
        <v>615</v>
      </c>
      <c r="G2032" t="s">
        <v>616</v>
      </c>
      <c r="I2032" t="s">
        <v>617</v>
      </c>
      <c r="J2032" s="13">
        <v>45973</v>
      </c>
      <c r="K2032" s="13">
        <v>46023</v>
      </c>
      <c r="L2032" t="s">
        <v>553</v>
      </c>
      <c r="M2032" t="s">
        <v>58</v>
      </c>
      <c r="N2032">
        <v>71953206</v>
      </c>
    </row>
    <row r="2033" spans="1:14" x14ac:dyDescent="0.25">
      <c r="A2033">
        <v>58032449</v>
      </c>
      <c r="B2033" t="s">
        <v>1052</v>
      </c>
      <c r="C2033" t="s">
        <v>3765</v>
      </c>
      <c r="D2033" t="s">
        <v>5212</v>
      </c>
      <c r="E2033">
        <v>9123261295</v>
      </c>
      <c r="F2033" t="s">
        <v>574</v>
      </c>
      <c r="G2033" t="s">
        <v>575</v>
      </c>
      <c r="I2033" t="s">
        <v>14</v>
      </c>
      <c r="J2033" s="13">
        <v>45973</v>
      </c>
      <c r="K2033" s="13">
        <v>46023</v>
      </c>
      <c r="L2033" t="s">
        <v>621</v>
      </c>
      <c r="M2033" t="s">
        <v>58</v>
      </c>
      <c r="N2033">
        <v>71953364</v>
      </c>
    </row>
    <row r="2034" spans="1:14" x14ac:dyDescent="0.25">
      <c r="A2034">
        <v>58032865</v>
      </c>
      <c r="B2034" t="s">
        <v>3742</v>
      </c>
      <c r="C2034" t="s">
        <v>5213</v>
      </c>
      <c r="D2034" t="s">
        <v>5214</v>
      </c>
      <c r="E2034">
        <v>9045757175</v>
      </c>
      <c r="F2034" t="s">
        <v>628</v>
      </c>
      <c r="G2034" t="s">
        <v>629</v>
      </c>
      <c r="I2034" t="s">
        <v>24</v>
      </c>
      <c r="J2034" s="13">
        <v>45973</v>
      </c>
      <c r="K2034" s="13">
        <v>46023</v>
      </c>
      <c r="L2034" t="s">
        <v>497</v>
      </c>
      <c r="M2034" t="s">
        <v>60</v>
      </c>
      <c r="N2034">
        <v>71953631</v>
      </c>
    </row>
    <row r="2035" spans="1:14" x14ac:dyDescent="0.25">
      <c r="A2035">
        <v>58034246</v>
      </c>
      <c r="B2035" t="s">
        <v>2071</v>
      </c>
      <c r="C2035" t="s">
        <v>5215</v>
      </c>
      <c r="D2035" t="s">
        <v>5216</v>
      </c>
      <c r="E2035">
        <v>4803282020</v>
      </c>
      <c r="F2035" t="s">
        <v>416</v>
      </c>
      <c r="G2035" t="s">
        <v>417</v>
      </c>
      <c r="I2035" t="s">
        <v>26</v>
      </c>
      <c r="J2035" s="13">
        <v>45973</v>
      </c>
      <c r="K2035" s="13">
        <v>46023</v>
      </c>
      <c r="L2035" t="s">
        <v>1179</v>
      </c>
      <c r="M2035" t="s">
        <v>54</v>
      </c>
      <c r="N2035">
        <v>71954282</v>
      </c>
    </row>
    <row r="2036" spans="1:14" x14ac:dyDescent="0.25">
      <c r="A2036">
        <v>58034445</v>
      </c>
      <c r="B2036" t="s">
        <v>2975</v>
      </c>
      <c r="C2036" t="s">
        <v>5217</v>
      </c>
      <c r="D2036" t="s">
        <v>5218</v>
      </c>
      <c r="E2036">
        <v>9048352999</v>
      </c>
      <c r="F2036" t="s">
        <v>474</v>
      </c>
      <c r="G2036" t="s">
        <v>475</v>
      </c>
      <c r="I2036" t="s">
        <v>132</v>
      </c>
      <c r="J2036" s="13">
        <v>45973</v>
      </c>
      <c r="K2036" s="13">
        <v>46023</v>
      </c>
      <c r="L2036" t="s">
        <v>497</v>
      </c>
      <c r="M2036" t="s">
        <v>59</v>
      </c>
      <c r="N2036">
        <v>71954490</v>
      </c>
    </row>
    <row r="2037" spans="1:14" x14ac:dyDescent="0.25">
      <c r="A2037">
        <v>58034503</v>
      </c>
      <c r="B2037" t="s">
        <v>1518</v>
      </c>
      <c r="C2037" t="s">
        <v>5219</v>
      </c>
      <c r="D2037" t="s">
        <v>5220</v>
      </c>
      <c r="E2037">
        <v>2392811282</v>
      </c>
      <c r="F2037" t="s">
        <v>798</v>
      </c>
      <c r="G2037" t="s">
        <v>799</v>
      </c>
      <c r="I2037" t="s">
        <v>800</v>
      </c>
      <c r="J2037" s="13">
        <v>45973</v>
      </c>
      <c r="K2037" s="13">
        <v>46023</v>
      </c>
      <c r="L2037" t="s">
        <v>497</v>
      </c>
      <c r="M2037" t="s">
        <v>61</v>
      </c>
      <c r="N2037">
        <v>71954533</v>
      </c>
    </row>
    <row r="2038" spans="1:14" x14ac:dyDescent="0.25">
      <c r="A2038">
        <v>58034514</v>
      </c>
      <c r="B2038" t="s">
        <v>5221</v>
      </c>
      <c r="C2038" t="s">
        <v>2219</v>
      </c>
      <c r="D2038" t="s">
        <v>5222</v>
      </c>
      <c r="E2038">
        <v>7577741890</v>
      </c>
      <c r="F2038" t="s">
        <v>649</v>
      </c>
      <c r="G2038" t="s">
        <v>650</v>
      </c>
      <c r="I2038" t="s">
        <v>28</v>
      </c>
      <c r="J2038" s="13">
        <v>45973</v>
      </c>
      <c r="K2038" s="13">
        <v>46023</v>
      </c>
      <c r="L2038" t="s">
        <v>454</v>
      </c>
      <c r="M2038" t="s">
        <v>56</v>
      </c>
      <c r="N2038">
        <v>71954542</v>
      </c>
    </row>
    <row r="2039" spans="1:14" x14ac:dyDescent="0.25">
      <c r="A2039">
        <v>58034913</v>
      </c>
      <c r="B2039" t="s">
        <v>2554</v>
      </c>
      <c r="C2039" t="s">
        <v>5223</v>
      </c>
      <c r="D2039" t="s">
        <v>5224</v>
      </c>
      <c r="E2039">
        <v>8135084923</v>
      </c>
      <c r="F2039" t="s">
        <v>775</v>
      </c>
      <c r="G2039" t="s">
        <v>776</v>
      </c>
      <c r="I2039" t="s">
        <v>22</v>
      </c>
      <c r="J2039" s="13">
        <v>45973</v>
      </c>
      <c r="K2039" s="13">
        <v>46023</v>
      </c>
      <c r="L2039" t="s">
        <v>497</v>
      </c>
      <c r="M2039" t="s">
        <v>54</v>
      </c>
      <c r="N2039">
        <v>71954784</v>
      </c>
    </row>
    <row r="2040" spans="1:14" x14ac:dyDescent="0.25">
      <c r="A2040">
        <v>58035097</v>
      </c>
      <c r="B2040" t="s">
        <v>5225</v>
      </c>
      <c r="C2040" t="s">
        <v>4107</v>
      </c>
      <c r="D2040" t="s">
        <v>5226</v>
      </c>
      <c r="E2040">
        <v>9048952106</v>
      </c>
      <c r="F2040" t="s">
        <v>592</v>
      </c>
      <c r="G2040" t="s">
        <v>593</v>
      </c>
      <c r="I2040" t="s">
        <v>115</v>
      </c>
      <c r="J2040" s="13">
        <v>45973</v>
      </c>
      <c r="K2040" s="13">
        <v>46023</v>
      </c>
      <c r="L2040" t="s">
        <v>497</v>
      </c>
      <c r="M2040" t="s">
        <v>56</v>
      </c>
      <c r="N2040">
        <v>71954910</v>
      </c>
    </row>
    <row r="2041" spans="1:14" x14ac:dyDescent="0.25">
      <c r="A2041">
        <v>58035226</v>
      </c>
      <c r="B2041" t="s">
        <v>1784</v>
      </c>
      <c r="C2041" t="s">
        <v>5227</v>
      </c>
      <c r="D2041" t="s">
        <v>5228</v>
      </c>
      <c r="E2041">
        <v>6023636717</v>
      </c>
      <c r="F2041" t="s">
        <v>842</v>
      </c>
      <c r="G2041" t="s">
        <v>1213</v>
      </c>
      <c r="I2041" t="s">
        <v>1214</v>
      </c>
      <c r="J2041" s="13">
        <v>45973</v>
      </c>
      <c r="K2041" s="13">
        <v>46023</v>
      </c>
      <c r="L2041" t="s">
        <v>1179</v>
      </c>
      <c r="M2041" t="s">
        <v>54</v>
      </c>
      <c r="N2041">
        <v>71954996</v>
      </c>
    </row>
    <row r="2042" spans="1:14" x14ac:dyDescent="0.25">
      <c r="A2042">
        <v>58035301</v>
      </c>
      <c r="B2042" t="s">
        <v>1260</v>
      </c>
      <c r="C2042" t="s">
        <v>2219</v>
      </c>
      <c r="D2042" t="s">
        <v>5229</v>
      </c>
      <c r="E2042">
        <v>8635125725</v>
      </c>
      <c r="F2042" t="s">
        <v>1067</v>
      </c>
      <c r="G2042" t="s">
        <v>1068</v>
      </c>
      <c r="I2042" t="s">
        <v>35</v>
      </c>
      <c r="J2042" s="13">
        <v>45973</v>
      </c>
      <c r="K2042" s="13">
        <v>46023</v>
      </c>
      <c r="L2042" t="s">
        <v>497</v>
      </c>
      <c r="M2042" t="s">
        <v>56</v>
      </c>
      <c r="N2042">
        <v>71955045</v>
      </c>
    </row>
    <row r="2043" spans="1:14" x14ac:dyDescent="0.25">
      <c r="A2043">
        <v>58036562</v>
      </c>
      <c r="B2043" t="s">
        <v>5230</v>
      </c>
      <c r="C2043" t="s">
        <v>2291</v>
      </c>
      <c r="D2043" t="s">
        <v>5231</v>
      </c>
      <c r="E2043">
        <v>9705058141</v>
      </c>
      <c r="F2043" t="s">
        <v>448</v>
      </c>
      <c r="G2043" t="s">
        <v>449</v>
      </c>
      <c r="I2043" t="s">
        <v>31</v>
      </c>
      <c r="J2043" s="13">
        <v>45973</v>
      </c>
      <c r="K2043" s="13">
        <v>46023</v>
      </c>
      <c r="L2043" t="s">
        <v>539</v>
      </c>
      <c r="M2043" t="s">
        <v>56</v>
      </c>
      <c r="N2043">
        <v>71955949</v>
      </c>
    </row>
    <row r="2044" spans="1:14" x14ac:dyDescent="0.25">
      <c r="A2044">
        <v>58037015</v>
      </c>
      <c r="B2044" t="s">
        <v>1408</v>
      </c>
      <c r="C2044" t="s">
        <v>1104</v>
      </c>
      <c r="D2044" t="s">
        <v>5232</v>
      </c>
      <c r="E2044">
        <v>4043227104</v>
      </c>
      <c r="F2044" t="s">
        <v>551</v>
      </c>
      <c r="G2044" t="s">
        <v>552</v>
      </c>
      <c r="I2044" t="s">
        <v>42</v>
      </c>
      <c r="J2044" s="13">
        <v>45973</v>
      </c>
      <c r="K2044" s="13">
        <v>46054</v>
      </c>
      <c r="L2044" t="s">
        <v>621</v>
      </c>
      <c r="M2044" t="s">
        <v>55</v>
      </c>
      <c r="N2044">
        <v>71956130</v>
      </c>
    </row>
    <row r="2045" spans="1:14" x14ac:dyDescent="0.25">
      <c r="A2045">
        <v>58037890</v>
      </c>
      <c r="B2045" t="s">
        <v>5233</v>
      </c>
      <c r="C2045" t="s">
        <v>5234</v>
      </c>
      <c r="D2045" t="s">
        <v>5235</v>
      </c>
      <c r="E2045">
        <v>8503411320</v>
      </c>
      <c r="F2045" t="s">
        <v>1142</v>
      </c>
      <c r="G2045" t="s">
        <v>1143</v>
      </c>
      <c r="I2045" t="s">
        <v>124</v>
      </c>
      <c r="J2045" s="13">
        <v>45973</v>
      </c>
      <c r="K2045" s="13">
        <v>46023</v>
      </c>
      <c r="L2045" t="s">
        <v>497</v>
      </c>
      <c r="M2045" t="s">
        <v>56</v>
      </c>
      <c r="N2045">
        <v>71956937</v>
      </c>
    </row>
    <row r="2046" spans="1:14" x14ac:dyDescent="0.25">
      <c r="A2046">
        <v>58037981</v>
      </c>
      <c r="B2046" t="s">
        <v>1038</v>
      </c>
      <c r="C2046" t="s">
        <v>5236</v>
      </c>
      <c r="D2046" t="s">
        <v>5237</v>
      </c>
      <c r="E2046">
        <v>2564384705</v>
      </c>
      <c r="F2046" t="s">
        <v>569</v>
      </c>
      <c r="G2046" t="s">
        <v>570</v>
      </c>
      <c r="I2046" t="s">
        <v>34</v>
      </c>
      <c r="J2046" s="13">
        <v>45973</v>
      </c>
      <c r="K2046" s="13">
        <v>46023</v>
      </c>
      <c r="L2046" t="s">
        <v>450</v>
      </c>
      <c r="M2046" t="s">
        <v>56</v>
      </c>
      <c r="N2046">
        <v>71957017</v>
      </c>
    </row>
    <row r="2047" spans="1:14" x14ac:dyDescent="0.25">
      <c r="A2047">
        <v>58038330</v>
      </c>
      <c r="B2047" t="s">
        <v>1106</v>
      </c>
      <c r="C2047" t="s">
        <v>2175</v>
      </c>
      <c r="D2047" t="s">
        <v>5238</v>
      </c>
      <c r="E2047">
        <v>2526266224</v>
      </c>
      <c r="F2047" t="s">
        <v>1345</v>
      </c>
      <c r="G2047" t="s">
        <v>799</v>
      </c>
      <c r="I2047" t="s">
        <v>47</v>
      </c>
      <c r="J2047" s="13">
        <v>45973</v>
      </c>
      <c r="K2047" s="13">
        <v>46023</v>
      </c>
      <c r="L2047" t="s">
        <v>1179</v>
      </c>
      <c r="M2047" t="s">
        <v>54</v>
      </c>
      <c r="N2047">
        <v>71957259</v>
      </c>
    </row>
    <row r="2048" spans="1:14" x14ac:dyDescent="0.25">
      <c r="A2048">
        <v>58038666</v>
      </c>
      <c r="B2048" t="s">
        <v>3742</v>
      </c>
      <c r="C2048" t="s">
        <v>5239</v>
      </c>
      <c r="D2048" t="s">
        <v>5240</v>
      </c>
      <c r="E2048">
        <v>9282433592</v>
      </c>
      <c r="F2048" t="s">
        <v>780</v>
      </c>
      <c r="G2048" t="s">
        <v>781</v>
      </c>
      <c r="I2048" t="s">
        <v>20</v>
      </c>
      <c r="J2048" s="13">
        <v>45973</v>
      </c>
      <c r="K2048" s="13">
        <v>46023</v>
      </c>
      <c r="L2048" t="s">
        <v>1179</v>
      </c>
      <c r="M2048" t="s">
        <v>56</v>
      </c>
      <c r="N2048">
        <v>71957489</v>
      </c>
    </row>
    <row r="2049" spans="1:14" x14ac:dyDescent="0.25">
      <c r="A2049">
        <v>58038734</v>
      </c>
      <c r="B2049" t="s">
        <v>2849</v>
      </c>
      <c r="C2049" t="s">
        <v>5241</v>
      </c>
      <c r="D2049" t="s">
        <v>5242</v>
      </c>
      <c r="E2049">
        <v>9414475360</v>
      </c>
      <c r="F2049" t="s">
        <v>462</v>
      </c>
      <c r="G2049" t="s">
        <v>463</v>
      </c>
      <c r="I2049" t="s">
        <v>39</v>
      </c>
      <c r="J2049" s="13">
        <v>45973</v>
      </c>
      <c r="K2049" s="13">
        <v>46023</v>
      </c>
      <c r="L2049" t="s">
        <v>497</v>
      </c>
      <c r="M2049" t="s">
        <v>54</v>
      </c>
      <c r="N2049">
        <v>71957540</v>
      </c>
    </row>
    <row r="2050" spans="1:14" x14ac:dyDescent="0.25">
      <c r="A2050">
        <v>58039001</v>
      </c>
      <c r="B2050" t="s">
        <v>3014</v>
      </c>
      <c r="C2050" t="s">
        <v>5243</v>
      </c>
      <c r="D2050" t="s">
        <v>5244</v>
      </c>
      <c r="E2050">
        <v>7065755237</v>
      </c>
      <c r="F2050" t="s">
        <v>842</v>
      </c>
      <c r="G2050" t="s">
        <v>843</v>
      </c>
      <c r="I2050" t="s">
        <v>98</v>
      </c>
      <c r="J2050" s="13">
        <v>45973</v>
      </c>
      <c r="K2050" s="13">
        <v>46023</v>
      </c>
      <c r="L2050" t="s">
        <v>621</v>
      </c>
      <c r="M2050" t="s">
        <v>59</v>
      </c>
      <c r="N2050">
        <v>71957738</v>
      </c>
    </row>
    <row r="2051" spans="1:14" x14ac:dyDescent="0.25">
      <c r="A2051">
        <v>58039204</v>
      </c>
      <c r="B2051" t="s">
        <v>5245</v>
      </c>
      <c r="C2051" t="s">
        <v>5246</v>
      </c>
      <c r="D2051" t="s">
        <v>5247</v>
      </c>
      <c r="E2051">
        <v>8163106682</v>
      </c>
      <c r="F2051" t="s">
        <v>928</v>
      </c>
      <c r="G2051" t="s">
        <v>929</v>
      </c>
      <c r="I2051" t="s">
        <v>30</v>
      </c>
      <c r="J2051" s="13">
        <v>45973</v>
      </c>
      <c r="K2051" s="13">
        <v>46023</v>
      </c>
      <c r="L2051" t="s">
        <v>434</v>
      </c>
      <c r="M2051" t="s">
        <v>56</v>
      </c>
      <c r="N2051">
        <v>71957903</v>
      </c>
    </row>
    <row r="2052" spans="1:14" x14ac:dyDescent="0.25">
      <c r="A2052">
        <v>58039345</v>
      </c>
      <c r="B2052" t="s">
        <v>706</v>
      </c>
      <c r="C2052" t="s">
        <v>5248</v>
      </c>
      <c r="D2052" t="s">
        <v>5249</v>
      </c>
      <c r="E2052">
        <v>5205178710</v>
      </c>
      <c r="F2052" t="s">
        <v>4853</v>
      </c>
      <c r="G2052" t="s">
        <v>5017</v>
      </c>
      <c r="I2052" t="s">
        <v>5018</v>
      </c>
      <c r="J2052" s="13">
        <v>45973</v>
      </c>
      <c r="K2052" s="13">
        <v>46023</v>
      </c>
      <c r="L2052" t="s">
        <v>1179</v>
      </c>
      <c r="M2052" t="s">
        <v>54</v>
      </c>
      <c r="N2052">
        <v>71957991</v>
      </c>
    </row>
    <row r="2053" spans="1:14" x14ac:dyDescent="0.25">
      <c r="A2053">
        <v>58040405</v>
      </c>
      <c r="B2053" t="s">
        <v>1160</v>
      </c>
      <c r="C2053" t="s">
        <v>1795</v>
      </c>
      <c r="D2053" t="s">
        <v>5250</v>
      </c>
      <c r="E2053">
        <v>3045935511</v>
      </c>
      <c r="F2053" t="s">
        <v>957</v>
      </c>
      <c r="G2053" t="s">
        <v>958</v>
      </c>
      <c r="H2053" t="s">
        <v>959</v>
      </c>
      <c r="I2053" t="s">
        <v>960</v>
      </c>
      <c r="J2053" s="13">
        <v>45973</v>
      </c>
      <c r="K2053" s="13">
        <v>46023</v>
      </c>
      <c r="L2053" t="s">
        <v>1188</v>
      </c>
      <c r="M2053" t="s">
        <v>56</v>
      </c>
      <c r="N2053">
        <v>71958479</v>
      </c>
    </row>
    <row r="2054" spans="1:14" x14ac:dyDescent="0.25">
      <c r="A2054">
        <v>58040166</v>
      </c>
      <c r="B2054" t="s">
        <v>3940</v>
      </c>
      <c r="C2054" t="s">
        <v>5251</v>
      </c>
      <c r="D2054" t="s">
        <v>5252</v>
      </c>
      <c r="E2054">
        <v>3057257024</v>
      </c>
      <c r="F2054" t="s">
        <v>416</v>
      </c>
      <c r="G2054" t="s">
        <v>417</v>
      </c>
      <c r="I2054" t="s">
        <v>26</v>
      </c>
      <c r="J2054" s="13">
        <v>45973</v>
      </c>
      <c r="K2054" s="13">
        <v>46023</v>
      </c>
      <c r="L2054" t="s">
        <v>497</v>
      </c>
      <c r="M2054" t="s">
        <v>59</v>
      </c>
      <c r="N2054">
        <v>71958501</v>
      </c>
    </row>
    <row r="2055" spans="1:14" x14ac:dyDescent="0.25">
      <c r="A2055">
        <v>58040621</v>
      </c>
      <c r="B2055" t="s">
        <v>5253</v>
      </c>
      <c r="C2055" t="s">
        <v>5254</v>
      </c>
      <c r="D2055" t="s">
        <v>5255</v>
      </c>
      <c r="E2055">
        <v>6025268527</v>
      </c>
      <c r="F2055" t="s">
        <v>842</v>
      </c>
      <c r="G2055" t="s">
        <v>1213</v>
      </c>
      <c r="I2055" t="s">
        <v>1214</v>
      </c>
      <c r="J2055" s="13">
        <v>45973</v>
      </c>
      <c r="K2055" s="13">
        <v>46023</v>
      </c>
      <c r="L2055" t="s">
        <v>1179</v>
      </c>
      <c r="M2055" t="s">
        <v>54</v>
      </c>
      <c r="N2055">
        <v>71958855</v>
      </c>
    </row>
    <row r="2056" spans="1:14" x14ac:dyDescent="0.25">
      <c r="A2056">
        <v>58041008</v>
      </c>
      <c r="B2056" t="s">
        <v>445</v>
      </c>
      <c r="C2056" t="s">
        <v>546</v>
      </c>
      <c r="D2056" t="s">
        <v>5256</v>
      </c>
      <c r="E2056">
        <v>2058282446</v>
      </c>
      <c r="F2056" t="s">
        <v>790</v>
      </c>
      <c r="G2056" t="s">
        <v>791</v>
      </c>
      <c r="I2056" t="s">
        <v>119</v>
      </c>
      <c r="J2056" s="13">
        <v>45973</v>
      </c>
      <c r="K2056" s="13">
        <v>46023</v>
      </c>
      <c r="L2056" t="s">
        <v>450</v>
      </c>
      <c r="M2056" t="s">
        <v>58</v>
      </c>
      <c r="N2056">
        <v>71958893</v>
      </c>
    </row>
    <row r="2057" spans="1:14" x14ac:dyDescent="0.25">
      <c r="A2057">
        <v>58041767</v>
      </c>
      <c r="B2057" t="s">
        <v>1370</v>
      </c>
      <c r="C2057" t="s">
        <v>5257</v>
      </c>
      <c r="D2057" t="s">
        <v>5258</v>
      </c>
      <c r="E2057">
        <v>4708611913</v>
      </c>
      <c r="F2057" t="s">
        <v>1142</v>
      </c>
      <c r="G2057" t="s">
        <v>1143</v>
      </c>
      <c r="I2057" t="s">
        <v>124</v>
      </c>
      <c r="J2057" s="13">
        <v>45973</v>
      </c>
      <c r="K2057" s="13">
        <v>46023</v>
      </c>
      <c r="L2057" t="s">
        <v>621</v>
      </c>
      <c r="M2057" t="s">
        <v>56</v>
      </c>
      <c r="N2057">
        <v>71959606</v>
      </c>
    </row>
    <row r="2058" spans="1:14" x14ac:dyDescent="0.25">
      <c r="A2058">
        <v>58042179</v>
      </c>
      <c r="B2058" t="s">
        <v>5259</v>
      </c>
      <c r="C2058" t="s">
        <v>944</v>
      </c>
      <c r="D2058" t="s">
        <v>5260</v>
      </c>
      <c r="E2058">
        <v>9013380691</v>
      </c>
      <c r="F2058" t="s">
        <v>705</v>
      </c>
      <c r="G2058" t="s">
        <v>706</v>
      </c>
      <c r="I2058" t="s">
        <v>12</v>
      </c>
      <c r="J2058" s="13">
        <v>45973</v>
      </c>
      <c r="K2058" s="13">
        <v>46023</v>
      </c>
      <c r="L2058" t="s">
        <v>553</v>
      </c>
      <c r="M2058" t="s">
        <v>56</v>
      </c>
      <c r="N2058">
        <v>71959831</v>
      </c>
    </row>
    <row r="2059" spans="1:14" x14ac:dyDescent="0.25">
      <c r="A2059">
        <v>58042269</v>
      </c>
      <c r="B2059" t="s">
        <v>5261</v>
      </c>
      <c r="C2059" t="s">
        <v>5262</v>
      </c>
      <c r="D2059" t="s">
        <v>5263</v>
      </c>
      <c r="E2059">
        <v>9542351989</v>
      </c>
      <c r="F2059" t="s">
        <v>615</v>
      </c>
      <c r="G2059" t="s">
        <v>616</v>
      </c>
      <c r="I2059" t="s">
        <v>617</v>
      </c>
      <c r="J2059" s="13">
        <v>45973</v>
      </c>
      <c r="K2059" s="13">
        <v>46023</v>
      </c>
      <c r="L2059" t="s">
        <v>497</v>
      </c>
      <c r="M2059" t="s">
        <v>56</v>
      </c>
      <c r="N2059">
        <v>71959900</v>
      </c>
    </row>
    <row r="2060" spans="1:14" x14ac:dyDescent="0.25">
      <c r="A2060">
        <v>58042298</v>
      </c>
      <c r="B2060" t="s">
        <v>812</v>
      </c>
      <c r="C2060" t="s">
        <v>2647</v>
      </c>
      <c r="D2060" t="s">
        <v>5264</v>
      </c>
      <c r="E2060">
        <v>3213170895</v>
      </c>
      <c r="F2060" t="s">
        <v>628</v>
      </c>
      <c r="G2060" t="s">
        <v>629</v>
      </c>
      <c r="I2060" t="s">
        <v>24</v>
      </c>
      <c r="J2060" s="13">
        <v>45973</v>
      </c>
      <c r="K2060" s="13">
        <v>46023</v>
      </c>
      <c r="L2060" t="s">
        <v>497</v>
      </c>
      <c r="M2060" t="s">
        <v>59</v>
      </c>
      <c r="N2060">
        <v>71959923</v>
      </c>
    </row>
    <row r="2061" spans="1:14" x14ac:dyDescent="0.25">
      <c r="A2061">
        <v>58043368</v>
      </c>
      <c r="B2061" t="s">
        <v>4199</v>
      </c>
      <c r="C2061" t="s">
        <v>5265</v>
      </c>
      <c r="D2061" t="s">
        <v>5266</v>
      </c>
      <c r="E2061">
        <v>7272485217</v>
      </c>
      <c r="F2061" t="s">
        <v>474</v>
      </c>
      <c r="G2061" t="s">
        <v>475</v>
      </c>
      <c r="I2061" t="s">
        <v>132</v>
      </c>
      <c r="J2061" s="13">
        <v>45973</v>
      </c>
      <c r="K2061" s="13">
        <v>46023</v>
      </c>
      <c r="L2061" t="s">
        <v>497</v>
      </c>
      <c r="M2061" t="s">
        <v>54</v>
      </c>
      <c r="N2061">
        <v>71960466</v>
      </c>
    </row>
    <row r="2062" spans="1:14" x14ac:dyDescent="0.25">
      <c r="A2062">
        <v>58043483</v>
      </c>
      <c r="B2062" t="s">
        <v>5267</v>
      </c>
      <c r="C2062" t="s">
        <v>5268</v>
      </c>
      <c r="D2062" t="s">
        <v>5269</v>
      </c>
      <c r="E2062">
        <v>8436300396</v>
      </c>
      <c r="F2062" t="s">
        <v>448</v>
      </c>
      <c r="G2062" t="s">
        <v>449</v>
      </c>
      <c r="I2062" t="s">
        <v>31</v>
      </c>
      <c r="J2062" s="13">
        <v>45973</v>
      </c>
      <c r="K2062" s="13">
        <v>46023</v>
      </c>
      <c r="L2062" t="s">
        <v>533</v>
      </c>
      <c r="M2062" t="s">
        <v>59</v>
      </c>
      <c r="N2062">
        <v>71960524</v>
      </c>
    </row>
    <row r="2063" spans="1:14" x14ac:dyDescent="0.25">
      <c r="A2063">
        <v>58044623</v>
      </c>
      <c r="B2063" t="s">
        <v>633</v>
      </c>
      <c r="C2063" t="s">
        <v>5270</v>
      </c>
      <c r="D2063" t="s">
        <v>5271</v>
      </c>
      <c r="E2063">
        <v>8652534969</v>
      </c>
      <c r="F2063" t="s">
        <v>1003</v>
      </c>
      <c r="G2063" t="s">
        <v>1004</v>
      </c>
      <c r="I2063" t="s">
        <v>89</v>
      </c>
      <c r="J2063" s="13">
        <v>45973</v>
      </c>
      <c r="K2063" s="13">
        <v>46023</v>
      </c>
      <c r="L2063" t="s">
        <v>479</v>
      </c>
      <c r="M2063" t="s">
        <v>58</v>
      </c>
      <c r="N2063">
        <v>71961210</v>
      </c>
    </row>
    <row r="2064" spans="1:14" x14ac:dyDescent="0.25">
      <c r="A2064">
        <v>58045383</v>
      </c>
      <c r="B2064" t="s">
        <v>5272</v>
      </c>
      <c r="C2064" t="s">
        <v>5273</v>
      </c>
      <c r="D2064" t="s">
        <v>5274</v>
      </c>
      <c r="E2064">
        <v>9599294064</v>
      </c>
      <c r="F2064" t="s">
        <v>1013</v>
      </c>
      <c r="G2064" t="s">
        <v>1014</v>
      </c>
      <c r="I2064" t="s">
        <v>43</v>
      </c>
      <c r="J2064" s="13">
        <v>45973</v>
      </c>
      <c r="K2064" s="13">
        <v>46023</v>
      </c>
      <c r="L2064" t="s">
        <v>533</v>
      </c>
      <c r="M2064" t="s">
        <v>58</v>
      </c>
      <c r="N2064">
        <v>71961869</v>
      </c>
    </row>
    <row r="2065" spans="1:14" x14ac:dyDescent="0.25">
      <c r="A2065">
        <v>58045463</v>
      </c>
      <c r="B2065" t="s">
        <v>5275</v>
      </c>
      <c r="C2065" t="s">
        <v>5276</v>
      </c>
      <c r="D2065" t="s">
        <v>5277</v>
      </c>
      <c r="E2065">
        <v>5207052841</v>
      </c>
      <c r="F2065" t="s">
        <v>821</v>
      </c>
      <c r="G2065" t="s">
        <v>822</v>
      </c>
      <c r="I2065" t="s">
        <v>823</v>
      </c>
      <c r="J2065" s="13">
        <v>45973</v>
      </c>
      <c r="K2065" s="13">
        <v>46023</v>
      </c>
      <c r="L2065" t="s">
        <v>1179</v>
      </c>
      <c r="M2065" t="s">
        <v>58</v>
      </c>
      <c r="N2065">
        <v>71961915</v>
      </c>
    </row>
    <row r="2066" spans="1:14" x14ac:dyDescent="0.25">
      <c r="A2066">
        <v>58045949</v>
      </c>
      <c r="B2066" t="s">
        <v>5278</v>
      </c>
      <c r="C2066" t="s">
        <v>5279</v>
      </c>
      <c r="D2066" t="s">
        <v>5280</v>
      </c>
      <c r="E2066">
        <v>3044351006</v>
      </c>
      <c r="F2066" t="s">
        <v>828</v>
      </c>
      <c r="G2066" t="s">
        <v>1148</v>
      </c>
      <c r="I2066" t="s">
        <v>17</v>
      </c>
      <c r="J2066" s="13">
        <v>45973</v>
      </c>
      <c r="K2066" s="13">
        <v>46023</v>
      </c>
      <c r="L2066" t="s">
        <v>1188</v>
      </c>
      <c r="M2066" t="s">
        <v>58</v>
      </c>
      <c r="N2066">
        <v>71962091</v>
      </c>
    </row>
    <row r="2067" spans="1:14" x14ac:dyDescent="0.25">
      <c r="A2067">
        <v>58046812</v>
      </c>
      <c r="B2067" t="s">
        <v>5281</v>
      </c>
      <c r="C2067" t="s">
        <v>4730</v>
      </c>
      <c r="D2067" t="s">
        <v>5282</v>
      </c>
      <c r="E2067">
        <v>9282318037</v>
      </c>
      <c r="F2067" t="s">
        <v>842</v>
      </c>
      <c r="G2067" t="s">
        <v>1213</v>
      </c>
      <c r="I2067" t="s">
        <v>1214</v>
      </c>
      <c r="J2067" s="13">
        <v>45973</v>
      </c>
      <c r="K2067" s="13">
        <v>46023</v>
      </c>
      <c r="L2067" t="s">
        <v>1179</v>
      </c>
      <c r="M2067" t="s">
        <v>55</v>
      </c>
      <c r="N2067">
        <v>71962677</v>
      </c>
    </row>
    <row r="2068" spans="1:14" x14ac:dyDescent="0.25">
      <c r="A2068">
        <v>58047356</v>
      </c>
      <c r="B2068" t="s">
        <v>5283</v>
      </c>
      <c r="C2068" t="s">
        <v>1258</v>
      </c>
      <c r="D2068" t="s">
        <v>5284</v>
      </c>
      <c r="E2068">
        <v>2513626789</v>
      </c>
      <c r="F2068" t="s">
        <v>448</v>
      </c>
      <c r="G2068" t="s">
        <v>449</v>
      </c>
      <c r="I2068" t="s">
        <v>31</v>
      </c>
      <c r="J2068" s="13">
        <v>45973</v>
      </c>
      <c r="K2068" s="13">
        <v>46023</v>
      </c>
      <c r="L2068" t="s">
        <v>450</v>
      </c>
      <c r="M2068" t="s">
        <v>56</v>
      </c>
      <c r="N2068">
        <v>71963075</v>
      </c>
    </row>
    <row r="2069" spans="1:14" x14ac:dyDescent="0.25">
      <c r="A2069">
        <v>58047384</v>
      </c>
      <c r="B2069" t="s">
        <v>1103</v>
      </c>
      <c r="C2069" t="s">
        <v>5285</v>
      </c>
      <c r="D2069" t="s">
        <v>5286</v>
      </c>
      <c r="E2069">
        <v>7277667363</v>
      </c>
      <c r="F2069" t="s">
        <v>1067</v>
      </c>
      <c r="G2069" t="s">
        <v>1068</v>
      </c>
      <c r="I2069" t="s">
        <v>35</v>
      </c>
      <c r="J2069" s="13">
        <v>45973</v>
      </c>
      <c r="K2069" s="13">
        <v>46023</v>
      </c>
      <c r="L2069" t="s">
        <v>497</v>
      </c>
      <c r="M2069" t="s">
        <v>58</v>
      </c>
      <c r="N2069">
        <v>71963094</v>
      </c>
    </row>
    <row r="2070" spans="1:14" x14ac:dyDescent="0.25">
      <c r="A2070">
        <v>58047872</v>
      </c>
      <c r="B2070" t="s">
        <v>2094</v>
      </c>
      <c r="C2070" t="s">
        <v>5287</v>
      </c>
      <c r="D2070" t="s">
        <v>5288</v>
      </c>
      <c r="E2070">
        <v>8502402823</v>
      </c>
      <c r="F2070" t="s">
        <v>615</v>
      </c>
      <c r="G2070" t="s">
        <v>616</v>
      </c>
      <c r="I2070" t="s">
        <v>617</v>
      </c>
      <c r="J2070" s="13">
        <v>45973</v>
      </c>
      <c r="K2070" s="13">
        <v>46023</v>
      </c>
      <c r="L2070" t="s">
        <v>497</v>
      </c>
      <c r="M2070" t="s">
        <v>58</v>
      </c>
      <c r="N2070">
        <v>71963407</v>
      </c>
    </row>
    <row r="2071" spans="1:14" x14ac:dyDescent="0.25">
      <c r="A2071">
        <v>58049013</v>
      </c>
      <c r="B2071" t="s">
        <v>5289</v>
      </c>
      <c r="C2071" t="s">
        <v>477</v>
      </c>
      <c r="D2071" t="s">
        <v>5290</v>
      </c>
      <c r="E2071">
        <v>9045812010</v>
      </c>
      <c r="F2071" t="s">
        <v>462</v>
      </c>
      <c r="G2071" t="s">
        <v>463</v>
      </c>
      <c r="I2071" t="s">
        <v>39</v>
      </c>
      <c r="J2071" s="13">
        <v>45973</v>
      </c>
      <c r="K2071" s="13">
        <v>46023</v>
      </c>
      <c r="L2071" t="s">
        <v>497</v>
      </c>
      <c r="M2071" t="s">
        <v>54</v>
      </c>
      <c r="N2071">
        <v>71964039</v>
      </c>
    </row>
    <row r="2072" spans="1:14" x14ac:dyDescent="0.25">
      <c r="A2072">
        <v>58049588</v>
      </c>
      <c r="B2072" t="s">
        <v>994</v>
      </c>
      <c r="C2072" t="s">
        <v>5291</v>
      </c>
      <c r="D2072" t="s">
        <v>5292</v>
      </c>
      <c r="E2072">
        <v>3046341339</v>
      </c>
      <c r="F2072" t="s">
        <v>649</v>
      </c>
      <c r="G2072" t="s">
        <v>650</v>
      </c>
      <c r="I2072" t="s">
        <v>28</v>
      </c>
      <c r="J2072" s="13">
        <v>45973</v>
      </c>
      <c r="K2072" s="13">
        <v>46023</v>
      </c>
      <c r="L2072" t="s">
        <v>1188</v>
      </c>
      <c r="M2072" t="s">
        <v>56</v>
      </c>
      <c r="N2072">
        <v>71964371</v>
      </c>
    </row>
    <row r="2073" spans="1:14" x14ac:dyDescent="0.25">
      <c r="A2073">
        <v>58049765</v>
      </c>
      <c r="B2073" t="s">
        <v>2277</v>
      </c>
      <c r="C2073" t="s">
        <v>5293</v>
      </c>
      <c r="D2073" t="s">
        <v>5294</v>
      </c>
      <c r="E2073">
        <v>4802428713</v>
      </c>
      <c r="F2073" t="s">
        <v>4853</v>
      </c>
      <c r="G2073" t="s">
        <v>5017</v>
      </c>
      <c r="I2073" t="s">
        <v>5018</v>
      </c>
      <c r="J2073" s="13">
        <v>45973</v>
      </c>
      <c r="K2073" s="13">
        <v>46023</v>
      </c>
      <c r="L2073" t="s">
        <v>1179</v>
      </c>
      <c r="M2073" t="s">
        <v>54</v>
      </c>
      <c r="N2073">
        <v>71964468</v>
      </c>
    </row>
    <row r="2074" spans="1:14" x14ac:dyDescent="0.25">
      <c r="A2074">
        <v>58050076</v>
      </c>
      <c r="B2074" t="s">
        <v>445</v>
      </c>
      <c r="C2074" t="s">
        <v>5295</v>
      </c>
      <c r="D2074" t="s">
        <v>5296</v>
      </c>
      <c r="E2074">
        <v>7575158994</v>
      </c>
      <c r="F2074" t="s">
        <v>775</v>
      </c>
      <c r="G2074" t="s">
        <v>776</v>
      </c>
      <c r="I2074" t="s">
        <v>22</v>
      </c>
      <c r="J2074" s="13">
        <v>45973</v>
      </c>
      <c r="K2074" s="13">
        <v>46023</v>
      </c>
      <c r="L2074" t="s">
        <v>454</v>
      </c>
      <c r="M2074" t="s">
        <v>58</v>
      </c>
      <c r="N2074">
        <v>71964712</v>
      </c>
    </row>
    <row r="2075" spans="1:14" x14ac:dyDescent="0.25">
      <c r="A2075">
        <v>58699647</v>
      </c>
      <c r="B2075" t="s">
        <v>445</v>
      </c>
      <c r="C2075" t="s">
        <v>5297</v>
      </c>
      <c r="D2075" t="s">
        <v>5298</v>
      </c>
      <c r="E2075">
        <v>8632801704</v>
      </c>
      <c r="F2075" t="s">
        <v>578</v>
      </c>
      <c r="G2075" t="s">
        <v>579</v>
      </c>
      <c r="I2075" t="s">
        <v>15</v>
      </c>
      <c r="J2075" s="13">
        <v>45996</v>
      </c>
      <c r="K2075" s="13">
        <v>46023</v>
      </c>
      <c r="L2075" t="s">
        <v>497</v>
      </c>
      <c r="M2075" t="s">
        <v>60</v>
      </c>
      <c r="N2075">
        <v>71965379</v>
      </c>
    </row>
    <row r="2076" spans="1:14" x14ac:dyDescent="0.25">
      <c r="A2076">
        <v>58051270</v>
      </c>
      <c r="B2076" t="s">
        <v>3078</v>
      </c>
      <c r="C2076" t="s">
        <v>5299</v>
      </c>
      <c r="D2076" t="s">
        <v>5300</v>
      </c>
      <c r="E2076">
        <v>5612843464</v>
      </c>
      <c r="F2076" t="s">
        <v>1067</v>
      </c>
      <c r="G2076" t="s">
        <v>1068</v>
      </c>
      <c r="I2076" t="s">
        <v>35</v>
      </c>
      <c r="J2076" s="13">
        <v>45973</v>
      </c>
      <c r="K2076" s="13">
        <v>46023</v>
      </c>
      <c r="L2076" t="s">
        <v>497</v>
      </c>
      <c r="M2076" t="s">
        <v>59</v>
      </c>
      <c r="N2076">
        <v>71965446</v>
      </c>
    </row>
    <row r="2077" spans="1:14" x14ac:dyDescent="0.25">
      <c r="A2077">
        <v>58051358</v>
      </c>
      <c r="B2077" t="s">
        <v>1106</v>
      </c>
      <c r="C2077" t="s">
        <v>903</v>
      </c>
      <c r="D2077" t="s">
        <v>5301</v>
      </c>
      <c r="E2077">
        <v>4802024349</v>
      </c>
      <c r="F2077" t="s">
        <v>798</v>
      </c>
      <c r="G2077" t="s">
        <v>799</v>
      </c>
      <c r="I2077" t="s">
        <v>800</v>
      </c>
      <c r="J2077" s="13">
        <v>45973</v>
      </c>
      <c r="K2077" s="13">
        <v>46023</v>
      </c>
      <c r="L2077" t="s">
        <v>434</v>
      </c>
      <c r="M2077" t="s">
        <v>58</v>
      </c>
      <c r="N2077">
        <v>71965513</v>
      </c>
    </row>
    <row r="2078" spans="1:14" x14ac:dyDescent="0.25">
      <c r="A2078">
        <v>58051527</v>
      </c>
      <c r="B2078" t="s">
        <v>676</v>
      </c>
      <c r="C2078" t="s">
        <v>3030</v>
      </c>
      <c r="D2078" t="s">
        <v>5302</v>
      </c>
      <c r="E2078">
        <v>9102901876</v>
      </c>
      <c r="F2078" t="s">
        <v>448</v>
      </c>
      <c r="G2078" t="s">
        <v>449</v>
      </c>
      <c r="I2078" t="s">
        <v>31</v>
      </c>
      <c r="J2078" s="13">
        <v>45973</v>
      </c>
      <c r="K2078" s="13">
        <v>46023</v>
      </c>
      <c r="L2078" t="s">
        <v>603</v>
      </c>
      <c r="M2078" t="s">
        <v>58</v>
      </c>
      <c r="N2078">
        <v>71965602</v>
      </c>
    </row>
    <row r="2079" spans="1:14" x14ac:dyDescent="0.25">
      <c r="A2079">
        <v>58051688</v>
      </c>
      <c r="B2079" t="s">
        <v>2214</v>
      </c>
      <c r="C2079" t="s">
        <v>5303</v>
      </c>
      <c r="D2079" t="s">
        <v>5304</v>
      </c>
      <c r="E2079">
        <v>6237647816</v>
      </c>
      <c r="F2079" t="s">
        <v>957</v>
      </c>
      <c r="G2079" t="s">
        <v>958</v>
      </c>
      <c r="H2079" t="s">
        <v>959</v>
      </c>
      <c r="I2079" t="s">
        <v>960</v>
      </c>
      <c r="J2079" s="13">
        <v>45973</v>
      </c>
      <c r="K2079" s="13">
        <v>46023</v>
      </c>
      <c r="L2079" t="s">
        <v>1179</v>
      </c>
      <c r="M2079" t="s">
        <v>56</v>
      </c>
      <c r="N2079">
        <v>71965667</v>
      </c>
    </row>
    <row r="2080" spans="1:14" x14ac:dyDescent="0.25">
      <c r="A2080">
        <v>58051741</v>
      </c>
      <c r="B2080" t="s">
        <v>5305</v>
      </c>
      <c r="C2080" t="s">
        <v>5306</v>
      </c>
      <c r="D2080" t="s">
        <v>5307</v>
      </c>
      <c r="E2080">
        <v>7272477133</v>
      </c>
      <c r="F2080" t="s">
        <v>628</v>
      </c>
      <c r="G2080" t="s">
        <v>629</v>
      </c>
      <c r="I2080" t="s">
        <v>24</v>
      </c>
      <c r="J2080" s="13">
        <v>45973</v>
      </c>
      <c r="K2080" s="13">
        <v>46023</v>
      </c>
      <c r="L2080" t="s">
        <v>497</v>
      </c>
      <c r="M2080" t="s">
        <v>59</v>
      </c>
      <c r="N2080">
        <v>71965712</v>
      </c>
    </row>
    <row r="2081" spans="1:14" x14ac:dyDescent="0.25">
      <c r="A2081">
        <v>58051743</v>
      </c>
      <c r="B2081" t="s">
        <v>1038</v>
      </c>
      <c r="C2081" t="s">
        <v>5308</v>
      </c>
      <c r="D2081" t="s">
        <v>5309</v>
      </c>
      <c r="E2081">
        <v>8703906136</v>
      </c>
      <c r="F2081" t="s">
        <v>1142</v>
      </c>
      <c r="G2081" t="s">
        <v>1143</v>
      </c>
      <c r="I2081" t="s">
        <v>124</v>
      </c>
      <c r="J2081" s="13">
        <v>45973</v>
      </c>
      <c r="K2081" s="13">
        <v>46023</v>
      </c>
      <c r="L2081" t="s">
        <v>553</v>
      </c>
      <c r="M2081" t="s">
        <v>58</v>
      </c>
      <c r="N2081">
        <v>71965714</v>
      </c>
    </row>
    <row r="2082" spans="1:14" x14ac:dyDescent="0.25">
      <c r="A2082">
        <v>58052165</v>
      </c>
      <c r="B2082" t="s">
        <v>2645</v>
      </c>
      <c r="C2082" t="s">
        <v>5310</v>
      </c>
      <c r="D2082" t="s">
        <v>5311</v>
      </c>
      <c r="E2082">
        <v>8135509681</v>
      </c>
      <c r="F2082" t="s">
        <v>780</v>
      </c>
      <c r="G2082" t="s">
        <v>781</v>
      </c>
      <c r="I2082" t="s">
        <v>20</v>
      </c>
      <c r="J2082" s="13">
        <v>45973</v>
      </c>
      <c r="K2082" s="13">
        <v>46023</v>
      </c>
      <c r="L2082" t="s">
        <v>497</v>
      </c>
      <c r="M2082" t="s">
        <v>59</v>
      </c>
      <c r="N2082">
        <v>71965877</v>
      </c>
    </row>
    <row r="2083" spans="1:14" x14ac:dyDescent="0.25">
      <c r="A2083">
        <v>58052243</v>
      </c>
      <c r="B2083" t="s">
        <v>636</v>
      </c>
      <c r="C2083" t="s">
        <v>5312</v>
      </c>
      <c r="D2083" t="s">
        <v>5313</v>
      </c>
      <c r="E2083">
        <v>6025830471</v>
      </c>
      <c r="F2083" t="s">
        <v>416</v>
      </c>
      <c r="G2083" t="s">
        <v>417</v>
      </c>
      <c r="I2083" t="s">
        <v>26</v>
      </c>
      <c r="J2083" s="13">
        <v>45973</v>
      </c>
      <c r="K2083" s="13">
        <v>46023</v>
      </c>
      <c r="L2083" t="s">
        <v>1179</v>
      </c>
      <c r="M2083" t="s">
        <v>54</v>
      </c>
      <c r="N2083">
        <v>71966029</v>
      </c>
    </row>
    <row r="2084" spans="1:14" x14ac:dyDescent="0.25">
      <c r="A2084">
        <v>58052325</v>
      </c>
      <c r="B2084" t="s">
        <v>2771</v>
      </c>
      <c r="C2084" t="s">
        <v>5314</v>
      </c>
      <c r="D2084" t="s">
        <v>5315</v>
      </c>
      <c r="E2084">
        <v>5409496922</v>
      </c>
      <c r="F2084" t="s">
        <v>474</v>
      </c>
      <c r="G2084" t="s">
        <v>475</v>
      </c>
      <c r="I2084" t="s">
        <v>132</v>
      </c>
      <c r="J2084" s="13">
        <v>45973</v>
      </c>
      <c r="K2084" s="13">
        <v>46023</v>
      </c>
      <c r="L2084" t="s">
        <v>454</v>
      </c>
      <c r="M2084" t="s">
        <v>56</v>
      </c>
      <c r="N2084">
        <v>71966111</v>
      </c>
    </row>
    <row r="2085" spans="1:14" x14ac:dyDescent="0.25">
      <c r="A2085">
        <v>58053950</v>
      </c>
      <c r="B2085" t="s">
        <v>2036</v>
      </c>
      <c r="C2085" t="s">
        <v>5316</v>
      </c>
      <c r="D2085" t="s">
        <v>5317</v>
      </c>
      <c r="E2085">
        <v>9139078124</v>
      </c>
      <c r="F2085" t="s">
        <v>775</v>
      </c>
      <c r="G2085" t="s">
        <v>776</v>
      </c>
      <c r="I2085" t="s">
        <v>22</v>
      </c>
      <c r="J2085" s="13">
        <v>45973</v>
      </c>
      <c r="K2085" s="13">
        <v>46023</v>
      </c>
      <c r="L2085" t="s">
        <v>1179</v>
      </c>
      <c r="M2085" t="s">
        <v>54</v>
      </c>
      <c r="N2085">
        <v>71966930</v>
      </c>
    </row>
    <row r="2086" spans="1:14" x14ac:dyDescent="0.25">
      <c r="A2086">
        <v>58054023</v>
      </c>
      <c r="B2086" t="s">
        <v>5318</v>
      </c>
      <c r="C2086" t="s">
        <v>5319</v>
      </c>
      <c r="D2086" t="s">
        <v>5320</v>
      </c>
      <c r="E2086">
        <v>7044977607</v>
      </c>
      <c r="F2086" t="s">
        <v>1067</v>
      </c>
      <c r="G2086" t="s">
        <v>1068</v>
      </c>
      <c r="I2086" t="s">
        <v>35</v>
      </c>
      <c r="J2086" s="13">
        <v>45973</v>
      </c>
      <c r="K2086" s="13">
        <v>46023</v>
      </c>
      <c r="L2086" t="s">
        <v>603</v>
      </c>
      <c r="M2086" t="s">
        <v>56</v>
      </c>
      <c r="N2086">
        <v>71967225</v>
      </c>
    </row>
    <row r="2087" spans="1:14" x14ac:dyDescent="0.25">
      <c r="A2087">
        <v>58054639</v>
      </c>
      <c r="B2087" t="s">
        <v>1304</v>
      </c>
      <c r="C2087" t="s">
        <v>5321</v>
      </c>
      <c r="D2087" t="s">
        <v>5322</v>
      </c>
      <c r="E2087">
        <v>5202233902</v>
      </c>
      <c r="F2087" t="s">
        <v>416</v>
      </c>
      <c r="G2087" t="s">
        <v>417</v>
      </c>
      <c r="I2087" t="s">
        <v>26</v>
      </c>
      <c r="J2087" s="13">
        <v>45973</v>
      </c>
      <c r="K2087" s="13">
        <v>46023</v>
      </c>
      <c r="L2087" t="s">
        <v>1179</v>
      </c>
      <c r="M2087" t="s">
        <v>61</v>
      </c>
      <c r="N2087">
        <v>71970559</v>
      </c>
    </row>
    <row r="2088" spans="1:14" x14ac:dyDescent="0.25">
      <c r="A2088">
        <v>58058014</v>
      </c>
      <c r="B2088" t="s">
        <v>2188</v>
      </c>
      <c r="C2088" t="s">
        <v>5323</v>
      </c>
      <c r="D2088" t="s">
        <v>5324</v>
      </c>
      <c r="E2088">
        <v>4176698426</v>
      </c>
      <c r="F2088" t="s">
        <v>474</v>
      </c>
      <c r="G2088" t="s">
        <v>475</v>
      </c>
      <c r="I2088" t="s">
        <v>132</v>
      </c>
      <c r="J2088" s="13">
        <v>45974</v>
      </c>
      <c r="K2088" s="13">
        <v>46023</v>
      </c>
      <c r="L2088" t="s">
        <v>434</v>
      </c>
      <c r="M2088" t="s">
        <v>59</v>
      </c>
      <c r="N2088">
        <v>71973302</v>
      </c>
    </row>
    <row r="2089" spans="1:14" x14ac:dyDescent="0.25">
      <c r="A2089">
        <v>58059072</v>
      </c>
      <c r="B2089" t="s">
        <v>586</v>
      </c>
      <c r="C2089" t="s">
        <v>5325</v>
      </c>
      <c r="D2089" t="s">
        <v>5326</v>
      </c>
      <c r="E2089">
        <v>9046126772</v>
      </c>
      <c r="F2089" t="s">
        <v>775</v>
      </c>
      <c r="G2089" t="s">
        <v>776</v>
      </c>
      <c r="I2089" t="s">
        <v>22</v>
      </c>
      <c r="J2089" s="13">
        <v>45974</v>
      </c>
      <c r="K2089" s="13">
        <v>46023</v>
      </c>
      <c r="L2089" t="s">
        <v>497</v>
      </c>
      <c r="M2089" t="s">
        <v>56</v>
      </c>
      <c r="N2089">
        <v>71973991</v>
      </c>
    </row>
    <row r="2090" spans="1:14" x14ac:dyDescent="0.25">
      <c r="A2090">
        <v>58061886</v>
      </c>
      <c r="B2090" t="s">
        <v>748</v>
      </c>
      <c r="C2090" t="s">
        <v>5327</v>
      </c>
      <c r="D2090" t="s">
        <v>5328</v>
      </c>
      <c r="E2090">
        <v>8592401684</v>
      </c>
      <c r="F2090" t="s">
        <v>474</v>
      </c>
      <c r="G2090" t="s">
        <v>475</v>
      </c>
      <c r="I2090" t="s">
        <v>132</v>
      </c>
      <c r="J2090" s="13">
        <v>45974</v>
      </c>
      <c r="K2090" s="13">
        <v>46023</v>
      </c>
      <c r="L2090" t="s">
        <v>490</v>
      </c>
      <c r="M2090" t="s">
        <v>59</v>
      </c>
      <c r="N2090">
        <v>71975917</v>
      </c>
    </row>
    <row r="2091" spans="1:14" x14ac:dyDescent="0.25">
      <c r="A2091">
        <v>58063786</v>
      </c>
      <c r="B2091" t="s">
        <v>5329</v>
      </c>
      <c r="C2091" t="s">
        <v>5330</v>
      </c>
      <c r="D2091" t="s">
        <v>5331</v>
      </c>
      <c r="E2091">
        <v>7708953292</v>
      </c>
      <c r="F2091" t="s">
        <v>790</v>
      </c>
      <c r="G2091" t="s">
        <v>791</v>
      </c>
      <c r="I2091" t="s">
        <v>119</v>
      </c>
      <c r="J2091" s="13">
        <v>45974</v>
      </c>
      <c r="K2091" s="13">
        <v>46023</v>
      </c>
      <c r="L2091" t="s">
        <v>621</v>
      </c>
      <c r="M2091" t="s">
        <v>56</v>
      </c>
      <c r="N2091">
        <v>71976345</v>
      </c>
    </row>
    <row r="2092" spans="1:14" x14ac:dyDescent="0.25">
      <c r="A2092">
        <v>58067022</v>
      </c>
      <c r="B2092" t="s">
        <v>925</v>
      </c>
      <c r="C2092" t="s">
        <v>3587</v>
      </c>
      <c r="D2092" t="s">
        <v>5332</v>
      </c>
      <c r="E2092">
        <v>9046668628</v>
      </c>
      <c r="F2092" t="s">
        <v>474</v>
      </c>
      <c r="G2092" t="s">
        <v>475</v>
      </c>
      <c r="I2092" t="s">
        <v>132</v>
      </c>
      <c r="J2092" s="13">
        <v>45974</v>
      </c>
      <c r="K2092" s="13">
        <v>46023</v>
      </c>
      <c r="L2092" t="s">
        <v>497</v>
      </c>
      <c r="M2092" t="s">
        <v>58</v>
      </c>
      <c r="N2092">
        <v>71978558</v>
      </c>
    </row>
    <row r="2093" spans="1:14" x14ac:dyDescent="0.25">
      <c r="A2093">
        <v>58067098</v>
      </c>
      <c r="B2093" t="s">
        <v>5333</v>
      </c>
      <c r="C2093" t="s">
        <v>5334</v>
      </c>
      <c r="D2093" t="s">
        <v>5335</v>
      </c>
      <c r="E2093">
        <v>2179744660</v>
      </c>
      <c r="F2093" t="s">
        <v>615</v>
      </c>
      <c r="G2093" t="s">
        <v>616</v>
      </c>
      <c r="I2093" t="s">
        <v>617</v>
      </c>
      <c r="J2093" s="13">
        <v>45974</v>
      </c>
      <c r="K2093" s="13">
        <v>46023</v>
      </c>
      <c r="L2093" t="s">
        <v>470</v>
      </c>
      <c r="M2093" t="s">
        <v>56</v>
      </c>
      <c r="N2093">
        <v>71978581</v>
      </c>
    </row>
    <row r="2094" spans="1:14" x14ac:dyDescent="0.25">
      <c r="A2094">
        <v>58067269</v>
      </c>
      <c r="B2094" t="s">
        <v>548</v>
      </c>
      <c r="C2094" t="s">
        <v>5336</v>
      </c>
      <c r="D2094" t="s">
        <v>5337</v>
      </c>
      <c r="E2094">
        <v>3059905465</v>
      </c>
      <c r="F2094" t="s">
        <v>780</v>
      </c>
      <c r="G2094" t="s">
        <v>781</v>
      </c>
      <c r="I2094" t="s">
        <v>20</v>
      </c>
      <c r="J2094" s="13">
        <v>45974</v>
      </c>
      <c r="K2094" s="13">
        <v>46023</v>
      </c>
      <c r="L2094" t="s">
        <v>497</v>
      </c>
      <c r="M2094" t="s">
        <v>56</v>
      </c>
      <c r="N2094">
        <v>71978681</v>
      </c>
    </row>
    <row r="2095" spans="1:14" x14ac:dyDescent="0.25">
      <c r="A2095">
        <v>58068079</v>
      </c>
      <c r="B2095" t="s">
        <v>787</v>
      </c>
      <c r="C2095" t="s">
        <v>5338</v>
      </c>
      <c r="D2095" t="s">
        <v>5339</v>
      </c>
      <c r="E2095">
        <v>4072817000</v>
      </c>
      <c r="F2095" t="s">
        <v>569</v>
      </c>
      <c r="G2095" t="s">
        <v>570</v>
      </c>
      <c r="I2095" t="s">
        <v>34</v>
      </c>
      <c r="J2095" s="13">
        <v>45974</v>
      </c>
      <c r="K2095" s="13">
        <v>46023</v>
      </c>
      <c r="L2095" t="s">
        <v>497</v>
      </c>
      <c r="M2095" t="s">
        <v>58</v>
      </c>
      <c r="N2095">
        <v>71979145</v>
      </c>
    </row>
    <row r="2096" spans="1:14" x14ac:dyDescent="0.25">
      <c r="A2096">
        <v>58068116</v>
      </c>
      <c r="B2096" t="s">
        <v>521</v>
      </c>
      <c r="C2096" t="s">
        <v>5340</v>
      </c>
      <c r="D2096" t="s">
        <v>5341</v>
      </c>
      <c r="E2096">
        <v>7065675536</v>
      </c>
      <c r="F2096" t="s">
        <v>628</v>
      </c>
      <c r="G2096" t="s">
        <v>629</v>
      </c>
      <c r="I2096" t="s">
        <v>24</v>
      </c>
      <c r="J2096" s="13">
        <v>45974</v>
      </c>
      <c r="K2096" s="13">
        <v>46023</v>
      </c>
      <c r="L2096" t="s">
        <v>621</v>
      </c>
      <c r="M2096" t="s">
        <v>58</v>
      </c>
      <c r="N2096">
        <v>71979173</v>
      </c>
    </row>
    <row r="2097" spans="1:14" x14ac:dyDescent="0.25">
      <c r="A2097">
        <v>58068163</v>
      </c>
      <c r="B2097" t="s">
        <v>3443</v>
      </c>
      <c r="C2097" t="s">
        <v>5342</v>
      </c>
      <c r="D2097" t="s">
        <v>5343</v>
      </c>
      <c r="E2097">
        <v>8282606715</v>
      </c>
      <c r="F2097" t="s">
        <v>649</v>
      </c>
      <c r="G2097" t="s">
        <v>650</v>
      </c>
      <c r="I2097" t="s">
        <v>28</v>
      </c>
      <c r="J2097" s="13">
        <v>45974</v>
      </c>
      <c r="K2097" s="13">
        <v>46023</v>
      </c>
      <c r="L2097" t="s">
        <v>603</v>
      </c>
      <c r="M2097" t="s">
        <v>55</v>
      </c>
      <c r="N2097">
        <v>71979211</v>
      </c>
    </row>
    <row r="2098" spans="1:14" x14ac:dyDescent="0.25">
      <c r="A2098">
        <v>58068400</v>
      </c>
      <c r="B2098" t="s">
        <v>3014</v>
      </c>
      <c r="C2098" t="s">
        <v>5344</v>
      </c>
      <c r="D2098" t="s">
        <v>5345</v>
      </c>
      <c r="E2098">
        <v>2706221640</v>
      </c>
      <c r="F2098" t="s">
        <v>705</v>
      </c>
      <c r="G2098" t="s">
        <v>706</v>
      </c>
      <c r="I2098" t="s">
        <v>12</v>
      </c>
      <c r="J2098" s="13">
        <v>45974</v>
      </c>
      <c r="K2098" s="13">
        <v>46023</v>
      </c>
      <c r="L2098" t="s">
        <v>490</v>
      </c>
      <c r="M2098" t="s">
        <v>59</v>
      </c>
      <c r="N2098">
        <v>71979359</v>
      </c>
    </row>
    <row r="2099" spans="1:14" x14ac:dyDescent="0.25">
      <c r="A2099">
        <v>58068435</v>
      </c>
      <c r="B2099" t="s">
        <v>5346</v>
      </c>
      <c r="C2099" t="s">
        <v>5347</v>
      </c>
      <c r="D2099" t="s">
        <v>5348</v>
      </c>
      <c r="E2099">
        <v>5617551843</v>
      </c>
      <c r="F2099" t="s">
        <v>815</v>
      </c>
      <c r="G2099" t="s">
        <v>816</v>
      </c>
      <c r="I2099" t="s">
        <v>23</v>
      </c>
      <c r="J2099" s="13">
        <v>45974</v>
      </c>
      <c r="K2099" s="13">
        <v>46023</v>
      </c>
      <c r="L2099" t="s">
        <v>497</v>
      </c>
      <c r="M2099" t="s">
        <v>60</v>
      </c>
      <c r="N2099">
        <v>71979389</v>
      </c>
    </row>
    <row r="2100" spans="1:14" x14ac:dyDescent="0.25">
      <c r="A2100">
        <v>58068756</v>
      </c>
      <c r="B2100" t="s">
        <v>5349</v>
      </c>
      <c r="C2100" t="s">
        <v>5350</v>
      </c>
      <c r="D2100" t="s">
        <v>5351</v>
      </c>
      <c r="E2100">
        <v>9048915377</v>
      </c>
      <c r="F2100" t="s">
        <v>462</v>
      </c>
      <c r="G2100" t="s">
        <v>463</v>
      </c>
      <c r="I2100" t="s">
        <v>39</v>
      </c>
      <c r="J2100" s="13">
        <v>45974</v>
      </c>
      <c r="K2100" s="13">
        <v>46023</v>
      </c>
      <c r="L2100" t="s">
        <v>497</v>
      </c>
      <c r="M2100" t="s">
        <v>56</v>
      </c>
      <c r="N2100">
        <v>71979584</v>
      </c>
    </row>
    <row r="2101" spans="1:14" x14ac:dyDescent="0.25">
      <c r="A2101">
        <v>58069339</v>
      </c>
      <c r="B2101" t="s">
        <v>1316</v>
      </c>
      <c r="C2101" t="s">
        <v>5352</v>
      </c>
      <c r="D2101" t="s">
        <v>5353</v>
      </c>
      <c r="E2101">
        <v>4802770437</v>
      </c>
      <c r="F2101" t="s">
        <v>4853</v>
      </c>
      <c r="G2101" t="s">
        <v>5017</v>
      </c>
      <c r="I2101" t="s">
        <v>5018</v>
      </c>
      <c r="J2101" s="13">
        <v>45974</v>
      </c>
      <c r="K2101" s="13">
        <v>46023</v>
      </c>
      <c r="L2101" t="s">
        <v>1179</v>
      </c>
      <c r="M2101" t="s">
        <v>54</v>
      </c>
      <c r="N2101">
        <v>71979913</v>
      </c>
    </row>
    <row r="2102" spans="1:14" x14ac:dyDescent="0.25">
      <c r="A2102">
        <v>58070752</v>
      </c>
      <c r="B2102" t="s">
        <v>1658</v>
      </c>
      <c r="C2102" t="s">
        <v>5354</v>
      </c>
      <c r="D2102" t="s">
        <v>5355</v>
      </c>
      <c r="E2102">
        <v>5616133000</v>
      </c>
      <c r="F2102" t="s">
        <v>798</v>
      </c>
      <c r="G2102" t="s">
        <v>799</v>
      </c>
      <c r="I2102" t="s">
        <v>800</v>
      </c>
      <c r="J2102" s="13">
        <v>45974</v>
      </c>
      <c r="K2102" s="13">
        <v>46023</v>
      </c>
      <c r="L2102" t="s">
        <v>497</v>
      </c>
      <c r="M2102" t="s">
        <v>56</v>
      </c>
      <c r="N2102">
        <v>71980781</v>
      </c>
    </row>
    <row r="2103" spans="1:14" x14ac:dyDescent="0.25">
      <c r="A2103">
        <v>58071671</v>
      </c>
      <c r="B2103" t="s">
        <v>5356</v>
      </c>
      <c r="C2103" t="s">
        <v>5357</v>
      </c>
      <c r="D2103" t="s">
        <v>5358</v>
      </c>
      <c r="E2103">
        <v>2109431355</v>
      </c>
      <c r="F2103" t="s">
        <v>474</v>
      </c>
      <c r="G2103" t="s">
        <v>475</v>
      </c>
      <c r="I2103" t="s">
        <v>132</v>
      </c>
      <c r="J2103" s="13">
        <v>45974</v>
      </c>
      <c r="K2103" s="13">
        <v>46023</v>
      </c>
      <c r="L2103" t="s">
        <v>444</v>
      </c>
      <c r="M2103" t="s">
        <v>59</v>
      </c>
      <c r="N2103">
        <v>71981419</v>
      </c>
    </row>
    <row r="2104" spans="1:14" x14ac:dyDescent="0.25">
      <c r="A2104">
        <v>58072432</v>
      </c>
      <c r="B2104" t="s">
        <v>5359</v>
      </c>
      <c r="C2104" t="s">
        <v>5360</v>
      </c>
      <c r="D2104" t="s">
        <v>5361</v>
      </c>
      <c r="E2104">
        <v>3049603069</v>
      </c>
      <c r="F2104" t="s">
        <v>957</v>
      </c>
      <c r="G2104" t="s">
        <v>958</v>
      </c>
      <c r="H2104" t="s">
        <v>959</v>
      </c>
      <c r="I2104" t="s">
        <v>960</v>
      </c>
      <c r="J2104" s="13">
        <v>45974</v>
      </c>
      <c r="K2104" s="13">
        <v>46023</v>
      </c>
      <c r="L2104" t="s">
        <v>1188</v>
      </c>
      <c r="M2104" t="s">
        <v>60</v>
      </c>
      <c r="N2104">
        <v>71981487</v>
      </c>
    </row>
    <row r="2105" spans="1:14" x14ac:dyDescent="0.25">
      <c r="A2105">
        <v>58072448</v>
      </c>
      <c r="B2105" t="s">
        <v>5362</v>
      </c>
      <c r="C2105" t="s">
        <v>5363</v>
      </c>
      <c r="D2105" t="s">
        <v>5364</v>
      </c>
      <c r="E2105">
        <v>8633466387</v>
      </c>
      <c r="F2105" t="s">
        <v>1142</v>
      </c>
      <c r="G2105" t="s">
        <v>1143</v>
      </c>
      <c r="I2105" t="s">
        <v>124</v>
      </c>
      <c r="J2105" s="13">
        <v>45974</v>
      </c>
      <c r="K2105" s="13">
        <v>46023</v>
      </c>
      <c r="L2105" t="s">
        <v>434</v>
      </c>
      <c r="M2105" t="s">
        <v>60</v>
      </c>
      <c r="N2105">
        <v>71981894</v>
      </c>
    </row>
    <row r="2106" spans="1:14" x14ac:dyDescent="0.25">
      <c r="A2106">
        <v>58072867</v>
      </c>
      <c r="B2106" t="s">
        <v>1228</v>
      </c>
      <c r="C2106" t="s">
        <v>5365</v>
      </c>
      <c r="D2106" t="s">
        <v>5366</v>
      </c>
      <c r="E2106">
        <v>8123507959</v>
      </c>
      <c r="F2106" t="s">
        <v>551</v>
      </c>
      <c r="G2106" t="s">
        <v>552</v>
      </c>
      <c r="I2106" t="s">
        <v>42</v>
      </c>
      <c r="J2106" s="13">
        <v>45974</v>
      </c>
      <c r="K2106" s="13">
        <v>46023</v>
      </c>
      <c r="L2106" t="s">
        <v>440</v>
      </c>
      <c r="M2106" t="s">
        <v>56</v>
      </c>
      <c r="N2106">
        <v>71982094</v>
      </c>
    </row>
    <row r="2107" spans="1:14" x14ac:dyDescent="0.25">
      <c r="A2107">
        <v>58072786</v>
      </c>
      <c r="B2107" t="s">
        <v>420</v>
      </c>
      <c r="C2107" t="s">
        <v>4004</v>
      </c>
      <c r="D2107" t="s">
        <v>5367</v>
      </c>
      <c r="E2107">
        <v>5618506063</v>
      </c>
      <c r="F2107" t="s">
        <v>416</v>
      </c>
      <c r="G2107" t="s">
        <v>417</v>
      </c>
      <c r="I2107" t="s">
        <v>26</v>
      </c>
      <c r="J2107" s="13">
        <v>45974</v>
      </c>
      <c r="K2107" s="13">
        <v>46023</v>
      </c>
      <c r="L2107" t="s">
        <v>497</v>
      </c>
      <c r="M2107" t="s">
        <v>56</v>
      </c>
      <c r="N2107">
        <v>71982120</v>
      </c>
    </row>
    <row r="2108" spans="1:14" x14ac:dyDescent="0.25">
      <c r="A2108">
        <v>58074064</v>
      </c>
      <c r="B2108" t="s">
        <v>990</v>
      </c>
      <c r="C2108" t="s">
        <v>5368</v>
      </c>
      <c r="D2108" t="s">
        <v>5369</v>
      </c>
      <c r="E2108">
        <v>6189241649</v>
      </c>
      <c r="F2108" t="s">
        <v>649</v>
      </c>
      <c r="G2108" t="s">
        <v>650</v>
      </c>
      <c r="I2108" t="s">
        <v>28</v>
      </c>
      <c r="J2108" s="13">
        <v>45974</v>
      </c>
      <c r="K2108" s="13">
        <v>46023</v>
      </c>
      <c r="L2108" t="s">
        <v>470</v>
      </c>
      <c r="M2108" t="s">
        <v>61</v>
      </c>
      <c r="N2108">
        <v>71983027</v>
      </c>
    </row>
    <row r="2109" spans="1:14" x14ac:dyDescent="0.25">
      <c r="A2109">
        <v>58074125</v>
      </c>
      <c r="B2109" t="s">
        <v>1041</v>
      </c>
      <c r="C2109" t="s">
        <v>5370</v>
      </c>
      <c r="D2109" t="s">
        <v>5371</v>
      </c>
      <c r="E2109">
        <v>8598465509</v>
      </c>
      <c r="F2109" t="s">
        <v>790</v>
      </c>
      <c r="G2109" t="s">
        <v>791</v>
      </c>
      <c r="I2109" t="s">
        <v>119</v>
      </c>
      <c r="J2109" s="13">
        <v>45974</v>
      </c>
      <c r="K2109" s="13">
        <v>46023</v>
      </c>
      <c r="L2109" t="s">
        <v>490</v>
      </c>
      <c r="M2109" t="s">
        <v>56</v>
      </c>
      <c r="N2109">
        <v>71983052</v>
      </c>
    </row>
    <row r="2110" spans="1:14" x14ac:dyDescent="0.25">
      <c r="A2110">
        <v>58076047</v>
      </c>
      <c r="B2110" t="s">
        <v>748</v>
      </c>
      <c r="C2110" t="s">
        <v>5372</v>
      </c>
      <c r="D2110" t="s">
        <v>5373</v>
      </c>
      <c r="E2110">
        <v>5619292961</v>
      </c>
      <c r="F2110" t="s">
        <v>775</v>
      </c>
      <c r="G2110" t="s">
        <v>776</v>
      </c>
      <c r="I2110" t="s">
        <v>22</v>
      </c>
      <c r="J2110" s="13">
        <v>45974</v>
      </c>
      <c r="K2110" s="13">
        <v>46023</v>
      </c>
      <c r="L2110" t="s">
        <v>497</v>
      </c>
      <c r="M2110" t="s">
        <v>56</v>
      </c>
      <c r="N2110">
        <v>71984431</v>
      </c>
    </row>
    <row r="2111" spans="1:14" x14ac:dyDescent="0.25">
      <c r="A2111">
        <v>58076138</v>
      </c>
      <c r="B2111" t="s">
        <v>3995</v>
      </c>
      <c r="C2111" t="s">
        <v>4508</v>
      </c>
      <c r="D2111" t="s">
        <v>5374</v>
      </c>
      <c r="E2111">
        <v>4783310757</v>
      </c>
      <c r="F2111" t="s">
        <v>628</v>
      </c>
      <c r="G2111" t="s">
        <v>629</v>
      </c>
      <c r="I2111" t="s">
        <v>24</v>
      </c>
      <c r="J2111" s="13">
        <v>45974</v>
      </c>
      <c r="K2111" s="13">
        <v>46023</v>
      </c>
      <c r="L2111" t="s">
        <v>621</v>
      </c>
      <c r="M2111" t="s">
        <v>58</v>
      </c>
      <c r="N2111">
        <v>71984497</v>
      </c>
    </row>
    <row r="2112" spans="1:14" x14ac:dyDescent="0.25">
      <c r="A2112">
        <v>58076671</v>
      </c>
      <c r="B2112" t="s">
        <v>1853</v>
      </c>
      <c r="C2112" t="s">
        <v>5375</v>
      </c>
      <c r="D2112" t="s">
        <v>5376</v>
      </c>
      <c r="E2112">
        <v>2562884080</v>
      </c>
      <c r="F2112" t="s">
        <v>448</v>
      </c>
      <c r="G2112" t="s">
        <v>449</v>
      </c>
      <c r="I2112" t="s">
        <v>31</v>
      </c>
      <c r="J2112" s="13">
        <v>45974</v>
      </c>
      <c r="K2112" s="13">
        <v>46023</v>
      </c>
      <c r="L2112" t="s">
        <v>450</v>
      </c>
      <c r="M2112" t="s">
        <v>56</v>
      </c>
      <c r="N2112">
        <v>71984908</v>
      </c>
    </row>
    <row r="2113" spans="1:14" x14ac:dyDescent="0.25">
      <c r="A2113">
        <v>58077556</v>
      </c>
      <c r="B2113" t="s">
        <v>1404</v>
      </c>
      <c r="C2113" t="s">
        <v>964</v>
      </c>
      <c r="D2113" t="s">
        <v>5377</v>
      </c>
      <c r="E2113">
        <v>6185146599</v>
      </c>
      <c r="F2113" t="s">
        <v>821</v>
      </c>
      <c r="G2113" t="s">
        <v>822</v>
      </c>
      <c r="I2113" t="s">
        <v>823</v>
      </c>
      <c r="J2113" s="13">
        <v>45974</v>
      </c>
      <c r="K2113" s="13">
        <v>46023</v>
      </c>
      <c r="L2113" t="s">
        <v>470</v>
      </c>
      <c r="M2113" t="s">
        <v>59</v>
      </c>
      <c r="N2113">
        <v>71985495</v>
      </c>
    </row>
    <row r="2114" spans="1:14" x14ac:dyDescent="0.25">
      <c r="A2114">
        <v>58078329</v>
      </c>
      <c r="B2114" t="s">
        <v>1167</v>
      </c>
      <c r="C2114" t="s">
        <v>770</v>
      </c>
      <c r="D2114" t="s">
        <v>5378</v>
      </c>
      <c r="E2114">
        <v>3218907553</v>
      </c>
      <c r="F2114" t="s">
        <v>928</v>
      </c>
      <c r="G2114" t="s">
        <v>929</v>
      </c>
      <c r="I2114" t="s">
        <v>30</v>
      </c>
      <c r="J2114" s="13">
        <v>45974</v>
      </c>
      <c r="K2114" s="13">
        <v>46023</v>
      </c>
      <c r="L2114" t="s">
        <v>497</v>
      </c>
      <c r="M2114" t="s">
        <v>56</v>
      </c>
      <c r="N2114">
        <v>71986015</v>
      </c>
    </row>
    <row r="2115" spans="1:14" x14ac:dyDescent="0.25">
      <c r="A2115">
        <v>58079953</v>
      </c>
      <c r="B2115" t="s">
        <v>1621</v>
      </c>
      <c r="C2115" t="s">
        <v>5379</v>
      </c>
      <c r="D2115" t="s">
        <v>5380</v>
      </c>
      <c r="E2115">
        <v>5207474760</v>
      </c>
      <c r="F2115" t="s">
        <v>842</v>
      </c>
      <c r="G2115" t="s">
        <v>1213</v>
      </c>
      <c r="I2115" t="s">
        <v>1214</v>
      </c>
      <c r="J2115" s="13">
        <v>45974</v>
      </c>
      <c r="K2115" s="13">
        <v>46023</v>
      </c>
      <c r="L2115" t="s">
        <v>1179</v>
      </c>
      <c r="M2115" t="s">
        <v>54</v>
      </c>
      <c r="N2115">
        <v>71987008</v>
      </c>
    </row>
    <row r="2116" spans="1:14" x14ac:dyDescent="0.25">
      <c r="A2116">
        <v>58080643</v>
      </c>
      <c r="B2116" t="s">
        <v>521</v>
      </c>
      <c r="C2116" t="s">
        <v>5381</v>
      </c>
      <c r="D2116" t="s">
        <v>5382</v>
      </c>
      <c r="E2116">
        <v>9415801949</v>
      </c>
      <c r="F2116" t="s">
        <v>1345</v>
      </c>
      <c r="G2116" t="s">
        <v>799</v>
      </c>
      <c r="I2116" t="s">
        <v>47</v>
      </c>
      <c r="J2116" s="13">
        <v>45974</v>
      </c>
      <c r="K2116" s="13">
        <v>46023</v>
      </c>
      <c r="L2116" t="s">
        <v>497</v>
      </c>
      <c r="M2116" t="s">
        <v>54</v>
      </c>
      <c r="N2116">
        <v>71987482</v>
      </c>
    </row>
    <row r="2117" spans="1:14" x14ac:dyDescent="0.25">
      <c r="A2117">
        <v>58081038</v>
      </c>
      <c r="B2117" t="s">
        <v>5383</v>
      </c>
      <c r="C2117" t="s">
        <v>5384</v>
      </c>
      <c r="D2117" t="s">
        <v>5385</v>
      </c>
      <c r="E2117">
        <v>7274214099</v>
      </c>
      <c r="F2117" t="s">
        <v>569</v>
      </c>
      <c r="G2117" t="s">
        <v>570</v>
      </c>
      <c r="I2117" t="s">
        <v>34</v>
      </c>
      <c r="J2117" s="13">
        <v>45974</v>
      </c>
      <c r="K2117" s="13">
        <v>46023</v>
      </c>
      <c r="L2117" t="s">
        <v>497</v>
      </c>
      <c r="M2117" t="s">
        <v>54</v>
      </c>
      <c r="N2117">
        <v>71987716</v>
      </c>
    </row>
    <row r="2118" spans="1:14" x14ac:dyDescent="0.25">
      <c r="A2118">
        <v>58081672</v>
      </c>
      <c r="B2118" t="s">
        <v>4840</v>
      </c>
      <c r="C2118" t="s">
        <v>5386</v>
      </c>
      <c r="D2118" t="s">
        <v>5387</v>
      </c>
      <c r="E2118">
        <v>7725798552</v>
      </c>
      <c r="F2118" t="s">
        <v>474</v>
      </c>
      <c r="G2118" t="s">
        <v>475</v>
      </c>
      <c r="I2118" t="s">
        <v>132</v>
      </c>
      <c r="J2118" s="13">
        <v>45974</v>
      </c>
      <c r="K2118" s="13">
        <v>46023</v>
      </c>
      <c r="L2118" t="s">
        <v>497</v>
      </c>
      <c r="M2118" t="s">
        <v>58</v>
      </c>
      <c r="N2118">
        <v>71988053</v>
      </c>
    </row>
    <row r="2119" spans="1:14" x14ac:dyDescent="0.25">
      <c r="A2119">
        <v>58081703</v>
      </c>
      <c r="B2119" t="s">
        <v>5388</v>
      </c>
      <c r="C2119" t="s">
        <v>5389</v>
      </c>
      <c r="D2119" t="s">
        <v>5390</v>
      </c>
      <c r="E2119">
        <v>4806770195</v>
      </c>
      <c r="F2119" t="s">
        <v>1142</v>
      </c>
      <c r="G2119" t="s">
        <v>1143</v>
      </c>
      <c r="I2119" t="s">
        <v>124</v>
      </c>
      <c r="J2119" s="13">
        <v>45974</v>
      </c>
      <c r="K2119" s="13">
        <v>46023</v>
      </c>
      <c r="L2119" t="s">
        <v>1179</v>
      </c>
      <c r="M2119" t="s">
        <v>59</v>
      </c>
      <c r="N2119">
        <v>71988080</v>
      </c>
    </row>
    <row r="2120" spans="1:14" x14ac:dyDescent="0.25">
      <c r="A2120">
        <v>58081856</v>
      </c>
      <c r="B2120" t="s">
        <v>2244</v>
      </c>
      <c r="C2120" t="s">
        <v>5391</v>
      </c>
      <c r="D2120" t="s">
        <v>5392</v>
      </c>
      <c r="E2120">
        <v>7722057895</v>
      </c>
      <c r="F2120" t="s">
        <v>780</v>
      </c>
      <c r="G2120" t="s">
        <v>781</v>
      </c>
      <c r="I2120" t="s">
        <v>20</v>
      </c>
      <c r="J2120" s="13">
        <v>45974</v>
      </c>
      <c r="K2120" s="13">
        <v>46023</v>
      </c>
      <c r="L2120" t="s">
        <v>497</v>
      </c>
      <c r="M2120" t="s">
        <v>56</v>
      </c>
      <c r="N2120">
        <v>71988087</v>
      </c>
    </row>
    <row r="2121" spans="1:14" x14ac:dyDescent="0.25">
      <c r="A2121">
        <v>58081952</v>
      </c>
      <c r="B2121" t="s">
        <v>5393</v>
      </c>
      <c r="C2121" t="s">
        <v>2866</v>
      </c>
      <c r="D2121" t="s">
        <v>5394</v>
      </c>
      <c r="E2121">
        <v>4809420986</v>
      </c>
      <c r="F2121" t="s">
        <v>4853</v>
      </c>
      <c r="G2121" t="s">
        <v>5017</v>
      </c>
      <c r="I2121" t="s">
        <v>5018</v>
      </c>
      <c r="J2121" s="13">
        <v>45974</v>
      </c>
      <c r="K2121" s="13">
        <v>46023</v>
      </c>
      <c r="L2121" t="s">
        <v>1179</v>
      </c>
      <c r="M2121" t="s">
        <v>54</v>
      </c>
      <c r="N2121">
        <v>71988229</v>
      </c>
    </row>
    <row r="2122" spans="1:14" x14ac:dyDescent="0.25">
      <c r="A2122">
        <v>58082457</v>
      </c>
      <c r="B2122" t="s">
        <v>4199</v>
      </c>
      <c r="C2122" t="s">
        <v>5395</v>
      </c>
      <c r="D2122" t="s">
        <v>5396</v>
      </c>
      <c r="E2122">
        <v>6785888920</v>
      </c>
      <c r="F2122" t="s">
        <v>574</v>
      </c>
      <c r="G2122" t="s">
        <v>575</v>
      </c>
      <c r="I2122" t="s">
        <v>14</v>
      </c>
      <c r="J2122" s="13">
        <v>45974</v>
      </c>
      <c r="K2122" s="13">
        <v>46023</v>
      </c>
      <c r="L2122" t="s">
        <v>621</v>
      </c>
      <c r="M2122" t="s">
        <v>56</v>
      </c>
      <c r="N2122">
        <v>71988678</v>
      </c>
    </row>
    <row r="2123" spans="1:14" x14ac:dyDescent="0.25">
      <c r="A2123">
        <v>58082501</v>
      </c>
      <c r="B2123" t="s">
        <v>1297</v>
      </c>
      <c r="C2123" t="s">
        <v>5397</v>
      </c>
      <c r="D2123" t="s">
        <v>5398</v>
      </c>
      <c r="E2123">
        <v>3044254615</v>
      </c>
      <c r="F2123" t="s">
        <v>448</v>
      </c>
      <c r="G2123" t="s">
        <v>449</v>
      </c>
      <c r="I2123" t="s">
        <v>31</v>
      </c>
      <c r="J2123" s="13">
        <v>45974</v>
      </c>
      <c r="K2123" s="13">
        <v>46023</v>
      </c>
      <c r="L2123" t="s">
        <v>1188</v>
      </c>
      <c r="M2123" t="s">
        <v>60</v>
      </c>
      <c r="N2123">
        <v>71988708</v>
      </c>
    </row>
    <row r="2124" spans="1:14" x14ac:dyDescent="0.25">
      <c r="A2124">
        <v>58083164</v>
      </c>
      <c r="B2124" t="s">
        <v>2019</v>
      </c>
      <c r="C2124" t="s">
        <v>1587</v>
      </c>
      <c r="D2124" t="s">
        <v>5399</v>
      </c>
      <c r="E2124">
        <v>4044447977</v>
      </c>
      <c r="F2124" t="s">
        <v>1013</v>
      </c>
      <c r="G2124" t="s">
        <v>1014</v>
      </c>
      <c r="I2124" t="s">
        <v>43</v>
      </c>
      <c r="J2124" s="13">
        <v>45974</v>
      </c>
      <c r="K2124" s="13">
        <v>46023</v>
      </c>
      <c r="L2124" t="s">
        <v>553</v>
      </c>
      <c r="M2124" t="s">
        <v>58</v>
      </c>
      <c r="N2124">
        <v>71989093</v>
      </c>
    </row>
    <row r="2125" spans="1:14" x14ac:dyDescent="0.25">
      <c r="A2125">
        <v>58083563</v>
      </c>
      <c r="B2125" t="s">
        <v>3459</v>
      </c>
      <c r="C2125" t="s">
        <v>5400</v>
      </c>
      <c r="D2125" t="s">
        <v>5401</v>
      </c>
      <c r="E2125">
        <v>9705705819</v>
      </c>
      <c r="F2125" t="s">
        <v>790</v>
      </c>
      <c r="G2125" t="s">
        <v>791</v>
      </c>
      <c r="I2125" t="s">
        <v>119</v>
      </c>
      <c r="J2125" s="13">
        <v>45974</v>
      </c>
      <c r="K2125" s="13">
        <v>46023</v>
      </c>
      <c r="L2125" t="s">
        <v>539</v>
      </c>
      <c r="M2125" t="s">
        <v>55</v>
      </c>
      <c r="N2125">
        <v>71989385</v>
      </c>
    </row>
    <row r="2126" spans="1:14" x14ac:dyDescent="0.25">
      <c r="A2126">
        <v>58083860</v>
      </c>
      <c r="B2126" t="s">
        <v>522</v>
      </c>
      <c r="C2126" t="s">
        <v>1193</v>
      </c>
      <c r="D2126" t="s">
        <v>5402</v>
      </c>
      <c r="E2126">
        <v>4793430349</v>
      </c>
      <c r="F2126" t="s">
        <v>705</v>
      </c>
      <c r="G2126" t="s">
        <v>706</v>
      </c>
      <c r="I2126" t="s">
        <v>12</v>
      </c>
      <c r="J2126" s="13">
        <v>45974</v>
      </c>
      <c r="K2126" s="13">
        <v>46023</v>
      </c>
      <c r="L2126" t="s">
        <v>553</v>
      </c>
      <c r="M2126" t="s">
        <v>56</v>
      </c>
      <c r="N2126">
        <v>71989615</v>
      </c>
    </row>
    <row r="2127" spans="1:14" x14ac:dyDescent="0.25">
      <c r="A2127">
        <v>58083864</v>
      </c>
      <c r="B2127" t="s">
        <v>431</v>
      </c>
      <c r="C2127" t="s">
        <v>5403</v>
      </c>
      <c r="D2127" t="s">
        <v>5404</v>
      </c>
      <c r="E2127">
        <v>7579493126</v>
      </c>
      <c r="F2127" t="s">
        <v>870</v>
      </c>
      <c r="G2127" t="s">
        <v>871</v>
      </c>
      <c r="I2127" t="s">
        <v>872</v>
      </c>
      <c r="J2127" s="13">
        <v>45974</v>
      </c>
      <c r="K2127" s="13">
        <v>46023</v>
      </c>
      <c r="L2127" t="s">
        <v>454</v>
      </c>
      <c r="M2127" t="s">
        <v>58</v>
      </c>
      <c r="N2127">
        <v>71989617</v>
      </c>
    </row>
    <row r="2128" spans="1:14" x14ac:dyDescent="0.25">
      <c r="A2128">
        <v>58084002</v>
      </c>
      <c r="B2128" t="s">
        <v>5405</v>
      </c>
      <c r="C2128" t="s">
        <v>5406</v>
      </c>
      <c r="D2128" t="s">
        <v>5407</v>
      </c>
      <c r="E2128">
        <v>2522944146</v>
      </c>
      <c r="F2128" t="s">
        <v>1067</v>
      </c>
      <c r="G2128" t="s">
        <v>1068</v>
      </c>
      <c r="I2128" t="s">
        <v>35</v>
      </c>
      <c r="J2128" s="13">
        <v>45974</v>
      </c>
      <c r="K2128" s="13">
        <v>46023</v>
      </c>
      <c r="L2128" t="s">
        <v>603</v>
      </c>
      <c r="M2128" t="s">
        <v>58</v>
      </c>
      <c r="N2128">
        <v>71989707</v>
      </c>
    </row>
    <row r="2129" spans="1:14" x14ac:dyDescent="0.25">
      <c r="A2129">
        <v>58084373</v>
      </c>
      <c r="B2129" t="s">
        <v>4080</v>
      </c>
      <c r="C2129" t="s">
        <v>5408</v>
      </c>
      <c r="D2129" t="s">
        <v>5409</v>
      </c>
      <c r="E2129">
        <v>7862904996</v>
      </c>
      <c r="F2129" t="s">
        <v>775</v>
      </c>
      <c r="G2129" t="s">
        <v>776</v>
      </c>
      <c r="I2129" t="s">
        <v>22</v>
      </c>
      <c r="J2129" s="13">
        <v>45974</v>
      </c>
      <c r="K2129" s="13">
        <v>46023</v>
      </c>
      <c r="L2129" t="s">
        <v>497</v>
      </c>
      <c r="M2129" t="s">
        <v>56</v>
      </c>
      <c r="N2129">
        <v>71989890</v>
      </c>
    </row>
    <row r="2130" spans="1:14" x14ac:dyDescent="0.25">
      <c r="A2130">
        <v>58085168</v>
      </c>
      <c r="B2130" t="s">
        <v>1044</v>
      </c>
      <c r="C2130" t="s">
        <v>5410</v>
      </c>
      <c r="D2130" t="s">
        <v>5411</v>
      </c>
      <c r="E2130">
        <v>4343799484</v>
      </c>
      <c r="F2130" t="s">
        <v>957</v>
      </c>
      <c r="G2130" t="s">
        <v>958</v>
      </c>
      <c r="H2130" t="s">
        <v>959</v>
      </c>
      <c r="I2130" t="s">
        <v>960</v>
      </c>
      <c r="J2130" s="13">
        <v>45974</v>
      </c>
      <c r="K2130" s="13">
        <v>46023</v>
      </c>
      <c r="L2130" t="s">
        <v>454</v>
      </c>
      <c r="M2130" t="s">
        <v>56</v>
      </c>
      <c r="N2130">
        <v>71990442</v>
      </c>
    </row>
    <row r="2131" spans="1:14" x14ac:dyDescent="0.25">
      <c r="A2131">
        <v>58086546</v>
      </c>
      <c r="B2131" t="s">
        <v>5412</v>
      </c>
      <c r="C2131" t="s">
        <v>796</v>
      </c>
      <c r="D2131" t="s">
        <v>5413</v>
      </c>
      <c r="E2131">
        <v>9543284164</v>
      </c>
      <c r="F2131" t="s">
        <v>416</v>
      </c>
      <c r="G2131" t="s">
        <v>417</v>
      </c>
      <c r="I2131" t="s">
        <v>26</v>
      </c>
      <c r="J2131" s="13">
        <v>45974</v>
      </c>
      <c r="K2131" s="13">
        <v>46023</v>
      </c>
      <c r="L2131" t="s">
        <v>497</v>
      </c>
      <c r="M2131" t="s">
        <v>56</v>
      </c>
      <c r="N2131">
        <v>71991651</v>
      </c>
    </row>
    <row r="2132" spans="1:14" x14ac:dyDescent="0.25">
      <c r="A2132">
        <v>58086784</v>
      </c>
      <c r="B2132" t="s">
        <v>4248</v>
      </c>
      <c r="C2132" t="s">
        <v>2558</v>
      </c>
      <c r="D2132" t="s">
        <v>5414</v>
      </c>
      <c r="E2132">
        <v>5734820233</v>
      </c>
      <c r="F2132" t="s">
        <v>649</v>
      </c>
      <c r="G2132" t="s">
        <v>650</v>
      </c>
      <c r="I2132" t="s">
        <v>28</v>
      </c>
      <c r="J2132" s="13">
        <v>45974</v>
      </c>
      <c r="K2132" s="13">
        <v>46023</v>
      </c>
      <c r="L2132" t="s">
        <v>434</v>
      </c>
      <c r="M2132" t="s">
        <v>56</v>
      </c>
      <c r="N2132">
        <v>71991841</v>
      </c>
    </row>
    <row r="2133" spans="1:14" x14ac:dyDescent="0.25">
      <c r="A2133">
        <v>58086928</v>
      </c>
      <c r="B2133" t="s">
        <v>5415</v>
      </c>
      <c r="C2133" t="s">
        <v>2300</v>
      </c>
      <c r="D2133" t="s">
        <v>5416</v>
      </c>
      <c r="E2133">
        <v>5017087044</v>
      </c>
      <c r="F2133" t="s">
        <v>828</v>
      </c>
      <c r="G2133" t="s">
        <v>1148</v>
      </c>
      <c r="I2133" t="s">
        <v>17</v>
      </c>
      <c r="J2133" s="13">
        <v>45974</v>
      </c>
      <c r="K2133" s="13">
        <v>46023</v>
      </c>
      <c r="L2133" t="s">
        <v>553</v>
      </c>
      <c r="M2133" t="s">
        <v>59</v>
      </c>
      <c r="N2133">
        <v>71991921</v>
      </c>
    </row>
    <row r="2134" spans="1:14" x14ac:dyDescent="0.25">
      <c r="A2134">
        <v>58511496</v>
      </c>
      <c r="B2134" t="s">
        <v>1643</v>
      </c>
      <c r="C2134" t="s">
        <v>5417</v>
      </c>
      <c r="D2134" t="s">
        <v>5418</v>
      </c>
      <c r="E2134" t="s">
        <v>5419</v>
      </c>
      <c r="F2134" t="s">
        <v>815</v>
      </c>
      <c r="G2134" t="s">
        <v>816</v>
      </c>
      <c r="I2134" t="s">
        <v>23</v>
      </c>
      <c r="J2134" s="13">
        <v>45992</v>
      </c>
      <c r="K2134" s="13">
        <v>46023</v>
      </c>
      <c r="L2134" t="s">
        <v>450</v>
      </c>
      <c r="M2134" t="s">
        <v>60</v>
      </c>
      <c r="N2134">
        <v>71992040</v>
      </c>
    </row>
    <row r="2135" spans="1:14" x14ac:dyDescent="0.25">
      <c r="A2135">
        <v>58087280</v>
      </c>
      <c r="B2135" t="s">
        <v>586</v>
      </c>
      <c r="C2135" t="s">
        <v>3508</v>
      </c>
      <c r="D2135" t="s">
        <v>5420</v>
      </c>
      <c r="E2135">
        <v>6062715061</v>
      </c>
      <c r="F2135" t="s">
        <v>770</v>
      </c>
      <c r="G2135" t="s">
        <v>771</v>
      </c>
      <c r="I2135" t="s">
        <v>25</v>
      </c>
      <c r="J2135" s="13">
        <v>45974</v>
      </c>
      <c r="K2135" s="13">
        <v>46023</v>
      </c>
      <c r="L2135" t="s">
        <v>490</v>
      </c>
      <c r="M2135" t="s">
        <v>59</v>
      </c>
      <c r="N2135">
        <v>71992176</v>
      </c>
    </row>
    <row r="2136" spans="1:14" x14ac:dyDescent="0.25">
      <c r="A2136">
        <v>58087520</v>
      </c>
      <c r="B2136" t="s">
        <v>5421</v>
      </c>
      <c r="C2136" t="s">
        <v>5422</v>
      </c>
      <c r="D2136" t="s">
        <v>5423</v>
      </c>
      <c r="E2136">
        <v>7267770086</v>
      </c>
      <c r="F2136" t="s">
        <v>798</v>
      </c>
      <c r="G2136" t="s">
        <v>799</v>
      </c>
      <c r="I2136" t="s">
        <v>800</v>
      </c>
      <c r="J2136" s="13">
        <v>45974</v>
      </c>
      <c r="K2136" s="13">
        <v>46023</v>
      </c>
      <c r="L2136" t="s">
        <v>444</v>
      </c>
      <c r="M2136" t="s">
        <v>56</v>
      </c>
      <c r="N2136">
        <v>71992487</v>
      </c>
    </row>
    <row r="2137" spans="1:14" x14ac:dyDescent="0.25">
      <c r="A2137">
        <v>58087782</v>
      </c>
      <c r="B2137" t="s">
        <v>5424</v>
      </c>
      <c r="C2137" t="s">
        <v>705</v>
      </c>
      <c r="D2137" t="s">
        <v>5425</v>
      </c>
      <c r="E2137">
        <v>5615425446</v>
      </c>
      <c r="F2137" t="s">
        <v>775</v>
      </c>
      <c r="G2137" t="s">
        <v>776</v>
      </c>
      <c r="I2137" t="s">
        <v>22</v>
      </c>
      <c r="J2137" s="13">
        <v>45974</v>
      </c>
      <c r="K2137" s="13">
        <v>46023</v>
      </c>
      <c r="L2137" t="s">
        <v>497</v>
      </c>
      <c r="M2137" t="s">
        <v>56</v>
      </c>
      <c r="N2137">
        <v>71993768</v>
      </c>
    </row>
    <row r="2138" spans="1:14" x14ac:dyDescent="0.25">
      <c r="A2138">
        <v>58088164</v>
      </c>
      <c r="B2138" t="s">
        <v>3603</v>
      </c>
      <c r="C2138" t="s">
        <v>5426</v>
      </c>
      <c r="D2138" t="s">
        <v>5427</v>
      </c>
      <c r="E2138">
        <v>5202396069</v>
      </c>
      <c r="F2138" t="s">
        <v>416</v>
      </c>
      <c r="G2138" t="s">
        <v>417</v>
      </c>
      <c r="I2138" t="s">
        <v>26</v>
      </c>
      <c r="J2138" s="13">
        <v>45974</v>
      </c>
      <c r="K2138" s="13">
        <v>46023</v>
      </c>
      <c r="L2138" t="s">
        <v>1179</v>
      </c>
      <c r="M2138" t="s">
        <v>56</v>
      </c>
      <c r="N2138">
        <v>71994946</v>
      </c>
    </row>
    <row r="2139" spans="1:14" x14ac:dyDescent="0.25">
      <c r="A2139">
        <v>58089717</v>
      </c>
      <c r="B2139" t="s">
        <v>685</v>
      </c>
      <c r="C2139" t="s">
        <v>5428</v>
      </c>
      <c r="D2139" t="s">
        <v>5429</v>
      </c>
      <c r="E2139">
        <v>3344529253</v>
      </c>
      <c r="F2139" t="s">
        <v>790</v>
      </c>
      <c r="G2139" t="s">
        <v>791</v>
      </c>
      <c r="I2139" t="s">
        <v>119</v>
      </c>
      <c r="J2139" s="13">
        <v>45974</v>
      </c>
      <c r="K2139" s="13">
        <v>46023</v>
      </c>
      <c r="L2139" t="s">
        <v>450</v>
      </c>
      <c r="M2139" t="s">
        <v>55</v>
      </c>
      <c r="N2139">
        <v>71996093</v>
      </c>
    </row>
    <row r="2140" spans="1:14" x14ac:dyDescent="0.25">
      <c r="A2140">
        <v>58092376</v>
      </c>
      <c r="B2140" t="s">
        <v>1264</v>
      </c>
      <c r="C2140" t="s">
        <v>1258</v>
      </c>
      <c r="D2140" t="s">
        <v>5430</v>
      </c>
      <c r="E2140">
        <v>8167144847</v>
      </c>
      <c r="F2140" t="s">
        <v>448</v>
      </c>
      <c r="G2140" t="s">
        <v>449</v>
      </c>
      <c r="I2140" t="s">
        <v>31</v>
      </c>
      <c r="J2140" s="13">
        <v>45975</v>
      </c>
      <c r="K2140" s="13">
        <v>46023</v>
      </c>
      <c r="L2140" t="s">
        <v>434</v>
      </c>
      <c r="M2140" t="s">
        <v>56</v>
      </c>
      <c r="N2140">
        <v>71998421</v>
      </c>
    </row>
    <row r="2141" spans="1:14" x14ac:dyDescent="0.25">
      <c r="A2141">
        <v>58093941</v>
      </c>
      <c r="B2141" t="s">
        <v>5431</v>
      </c>
      <c r="C2141" t="s">
        <v>5432</v>
      </c>
      <c r="D2141" t="s">
        <v>5433</v>
      </c>
      <c r="E2141">
        <v>7865033030</v>
      </c>
      <c r="F2141" t="s">
        <v>775</v>
      </c>
      <c r="G2141" t="s">
        <v>776</v>
      </c>
      <c r="I2141" t="s">
        <v>22</v>
      </c>
      <c r="J2141" s="13">
        <v>45975</v>
      </c>
      <c r="K2141" s="13">
        <v>46023</v>
      </c>
      <c r="L2141" t="s">
        <v>497</v>
      </c>
      <c r="M2141" t="s">
        <v>54</v>
      </c>
      <c r="N2141">
        <v>72000041</v>
      </c>
    </row>
    <row r="2142" spans="1:14" x14ac:dyDescent="0.25">
      <c r="A2142">
        <v>58094300</v>
      </c>
      <c r="B2142" t="s">
        <v>1747</v>
      </c>
      <c r="C2142" t="s">
        <v>1287</v>
      </c>
      <c r="D2142" t="s">
        <v>5434</v>
      </c>
      <c r="E2142">
        <v>5613050708</v>
      </c>
      <c r="F2142" t="s">
        <v>416</v>
      </c>
      <c r="G2142" t="s">
        <v>417</v>
      </c>
      <c r="I2142" t="s">
        <v>26</v>
      </c>
      <c r="J2142" s="13">
        <v>45975</v>
      </c>
      <c r="K2142" s="13">
        <v>46023</v>
      </c>
      <c r="L2142" t="s">
        <v>497</v>
      </c>
      <c r="M2142" t="s">
        <v>59</v>
      </c>
      <c r="N2142">
        <v>72000289</v>
      </c>
    </row>
    <row r="2143" spans="1:14" x14ac:dyDescent="0.25">
      <c r="A2143">
        <v>60156333</v>
      </c>
      <c r="B2143" t="s">
        <v>5435</v>
      </c>
      <c r="C2143" t="s">
        <v>1917</v>
      </c>
      <c r="D2143" t="s">
        <v>5436</v>
      </c>
      <c r="E2143">
        <v>9124103826</v>
      </c>
      <c r="F2143" t="s">
        <v>474</v>
      </c>
      <c r="G2143" t="s">
        <v>475</v>
      </c>
      <c r="I2143" t="s">
        <v>132</v>
      </c>
      <c r="J2143" s="13">
        <v>46055</v>
      </c>
      <c r="K2143" s="13">
        <v>46082</v>
      </c>
      <c r="L2143" t="s">
        <v>621</v>
      </c>
      <c r="M2143" t="s">
        <v>58</v>
      </c>
      <c r="N2143">
        <v>72000354</v>
      </c>
    </row>
    <row r="2144" spans="1:14" x14ac:dyDescent="0.25">
      <c r="A2144">
        <v>58094481</v>
      </c>
      <c r="B2144" t="s">
        <v>1106</v>
      </c>
      <c r="C2144" t="s">
        <v>5437</v>
      </c>
      <c r="D2144" t="s">
        <v>5438</v>
      </c>
      <c r="E2144">
        <v>7793060964</v>
      </c>
      <c r="F2144" t="s">
        <v>448</v>
      </c>
      <c r="G2144" t="s">
        <v>449</v>
      </c>
      <c r="I2144" t="s">
        <v>31</v>
      </c>
      <c r="J2144" s="13">
        <v>45975</v>
      </c>
      <c r="K2144" s="13">
        <v>46023</v>
      </c>
      <c r="L2144" t="s">
        <v>470</v>
      </c>
      <c r="M2144" t="s">
        <v>58</v>
      </c>
      <c r="N2144">
        <v>72000444</v>
      </c>
    </row>
    <row r="2145" spans="1:14" x14ac:dyDescent="0.25">
      <c r="A2145">
        <v>58095358</v>
      </c>
      <c r="B2145" t="s">
        <v>4128</v>
      </c>
      <c r="C2145" t="s">
        <v>5439</v>
      </c>
      <c r="D2145" t="s">
        <v>5440</v>
      </c>
      <c r="E2145">
        <v>9543008053</v>
      </c>
      <c r="F2145" t="s">
        <v>592</v>
      </c>
      <c r="G2145" t="s">
        <v>593</v>
      </c>
      <c r="I2145" t="s">
        <v>115</v>
      </c>
      <c r="J2145" s="13">
        <v>45975</v>
      </c>
      <c r="K2145" s="13">
        <v>46023</v>
      </c>
      <c r="L2145" t="s">
        <v>497</v>
      </c>
      <c r="M2145" t="s">
        <v>56</v>
      </c>
      <c r="N2145">
        <v>72001242</v>
      </c>
    </row>
    <row r="2146" spans="1:14" x14ac:dyDescent="0.25">
      <c r="A2146">
        <v>58095510</v>
      </c>
      <c r="B2146" t="s">
        <v>5441</v>
      </c>
      <c r="C2146" t="s">
        <v>5442</v>
      </c>
      <c r="D2146" t="s">
        <v>5443</v>
      </c>
      <c r="E2146">
        <v>6065843842</v>
      </c>
      <c r="F2146" t="s">
        <v>842</v>
      </c>
      <c r="G2146" t="s">
        <v>843</v>
      </c>
      <c r="I2146" t="s">
        <v>98</v>
      </c>
      <c r="J2146" s="13">
        <v>45975</v>
      </c>
      <c r="K2146" s="13">
        <v>46023</v>
      </c>
      <c r="L2146" t="s">
        <v>490</v>
      </c>
      <c r="M2146" t="s">
        <v>56</v>
      </c>
      <c r="N2146">
        <v>72001381</v>
      </c>
    </row>
    <row r="2147" spans="1:14" x14ac:dyDescent="0.25">
      <c r="A2147">
        <v>58095971</v>
      </c>
      <c r="B2147" t="s">
        <v>2128</v>
      </c>
      <c r="C2147" t="s">
        <v>5444</v>
      </c>
      <c r="D2147" t="s">
        <v>5445</v>
      </c>
      <c r="E2147" t="s">
        <v>5446</v>
      </c>
      <c r="F2147" t="s">
        <v>770</v>
      </c>
      <c r="G2147" t="s">
        <v>771</v>
      </c>
      <c r="I2147" t="s">
        <v>25</v>
      </c>
      <c r="J2147" s="13">
        <v>45975</v>
      </c>
      <c r="K2147" s="13">
        <v>46023</v>
      </c>
      <c r="L2147" t="s">
        <v>621</v>
      </c>
      <c r="M2147" t="s">
        <v>59</v>
      </c>
      <c r="N2147">
        <v>72001675</v>
      </c>
    </row>
    <row r="2148" spans="1:14" x14ac:dyDescent="0.25">
      <c r="A2148">
        <v>58096620</v>
      </c>
      <c r="B2148" t="s">
        <v>1106</v>
      </c>
      <c r="C2148" t="s">
        <v>5447</v>
      </c>
      <c r="D2148" t="s">
        <v>5448</v>
      </c>
      <c r="E2148">
        <v>7273088010</v>
      </c>
      <c r="F2148" t="s">
        <v>928</v>
      </c>
      <c r="G2148" t="s">
        <v>929</v>
      </c>
      <c r="I2148" t="s">
        <v>30</v>
      </c>
      <c r="J2148" s="13">
        <v>45975</v>
      </c>
      <c r="K2148" s="13">
        <v>46023</v>
      </c>
      <c r="L2148" t="s">
        <v>497</v>
      </c>
      <c r="M2148" t="s">
        <v>56</v>
      </c>
      <c r="N2148">
        <v>72002114</v>
      </c>
    </row>
    <row r="2149" spans="1:14" x14ac:dyDescent="0.25">
      <c r="A2149">
        <v>59612984</v>
      </c>
      <c r="B2149" t="s">
        <v>5449</v>
      </c>
      <c r="C2149" t="s">
        <v>477</v>
      </c>
      <c r="D2149" t="s">
        <v>5450</v>
      </c>
      <c r="E2149">
        <v>3143636320</v>
      </c>
      <c r="F2149" t="s">
        <v>815</v>
      </c>
      <c r="G2149" t="s">
        <v>816</v>
      </c>
      <c r="I2149" t="s">
        <v>23</v>
      </c>
      <c r="J2149" s="13">
        <v>46037</v>
      </c>
      <c r="K2149" s="13">
        <v>46054</v>
      </c>
      <c r="L2149" t="s">
        <v>479</v>
      </c>
      <c r="M2149" t="s">
        <v>56</v>
      </c>
      <c r="N2149">
        <v>72002206</v>
      </c>
    </row>
    <row r="2150" spans="1:14" x14ac:dyDescent="0.25">
      <c r="A2150">
        <v>58096984</v>
      </c>
      <c r="B2150" t="s">
        <v>687</v>
      </c>
      <c r="C2150" t="s">
        <v>5451</v>
      </c>
      <c r="D2150" t="s">
        <v>5452</v>
      </c>
      <c r="E2150">
        <v>2602427044</v>
      </c>
      <c r="F2150" t="s">
        <v>537</v>
      </c>
      <c r="G2150" t="s">
        <v>538</v>
      </c>
      <c r="I2150" t="s">
        <v>49</v>
      </c>
      <c r="J2150" s="13">
        <v>45975</v>
      </c>
      <c r="K2150" s="13">
        <v>46023</v>
      </c>
      <c r="L2150" t="s">
        <v>440</v>
      </c>
      <c r="M2150" t="s">
        <v>56</v>
      </c>
      <c r="N2150">
        <v>72002340</v>
      </c>
    </row>
    <row r="2151" spans="1:14" x14ac:dyDescent="0.25">
      <c r="A2151">
        <v>58097178</v>
      </c>
      <c r="B2151" t="s">
        <v>1408</v>
      </c>
      <c r="C2151" t="s">
        <v>5453</v>
      </c>
      <c r="D2151" t="s">
        <v>5454</v>
      </c>
      <c r="E2151">
        <v>8644739257</v>
      </c>
      <c r="F2151" t="s">
        <v>1003</v>
      </c>
      <c r="G2151" t="s">
        <v>1004</v>
      </c>
      <c r="I2151" t="s">
        <v>89</v>
      </c>
      <c r="J2151" s="13">
        <v>45975</v>
      </c>
      <c r="K2151" s="13">
        <v>46023</v>
      </c>
      <c r="L2151" t="s">
        <v>533</v>
      </c>
      <c r="M2151" t="s">
        <v>56</v>
      </c>
      <c r="N2151">
        <v>72002445</v>
      </c>
    </row>
    <row r="2152" spans="1:14" x14ac:dyDescent="0.25">
      <c r="A2152">
        <v>58097375</v>
      </c>
      <c r="B2152" t="s">
        <v>1029</v>
      </c>
      <c r="C2152" t="s">
        <v>5455</v>
      </c>
      <c r="D2152" t="s">
        <v>5456</v>
      </c>
      <c r="E2152">
        <v>3342024771</v>
      </c>
      <c r="F2152" t="s">
        <v>1142</v>
      </c>
      <c r="G2152" t="s">
        <v>1143</v>
      </c>
      <c r="I2152" t="s">
        <v>124</v>
      </c>
      <c r="J2152" s="13">
        <v>45975</v>
      </c>
      <c r="K2152" s="13">
        <v>46023</v>
      </c>
      <c r="L2152" t="s">
        <v>450</v>
      </c>
      <c r="M2152" t="s">
        <v>58</v>
      </c>
      <c r="N2152">
        <v>72002594</v>
      </c>
    </row>
    <row r="2153" spans="1:14" x14ac:dyDescent="0.25">
      <c r="A2153">
        <v>58097536</v>
      </c>
      <c r="B2153" t="s">
        <v>5457</v>
      </c>
      <c r="C2153" t="s">
        <v>5458</v>
      </c>
      <c r="D2153" t="s">
        <v>5459</v>
      </c>
      <c r="E2153">
        <v>3367798000</v>
      </c>
      <c r="F2153" t="s">
        <v>474</v>
      </c>
      <c r="G2153" t="s">
        <v>475</v>
      </c>
      <c r="I2153" t="s">
        <v>132</v>
      </c>
      <c r="J2153" s="13">
        <v>45975</v>
      </c>
      <c r="K2153" s="13">
        <v>46023</v>
      </c>
      <c r="L2153" t="s">
        <v>603</v>
      </c>
      <c r="M2153" t="s">
        <v>59</v>
      </c>
      <c r="N2153">
        <v>72002699</v>
      </c>
    </row>
    <row r="2154" spans="1:14" x14ac:dyDescent="0.25">
      <c r="A2154">
        <v>58097805</v>
      </c>
      <c r="B2154" t="s">
        <v>1041</v>
      </c>
      <c r="C2154" t="s">
        <v>5460</v>
      </c>
      <c r="D2154" t="s">
        <v>5461</v>
      </c>
      <c r="E2154">
        <v>4806775582</v>
      </c>
      <c r="F2154" t="s">
        <v>462</v>
      </c>
      <c r="G2154" t="s">
        <v>463</v>
      </c>
      <c r="I2154" t="s">
        <v>39</v>
      </c>
      <c r="J2154" s="13">
        <v>45996</v>
      </c>
      <c r="K2154" s="13">
        <v>46023</v>
      </c>
      <c r="L2154" t="s">
        <v>1179</v>
      </c>
      <c r="M2154" t="s">
        <v>59</v>
      </c>
      <c r="N2154">
        <v>72002872</v>
      </c>
    </row>
    <row r="2155" spans="1:14" x14ac:dyDescent="0.25">
      <c r="A2155">
        <v>58099224</v>
      </c>
      <c r="B2155" t="s">
        <v>517</v>
      </c>
      <c r="C2155" t="s">
        <v>788</v>
      </c>
      <c r="D2155" t="s">
        <v>5462</v>
      </c>
      <c r="E2155">
        <v>4043101731</v>
      </c>
      <c r="F2155" t="s">
        <v>790</v>
      </c>
      <c r="G2155" t="s">
        <v>791</v>
      </c>
      <c r="I2155" t="s">
        <v>119</v>
      </c>
      <c r="J2155" s="13">
        <v>45975</v>
      </c>
      <c r="K2155" s="13">
        <v>46023</v>
      </c>
      <c r="L2155" t="s">
        <v>621</v>
      </c>
      <c r="M2155" t="s">
        <v>59</v>
      </c>
      <c r="N2155">
        <v>72003054</v>
      </c>
    </row>
    <row r="2156" spans="1:14" x14ac:dyDescent="0.25">
      <c r="A2156">
        <v>58098756</v>
      </c>
      <c r="B2156" t="s">
        <v>3995</v>
      </c>
      <c r="C2156" t="s">
        <v>5463</v>
      </c>
      <c r="D2156" t="s">
        <v>5464</v>
      </c>
      <c r="E2156">
        <v>7275646192</v>
      </c>
      <c r="F2156" t="s">
        <v>628</v>
      </c>
      <c r="G2156" t="s">
        <v>629</v>
      </c>
      <c r="I2156" t="s">
        <v>24</v>
      </c>
      <c r="J2156" s="13">
        <v>45975</v>
      </c>
      <c r="K2156" s="13">
        <v>46023</v>
      </c>
      <c r="L2156" t="s">
        <v>497</v>
      </c>
      <c r="M2156" t="s">
        <v>59</v>
      </c>
      <c r="N2156">
        <v>72003549</v>
      </c>
    </row>
    <row r="2157" spans="1:14" x14ac:dyDescent="0.25">
      <c r="A2157">
        <v>58100695</v>
      </c>
      <c r="B2157" t="s">
        <v>417</v>
      </c>
      <c r="C2157" t="s">
        <v>5465</v>
      </c>
      <c r="D2157" t="s">
        <v>5466</v>
      </c>
      <c r="E2157">
        <v>9043253861</v>
      </c>
      <c r="F2157" t="s">
        <v>551</v>
      </c>
      <c r="G2157" t="s">
        <v>552</v>
      </c>
      <c r="I2157" t="s">
        <v>42</v>
      </c>
      <c r="J2157" s="13">
        <v>45975</v>
      </c>
      <c r="K2157" s="13">
        <v>46054</v>
      </c>
      <c r="L2157" t="s">
        <v>497</v>
      </c>
      <c r="M2157" t="s">
        <v>60</v>
      </c>
      <c r="N2157">
        <v>72004895</v>
      </c>
    </row>
    <row r="2158" spans="1:14" x14ac:dyDescent="0.25">
      <c r="A2158">
        <v>58100671</v>
      </c>
      <c r="B2158" t="s">
        <v>3643</v>
      </c>
      <c r="C2158" t="s">
        <v>3231</v>
      </c>
      <c r="D2158" t="s">
        <v>5467</v>
      </c>
      <c r="E2158">
        <v>3092151617</v>
      </c>
      <c r="F2158" t="s">
        <v>448</v>
      </c>
      <c r="G2158" t="s">
        <v>449</v>
      </c>
      <c r="I2158" t="s">
        <v>31</v>
      </c>
      <c r="J2158" s="13">
        <v>45975</v>
      </c>
      <c r="K2158" s="13">
        <v>46023</v>
      </c>
      <c r="L2158" t="s">
        <v>470</v>
      </c>
      <c r="M2158" t="s">
        <v>61</v>
      </c>
      <c r="N2158">
        <v>72004926</v>
      </c>
    </row>
    <row r="2159" spans="1:14" x14ac:dyDescent="0.25">
      <c r="A2159">
        <v>58100861</v>
      </c>
      <c r="B2159" t="s">
        <v>5468</v>
      </c>
      <c r="C2159" t="s">
        <v>5469</v>
      </c>
      <c r="D2159" t="s">
        <v>5470</v>
      </c>
      <c r="E2159">
        <v>8134006950</v>
      </c>
      <c r="F2159" t="s">
        <v>569</v>
      </c>
      <c r="G2159" t="s">
        <v>570</v>
      </c>
      <c r="I2159" t="s">
        <v>34</v>
      </c>
      <c r="J2159" s="13">
        <v>45975</v>
      </c>
      <c r="K2159" s="13">
        <v>46023</v>
      </c>
      <c r="L2159" t="s">
        <v>497</v>
      </c>
      <c r="M2159" t="s">
        <v>58</v>
      </c>
      <c r="N2159">
        <v>72005062</v>
      </c>
    </row>
    <row r="2160" spans="1:14" x14ac:dyDescent="0.25">
      <c r="A2160">
        <v>58102014</v>
      </c>
      <c r="B2160" t="s">
        <v>5471</v>
      </c>
      <c r="C2160" t="s">
        <v>3553</v>
      </c>
      <c r="D2160" t="s">
        <v>5472</v>
      </c>
      <c r="E2160">
        <v>5202725901</v>
      </c>
      <c r="F2160" t="s">
        <v>615</v>
      </c>
      <c r="G2160" t="s">
        <v>616</v>
      </c>
      <c r="I2160" t="s">
        <v>617</v>
      </c>
      <c r="J2160" s="13">
        <v>45975</v>
      </c>
      <c r="K2160" s="13">
        <v>46023</v>
      </c>
      <c r="L2160" t="s">
        <v>1179</v>
      </c>
      <c r="M2160" t="s">
        <v>59</v>
      </c>
      <c r="N2160">
        <v>72005864</v>
      </c>
    </row>
    <row r="2161" spans="1:14" x14ac:dyDescent="0.25">
      <c r="A2161">
        <v>58102045</v>
      </c>
      <c r="B2161" t="s">
        <v>5473</v>
      </c>
      <c r="C2161" t="s">
        <v>5474</v>
      </c>
      <c r="D2161" t="s">
        <v>5475</v>
      </c>
      <c r="E2161">
        <v>5025454292</v>
      </c>
      <c r="F2161" t="s">
        <v>870</v>
      </c>
      <c r="G2161" t="s">
        <v>871</v>
      </c>
      <c r="I2161" t="s">
        <v>872</v>
      </c>
      <c r="J2161" s="13">
        <v>45975</v>
      </c>
      <c r="K2161" s="13">
        <v>46023</v>
      </c>
      <c r="L2161" t="s">
        <v>490</v>
      </c>
      <c r="M2161" t="s">
        <v>56</v>
      </c>
      <c r="N2161">
        <v>72005879</v>
      </c>
    </row>
    <row r="2162" spans="1:14" x14ac:dyDescent="0.25">
      <c r="A2162">
        <v>58102285</v>
      </c>
      <c r="B2162" t="s">
        <v>5476</v>
      </c>
      <c r="C2162" t="s">
        <v>5477</v>
      </c>
      <c r="D2162" t="s">
        <v>5478</v>
      </c>
      <c r="E2162">
        <v>8133626250</v>
      </c>
      <c r="F2162" t="s">
        <v>462</v>
      </c>
      <c r="G2162" t="s">
        <v>463</v>
      </c>
      <c r="I2162" t="s">
        <v>39</v>
      </c>
      <c r="J2162" s="13">
        <v>45975</v>
      </c>
      <c r="K2162" s="13">
        <v>46023</v>
      </c>
      <c r="L2162" t="s">
        <v>497</v>
      </c>
      <c r="M2162" t="s">
        <v>54</v>
      </c>
      <c r="N2162">
        <v>72006063</v>
      </c>
    </row>
    <row r="2163" spans="1:14" x14ac:dyDescent="0.25">
      <c r="A2163">
        <v>58102415</v>
      </c>
      <c r="B2163" t="s">
        <v>5479</v>
      </c>
      <c r="C2163" t="s">
        <v>5480</v>
      </c>
      <c r="D2163" t="s">
        <v>5481</v>
      </c>
      <c r="E2163">
        <v>4179523945</v>
      </c>
      <c r="F2163" t="s">
        <v>842</v>
      </c>
      <c r="G2163" t="s">
        <v>843</v>
      </c>
      <c r="I2163" t="s">
        <v>98</v>
      </c>
      <c r="J2163" s="13">
        <v>45975</v>
      </c>
      <c r="K2163" s="13">
        <v>46023</v>
      </c>
      <c r="L2163" t="s">
        <v>434</v>
      </c>
      <c r="M2163" t="s">
        <v>56</v>
      </c>
      <c r="N2163">
        <v>72006153</v>
      </c>
    </row>
    <row r="2164" spans="1:14" x14ac:dyDescent="0.25">
      <c r="A2164">
        <v>58102910</v>
      </c>
      <c r="B2164" t="s">
        <v>1905</v>
      </c>
      <c r="C2164" t="s">
        <v>5482</v>
      </c>
      <c r="D2164" t="s">
        <v>5483</v>
      </c>
      <c r="E2164">
        <v>8172474527</v>
      </c>
      <c r="F2164" t="s">
        <v>649</v>
      </c>
      <c r="G2164" t="s">
        <v>650</v>
      </c>
      <c r="I2164" t="s">
        <v>28</v>
      </c>
      <c r="J2164" s="13">
        <v>45975</v>
      </c>
      <c r="K2164" s="13">
        <v>46023</v>
      </c>
      <c r="L2164" t="s">
        <v>444</v>
      </c>
      <c r="M2164" t="s">
        <v>60</v>
      </c>
      <c r="N2164">
        <v>72006575</v>
      </c>
    </row>
    <row r="2165" spans="1:14" x14ac:dyDescent="0.25">
      <c r="A2165">
        <v>58103021</v>
      </c>
      <c r="B2165" t="s">
        <v>2984</v>
      </c>
      <c r="C2165" t="s">
        <v>5484</v>
      </c>
      <c r="D2165" t="s">
        <v>5485</v>
      </c>
      <c r="E2165">
        <v>7655164712</v>
      </c>
      <c r="F2165" t="s">
        <v>474</v>
      </c>
      <c r="G2165" t="s">
        <v>475</v>
      </c>
      <c r="I2165" t="s">
        <v>132</v>
      </c>
      <c r="J2165" s="13">
        <v>45975</v>
      </c>
      <c r="K2165" s="13">
        <v>46023</v>
      </c>
      <c r="L2165" t="s">
        <v>440</v>
      </c>
      <c r="M2165" t="s">
        <v>419</v>
      </c>
      <c r="N2165">
        <v>72006669</v>
      </c>
    </row>
    <row r="2166" spans="1:14" x14ac:dyDescent="0.25">
      <c r="A2166">
        <v>58103095</v>
      </c>
      <c r="B2166" t="s">
        <v>1106</v>
      </c>
      <c r="C2166" t="s">
        <v>1048</v>
      </c>
      <c r="D2166" t="s">
        <v>5486</v>
      </c>
      <c r="E2166">
        <v>4345322872</v>
      </c>
      <c r="F2166" t="s">
        <v>1003</v>
      </c>
      <c r="G2166" t="s">
        <v>1004</v>
      </c>
      <c r="I2166" t="s">
        <v>89</v>
      </c>
      <c r="J2166" s="13">
        <v>45975</v>
      </c>
      <c r="K2166" s="13">
        <v>46023</v>
      </c>
      <c r="L2166" t="s">
        <v>497</v>
      </c>
      <c r="M2166" t="s">
        <v>56</v>
      </c>
      <c r="N2166">
        <v>72006713</v>
      </c>
    </row>
    <row r="2167" spans="1:14" x14ac:dyDescent="0.25">
      <c r="A2167">
        <v>58103166</v>
      </c>
      <c r="B2167" t="s">
        <v>5487</v>
      </c>
      <c r="C2167" t="s">
        <v>1702</v>
      </c>
      <c r="D2167" t="s">
        <v>5488</v>
      </c>
      <c r="E2167">
        <v>2294563540</v>
      </c>
      <c r="F2167" t="s">
        <v>821</v>
      </c>
      <c r="G2167" t="s">
        <v>822</v>
      </c>
      <c r="I2167" t="s">
        <v>823</v>
      </c>
      <c r="J2167" s="13">
        <v>45975</v>
      </c>
      <c r="K2167" s="13">
        <v>46023</v>
      </c>
      <c r="L2167" t="s">
        <v>621</v>
      </c>
      <c r="M2167" t="s">
        <v>59</v>
      </c>
      <c r="N2167">
        <v>72006767</v>
      </c>
    </row>
    <row r="2168" spans="1:14" x14ac:dyDescent="0.25">
      <c r="A2168">
        <v>58103594</v>
      </c>
      <c r="B2168" t="s">
        <v>420</v>
      </c>
      <c r="C2168" t="s">
        <v>1393</v>
      </c>
      <c r="D2168" t="s">
        <v>5489</v>
      </c>
      <c r="E2168">
        <v>8505673996</v>
      </c>
      <c r="F2168" t="s">
        <v>780</v>
      </c>
      <c r="G2168" t="s">
        <v>781</v>
      </c>
      <c r="I2168" t="s">
        <v>20</v>
      </c>
      <c r="J2168" s="13">
        <v>45975</v>
      </c>
      <c r="K2168" s="13">
        <v>46023</v>
      </c>
      <c r="L2168" t="s">
        <v>497</v>
      </c>
      <c r="M2168" t="s">
        <v>56</v>
      </c>
      <c r="N2168">
        <v>72006823</v>
      </c>
    </row>
    <row r="2169" spans="1:14" x14ac:dyDescent="0.25">
      <c r="A2169">
        <v>58103267</v>
      </c>
      <c r="B2169" t="s">
        <v>2157</v>
      </c>
      <c r="C2169" t="s">
        <v>5490</v>
      </c>
      <c r="D2169" t="s">
        <v>5491</v>
      </c>
      <c r="E2169">
        <v>5204400862</v>
      </c>
      <c r="F2169" t="s">
        <v>828</v>
      </c>
      <c r="G2169" t="s">
        <v>1148</v>
      </c>
      <c r="I2169" t="s">
        <v>17</v>
      </c>
      <c r="J2169" s="13">
        <v>45975</v>
      </c>
      <c r="K2169" s="13">
        <v>46023</v>
      </c>
      <c r="L2169" t="s">
        <v>1179</v>
      </c>
      <c r="M2169" t="s">
        <v>60</v>
      </c>
      <c r="N2169">
        <v>72006830</v>
      </c>
    </row>
    <row r="2170" spans="1:14" x14ac:dyDescent="0.25">
      <c r="A2170">
        <v>58104182</v>
      </c>
      <c r="B2170" t="s">
        <v>522</v>
      </c>
      <c r="C2170" t="s">
        <v>5279</v>
      </c>
      <c r="D2170" t="s">
        <v>5492</v>
      </c>
      <c r="E2170">
        <v>9413023236</v>
      </c>
      <c r="F2170" t="s">
        <v>416</v>
      </c>
      <c r="G2170" t="s">
        <v>417</v>
      </c>
      <c r="I2170" t="s">
        <v>26</v>
      </c>
      <c r="J2170" s="13">
        <v>45975</v>
      </c>
      <c r="K2170" s="13">
        <v>46023</v>
      </c>
      <c r="L2170" t="s">
        <v>497</v>
      </c>
      <c r="M2170" t="s">
        <v>54</v>
      </c>
      <c r="N2170">
        <v>72007490</v>
      </c>
    </row>
    <row r="2171" spans="1:14" x14ac:dyDescent="0.25">
      <c r="A2171">
        <v>58104243</v>
      </c>
      <c r="B2171" t="s">
        <v>712</v>
      </c>
      <c r="C2171" t="s">
        <v>5493</v>
      </c>
      <c r="D2171" t="s">
        <v>5494</v>
      </c>
      <c r="E2171">
        <v>8167807197</v>
      </c>
      <c r="F2171" t="s">
        <v>537</v>
      </c>
      <c r="G2171" t="s">
        <v>538</v>
      </c>
      <c r="I2171" t="s">
        <v>49</v>
      </c>
      <c r="J2171" s="13">
        <v>45975</v>
      </c>
      <c r="K2171" s="13">
        <v>46023</v>
      </c>
      <c r="L2171" t="s">
        <v>434</v>
      </c>
      <c r="M2171" t="s">
        <v>59</v>
      </c>
      <c r="N2171">
        <v>72007570</v>
      </c>
    </row>
    <row r="2172" spans="1:14" x14ac:dyDescent="0.25">
      <c r="A2172">
        <v>58104539</v>
      </c>
      <c r="B2172" t="s">
        <v>2532</v>
      </c>
      <c r="C2172" t="s">
        <v>1078</v>
      </c>
      <c r="D2172" t="s">
        <v>5495</v>
      </c>
      <c r="E2172">
        <v>4809351350</v>
      </c>
      <c r="F2172" t="s">
        <v>4853</v>
      </c>
      <c r="G2172" t="s">
        <v>5017</v>
      </c>
      <c r="I2172" t="s">
        <v>5018</v>
      </c>
      <c r="J2172" s="13">
        <v>45975</v>
      </c>
      <c r="K2172" s="13">
        <v>46023</v>
      </c>
      <c r="L2172" t="s">
        <v>1179</v>
      </c>
      <c r="M2172" t="s">
        <v>54</v>
      </c>
      <c r="N2172">
        <v>72007773</v>
      </c>
    </row>
    <row r="2173" spans="1:14" x14ac:dyDescent="0.25">
      <c r="A2173">
        <v>58104675</v>
      </c>
      <c r="B2173" t="s">
        <v>5496</v>
      </c>
      <c r="C2173" t="s">
        <v>5497</v>
      </c>
      <c r="D2173" t="s">
        <v>5498</v>
      </c>
      <c r="E2173">
        <v>6028812499</v>
      </c>
      <c r="F2173" t="s">
        <v>842</v>
      </c>
      <c r="G2173" t="s">
        <v>1213</v>
      </c>
      <c r="I2173" t="s">
        <v>1214</v>
      </c>
      <c r="J2173" s="13">
        <v>45975</v>
      </c>
      <c r="K2173" s="13">
        <v>46023</v>
      </c>
      <c r="L2173" t="s">
        <v>1179</v>
      </c>
      <c r="M2173" t="s">
        <v>54</v>
      </c>
      <c r="N2173">
        <v>72007885</v>
      </c>
    </row>
    <row r="2174" spans="1:14" x14ac:dyDescent="0.25">
      <c r="A2174">
        <v>58105813</v>
      </c>
      <c r="B2174" t="s">
        <v>2990</v>
      </c>
      <c r="C2174" t="s">
        <v>1984</v>
      </c>
      <c r="D2174" t="s">
        <v>5499</v>
      </c>
      <c r="E2174">
        <v>5613862904</v>
      </c>
      <c r="F2174" t="s">
        <v>928</v>
      </c>
      <c r="G2174" t="s">
        <v>929</v>
      </c>
      <c r="I2174" t="s">
        <v>30</v>
      </c>
      <c r="J2174" s="13">
        <v>45975</v>
      </c>
      <c r="K2174" s="13">
        <v>46023</v>
      </c>
      <c r="L2174" t="s">
        <v>497</v>
      </c>
      <c r="M2174" t="s">
        <v>56</v>
      </c>
      <c r="N2174">
        <v>72008587</v>
      </c>
    </row>
    <row r="2175" spans="1:14" x14ac:dyDescent="0.25">
      <c r="A2175">
        <v>58105930</v>
      </c>
      <c r="B2175" t="s">
        <v>4325</v>
      </c>
      <c r="C2175" t="s">
        <v>5482</v>
      </c>
      <c r="D2175" t="s">
        <v>5500</v>
      </c>
      <c r="E2175" t="s">
        <v>5501</v>
      </c>
      <c r="F2175" t="s">
        <v>649</v>
      </c>
      <c r="G2175" t="s">
        <v>650</v>
      </c>
      <c r="I2175" t="s">
        <v>28</v>
      </c>
      <c r="J2175" s="13">
        <v>45975</v>
      </c>
      <c r="K2175" s="13">
        <v>46023</v>
      </c>
      <c r="L2175" t="s">
        <v>444</v>
      </c>
      <c r="M2175" t="s">
        <v>61</v>
      </c>
      <c r="N2175">
        <v>72008656</v>
      </c>
    </row>
    <row r="2176" spans="1:14" x14ac:dyDescent="0.25">
      <c r="A2176">
        <v>58106318</v>
      </c>
      <c r="B2176" t="s">
        <v>2232</v>
      </c>
      <c r="C2176" t="s">
        <v>2697</v>
      </c>
      <c r="D2176" t="s">
        <v>5502</v>
      </c>
      <c r="E2176">
        <v>9729161098</v>
      </c>
      <c r="F2176" t="s">
        <v>574</v>
      </c>
      <c r="G2176" t="s">
        <v>575</v>
      </c>
      <c r="I2176" t="s">
        <v>14</v>
      </c>
      <c r="J2176" s="13">
        <v>45975</v>
      </c>
      <c r="K2176" s="13">
        <v>46023</v>
      </c>
      <c r="L2176" t="s">
        <v>444</v>
      </c>
      <c r="M2176" t="s">
        <v>55</v>
      </c>
      <c r="N2176">
        <v>72008907</v>
      </c>
    </row>
    <row r="2177" spans="1:14" x14ac:dyDescent="0.25">
      <c r="A2177">
        <v>58106798</v>
      </c>
      <c r="B2177" t="s">
        <v>5503</v>
      </c>
      <c r="C2177" t="s">
        <v>5504</v>
      </c>
      <c r="D2177" t="s">
        <v>5505</v>
      </c>
      <c r="E2177">
        <v>4782280484</v>
      </c>
      <c r="F2177" t="s">
        <v>842</v>
      </c>
      <c r="G2177" t="s">
        <v>843</v>
      </c>
      <c r="I2177" t="s">
        <v>98</v>
      </c>
      <c r="J2177" s="13">
        <v>45975</v>
      </c>
      <c r="K2177" s="13">
        <v>46023</v>
      </c>
      <c r="L2177" t="s">
        <v>621</v>
      </c>
      <c r="M2177" t="s">
        <v>59</v>
      </c>
      <c r="N2177">
        <v>72009222</v>
      </c>
    </row>
    <row r="2178" spans="1:14" x14ac:dyDescent="0.25">
      <c r="A2178">
        <v>58106859</v>
      </c>
      <c r="B2178" t="s">
        <v>772</v>
      </c>
      <c r="C2178" t="s">
        <v>1036</v>
      </c>
      <c r="D2178" t="s">
        <v>5506</v>
      </c>
      <c r="E2178" t="s">
        <v>5507</v>
      </c>
      <c r="F2178" t="s">
        <v>1003</v>
      </c>
      <c r="G2178" t="s">
        <v>1004</v>
      </c>
      <c r="I2178" t="s">
        <v>89</v>
      </c>
      <c r="J2178" s="13">
        <v>45975</v>
      </c>
      <c r="K2178" s="13">
        <v>46023</v>
      </c>
      <c r="L2178" t="s">
        <v>497</v>
      </c>
      <c r="M2178" t="s">
        <v>56</v>
      </c>
      <c r="N2178">
        <v>72009261</v>
      </c>
    </row>
    <row r="2179" spans="1:14" x14ac:dyDescent="0.25">
      <c r="A2179">
        <v>58106881</v>
      </c>
      <c r="B2179" t="s">
        <v>1679</v>
      </c>
      <c r="C2179" t="s">
        <v>5508</v>
      </c>
      <c r="D2179" t="s">
        <v>5509</v>
      </c>
      <c r="E2179" t="s">
        <v>5510</v>
      </c>
      <c r="F2179" t="s">
        <v>474</v>
      </c>
      <c r="G2179" t="s">
        <v>475</v>
      </c>
      <c r="I2179" t="s">
        <v>132</v>
      </c>
      <c r="J2179" s="13">
        <v>45975</v>
      </c>
      <c r="K2179" s="13">
        <v>46023</v>
      </c>
      <c r="L2179" t="s">
        <v>497</v>
      </c>
      <c r="M2179" t="s">
        <v>56</v>
      </c>
      <c r="N2179">
        <v>72009275</v>
      </c>
    </row>
    <row r="2180" spans="1:14" x14ac:dyDescent="0.25">
      <c r="A2180">
        <v>58107019</v>
      </c>
      <c r="B2180" t="s">
        <v>990</v>
      </c>
      <c r="C2180" t="s">
        <v>1393</v>
      </c>
      <c r="D2180" t="s">
        <v>5488</v>
      </c>
      <c r="E2180">
        <v>7273898383</v>
      </c>
      <c r="F2180" t="s">
        <v>821</v>
      </c>
      <c r="G2180" t="s">
        <v>822</v>
      </c>
      <c r="I2180" t="s">
        <v>823</v>
      </c>
      <c r="J2180" s="13">
        <v>45975</v>
      </c>
      <c r="K2180" s="13">
        <v>46023</v>
      </c>
      <c r="L2180" t="s">
        <v>497</v>
      </c>
      <c r="M2180" t="s">
        <v>59</v>
      </c>
      <c r="N2180">
        <v>72009364</v>
      </c>
    </row>
    <row r="2181" spans="1:14" x14ac:dyDescent="0.25">
      <c r="A2181">
        <v>58107316</v>
      </c>
      <c r="B2181" t="s">
        <v>5511</v>
      </c>
      <c r="C2181" t="s">
        <v>4249</v>
      </c>
      <c r="D2181" t="s">
        <v>5512</v>
      </c>
      <c r="E2181">
        <v>9045015933</v>
      </c>
      <c r="F2181" t="s">
        <v>1067</v>
      </c>
      <c r="G2181" t="s">
        <v>1068</v>
      </c>
      <c r="I2181" t="s">
        <v>35</v>
      </c>
      <c r="J2181" s="13">
        <v>45975</v>
      </c>
      <c r="K2181" s="13">
        <v>46023</v>
      </c>
      <c r="L2181" t="s">
        <v>497</v>
      </c>
      <c r="M2181" t="s">
        <v>59</v>
      </c>
      <c r="N2181">
        <v>72009560</v>
      </c>
    </row>
    <row r="2182" spans="1:14" x14ac:dyDescent="0.25">
      <c r="A2182">
        <v>58108251</v>
      </c>
      <c r="B2182" t="s">
        <v>5513</v>
      </c>
      <c r="C2182" t="s">
        <v>5514</v>
      </c>
      <c r="D2182" t="s">
        <v>5515</v>
      </c>
      <c r="E2182">
        <v>8705627528</v>
      </c>
      <c r="F2182" t="s">
        <v>1142</v>
      </c>
      <c r="G2182" t="s">
        <v>1143</v>
      </c>
      <c r="I2182" t="s">
        <v>124</v>
      </c>
      <c r="J2182" s="13">
        <v>45975</v>
      </c>
      <c r="K2182" s="13">
        <v>46023</v>
      </c>
      <c r="L2182" t="s">
        <v>553</v>
      </c>
      <c r="M2182" t="s">
        <v>56</v>
      </c>
      <c r="N2182">
        <v>72010156</v>
      </c>
    </row>
    <row r="2183" spans="1:14" x14ac:dyDescent="0.25">
      <c r="A2183">
        <v>58109384</v>
      </c>
      <c r="B2183" t="s">
        <v>3337</v>
      </c>
      <c r="C2183" t="s">
        <v>654</v>
      </c>
      <c r="D2183" t="s">
        <v>5516</v>
      </c>
      <c r="E2183">
        <v>6822079294</v>
      </c>
      <c r="F2183" t="s">
        <v>780</v>
      </c>
      <c r="G2183" t="s">
        <v>781</v>
      </c>
      <c r="I2183" t="s">
        <v>20</v>
      </c>
      <c r="J2183" s="13">
        <v>45975</v>
      </c>
      <c r="K2183" s="13">
        <v>46023</v>
      </c>
      <c r="L2183" t="s">
        <v>444</v>
      </c>
      <c r="M2183" t="s">
        <v>419</v>
      </c>
      <c r="N2183">
        <v>72011534</v>
      </c>
    </row>
    <row r="2184" spans="1:14" x14ac:dyDescent="0.25">
      <c r="A2184">
        <v>58109027</v>
      </c>
      <c r="B2184" t="s">
        <v>836</v>
      </c>
      <c r="C2184" t="s">
        <v>4073</v>
      </c>
      <c r="D2184" t="s">
        <v>5517</v>
      </c>
      <c r="E2184">
        <v>7572541469</v>
      </c>
      <c r="F2184" t="s">
        <v>474</v>
      </c>
      <c r="G2184" t="s">
        <v>475</v>
      </c>
      <c r="I2184" t="s">
        <v>132</v>
      </c>
      <c r="J2184" s="13">
        <v>45975</v>
      </c>
      <c r="K2184" s="13">
        <v>46023</v>
      </c>
      <c r="L2184" t="s">
        <v>454</v>
      </c>
      <c r="M2184" t="s">
        <v>56</v>
      </c>
      <c r="N2184">
        <v>72011655</v>
      </c>
    </row>
    <row r="2185" spans="1:14" x14ac:dyDescent="0.25">
      <c r="A2185">
        <v>58109245</v>
      </c>
      <c r="B2185" t="s">
        <v>5518</v>
      </c>
      <c r="C2185" t="s">
        <v>1416</v>
      </c>
      <c r="D2185" t="s">
        <v>5519</v>
      </c>
      <c r="E2185">
        <v>4797153390</v>
      </c>
      <c r="F2185" t="s">
        <v>551</v>
      </c>
      <c r="G2185" t="s">
        <v>552</v>
      </c>
      <c r="I2185" t="s">
        <v>42</v>
      </c>
      <c r="J2185" s="13">
        <v>45975</v>
      </c>
      <c r="K2185" s="13">
        <v>46023</v>
      </c>
      <c r="L2185" t="s">
        <v>553</v>
      </c>
      <c r="M2185" t="s">
        <v>56</v>
      </c>
      <c r="N2185">
        <v>72011734</v>
      </c>
    </row>
    <row r="2186" spans="1:14" x14ac:dyDescent="0.25">
      <c r="A2186">
        <v>58109221</v>
      </c>
      <c r="B2186" t="s">
        <v>1316</v>
      </c>
      <c r="C2186" t="s">
        <v>5520</v>
      </c>
      <c r="D2186" t="s">
        <v>5521</v>
      </c>
      <c r="E2186">
        <v>5202411097</v>
      </c>
      <c r="F2186" t="s">
        <v>775</v>
      </c>
      <c r="G2186" t="s">
        <v>776</v>
      </c>
      <c r="I2186" t="s">
        <v>22</v>
      </c>
      <c r="J2186" s="13">
        <v>45975</v>
      </c>
      <c r="K2186" s="13">
        <v>46023</v>
      </c>
      <c r="L2186" t="s">
        <v>1179</v>
      </c>
      <c r="M2186" t="s">
        <v>54</v>
      </c>
      <c r="N2186">
        <v>72011769</v>
      </c>
    </row>
    <row r="2187" spans="1:14" x14ac:dyDescent="0.25">
      <c r="A2187">
        <v>58109314</v>
      </c>
      <c r="B2187" t="s">
        <v>2596</v>
      </c>
      <c r="C2187" t="s">
        <v>5522</v>
      </c>
      <c r="D2187" t="s">
        <v>5523</v>
      </c>
      <c r="E2187">
        <v>2394701356</v>
      </c>
      <c r="F2187" t="s">
        <v>1003</v>
      </c>
      <c r="G2187" t="s">
        <v>1004</v>
      </c>
      <c r="I2187" t="s">
        <v>89</v>
      </c>
      <c r="J2187" s="13">
        <v>45975</v>
      </c>
      <c r="K2187" s="13">
        <v>46023</v>
      </c>
      <c r="L2187" t="s">
        <v>497</v>
      </c>
      <c r="M2187" t="s">
        <v>58</v>
      </c>
      <c r="N2187">
        <v>72011818</v>
      </c>
    </row>
    <row r="2188" spans="1:14" x14ac:dyDescent="0.25">
      <c r="A2188">
        <v>58109343</v>
      </c>
      <c r="B2188" t="s">
        <v>5524</v>
      </c>
      <c r="C2188" t="s">
        <v>5525</v>
      </c>
      <c r="D2188" t="s">
        <v>5526</v>
      </c>
      <c r="E2188">
        <v>9045547021</v>
      </c>
      <c r="F2188" t="s">
        <v>574</v>
      </c>
      <c r="G2188" t="s">
        <v>575</v>
      </c>
      <c r="I2188" t="s">
        <v>14</v>
      </c>
      <c r="J2188" s="13">
        <v>45975</v>
      </c>
      <c r="K2188" s="13">
        <v>46023</v>
      </c>
      <c r="L2188" t="s">
        <v>497</v>
      </c>
      <c r="M2188" t="s">
        <v>59</v>
      </c>
      <c r="N2188">
        <v>72011838</v>
      </c>
    </row>
    <row r="2189" spans="1:14" x14ac:dyDescent="0.25">
      <c r="A2189">
        <v>58109510</v>
      </c>
      <c r="B2189" t="s">
        <v>5527</v>
      </c>
      <c r="C2189" t="s">
        <v>5528</v>
      </c>
      <c r="D2189" t="s">
        <v>5529</v>
      </c>
      <c r="E2189">
        <v>4793129777</v>
      </c>
      <c r="F2189" t="s">
        <v>615</v>
      </c>
      <c r="G2189" t="s">
        <v>616</v>
      </c>
      <c r="I2189" t="s">
        <v>617</v>
      </c>
      <c r="J2189" s="13">
        <v>45975</v>
      </c>
      <c r="K2189" s="13">
        <v>46023</v>
      </c>
      <c r="L2189" t="s">
        <v>553</v>
      </c>
      <c r="M2189" t="s">
        <v>56</v>
      </c>
      <c r="N2189">
        <v>72011932</v>
      </c>
    </row>
    <row r="2190" spans="1:14" x14ac:dyDescent="0.25">
      <c r="A2190">
        <v>58109773</v>
      </c>
      <c r="B2190" t="s">
        <v>5530</v>
      </c>
      <c r="C2190" t="s">
        <v>5531</v>
      </c>
      <c r="D2190" t="s">
        <v>5532</v>
      </c>
      <c r="E2190">
        <v>3346488323</v>
      </c>
      <c r="F2190" t="s">
        <v>821</v>
      </c>
      <c r="G2190" t="s">
        <v>822</v>
      </c>
      <c r="I2190" t="s">
        <v>823</v>
      </c>
      <c r="J2190" s="13">
        <v>45975</v>
      </c>
      <c r="K2190" s="13">
        <v>46023</v>
      </c>
      <c r="L2190" t="s">
        <v>450</v>
      </c>
      <c r="M2190" t="s">
        <v>56</v>
      </c>
      <c r="N2190">
        <v>72012089</v>
      </c>
    </row>
    <row r="2191" spans="1:14" x14ac:dyDescent="0.25">
      <c r="A2191">
        <v>58109866</v>
      </c>
      <c r="B2191" t="s">
        <v>3940</v>
      </c>
      <c r="C2191" t="s">
        <v>5533</v>
      </c>
      <c r="D2191" t="s">
        <v>5534</v>
      </c>
      <c r="E2191">
        <v>7202352527</v>
      </c>
      <c r="F2191" t="s">
        <v>842</v>
      </c>
      <c r="G2191" t="s">
        <v>843</v>
      </c>
      <c r="I2191" t="s">
        <v>98</v>
      </c>
      <c r="J2191" s="13">
        <v>45975</v>
      </c>
      <c r="K2191" s="13">
        <v>46023</v>
      </c>
      <c r="L2191" t="s">
        <v>539</v>
      </c>
      <c r="M2191" t="s">
        <v>58</v>
      </c>
      <c r="N2191">
        <v>72012155</v>
      </c>
    </row>
    <row r="2192" spans="1:14" x14ac:dyDescent="0.25">
      <c r="A2192">
        <v>58109955</v>
      </c>
      <c r="B2192" t="s">
        <v>1441</v>
      </c>
      <c r="C2192" t="s">
        <v>5535</v>
      </c>
      <c r="D2192" t="s">
        <v>5536</v>
      </c>
      <c r="E2192">
        <v>7722856869</v>
      </c>
      <c r="F2192" t="s">
        <v>448</v>
      </c>
      <c r="G2192" t="s">
        <v>449</v>
      </c>
      <c r="I2192" t="s">
        <v>31</v>
      </c>
      <c r="J2192" s="13">
        <v>45975</v>
      </c>
      <c r="K2192" s="13">
        <v>46023</v>
      </c>
      <c r="L2192" t="s">
        <v>497</v>
      </c>
      <c r="M2192" t="s">
        <v>58</v>
      </c>
      <c r="N2192">
        <v>72012209</v>
      </c>
    </row>
    <row r="2193" spans="1:14" x14ac:dyDescent="0.25">
      <c r="A2193">
        <v>58110918</v>
      </c>
      <c r="B2193" t="s">
        <v>5537</v>
      </c>
      <c r="C2193" t="s">
        <v>5538</v>
      </c>
      <c r="D2193" t="s">
        <v>5539</v>
      </c>
      <c r="E2193">
        <v>8704167752</v>
      </c>
      <c r="F2193" t="s">
        <v>957</v>
      </c>
      <c r="G2193" t="s">
        <v>958</v>
      </c>
      <c r="H2193" t="s">
        <v>959</v>
      </c>
      <c r="I2193" t="s">
        <v>960</v>
      </c>
      <c r="J2193" s="13">
        <v>45975</v>
      </c>
      <c r="K2193" s="13">
        <v>46023</v>
      </c>
      <c r="L2193" t="s">
        <v>553</v>
      </c>
      <c r="M2193" t="s">
        <v>56</v>
      </c>
      <c r="N2193">
        <v>72012815</v>
      </c>
    </row>
    <row r="2194" spans="1:14" x14ac:dyDescent="0.25">
      <c r="A2194">
        <v>58111277</v>
      </c>
      <c r="B2194" t="s">
        <v>1242</v>
      </c>
      <c r="C2194" t="s">
        <v>1203</v>
      </c>
      <c r="D2194" t="s">
        <v>5540</v>
      </c>
      <c r="E2194">
        <v>7573672903</v>
      </c>
      <c r="F2194" t="s">
        <v>615</v>
      </c>
      <c r="G2194" t="s">
        <v>616</v>
      </c>
      <c r="I2194" t="s">
        <v>617</v>
      </c>
      <c r="J2194" s="13">
        <v>45975</v>
      </c>
      <c r="K2194" s="13">
        <v>46023</v>
      </c>
      <c r="L2194" t="s">
        <v>454</v>
      </c>
      <c r="M2194" t="s">
        <v>56</v>
      </c>
      <c r="N2194">
        <v>72013091</v>
      </c>
    </row>
    <row r="2195" spans="1:14" x14ac:dyDescent="0.25">
      <c r="A2195">
        <v>58111532</v>
      </c>
      <c r="B2195" t="s">
        <v>2140</v>
      </c>
      <c r="C2195" t="s">
        <v>5541</v>
      </c>
      <c r="D2195" t="s">
        <v>5542</v>
      </c>
      <c r="E2195">
        <v>7865704673</v>
      </c>
      <c r="F2195" t="s">
        <v>416</v>
      </c>
      <c r="G2195" t="s">
        <v>417</v>
      </c>
      <c r="I2195" t="s">
        <v>26</v>
      </c>
      <c r="J2195" s="13">
        <v>45975</v>
      </c>
      <c r="K2195" s="13">
        <v>46023</v>
      </c>
      <c r="L2195" t="s">
        <v>497</v>
      </c>
      <c r="M2195" t="s">
        <v>54</v>
      </c>
      <c r="N2195">
        <v>72014843</v>
      </c>
    </row>
    <row r="2196" spans="1:14" x14ac:dyDescent="0.25">
      <c r="A2196">
        <v>58111646</v>
      </c>
      <c r="B2196" t="s">
        <v>5543</v>
      </c>
      <c r="C2196" t="s">
        <v>5544</v>
      </c>
      <c r="D2196" t="s">
        <v>5545</v>
      </c>
      <c r="E2196">
        <v>9545932520</v>
      </c>
      <c r="F2196" t="s">
        <v>775</v>
      </c>
      <c r="G2196" t="s">
        <v>776</v>
      </c>
      <c r="I2196" t="s">
        <v>22</v>
      </c>
      <c r="J2196" s="13">
        <v>45975</v>
      </c>
      <c r="K2196" s="13">
        <v>46023</v>
      </c>
      <c r="L2196" t="s">
        <v>497</v>
      </c>
      <c r="M2196" t="s">
        <v>54</v>
      </c>
      <c r="N2196">
        <v>72014936</v>
      </c>
    </row>
    <row r="2197" spans="1:14" x14ac:dyDescent="0.25">
      <c r="A2197">
        <v>58111789</v>
      </c>
      <c r="B2197" t="s">
        <v>1004</v>
      </c>
      <c r="C2197" t="s">
        <v>5546</v>
      </c>
      <c r="D2197" t="s">
        <v>5547</v>
      </c>
      <c r="E2197">
        <v>3087605181</v>
      </c>
      <c r="F2197" t="s">
        <v>790</v>
      </c>
      <c r="G2197" t="s">
        <v>791</v>
      </c>
      <c r="I2197" t="s">
        <v>119</v>
      </c>
      <c r="J2197" s="13">
        <v>45975</v>
      </c>
      <c r="K2197" s="13">
        <v>46023</v>
      </c>
      <c r="L2197" t="s">
        <v>539</v>
      </c>
      <c r="M2197" t="s">
        <v>56</v>
      </c>
      <c r="N2197">
        <v>72015040</v>
      </c>
    </row>
    <row r="2198" spans="1:14" x14ac:dyDescent="0.25">
      <c r="A2198">
        <v>58112130</v>
      </c>
      <c r="B2198" t="s">
        <v>1518</v>
      </c>
      <c r="C2198" t="s">
        <v>5548</v>
      </c>
      <c r="D2198" t="s">
        <v>5549</v>
      </c>
      <c r="E2198">
        <v>4804549751</v>
      </c>
      <c r="F2198" t="s">
        <v>649</v>
      </c>
      <c r="G2198" t="s">
        <v>650</v>
      </c>
      <c r="I2198" t="s">
        <v>28</v>
      </c>
      <c r="J2198" s="13">
        <v>45975</v>
      </c>
      <c r="K2198" s="13">
        <v>46023</v>
      </c>
      <c r="L2198" t="s">
        <v>1179</v>
      </c>
      <c r="M2198" t="s">
        <v>61</v>
      </c>
      <c r="N2198">
        <v>72015290</v>
      </c>
    </row>
    <row r="2199" spans="1:14" x14ac:dyDescent="0.25">
      <c r="A2199">
        <v>58112304</v>
      </c>
      <c r="B2199" t="s">
        <v>431</v>
      </c>
      <c r="C2199" t="s">
        <v>5550</v>
      </c>
      <c r="D2199" t="s">
        <v>5551</v>
      </c>
      <c r="E2199">
        <v>8134165206</v>
      </c>
      <c r="F2199" t="s">
        <v>416</v>
      </c>
      <c r="G2199" t="s">
        <v>417</v>
      </c>
      <c r="I2199" t="s">
        <v>26</v>
      </c>
      <c r="J2199" s="13">
        <v>45975</v>
      </c>
      <c r="K2199" s="13">
        <v>46023</v>
      </c>
      <c r="L2199" t="s">
        <v>497</v>
      </c>
      <c r="M2199" t="s">
        <v>54</v>
      </c>
      <c r="N2199">
        <v>72015454</v>
      </c>
    </row>
    <row r="2200" spans="1:14" x14ac:dyDescent="0.25">
      <c r="A2200">
        <v>58112774</v>
      </c>
      <c r="B2200" t="s">
        <v>5552</v>
      </c>
      <c r="C2200" t="s">
        <v>2712</v>
      </c>
      <c r="D2200" t="s">
        <v>5553</v>
      </c>
      <c r="E2200">
        <v>4806068272</v>
      </c>
      <c r="F2200" t="s">
        <v>1345</v>
      </c>
      <c r="G2200" t="s">
        <v>799</v>
      </c>
      <c r="I2200" t="s">
        <v>47</v>
      </c>
      <c r="J2200" s="13">
        <v>45975</v>
      </c>
      <c r="K2200" s="13">
        <v>46023</v>
      </c>
      <c r="L2200" t="s">
        <v>1179</v>
      </c>
      <c r="M2200" t="s">
        <v>54</v>
      </c>
      <c r="N2200">
        <v>72015847</v>
      </c>
    </row>
    <row r="2201" spans="1:14" x14ac:dyDescent="0.25">
      <c r="A2201">
        <v>58114870</v>
      </c>
      <c r="B2201" t="s">
        <v>4861</v>
      </c>
      <c r="C2201" t="s">
        <v>954</v>
      </c>
      <c r="D2201" t="s">
        <v>5554</v>
      </c>
      <c r="E2201">
        <v>8654406105</v>
      </c>
      <c r="F2201" t="s">
        <v>474</v>
      </c>
      <c r="G2201" t="s">
        <v>475</v>
      </c>
      <c r="I2201" t="s">
        <v>132</v>
      </c>
      <c r="J2201" s="13">
        <v>45976</v>
      </c>
      <c r="K2201" s="13">
        <v>46023</v>
      </c>
      <c r="L2201" t="s">
        <v>479</v>
      </c>
      <c r="M2201" t="s">
        <v>59</v>
      </c>
      <c r="N2201">
        <v>72017473</v>
      </c>
    </row>
    <row r="2202" spans="1:14" x14ac:dyDescent="0.25">
      <c r="A2202">
        <v>58116079</v>
      </c>
      <c r="B2202" t="s">
        <v>2681</v>
      </c>
      <c r="C2202" t="s">
        <v>5555</v>
      </c>
      <c r="D2202" t="s">
        <v>5556</v>
      </c>
      <c r="E2202">
        <v>4708856224</v>
      </c>
      <c r="F2202" t="s">
        <v>790</v>
      </c>
      <c r="G2202" t="s">
        <v>791</v>
      </c>
      <c r="I2202" t="s">
        <v>119</v>
      </c>
      <c r="J2202" s="13">
        <v>45976</v>
      </c>
      <c r="K2202" s="13">
        <v>46023</v>
      </c>
      <c r="L2202" t="s">
        <v>621</v>
      </c>
      <c r="M2202" t="s">
        <v>59</v>
      </c>
      <c r="N2202">
        <v>72018479</v>
      </c>
    </row>
    <row r="2203" spans="1:14" x14ac:dyDescent="0.25">
      <c r="A2203">
        <v>58116089</v>
      </c>
      <c r="B2203" t="s">
        <v>1893</v>
      </c>
      <c r="C2203" t="s">
        <v>4748</v>
      </c>
      <c r="D2203" t="s">
        <v>5557</v>
      </c>
      <c r="E2203">
        <v>5617061600</v>
      </c>
      <c r="F2203" t="s">
        <v>574</v>
      </c>
      <c r="G2203" t="s">
        <v>575</v>
      </c>
      <c r="I2203" t="s">
        <v>14</v>
      </c>
      <c r="J2203" s="13">
        <v>45976</v>
      </c>
      <c r="K2203" s="13">
        <v>46023</v>
      </c>
      <c r="L2203" t="s">
        <v>497</v>
      </c>
      <c r="M2203" t="s">
        <v>59</v>
      </c>
      <c r="N2203">
        <v>72018563</v>
      </c>
    </row>
    <row r="2204" spans="1:14" x14ac:dyDescent="0.25">
      <c r="A2204">
        <v>58116152</v>
      </c>
      <c r="B2204" t="s">
        <v>517</v>
      </c>
      <c r="C2204" t="s">
        <v>5558</v>
      </c>
      <c r="D2204" t="s">
        <v>5559</v>
      </c>
      <c r="E2204">
        <v>2072458333</v>
      </c>
      <c r="F2204" t="s">
        <v>649</v>
      </c>
      <c r="G2204" t="s">
        <v>650</v>
      </c>
      <c r="I2204" t="s">
        <v>28</v>
      </c>
      <c r="J2204" s="13">
        <v>45976</v>
      </c>
      <c r="K2204" s="13">
        <v>46023</v>
      </c>
      <c r="L2204" t="s">
        <v>941</v>
      </c>
      <c r="M2204" t="s">
        <v>56</v>
      </c>
      <c r="N2204">
        <v>72018592</v>
      </c>
    </row>
    <row r="2205" spans="1:14" x14ac:dyDescent="0.25">
      <c r="A2205">
        <v>58116178</v>
      </c>
      <c r="B2205" t="s">
        <v>702</v>
      </c>
      <c r="C2205" t="s">
        <v>799</v>
      </c>
      <c r="D2205" t="s">
        <v>5560</v>
      </c>
      <c r="E2205">
        <v>6155895737</v>
      </c>
      <c r="F2205" t="s">
        <v>592</v>
      </c>
      <c r="G2205" t="s">
        <v>593</v>
      </c>
      <c r="I2205" t="s">
        <v>115</v>
      </c>
      <c r="J2205" s="13">
        <v>45976</v>
      </c>
      <c r="K2205" s="13">
        <v>46023</v>
      </c>
      <c r="L2205" t="s">
        <v>479</v>
      </c>
      <c r="M2205" t="s">
        <v>55</v>
      </c>
      <c r="N2205">
        <v>72018604</v>
      </c>
    </row>
    <row r="2206" spans="1:14" x14ac:dyDescent="0.25">
      <c r="A2206">
        <v>58116420</v>
      </c>
      <c r="B2206" t="s">
        <v>1882</v>
      </c>
      <c r="C2206" t="s">
        <v>5561</v>
      </c>
      <c r="D2206" t="s">
        <v>5562</v>
      </c>
      <c r="E2206">
        <v>2105422911</v>
      </c>
      <c r="F2206" t="s">
        <v>815</v>
      </c>
      <c r="G2206" t="s">
        <v>816</v>
      </c>
      <c r="I2206" t="s">
        <v>23</v>
      </c>
      <c r="J2206" s="13">
        <v>45976</v>
      </c>
      <c r="K2206" s="13">
        <v>46023</v>
      </c>
      <c r="L2206" t="s">
        <v>444</v>
      </c>
      <c r="M2206" t="s">
        <v>55</v>
      </c>
      <c r="N2206">
        <v>72018758</v>
      </c>
    </row>
    <row r="2207" spans="1:14" x14ac:dyDescent="0.25">
      <c r="A2207">
        <v>58116431</v>
      </c>
      <c r="B2207" t="s">
        <v>980</v>
      </c>
      <c r="C2207" t="s">
        <v>5563</v>
      </c>
      <c r="D2207" t="s">
        <v>5564</v>
      </c>
      <c r="E2207">
        <v>8132301671</v>
      </c>
      <c r="F2207" t="s">
        <v>775</v>
      </c>
      <c r="G2207" t="s">
        <v>776</v>
      </c>
      <c r="I2207" t="s">
        <v>22</v>
      </c>
      <c r="J2207" s="13">
        <v>45976</v>
      </c>
      <c r="K2207" s="13">
        <v>46023</v>
      </c>
      <c r="L2207" t="s">
        <v>497</v>
      </c>
      <c r="M2207" t="s">
        <v>59</v>
      </c>
      <c r="N2207">
        <v>72018774</v>
      </c>
    </row>
    <row r="2208" spans="1:14" x14ac:dyDescent="0.25">
      <c r="A2208">
        <v>58116953</v>
      </c>
      <c r="B2208" t="s">
        <v>1747</v>
      </c>
      <c r="C2208" t="s">
        <v>5565</v>
      </c>
      <c r="D2208" t="s">
        <v>5566</v>
      </c>
      <c r="E2208">
        <v>7206687678</v>
      </c>
      <c r="F2208" t="s">
        <v>1147</v>
      </c>
      <c r="G2208" t="s">
        <v>1148</v>
      </c>
      <c r="I2208" t="s">
        <v>41</v>
      </c>
      <c r="J2208" s="13">
        <v>45976</v>
      </c>
      <c r="K2208" s="13">
        <v>46023</v>
      </c>
      <c r="L2208" t="s">
        <v>539</v>
      </c>
      <c r="M2208" t="s">
        <v>56</v>
      </c>
      <c r="N2208">
        <v>72019098</v>
      </c>
    </row>
    <row r="2209" spans="1:14" x14ac:dyDescent="0.25">
      <c r="A2209">
        <v>58116980</v>
      </c>
      <c r="B2209" t="s">
        <v>2885</v>
      </c>
      <c r="C2209" t="s">
        <v>5567</v>
      </c>
      <c r="D2209" t="s">
        <v>5568</v>
      </c>
      <c r="E2209">
        <v>3048819192</v>
      </c>
      <c r="F2209" t="s">
        <v>574</v>
      </c>
      <c r="G2209" t="s">
        <v>575</v>
      </c>
      <c r="I2209" t="s">
        <v>14</v>
      </c>
      <c r="J2209" s="13">
        <v>45976</v>
      </c>
      <c r="K2209" s="13">
        <v>46023</v>
      </c>
      <c r="L2209" t="s">
        <v>1188</v>
      </c>
      <c r="M2209" t="s">
        <v>60</v>
      </c>
      <c r="N2209">
        <v>72019111</v>
      </c>
    </row>
    <row r="2210" spans="1:14" x14ac:dyDescent="0.25">
      <c r="A2210">
        <v>58117107</v>
      </c>
      <c r="B2210" t="s">
        <v>2280</v>
      </c>
      <c r="C2210" t="s">
        <v>5569</v>
      </c>
      <c r="D2210" t="s">
        <v>5570</v>
      </c>
      <c r="E2210">
        <v>2565480181</v>
      </c>
      <c r="F2210" t="s">
        <v>790</v>
      </c>
      <c r="G2210" t="s">
        <v>791</v>
      </c>
      <c r="I2210" t="s">
        <v>119</v>
      </c>
      <c r="J2210" s="13">
        <v>45976</v>
      </c>
      <c r="K2210" s="13">
        <v>46023</v>
      </c>
      <c r="L2210" t="s">
        <v>450</v>
      </c>
      <c r="M2210" t="s">
        <v>59</v>
      </c>
      <c r="N2210">
        <v>72019175</v>
      </c>
    </row>
    <row r="2211" spans="1:14" x14ac:dyDescent="0.25">
      <c r="A2211">
        <v>58117212</v>
      </c>
      <c r="B2211" t="s">
        <v>2771</v>
      </c>
      <c r="C2211" t="s">
        <v>2580</v>
      </c>
      <c r="D2211" t="s">
        <v>5571</v>
      </c>
      <c r="E2211">
        <v>7277320168</v>
      </c>
      <c r="F2211" t="s">
        <v>1345</v>
      </c>
      <c r="G2211" t="s">
        <v>799</v>
      </c>
      <c r="I2211" t="s">
        <v>47</v>
      </c>
      <c r="J2211" s="13">
        <v>45976</v>
      </c>
      <c r="K2211" s="13">
        <v>46023</v>
      </c>
      <c r="L2211" t="s">
        <v>497</v>
      </c>
      <c r="M2211" t="s">
        <v>56</v>
      </c>
      <c r="N2211">
        <v>72019245</v>
      </c>
    </row>
    <row r="2212" spans="1:14" x14ac:dyDescent="0.25">
      <c r="A2212">
        <v>58117359</v>
      </c>
      <c r="B2212" t="s">
        <v>925</v>
      </c>
      <c r="C2212" t="s">
        <v>5572</v>
      </c>
      <c r="D2212" t="s">
        <v>5573</v>
      </c>
      <c r="E2212">
        <v>5027959104</v>
      </c>
      <c r="F2212" t="s">
        <v>474</v>
      </c>
      <c r="G2212" t="s">
        <v>475</v>
      </c>
      <c r="I2212" t="s">
        <v>132</v>
      </c>
      <c r="J2212" s="13">
        <v>45976</v>
      </c>
      <c r="K2212" s="13">
        <v>46023</v>
      </c>
      <c r="L2212" t="s">
        <v>490</v>
      </c>
      <c r="M2212" t="s">
        <v>58</v>
      </c>
      <c r="N2212">
        <v>72019355</v>
      </c>
    </row>
    <row r="2213" spans="1:14" x14ac:dyDescent="0.25">
      <c r="A2213">
        <v>58117435</v>
      </c>
      <c r="B2213" t="s">
        <v>1747</v>
      </c>
      <c r="C2213" t="s">
        <v>2876</v>
      </c>
      <c r="D2213" t="s">
        <v>5574</v>
      </c>
      <c r="E2213">
        <v>4803906428</v>
      </c>
      <c r="F2213" t="s">
        <v>842</v>
      </c>
      <c r="G2213" t="s">
        <v>1213</v>
      </c>
      <c r="I2213" t="s">
        <v>1214</v>
      </c>
      <c r="J2213" s="13">
        <v>45976</v>
      </c>
      <c r="K2213" s="13">
        <v>46023</v>
      </c>
      <c r="L2213" t="s">
        <v>1179</v>
      </c>
      <c r="M2213" t="s">
        <v>54</v>
      </c>
      <c r="N2213">
        <v>72019405</v>
      </c>
    </row>
    <row r="2214" spans="1:14" x14ac:dyDescent="0.25">
      <c r="A2214">
        <v>58117637</v>
      </c>
      <c r="B2214" t="s">
        <v>2311</v>
      </c>
      <c r="C2214" t="s">
        <v>5575</v>
      </c>
      <c r="D2214" t="s">
        <v>5576</v>
      </c>
      <c r="E2214">
        <v>3048873590</v>
      </c>
      <c r="F2214" t="s">
        <v>574</v>
      </c>
      <c r="G2214" t="s">
        <v>575</v>
      </c>
      <c r="I2214" t="s">
        <v>14</v>
      </c>
      <c r="J2214" s="13">
        <v>45976</v>
      </c>
      <c r="K2214" s="13">
        <v>46023</v>
      </c>
      <c r="L2214" t="s">
        <v>1188</v>
      </c>
      <c r="M2214" t="s">
        <v>56</v>
      </c>
      <c r="N2214">
        <v>72019537</v>
      </c>
    </row>
    <row r="2215" spans="1:14" x14ac:dyDescent="0.25">
      <c r="A2215">
        <v>58117665</v>
      </c>
      <c r="B2215" t="s">
        <v>4716</v>
      </c>
      <c r="C2215" t="s">
        <v>5577</v>
      </c>
      <c r="D2215" t="s">
        <v>5578</v>
      </c>
      <c r="E2215">
        <v>4807218299</v>
      </c>
      <c r="F2215" t="s">
        <v>4853</v>
      </c>
      <c r="G2215" t="s">
        <v>5017</v>
      </c>
      <c r="I2215" t="s">
        <v>5018</v>
      </c>
      <c r="J2215" s="13">
        <v>45976</v>
      </c>
      <c r="K2215" s="13">
        <v>46023</v>
      </c>
      <c r="L2215" t="s">
        <v>1179</v>
      </c>
      <c r="M2215" t="s">
        <v>55</v>
      </c>
      <c r="N2215">
        <v>72019559</v>
      </c>
    </row>
    <row r="2216" spans="1:14" x14ac:dyDescent="0.25">
      <c r="A2216">
        <v>58117937</v>
      </c>
      <c r="B2216" t="s">
        <v>5579</v>
      </c>
      <c r="C2216" t="s">
        <v>5580</v>
      </c>
      <c r="D2216" t="s">
        <v>5581</v>
      </c>
      <c r="E2216">
        <v>5016123578</v>
      </c>
      <c r="F2216" t="s">
        <v>815</v>
      </c>
      <c r="G2216" t="s">
        <v>816</v>
      </c>
      <c r="I2216" t="s">
        <v>23</v>
      </c>
      <c r="J2216" s="13">
        <v>45976</v>
      </c>
      <c r="K2216" s="13">
        <v>46023</v>
      </c>
      <c r="L2216" t="s">
        <v>553</v>
      </c>
      <c r="M2216" t="s">
        <v>59</v>
      </c>
      <c r="N2216">
        <v>72019701</v>
      </c>
    </row>
    <row r="2217" spans="1:14" x14ac:dyDescent="0.25">
      <c r="A2217">
        <v>58131142</v>
      </c>
      <c r="B2217" t="s">
        <v>5582</v>
      </c>
      <c r="C2217" t="s">
        <v>1177</v>
      </c>
      <c r="D2217" t="s">
        <v>5583</v>
      </c>
      <c r="E2217">
        <v>8479714185</v>
      </c>
      <c r="F2217" t="s">
        <v>569</v>
      </c>
      <c r="G2217" t="s">
        <v>570</v>
      </c>
      <c r="I2217" t="s">
        <v>34</v>
      </c>
      <c r="J2217" s="13">
        <v>45976</v>
      </c>
      <c r="K2217" s="13">
        <v>46023</v>
      </c>
      <c r="L2217" t="s">
        <v>497</v>
      </c>
      <c r="M2217" t="s">
        <v>60</v>
      </c>
      <c r="N2217">
        <v>72020843</v>
      </c>
    </row>
    <row r="2218" spans="1:14" x14ac:dyDescent="0.25">
      <c r="A2218">
        <v>58138703</v>
      </c>
      <c r="B2218" t="s">
        <v>586</v>
      </c>
      <c r="C2218" t="s">
        <v>5584</v>
      </c>
      <c r="D2218" t="s">
        <v>5585</v>
      </c>
      <c r="E2218">
        <v>2294123890</v>
      </c>
      <c r="F2218" t="s">
        <v>798</v>
      </c>
      <c r="G2218" t="s">
        <v>799</v>
      </c>
      <c r="I2218" t="s">
        <v>800</v>
      </c>
      <c r="J2218" s="13">
        <v>45975</v>
      </c>
      <c r="K2218" s="13">
        <v>46023</v>
      </c>
      <c r="L2218" t="s">
        <v>621</v>
      </c>
      <c r="M2218" t="s">
        <v>58</v>
      </c>
      <c r="N2218">
        <v>72025881</v>
      </c>
    </row>
    <row r="2219" spans="1:14" x14ac:dyDescent="0.25">
      <c r="A2219">
        <v>58138988</v>
      </c>
      <c r="B2219" t="s">
        <v>5586</v>
      </c>
      <c r="C2219" t="s">
        <v>4965</v>
      </c>
      <c r="D2219" t="s">
        <v>5587</v>
      </c>
      <c r="E2219">
        <v>9046124223</v>
      </c>
      <c r="F2219" t="s">
        <v>474</v>
      </c>
      <c r="G2219" t="s">
        <v>475</v>
      </c>
      <c r="I2219" t="s">
        <v>132</v>
      </c>
      <c r="J2219" s="13">
        <v>45978</v>
      </c>
      <c r="K2219" s="13">
        <v>46023</v>
      </c>
      <c r="L2219" t="s">
        <v>497</v>
      </c>
      <c r="M2219" t="s">
        <v>59</v>
      </c>
      <c r="N2219">
        <v>72026069</v>
      </c>
    </row>
    <row r="2220" spans="1:14" x14ac:dyDescent="0.25">
      <c r="A2220">
        <v>58140016</v>
      </c>
      <c r="B2220" t="s">
        <v>5588</v>
      </c>
      <c r="C2220" t="s">
        <v>5589</v>
      </c>
      <c r="D2220" t="s">
        <v>5590</v>
      </c>
      <c r="E2220">
        <v>6366717828</v>
      </c>
      <c r="F2220" t="s">
        <v>1003</v>
      </c>
      <c r="G2220" t="s">
        <v>1004</v>
      </c>
      <c r="I2220" t="s">
        <v>89</v>
      </c>
      <c r="J2220" s="13">
        <v>45978</v>
      </c>
      <c r="K2220" s="13">
        <v>46023</v>
      </c>
      <c r="L2220" t="s">
        <v>434</v>
      </c>
      <c r="M2220" t="s">
        <v>61</v>
      </c>
      <c r="N2220">
        <v>72026911</v>
      </c>
    </row>
    <row r="2221" spans="1:14" x14ac:dyDescent="0.25">
      <c r="A2221">
        <v>58140037</v>
      </c>
      <c r="B2221" t="s">
        <v>2849</v>
      </c>
      <c r="C2221" t="s">
        <v>5439</v>
      </c>
      <c r="D2221" t="s">
        <v>5591</v>
      </c>
      <c r="E2221">
        <v>7579126945</v>
      </c>
      <c r="F2221" t="s">
        <v>569</v>
      </c>
      <c r="G2221" t="s">
        <v>570</v>
      </c>
      <c r="I2221" t="s">
        <v>34</v>
      </c>
      <c r="J2221" s="13">
        <v>45978</v>
      </c>
      <c r="K2221" s="13">
        <v>46023</v>
      </c>
      <c r="L2221" t="s">
        <v>454</v>
      </c>
      <c r="M2221" t="s">
        <v>56</v>
      </c>
      <c r="N2221">
        <v>72026926</v>
      </c>
    </row>
    <row r="2222" spans="1:14" x14ac:dyDescent="0.25">
      <c r="A2222">
        <v>58140153</v>
      </c>
      <c r="B2222" t="s">
        <v>5592</v>
      </c>
      <c r="C2222" t="s">
        <v>5593</v>
      </c>
      <c r="D2222" t="s">
        <v>5594</v>
      </c>
      <c r="E2222">
        <v>9545480768</v>
      </c>
      <c r="F2222" t="s">
        <v>474</v>
      </c>
      <c r="G2222" t="s">
        <v>475</v>
      </c>
      <c r="I2222" t="s">
        <v>132</v>
      </c>
      <c r="J2222" s="13">
        <v>45978</v>
      </c>
      <c r="K2222" s="13">
        <v>46023</v>
      </c>
      <c r="L2222" t="s">
        <v>539</v>
      </c>
      <c r="M2222" t="s">
        <v>56</v>
      </c>
      <c r="N2222">
        <v>72027001</v>
      </c>
    </row>
    <row r="2223" spans="1:14" x14ac:dyDescent="0.25">
      <c r="A2223">
        <v>58140313</v>
      </c>
      <c r="B2223" t="s">
        <v>462</v>
      </c>
      <c r="C2223" t="s">
        <v>1995</v>
      </c>
      <c r="D2223" t="s">
        <v>5595</v>
      </c>
      <c r="E2223">
        <v>2295341848</v>
      </c>
      <c r="F2223" t="s">
        <v>842</v>
      </c>
      <c r="G2223" t="s">
        <v>843</v>
      </c>
      <c r="I2223" t="s">
        <v>98</v>
      </c>
      <c r="J2223" s="13">
        <v>45978</v>
      </c>
      <c r="K2223" s="13">
        <v>46023</v>
      </c>
      <c r="L2223" t="s">
        <v>621</v>
      </c>
      <c r="M2223" t="s">
        <v>56</v>
      </c>
      <c r="N2223">
        <v>72027109</v>
      </c>
    </row>
    <row r="2224" spans="1:14" x14ac:dyDescent="0.25">
      <c r="A2224">
        <v>58140804</v>
      </c>
      <c r="B2224" t="s">
        <v>879</v>
      </c>
      <c r="C2224" t="s">
        <v>5344</v>
      </c>
      <c r="D2224" t="s">
        <v>5596</v>
      </c>
      <c r="E2224" t="s">
        <v>5597</v>
      </c>
      <c r="F2224" t="s">
        <v>705</v>
      </c>
      <c r="G2224" t="s">
        <v>706</v>
      </c>
      <c r="I2224" t="s">
        <v>12</v>
      </c>
      <c r="J2224" s="13">
        <v>45978</v>
      </c>
      <c r="K2224" s="13">
        <v>46023</v>
      </c>
      <c r="L2224" t="s">
        <v>490</v>
      </c>
      <c r="M2224" t="s">
        <v>59</v>
      </c>
      <c r="N2224">
        <v>72027432</v>
      </c>
    </row>
    <row r="2225" spans="1:14" x14ac:dyDescent="0.25">
      <c r="A2225">
        <v>58141560</v>
      </c>
      <c r="B2225" t="s">
        <v>1643</v>
      </c>
      <c r="C2225" t="s">
        <v>5598</v>
      </c>
      <c r="D2225" t="s">
        <v>5599</v>
      </c>
      <c r="E2225">
        <v>3143222696</v>
      </c>
      <c r="F2225" t="s">
        <v>649</v>
      </c>
      <c r="G2225" t="s">
        <v>650</v>
      </c>
      <c r="I2225" t="s">
        <v>28</v>
      </c>
      <c r="J2225" s="13">
        <v>45978</v>
      </c>
      <c r="K2225" s="13">
        <v>46023</v>
      </c>
      <c r="L2225" t="s">
        <v>434</v>
      </c>
      <c r="M2225" t="s">
        <v>55</v>
      </c>
      <c r="N2225">
        <v>72027942</v>
      </c>
    </row>
    <row r="2226" spans="1:14" x14ac:dyDescent="0.25">
      <c r="A2226">
        <v>58142188</v>
      </c>
      <c r="B2226" t="s">
        <v>420</v>
      </c>
      <c r="C2226" t="s">
        <v>5600</v>
      </c>
      <c r="D2226" t="s">
        <v>5601</v>
      </c>
      <c r="E2226">
        <v>6367931423</v>
      </c>
      <c r="F2226" t="s">
        <v>423</v>
      </c>
      <c r="G2226" t="s">
        <v>424</v>
      </c>
      <c r="I2226" t="s">
        <v>46</v>
      </c>
      <c r="J2226" s="13">
        <v>45978</v>
      </c>
      <c r="K2226" s="13">
        <v>46023</v>
      </c>
      <c r="L2226" t="s">
        <v>434</v>
      </c>
      <c r="M2226" t="s">
        <v>55</v>
      </c>
      <c r="N2226">
        <v>72028449</v>
      </c>
    </row>
    <row r="2227" spans="1:14" x14ac:dyDescent="0.25">
      <c r="A2227">
        <v>58142180</v>
      </c>
      <c r="B2227" t="s">
        <v>2849</v>
      </c>
      <c r="C2227" t="s">
        <v>5602</v>
      </c>
      <c r="D2227" t="s">
        <v>5603</v>
      </c>
      <c r="E2227">
        <v>8134694957</v>
      </c>
      <c r="F2227" t="s">
        <v>474</v>
      </c>
      <c r="G2227" t="s">
        <v>475</v>
      </c>
      <c r="I2227" t="s">
        <v>132</v>
      </c>
      <c r="J2227" s="13">
        <v>45978</v>
      </c>
      <c r="K2227" s="13">
        <v>46023</v>
      </c>
      <c r="L2227" t="s">
        <v>497</v>
      </c>
      <c r="M2227" t="s">
        <v>56</v>
      </c>
      <c r="N2227">
        <v>72028554</v>
      </c>
    </row>
    <row r="2228" spans="1:14" x14ac:dyDescent="0.25">
      <c r="A2228">
        <v>58142445</v>
      </c>
      <c r="B2228" t="s">
        <v>1167</v>
      </c>
      <c r="C2228" t="s">
        <v>5604</v>
      </c>
      <c r="D2228" t="s">
        <v>5605</v>
      </c>
      <c r="E2228">
        <v>3528093068</v>
      </c>
      <c r="F2228" t="s">
        <v>798</v>
      </c>
      <c r="G2228" t="s">
        <v>799</v>
      </c>
      <c r="I2228" t="s">
        <v>800</v>
      </c>
      <c r="J2228" s="13">
        <v>45978</v>
      </c>
      <c r="K2228" s="13">
        <v>46023</v>
      </c>
      <c r="L2228" t="s">
        <v>497</v>
      </c>
      <c r="M2228" t="s">
        <v>56</v>
      </c>
      <c r="N2228">
        <v>72028873</v>
      </c>
    </row>
    <row r="2229" spans="1:14" x14ac:dyDescent="0.25">
      <c r="A2229">
        <v>58142812</v>
      </c>
      <c r="B2229" t="s">
        <v>1089</v>
      </c>
      <c r="C2229" t="s">
        <v>1475</v>
      </c>
      <c r="D2229" t="s">
        <v>5606</v>
      </c>
      <c r="E2229">
        <v>7542342751</v>
      </c>
      <c r="F2229" t="s">
        <v>775</v>
      </c>
      <c r="G2229" t="s">
        <v>776</v>
      </c>
      <c r="I2229" t="s">
        <v>22</v>
      </c>
      <c r="J2229" s="13">
        <v>45978</v>
      </c>
      <c r="K2229" s="13">
        <v>46023</v>
      </c>
      <c r="L2229" t="s">
        <v>497</v>
      </c>
      <c r="M2229" t="s">
        <v>59</v>
      </c>
      <c r="N2229">
        <v>72029211</v>
      </c>
    </row>
    <row r="2230" spans="1:14" x14ac:dyDescent="0.25">
      <c r="A2230">
        <v>58142855</v>
      </c>
      <c r="B2230" t="s">
        <v>5607</v>
      </c>
      <c r="C2230" t="s">
        <v>1016</v>
      </c>
      <c r="D2230" t="s">
        <v>5608</v>
      </c>
      <c r="E2230">
        <v>2105781294</v>
      </c>
      <c r="F2230" t="s">
        <v>928</v>
      </c>
      <c r="G2230" t="s">
        <v>929</v>
      </c>
      <c r="I2230" t="s">
        <v>30</v>
      </c>
      <c r="J2230" s="13">
        <v>45978</v>
      </c>
      <c r="K2230" s="13">
        <v>46023</v>
      </c>
      <c r="L2230" t="s">
        <v>444</v>
      </c>
      <c r="M2230" t="s">
        <v>56</v>
      </c>
      <c r="N2230">
        <v>72029233</v>
      </c>
    </row>
    <row r="2231" spans="1:14" x14ac:dyDescent="0.25">
      <c r="A2231">
        <v>58142965</v>
      </c>
      <c r="B2231" t="s">
        <v>5609</v>
      </c>
      <c r="C2231" t="s">
        <v>5610</v>
      </c>
      <c r="D2231" t="s">
        <v>5611</v>
      </c>
      <c r="E2231">
        <v>9545896830</v>
      </c>
      <c r="F2231" t="s">
        <v>537</v>
      </c>
      <c r="G2231" t="s">
        <v>538</v>
      </c>
      <c r="I2231" t="s">
        <v>49</v>
      </c>
      <c r="J2231" s="13">
        <v>45978</v>
      </c>
      <c r="K2231" s="13">
        <v>46023</v>
      </c>
      <c r="L2231" t="s">
        <v>497</v>
      </c>
      <c r="M2231" t="s">
        <v>56</v>
      </c>
      <c r="N2231">
        <v>72029307</v>
      </c>
    </row>
    <row r="2232" spans="1:14" x14ac:dyDescent="0.25">
      <c r="A2232">
        <v>58143020</v>
      </c>
      <c r="B2232" t="s">
        <v>3947</v>
      </c>
      <c r="C2232" t="s">
        <v>5612</v>
      </c>
      <c r="D2232" t="s">
        <v>5613</v>
      </c>
      <c r="E2232">
        <v>9016087856</v>
      </c>
      <c r="F2232" t="s">
        <v>842</v>
      </c>
      <c r="G2232" t="s">
        <v>843</v>
      </c>
      <c r="I2232" t="s">
        <v>98</v>
      </c>
      <c r="J2232" s="13">
        <v>45978</v>
      </c>
      <c r="K2232" s="13">
        <v>46023</v>
      </c>
      <c r="L2232" t="s">
        <v>479</v>
      </c>
      <c r="M2232" t="s">
        <v>56</v>
      </c>
      <c r="N2232">
        <v>72029336</v>
      </c>
    </row>
    <row r="2233" spans="1:14" x14ac:dyDescent="0.25">
      <c r="A2233">
        <v>58143313</v>
      </c>
      <c r="B2233" t="s">
        <v>1658</v>
      </c>
      <c r="C2233" t="s">
        <v>5614</v>
      </c>
      <c r="D2233" t="s">
        <v>5615</v>
      </c>
      <c r="E2233">
        <v>6893195970</v>
      </c>
      <c r="F2233" t="s">
        <v>1003</v>
      </c>
      <c r="G2233" t="s">
        <v>1004</v>
      </c>
      <c r="I2233" t="s">
        <v>89</v>
      </c>
      <c r="J2233" s="13">
        <v>45978</v>
      </c>
      <c r="K2233" s="13">
        <v>46023</v>
      </c>
      <c r="L2233" t="s">
        <v>497</v>
      </c>
      <c r="M2233" t="s">
        <v>56</v>
      </c>
      <c r="N2233">
        <v>72029526</v>
      </c>
    </row>
    <row r="2234" spans="1:14" x14ac:dyDescent="0.25">
      <c r="A2234">
        <v>58144882</v>
      </c>
      <c r="B2234" t="s">
        <v>1115</v>
      </c>
      <c r="C2234" t="s">
        <v>2795</v>
      </c>
      <c r="D2234" t="s">
        <v>5616</v>
      </c>
      <c r="E2234">
        <v>3342027047</v>
      </c>
      <c r="F2234" t="s">
        <v>615</v>
      </c>
      <c r="G2234" t="s">
        <v>616</v>
      </c>
      <c r="I2234" t="s">
        <v>617</v>
      </c>
      <c r="J2234" s="13">
        <v>45978</v>
      </c>
      <c r="K2234" s="13">
        <v>46023</v>
      </c>
      <c r="L2234" t="s">
        <v>450</v>
      </c>
      <c r="M2234" t="s">
        <v>59</v>
      </c>
      <c r="N2234">
        <v>72030810</v>
      </c>
    </row>
    <row r="2235" spans="1:14" x14ac:dyDescent="0.25">
      <c r="A2235">
        <v>58145290</v>
      </c>
      <c r="B2235" t="s">
        <v>445</v>
      </c>
      <c r="C2235" t="s">
        <v>5617</v>
      </c>
      <c r="D2235" t="s">
        <v>5618</v>
      </c>
      <c r="E2235">
        <v>2055697138</v>
      </c>
      <c r="F2235" t="s">
        <v>798</v>
      </c>
      <c r="G2235" t="s">
        <v>799</v>
      </c>
      <c r="I2235" t="s">
        <v>800</v>
      </c>
      <c r="J2235" s="13">
        <v>45978</v>
      </c>
      <c r="K2235" s="13">
        <v>46023</v>
      </c>
      <c r="L2235" t="s">
        <v>450</v>
      </c>
      <c r="M2235" t="s">
        <v>55</v>
      </c>
      <c r="N2235">
        <v>72031149</v>
      </c>
    </row>
    <row r="2236" spans="1:14" x14ac:dyDescent="0.25">
      <c r="A2236">
        <v>58145466</v>
      </c>
      <c r="B2236" t="s">
        <v>5619</v>
      </c>
      <c r="C2236" t="s">
        <v>5620</v>
      </c>
      <c r="D2236" t="s">
        <v>5621</v>
      </c>
      <c r="E2236">
        <v>9546143809</v>
      </c>
      <c r="F2236" t="s">
        <v>780</v>
      </c>
      <c r="G2236" t="s">
        <v>781</v>
      </c>
      <c r="I2236" t="s">
        <v>20</v>
      </c>
      <c r="J2236" s="13">
        <v>45978</v>
      </c>
      <c r="K2236" s="13">
        <v>46023</v>
      </c>
      <c r="L2236" t="s">
        <v>497</v>
      </c>
      <c r="M2236" t="s">
        <v>56</v>
      </c>
      <c r="N2236">
        <v>72031287</v>
      </c>
    </row>
    <row r="2237" spans="1:14" x14ac:dyDescent="0.25">
      <c r="A2237">
        <v>58145764</v>
      </c>
      <c r="B2237" t="s">
        <v>1197</v>
      </c>
      <c r="C2237" t="s">
        <v>845</v>
      </c>
      <c r="D2237" t="s">
        <v>5622</v>
      </c>
      <c r="E2237">
        <v>8167151161</v>
      </c>
      <c r="F2237" t="s">
        <v>957</v>
      </c>
      <c r="G2237" t="s">
        <v>958</v>
      </c>
      <c r="H2237" t="s">
        <v>959</v>
      </c>
      <c r="I2237" t="s">
        <v>960</v>
      </c>
      <c r="J2237" s="13">
        <v>45978</v>
      </c>
      <c r="K2237" s="13">
        <v>46023</v>
      </c>
      <c r="L2237" t="s">
        <v>434</v>
      </c>
      <c r="M2237" t="s">
        <v>60</v>
      </c>
      <c r="N2237">
        <v>72031295</v>
      </c>
    </row>
    <row r="2238" spans="1:14" x14ac:dyDescent="0.25">
      <c r="A2238">
        <v>58145659</v>
      </c>
      <c r="B2238" t="s">
        <v>1248</v>
      </c>
      <c r="C2238" t="s">
        <v>2191</v>
      </c>
      <c r="D2238" t="s">
        <v>5623</v>
      </c>
      <c r="E2238">
        <v>8642303960</v>
      </c>
      <c r="F2238" t="s">
        <v>574</v>
      </c>
      <c r="G2238" t="s">
        <v>575</v>
      </c>
      <c r="I2238" t="s">
        <v>14</v>
      </c>
      <c r="J2238" s="13">
        <v>45978</v>
      </c>
      <c r="K2238" s="13">
        <v>46023</v>
      </c>
      <c r="L2238" t="s">
        <v>533</v>
      </c>
      <c r="M2238" t="s">
        <v>59</v>
      </c>
      <c r="N2238">
        <v>72031424</v>
      </c>
    </row>
    <row r="2239" spans="1:14" x14ac:dyDescent="0.25">
      <c r="A2239">
        <v>58145712</v>
      </c>
      <c r="B2239" t="s">
        <v>2464</v>
      </c>
      <c r="C2239" t="s">
        <v>2092</v>
      </c>
      <c r="D2239" t="s">
        <v>5624</v>
      </c>
      <c r="E2239">
        <v>9415800106</v>
      </c>
      <c r="F2239" t="s">
        <v>770</v>
      </c>
      <c r="G2239" t="s">
        <v>771</v>
      </c>
      <c r="I2239" t="s">
        <v>25</v>
      </c>
      <c r="J2239" s="13">
        <v>45978</v>
      </c>
      <c r="K2239" s="13">
        <v>46023</v>
      </c>
      <c r="L2239" t="s">
        <v>497</v>
      </c>
      <c r="M2239" t="s">
        <v>56</v>
      </c>
      <c r="N2239">
        <v>72031474</v>
      </c>
    </row>
    <row r="2240" spans="1:14" x14ac:dyDescent="0.25">
      <c r="A2240">
        <v>58145794</v>
      </c>
      <c r="B2240" t="s">
        <v>5625</v>
      </c>
      <c r="C2240" t="s">
        <v>5626</v>
      </c>
      <c r="D2240" t="s">
        <v>5627</v>
      </c>
      <c r="E2240">
        <v>8154880421</v>
      </c>
      <c r="F2240" t="s">
        <v>474</v>
      </c>
      <c r="G2240" t="s">
        <v>475</v>
      </c>
      <c r="I2240" t="s">
        <v>132</v>
      </c>
      <c r="J2240" s="13">
        <v>45978</v>
      </c>
      <c r="K2240" s="13">
        <v>46023</v>
      </c>
      <c r="L2240" t="s">
        <v>470</v>
      </c>
      <c r="M2240" t="s">
        <v>60</v>
      </c>
      <c r="N2240">
        <v>72031519</v>
      </c>
    </row>
    <row r="2241" spans="1:14" x14ac:dyDescent="0.25">
      <c r="A2241">
        <v>58146491</v>
      </c>
      <c r="B2241" t="s">
        <v>5628</v>
      </c>
      <c r="C2241" t="s">
        <v>5629</v>
      </c>
      <c r="D2241" t="s">
        <v>5630</v>
      </c>
      <c r="E2241">
        <v>8633033549</v>
      </c>
      <c r="F2241" t="s">
        <v>448</v>
      </c>
      <c r="G2241" t="s">
        <v>449</v>
      </c>
      <c r="I2241" t="s">
        <v>31</v>
      </c>
      <c r="J2241" s="13">
        <v>45978</v>
      </c>
      <c r="K2241" s="13">
        <v>46023</v>
      </c>
      <c r="L2241" t="s">
        <v>497</v>
      </c>
      <c r="M2241" t="s">
        <v>58</v>
      </c>
      <c r="N2241">
        <v>72031917</v>
      </c>
    </row>
    <row r="2242" spans="1:14" x14ac:dyDescent="0.25">
      <c r="A2242">
        <v>58146928</v>
      </c>
      <c r="B2242" t="s">
        <v>2277</v>
      </c>
      <c r="C2242" t="s">
        <v>5631</v>
      </c>
      <c r="D2242" t="s">
        <v>5632</v>
      </c>
      <c r="E2242">
        <v>9123392086</v>
      </c>
      <c r="F2242" t="s">
        <v>569</v>
      </c>
      <c r="G2242" t="s">
        <v>570</v>
      </c>
      <c r="I2242" t="s">
        <v>34</v>
      </c>
      <c r="J2242" s="13">
        <v>45978</v>
      </c>
      <c r="K2242" s="13">
        <v>46023</v>
      </c>
      <c r="L2242" t="s">
        <v>621</v>
      </c>
      <c r="M2242" t="s">
        <v>58</v>
      </c>
      <c r="N2242">
        <v>72032280</v>
      </c>
    </row>
    <row r="2243" spans="1:14" x14ac:dyDescent="0.25">
      <c r="A2243">
        <v>58147897</v>
      </c>
      <c r="B2243" t="s">
        <v>865</v>
      </c>
      <c r="C2243" t="s">
        <v>5633</v>
      </c>
      <c r="D2243" t="s">
        <v>5634</v>
      </c>
      <c r="E2243">
        <v>2708934796</v>
      </c>
      <c r="F2243" t="s">
        <v>842</v>
      </c>
      <c r="G2243" t="s">
        <v>843</v>
      </c>
      <c r="I2243" t="s">
        <v>98</v>
      </c>
      <c r="J2243" s="13">
        <v>45978</v>
      </c>
      <c r="K2243" s="13">
        <v>46023</v>
      </c>
      <c r="L2243" t="s">
        <v>490</v>
      </c>
      <c r="M2243" t="s">
        <v>58</v>
      </c>
      <c r="N2243">
        <v>72032885</v>
      </c>
    </row>
    <row r="2244" spans="1:14" x14ac:dyDescent="0.25">
      <c r="A2244">
        <v>58148515</v>
      </c>
      <c r="B2244" t="s">
        <v>5635</v>
      </c>
      <c r="C2244" t="s">
        <v>5636</v>
      </c>
      <c r="D2244" t="s">
        <v>5637</v>
      </c>
      <c r="E2244">
        <v>2707244305</v>
      </c>
      <c r="F2244" t="s">
        <v>775</v>
      </c>
      <c r="G2244" t="s">
        <v>776</v>
      </c>
      <c r="I2244" t="s">
        <v>22</v>
      </c>
      <c r="J2244" s="13">
        <v>45978</v>
      </c>
      <c r="K2244" s="13">
        <v>46023</v>
      </c>
      <c r="L2244" t="s">
        <v>490</v>
      </c>
      <c r="M2244" t="s">
        <v>56</v>
      </c>
      <c r="N2244">
        <v>72033047</v>
      </c>
    </row>
    <row r="2245" spans="1:14" x14ac:dyDescent="0.25">
      <c r="A2245">
        <v>58150767</v>
      </c>
      <c r="B2245" t="s">
        <v>4833</v>
      </c>
      <c r="C2245" t="s">
        <v>4853</v>
      </c>
      <c r="D2245" t="s">
        <v>5638</v>
      </c>
      <c r="E2245">
        <v>8133233345</v>
      </c>
      <c r="F2245" t="s">
        <v>1345</v>
      </c>
      <c r="G2245" t="s">
        <v>799</v>
      </c>
      <c r="I2245" t="s">
        <v>47</v>
      </c>
      <c r="J2245" s="13">
        <v>45978</v>
      </c>
      <c r="K2245" s="13">
        <v>46023</v>
      </c>
      <c r="L2245" t="s">
        <v>497</v>
      </c>
      <c r="M2245" t="s">
        <v>54</v>
      </c>
      <c r="N2245">
        <v>72033827</v>
      </c>
    </row>
    <row r="2246" spans="1:14" x14ac:dyDescent="0.25">
      <c r="A2246">
        <v>58151454</v>
      </c>
      <c r="B2246" t="s">
        <v>1255</v>
      </c>
      <c r="C2246" t="s">
        <v>5639</v>
      </c>
      <c r="D2246" t="s">
        <v>5640</v>
      </c>
      <c r="E2246">
        <v>4785080598</v>
      </c>
      <c r="F2246" t="s">
        <v>551</v>
      </c>
      <c r="G2246" t="s">
        <v>552</v>
      </c>
      <c r="I2246" t="s">
        <v>42</v>
      </c>
      <c r="J2246" s="13">
        <v>45978</v>
      </c>
      <c r="K2246" s="13">
        <v>46023</v>
      </c>
      <c r="L2246" t="s">
        <v>621</v>
      </c>
      <c r="M2246" t="s">
        <v>61</v>
      </c>
      <c r="N2246">
        <v>72034160</v>
      </c>
    </row>
    <row r="2247" spans="1:14" x14ac:dyDescent="0.25">
      <c r="A2247">
        <v>58153363</v>
      </c>
      <c r="B2247" t="s">
        <v>1413</v>
      </c>
      <c r="C2247" t="s">
        <v>5641</v>
      </c>
      <c r="D2247" t="s">
        <v>5642</v>
      </c>
      <c r="E2247">
        <v>5129395101</v>
      </c>
      <c r="F2247" t="s">
        <v>615</v>
      </c>
      <c r="G2247" t="s">
        <v>616</v>
      </c>
      <c r="I2247" t="s">
        <v>617</v>
      </c>
      <c r="J2247" s="13">
        <v>45978</v>
      </c>
      <c r="K2247" s="13">
        <v>46023</v>
      </c>
      <c r="L2247" t="s">
        <v>444</v>
      </c>
      <c r="M2247" t="s">
        <v>56</v>
      </c>
      <c r="N2247">
        <v>72034573</v>
      </c>
    </row>
    <row r="2248" spans="1:14" x14ac:dyDescent="0.25">
      <c r="A2248">
        <v>58154053</v>
      </c>
      <c r="B2248" t="s">
        <v>5643</v>
      </c>
      <c r="C2248" t="s">
        <v>5644</v>
      </c>
      <c r="D2248" t="s">
        <v>5645</v>
      </c>
      <c r="E2248">
        <v>9047135273</v>
      </c>
      <c r="F2248" t="s">
        <v>416</v>
      </c>
      <c r="G2248" t="s">
        <v>417</v>
      </c>
      <c r="I2248" t="s">
        <v>26</v>
      </c>
      <c r="J2248" s="13">
        <v>45978</v>
      </c>
      <c r="K2248" s="13">
        <v>46023</v>
      </c>
      <c r="L2248" t="s">
        <v>497</v>
      </c>
      <c r="M2248" t="s">
        <v>56</v>
      </c>
      <c r="N2248">
        <v>72034657</v>
      </c>
    </row>
    <row r="2249" spans="1:14" x14ac:dyDescent="0.25">
      <c r="A2249">
        <v>58154102</v>
      </c>
      <c r="B2249" t="s">
        <v>5646</v>
      </c>
      <c r="C2249" t="s">
        <v>4965</v>
      </c>
      <c r="D2249" t="s">
        <v>5647</v>
      </c>
      <c r="E2249">
        <v>7706567617</v>
      </c>
      <c r="F2249" t="s">
        <v>1003</v>
      </c>
      <c r="G2249" t="s">
        <v>1004</v>
      </c>
      <c r="I2249" t="s">
        <v>89</v>
      </c>
      <c r="J2249" s="13">
        <v>45978</v>
      </c>
      <c r="K2249" s="13">
        <v>46023</v>
      </c>
      <c r="L2249" t="s">
        <v>621</v>
      </c>
      <c r="M2249" t="s">
        <v>56</v>
      </c>
      <c r="N2249">
        <v>72034777</v>
      </c>
    </row>
    <row r="2250" spans="1:14" x14ac:dyDescent="0.25">
      <c r="A2250">
        <v>58154399</v>
      </c>
      <c r="B2250" t="s">
        <v>2413</v>
      </c>
      <c r="C2250" t="s">
        <v>3467</v>
      </c>
      <c r="D2250" t="s">
        <v>5648</v>
      </c>
      <c r="E2250">
        <v>9372181022</v>
      </c>
      <c r="F2250" t="s">
        <v>649</v>
      </c>
      <c r="G2250" t="s">
        <v>650</v>
      </c>
      <c r="I2250" t="s">
        <v>28</v>
      </c>
      <c r="J2250" s="13">
        <v>45978</v>
      </c>
      <c r="K2250" s="13">
        <v>46023</v>
      </c>
      <c r="L2250" t="s">
        <v>479</v>
      </c>
      <c r="M2250" t="s">
        <v>55</v>
      </c>
      <c r="N2250">
        <v>72035021</v>
      </c>
    </row>
    <row r="2251" spans="1:14" x14ac:dyDescent="0.25">
      <c r="A2251">
        <v>58154513</v>
      </c>
      <c r="B2251" t="s">
        <v>1643</v>
      </c>
      <c r="C2251" t="s">
        <v>5649</v>
      </c>
      <c r="D2251" t="s">
        <v>5650</v>
      </c>
      <c r="E2251">
        <v>3524282914</v>
      </c>
      <c r="F2251" t="s">
        <v>1142</v>
      </c>
      <c r="G2251" t="s">
        <v>1143</v>
      </c>
      <c r="I2251" t="s">
        <v>124</v>
      </c>
      <c r="J2251" s="13">
        <v>45978</v>
      </c>
      <c r="K2251" s="13">
        <v>46023</v>
      </c>
      <c r="L2251" t="s">
        <v>497</v>
      </c>
      <c r="M2251" t="s">
        <v>56</v>
      </c>
      <c r="N2251">
        <v>72035100</v>
      </c>
    </row>
    <row r="2252" spans="1:14" x14ac:dyDescent="0.25">
      <c r="A2252">
        <v>58156624</v>
      </c>
      <c r="B2252" t="s">
        <v>5651</v>
      </c>
      <c r="C2252" t="s">
        <v>4400</v>
      </c>
      <c r="D2252" t="s">
        <v>5652</v>
      </c>
      <c r="E2252">
        <v>8644970320</v>
      </c>
      <c r="F2252" t="s">
        <v>1013</v>
      </c>
      <c r="G2252" t="s">
        <v>1014</v>
      </c>
      <c r="I2252" t="s">
        <v>43</v>
      </c>
      <c r="J2252" s="13">
        <v>45978</v>
      </c>
      <c r="K2252" s="13">
        <v>46023</v>
      </c>
      <c r="L2252" t="s">
        <v>533</v>
      </c>
      <c r="M2252" t="s">
        <v>55</v>
      </c>
      <c r="N2252">
        <v>72036695</v>
      </c>
    </row>
    <row r="2253" spans="1:14" x14ac:dyDescent="0.25">
      <c r="A2253">
        <v>58157272</v>
      </c>
      <c r="B2253" t="s">
        <v>1853</v>
      </c>
      <c r="C2253" t="s">
        <v>5653</v>
      </c>
      <c r="D2253" t="s">
        <v>5654</v>
      </c>
      <c r="E2253">
        <v>4807669348</v>
      </c>
      <c r="F2253" t="s">
        <v>4853</v>
      </c>
      <c r="G2253" t="s">
        <v>5017</v>
      </c>
      <c r="I2253" t="s">
        <v>5018</v>
      </c>
      <c r="J2253" s="13">
        <v>45978</v>
      </c>
      <c r="K2253" s="13">
        <v>46023</v>
      </c>
      <c r="L2253" t="s">
        <v>1179</v>
      </c>
      <c r="M2253" t="s">
        <v>54</v>
      </c>
      <c r="N2253">
        <v>72037229</v>
      </c>
    </row>
    <row r="2254" spans="1:14" x14ac:dyDescent="0.25">
      <c r="A2254">
        <v>58159768</v>
      </c>
      <c r="B2254" t="s">
        <v>5655</v>
      </c>
      <c r="C2254" t="s">
        <v>788</v>
      </c>
      <c r="D2254" t="s">
        <v>5656</v>
      </c>
      <c r="E2254">
        <v>8708475188</v>
      </c>
      <c r="F2254" t="s">
        <v>842</v>
      </c>
      <c r="G2254" t="s">
        <v>843</v>
      </c>
      <c r="I2254" t="s">
        <v>98</v>
      </c>
      <c r="J2254" s="13">
        <v>45978</v>
      </c>
      <c r="K2254" s="13">
        <v>46023</v>
      </c>
      <c r="L2254" t="s">
        <v>553</v>
      </c>
      <c r="M2254" t="s">
        <v>61</v>
      </c>
      <c r="N2254">
        <v>72039618</v>
      </c>
    </row>
    <row r="2255" spans="1:14" x14ac:dyDescent="0.25">
      <c r="A2255">
        <v>58162852</v>
      </c>
      <c r="B2255" t="s">
        <v>5657</v>
      </c>
      <c r="C2255" t="s">
        <v>788</v>
      </c>
      <c r="D2255" t="s">
        <v>5658</v>
      </c>
      <c r="E2255" t="s">
        <v>5659</v>
      </c>
      <c r="F2255" t="s">
        <v>842</v>
      </c>
      <c r="G2255" t="s">
        <v>843</v>
      </c>
      <c r="I2255" t="s">
        <v>98</v>
      </c>
      <c r="J2255" s="13">
        <v>45978</v>
      </c>
      <c r="K2255" s="13">
        <v>46023</v>
      </c>
      <c r="L2255" t="s">
        <v>553</v>
      </c>
      <c r="M2255" t="s">
        <v>61</v>
      </c>
      <c r="N2255">
        <v>72039846</v>
      </c>
    </row>
    <row r="2256" spans="1:14" x14ac:dyDescent="0.25">
      <c r="A2256">
        <v>58161000</v>
      </c>
      <c r="B2256" t="s">
        <v>5660</v>
      </c>
      <c r="C2256" t="s">
        <v>5661</v>
      </c>
      <c r="D2256" t="s">
        <v>5662</v>
      </c>
      <c r="E2256">
        <v>5204488909</v>
      </c>
      <c r="F2256" t="s">
        <v>462</v>
      </c>
      <c r="G2256" t="s">
        <v>463</v>
      </c>
      <c r="I2256" t="s">
        <v>39</v>
      </c>
      <c r="J2256" s="13">
        <v>45978</v>
      </c>
      <c r="K2256" s="13">
        <v>46023</v>
      </c>
      <c r="L2256" t="s">
        <v>1179</v>
      </c>
      <c r="M2256" t="s">
        <v>59</v>
      </c>
      <c r="N2256">
        <v>72040513</v>
      </c>
    </row>
    <row r="2257" spans="1:14" x14ac:dyDescent="0.25">
      <c r="A2257">
        <v>58163571</v>
      </c>
      <c r="B2257" t="s">
        <v>5663</v>
      </c>
      <c r="C2257" t="s">
        <v>5664</v>
      </c>
      <c r="D2257" t="s">
        <v>5665</v>
      </c>
      <c r="E2257">
        <v>4793531482</v>
      </c>
      <c r="F2257" t="s">
        <v>462</v>
      </c>
      <c r="G2257" t="s">
        <v>463</v>
      </c>
      <c r="I2257" t="s">
        <v>39</v>
      </c>
      <c r="J2257" s="13">
        <v>45978</v>
      </c>
      <c r="K2257" s="13">
        <v>46023</v>
      </c>
      <c r="L2257" t="s">
        <v>553</v>
      </c>
      <c r="M2257" t="s">
        <v>56</v>
      </c>
      <c r="N2257">
        <v>72042332</v>
      </c>
    </row>
    <row r="2258" spans="1:14" x14ac:dyDescent="0.25">
      <c r="A2258">
        <v>58163382</v>
      </c>
      <c r="B2258" t="s">
        <v>5666</v>
      </c>
      <c r="C2258" t="s">
        <v>5138</v>
      </c>
      <c r="D2258" t="s">
        <v>5667</v>
      </c>
      <c r="E2258">
        <v>2192939282</v>
      </c>
      <c r="F2258" t="s">
        <v>592</v>
      </c>
      <c r="G2258" t="s">
        <v>593</v>
      </c>
      <c r="I2258" t="s">
        <v>115</v>
      </c>
      <c r="J2258" s="13">
        <v>45978</v>
      </c>
      <c r="K2258" s="13">
        <v>46023</v>
      </c>
      <c r="L2258" t="s">
        <v>440</v>
      </c>
      <c r="M2258" t="s">
        <v>56</v>
      </c>
      <c r="N2258">
        <v>72042645</v>
      </c>
    </row>
    <row r="2259" spans="1:14" x14ac:dyDescent="0.25">
      <c r="A2259">
        <v>58163407</v>
      </c>
      <c r="B2259" t="s">
        <v>5078</v>
      </c>
      <c r="C2259" t="s">
        <v>5668</v>
      </c>
      <c r="D2259" t="s">
        <v>5669</v>
      </c>
      <c r="E2259">
        <v>9283039093</v>
      </c>
      <c r="F2259" t="s">
        <v>1345</v>
      </c>
      <c r="G2259" t="s">
        <v>799</v>
      </c>
      <c r="I2259" t="s">
        <v>47</v>
      </c>
      <c r="J2259" s="13">
        <v>45978</v>
      </c>
      <c r="K2259" s="13">
        <v>46023</v>
      </c>
      <c r="L2259" t="s">
        <v>497</v>
      </c>
      <c r="M2259" t="s">
        <v>54</v>
      </c>
      <c r="N2259">
        <v>72042661</v>
      </c>
    </row>
    <row r="2260" spans="1:14" x14ac:dyDescent="0.25">
      <c r="A2260">
        <v>58163588</v>
      </c>
      <c r="B2260" t="s">
        <v>865</v>
      </c>
      <c r="C2260" t="s">
        <v>5670</v>
      </c>
      <c r="D2260" t="s">
        <v>5671</v>
      </c>
      <c r="E2260">
        <v>9049946490</v>
      </c>
      <c r="F2260" t="s">
        <v>569</v>
      </c>
      <c r="G2260" t="s">
        <v>570</v>
      </c>
      <c r="I2260" t="s">
        <v>34</v>
      </c>
      <c r="J2260" s="13">
        <v>45978</v>
      </c>
      <c r="K2260" s="13">
        <v>46023</v>
      </c>
      <c r="L2260" t="s">
        <v>497</v>
      </c>
      <c r="M2260" t="s">
        <v>60</v>
      </c>
      <c r="N2260">
        <v>72042791</v>
      </c>
    </row>
    <row r="2261" spans="1:14" x14ac:dyDescent="0.25">
      <c r="A2261">
        <v>58163814</v>
      </c>
      <c r="B2261" t="s">
        <v>836</v>
      </c>
      <c r="C2261" t="s">
        <v>581</v>
      </c>
      <c r="D2261" t="s">
        <v>5672</v>
      </c>
      <c r="E2261">
        <v>7863330765</v>
      </c>
      <c r="F2261" t="s">
        <v>928</v>
      </c>
      <c r="G2261" t="s">
        <v>929</v>
      </c>
      <c r="I2261" t="s">
        <v>30</v>
      </c>
      <c r="J2261" s="13">
        <v>45978</v>
      </c>
      <c r="K2261" s="13">
        <v>46023</v>
      </c>
      <c r="L2261" t="s">
        <v>497</v>
      </c>
      <c r="M2261" t="s">
        <v>56</v>
      </c>
      <c r="N2261">
        <v>72042908</v>
      </c>
    </row>
    <row r="2262" spans="1:14" x14ac:dyDescent="0.25">
      <c r="A2262">
        <v>58163855</v>
      </c>
      <c r="B2262" t="s">
        <v>431</v>
      </c>
      <c r="C2262" t="s">
        <v>515</v>
      </c>
      <c r="D2262" t="s">
        <v>5673</v>
      </c>
      <c r="E2262">
        <v>6155467698</v>
      </c>
      <c r="F2262" t="s">
        <v>474</v>
      </c>
      <c r="G2262" t="s">
        <v>475</v>
      </c>
      <c r="I2262" t="s">
        <v>132</v>
      </c>
      <c r="J2262" s="13">
        <v>45978</v>
      </c>
      <c r="K2262" s="13">
        <v>46023</v>
      </c>
      <c r="L2262" t="s">
        <v>479</v>
      </c>
      <c r="M2262" t="s">
        <v>56</v>
      </c>
      <c r="N2262">
        <v>72042940</v>
      </c>
    </row>
    <row r="2263" spans="1:14" x14ac:dyDescent="0.25">
      <c r="A2263">
        <v>58163906</v>
      </c>
      <c r="B2263" t="s">
        <v>990</v>
      </c>
      <c r="C2263" t="s">
        <v>5674</v>
      </c>
      <c r="D2263" t="s">
        <v>5675</v>
      </c>
      <c r="E2263">
        <v>8163997008</v>
      </c>
      <c r="F2263" t="s">
        <v>770</v>
      </c>
      <c r="G2263" t="s">
        <v>771</v>
      </c>
      <c r="I2263" t="s">
        <v>25</v>
      </c>
      <c r="J2263" s="13">
        <v>45978</v>
      </c>
      <c r="K2263" s="13">
        <v>46023</v>
      </c>
      <c r="L2263" t="s">
        <v>434</v>
      </c>
      <c r="M2263" t="s">
        <v>61</v>
      </c>
      <c r="N2263">
        <v>72042977</v>
      </c>
    </row>
    <row r="2264" spans="1:14" x14ac:dyDescent="0.25">
      <c r="A2264">
        <v>58164533</v>
      </c>
      <c r="B2264" t="s">
        <v>1149</v>
      </c>
      <c r="C2264" t="s">
        <v>3641</v>
      </c>
      <c r="D2264" t="s">
        <v>5676</v>
      </c>
      <c r="E2264">
        <v>3046197725</v>
      </c>
      <c r="F2264" t="s">
        <v>574</v>
      </c>
      <c r="G2264" t="s">
        <v>575</v>
      </c>
      <c r="I2264" t="s">
        <v>14</v>
      </c>
      <c r="J2264" s="13">
        <v>45978</v>
      </c>
      <c r="K2264" s="13">
        <v>46023</v>
      </c>
      <c r="L2264" t="s">
        <v>1188</v>
      </c>
      <c r="M2264" t="s">
        <v>56</v>
      </c>
      <c r="N2264">
        <v>72043442</v>
      </c>
    </row>
    <row r="2265" spans="1:14" x14ac:dyDescent="0.25">
      <c r="A2265">
        <v>58164737</v>
      </c>
      <c r="B2265" t="s">
        <v>5677</v>
      </c>
      <c r="C2265" t="s">
        <v>5678</v>
      </c>
      <c r="D2265" t="s">
        <v>5679</v>
      </c>
      <c r="E2265">
        <v>9315102291</v>
      </c>
      <c r="F2265" t="s">
        <v>423</v>
      </c>
      <c r="G2265" t="s">
        <v>424</v>
      </c>
      <c r="I2265" t="s">
        <v>46</v>
      </c>
      <c r="J2265" s="13">
        <v>45978</v>
      </c>
      <c r="K2265" s="13">
        <v>46023</v>
      </c>
      <c r="L2265" t="s">
        <v>479</v>
      </c>
      <c r="M2265" t="s">
        <v>61</v>
      </c>
      <c r="N2265">
        <v>72043489</v>
      </c>
    </row>
    <row r="2266" spans="1:14" x14ac:dyDescent="0.25">
      <c r="A2266">
        <v>58164670</v>
      </c>
      <c r="B2266" t="s">
        <v>1675</v>
      </c>
      <c r="C2266" t="s">
        <v>5680</v>
      </c>
      <c r="D2266" t="s">
        <v>5681</v>
      </c>
      <c r="E2266">
        <v>5018609443</v>
      </c>
      <c r="F2266" t="s">
        <v>448</v>
      </c>
      <c r="G2266" t="s">
        <v>449</v>
      </c>
      <c r="I2266" t="s">
        <v>31</v>
      </c>
      <c r="J2266" s="13">
        <v>45978</v>
      </c>
      <c r="K2266" s="13">
        <v>46023</v>
      </c>
      <c r="L2266" t="s">
        <v>553</v>
      </c>
      <c r="M2266" t="s">
        <v>56</v>
      </c>
      <c r="N2266">
        <v>72043538</v>
      </c>
    </row>
    <row r="2267" spans="1:14" x14ac:dyDescent="0.25">
      <c r="A2267">
        <v>58166370</v>
      </c>
      <c r="B2267" t="s">
        <v>5682</v>
      </c>
      <c r="C2267" t="s">
        <v>5683</v>
      </c>
      <c r="D2267" t="s">
        <v>5684</v>
      </c>
      <c r="E2267">
        <v>3053911041</v>
      </c>
      <c r="F2267" t="s">
        <v>551</v>
      </c>
      <c r="G2267" t="s">
        <v>552</v>
      </c>
      <c r="I2267" t="s">
        <v>42</v>
      </c>
      <c r="J2267" s="13">
        <v>45978</v>
      </c>
      <c r="K2267" s="13">
        <v>46023</v>
      </c>
      <c r="L2267" t="s">
        <v>621</v>
      </c>
      <c r="M2267" t="s">
        <v>58</v>
      </c>
      <c r="N2267">
        <v>72043883</v>
      </c>
    </row>
    <row r="2268" spans="1:14" x14ac:dyDescent="0.25">
      <c r="A2268">
        <v>58165878</v>
      </c>
      <c r="B2268" t="s">
        <v>5685</v>
      </c>
      <c r="C2268" t="s">
        <v>1258</v>
      </c>
      <c r="D2268" t="s">
        <v>5686</v>
      </c>
      <c r="E2268">
        <v>4234324053</v>
      </c>
      <c r="F2268" t="s">
        <v>1003</v>
      </c>
      <c r="G2268" t="s">
        <v>1004</v>
      </c>
      <c r="I2268" t="s">
        <v>89</v>
      </c>
      <c r="J2268" s="13">
        <v>45978</v>
      </c>
      <c r="K2268" s="13">
        <v>46023</v>
      </c>
      <c r="L2268" t="s">
        <v>479</v>
      </c>
      <c r="M2268" t="s">
        <v>419</v>
      </c>
      <c r="N2268">
        <v>72043963</v>
      </c>
    </row>
    <row r="2269" spans="1:14" x14ac:dyDescent="0.25">
      <c r="A2269">
        <v>58166455</v>
      </c>
      <c r="B2269" t="s">
        <v>5687</v>
      </c>
      <c r="C2269" t="s">
        <v>1585</v>
      </c>
      <c r="D2269" t="s">
        <v>5688</v>
      </c>
      <c r="E2269">
        <v>5744040183</v>
      </c>
      <c r="F2269" t="s">
        <v>705</v>
      </c>
      <c r="G2269" t="s">
        <v>706</v>
      </c>
      <c r="I2269" t="s">
        <v>12</v>
      </c>
      <c r="J2269" s="13">
        <v>45978</v>
      </c>
      <c r="K2269" s="13">
        <v>46023</v>
      </c>
      <c r="L2269" t="s">
        <v>440</v>
      </c>
      <c r="M2269" t="s">
        <v>59</v>
      </c>
      <c r="N2269">
        <v>72044113</v>
      </c>
    </row>
    <row r="2270" spans="1:14" x14ac:dyDescent="0.25">
      <c r="A2270">
        <v>58166477</v>
      </c>
      <c r="B2270" t="s">
        <v>3269</v>
      </c>
      <c r="C2270" t="s">
        <v>5689</v>
      </c>
      <c r="D2270" t="s">
        <v>5690</v>
      </c>
      <c r="E2270">
        <v>4306108177</v>
      </c>
      <c r="F2270" t="s">
        <v>474</v>
      </c>
      <c r="G2270" t="s">
        <v>475</v>
      </c>
      <c r="I2270" t="s">
        <v>132</v>
      </c>
      <c r="J2270" s="13">
        <v>45978</v>
      </c>
      <c r="K2270" s="13">
        <v>46023</v>
      </c>
      <c r="L2270" t="s">
        <v>444</v>
      </c>
      <c r="M2270" t="s">
        <v>56</v>
      </c>
      <c r="N2270">
        <v>72044127</v>
      </c>
    </row>
    <row r="2271" spans="1:14" x14ac:dyDescent="0.25">
      <c r="A2271">
        <v>58166906</v>
      </c>
      <c r="B2271" t="s">
        <v>2657</v>
      </c>
      <c r="C2271" t="s">
        <v>2188</v>
      </c>
      <c r="D2271" t="s">
        <v>5691</v>
      </c>
      <c r="E2271">
        <v>9282512256</v>
      </c>
      <c r="F2271" t="s">
        <v>842</v>
      </c>
      <c r="G2271" t="s">
        <v>1213</v>
      </c>
      <c r="I2271" t="s">
        <v>1214</v>
      </c>
      <c r="J2271" s="13">
        <v>45978</v>
      </c>
      <c r="K2271" s="13">
        <v>46023</v>
      </c>
      <c r="L2271" t="s">
        <v>1179</v>
      </c>
      <c r="M2271" t="s">
        <v>54</v>
      </c>
      <c r="N2271">
        <v>72044407</v>
      </c>
    </row>
    <row r="2272" spans="1:14" x14ac:dyDescent="0.25">
      <c r="A2272">
        <v>62810013</v>
      </c>
      <c r="B2272" t="s">
        <v>2155</v>
      </c>
      <c r="C2272" t="s">
        <v>903</v>
      </c>
      <c r="D2272" t="s">
        <v>5692</v>
      </c>
      <c r="E2272">
        <v>5612710894</v>
      </c>
      <c r="F2272" t="s">
        <v>537</v>
      </c>
      <c r="G2272" t="s">
        <v>538</v>
      </c>
      <c r="I2272" t="s">
        <v>49</v>
      </c>
      <c r="J2272" s="13">
        <v>46125</v>
      </c>
      <c r="K2272" s="13">
        <v>46143</v>
      </c>
      <c r="L2272" t="s">
        <v>497</v>
      </c>
      <c r="M2272" t="s">
        <v>56</v>
      </c>
      <c r="N2272">
        <v>72044558</v>
      </c>
    </row>
    <row r="2273" spans="1:14" x14ac:dyDescent="0.25">
      <c r="A2273">
        <v>58167214</v>
      </c>
      <c r="B2273" t="s">
        <v>4414</v>
      </c>
      <c r="C2273" t="s">
        <v>1300</v>
      </c>
      <c r="D2273" t="s">
        <v>5693</v>
      </c>
      <c r="E2273">
        <v>2282406814</v>
      </c>
      <c r="F2273" t="s">
        <v>780</v>
      </c>
      <c r="G2273" t="s">
        <v>781</v>
      </c>
      <c r="I2273" t="s">
        <v>20</v>
      </c>
      <c r="J2273" s="13">
        <v>46008</v>
      </c>
      <c r="K2273" s="13">
        <v>46023</v>
      </c>
      <c r="L2273" t="s">
        <v>497</v>
      </c>
      <c r="M2273" t="s">
        <v>56</v>
      </c>
      <c r="N2273">
        <v>72044613</v>
      </c>
    </row>
    <row r="2274" spans="1:14" x14ac:dyDescent="0.25">
      <c r="A2274">
        <v>58167883</v>
      </c>
      <c r="B2274" t="s">
        <v>1144</v>
      </c>
      <c r="C2274" t="s">
        <v>5694</v>
      </c>
      <c r="D2274" t="s">
        <v>5695</v>
      </c>
      <c r="E2274">
        <v>6027901416</v>
      </c>
      <c r="F2274" t="s">
        <v>462</v>
      </c>
      <c r="G2274" t="s">
        <v>463</v>
      </c>
      <c r="I2274" t="s">
        <v>39</v>
      </c>
      <c r="J2274" s="13">
        <v>45978</v>
      </c>
      <c r="K2274" s="13">
        <v>46023</v>
      </c>
      <c r="L2274" t="s">
        <v>1179</v>
      </c>
      <c r="M2274" t="s">
        <v>54</v>
      </c>
      <c r="N2274">
        <v>72044991</v>
      </c>
    </row>
    <row r="2275" spans="1:14" x14ac:dyDescent="0.25">
      <c r="A2275">
        <v>58167890</v>
      </c>
      <c r="B2275" t="s">
        <v>5696</v>
      </c>
      <c r="C2275" t="s">
        <v>3420</v>
      </c>
      <c r="D2275" t="s">
        <v>5697</v>
      </c>
      <c r="E2275">
        <v>5613966064</v>
      </c>
      <c r="F2275" t="s">
        <v>828</v>
      </c>
      <c r="G2275" t="s">
        <v>1148</v>
      </c>
      <c r="I2275" t="s">
        <v>17</v>
      </c>
      <c r="J2275" s="13">
        <v>45978</v>
      </c>
      <c r="K2275" s="13">
        <v>46023</v>
      </c>
      <c r="L2275" t="s">
        <v>497</v>
      </c>
      <c r="M2275" t="s">
        <v>58</v>
      </c>
      <c r="N2275">
        <v>72044997</v>
      </c>
    </row>
    <row r="2276" spans="1:14" x14ac:dyDescent="0.25">
      <c r="A2276">
        <v>58168792</v>
      </c>
      <c r="B2276" t="s">
        <v>1232</v>
      </c>
      <c r="C2276" t="s">
        <v>5698</v>
      </c>
      <c r="D2276" t="s">
        <v>5699</v>
      </c>
      <c r="E2276">
        <v>2056060940</v>
      </c>
      <c r="F2276" t="s">
        <v>770</v>
      </c>
      <c r="G2276" t="s">
        <v>771</v>
      </c>
      <c r="I2276" t="s">
        <v>25</v>
      </c>
      <c r="J2276" s="13">
        <v>45978</v>
      </c>
      <c r="K2276" s="13">
        <v>46023</v>
      </c>
      <c r="L2276" t="s">
        <v>450</v>
      </c>
      <c r="M2276" t="s">
        <v>56</v>
      </c>
      <c r="N2276">
        <v>72045250</v>
      </c>
    </row>
    <row r="2277" spans="1:14" x14ac:dyDescent="0.25">
      <c r="A2277">
        <v>58168865</v>
      </c>
      <c r="B2277" t="s">
        <v>3561</v>
      </c>
      <c r="C2277" t="s">
        <v>1702</v>
      </c>
      <c r="D2277" t="s">
        <v>5700</v>
      </c>
      <c r="E2277">
        <v>9045636852</v>
      </c>
      <c r="F2277" t="s">
        <v>775</v>
      </c>
      <c r="G2277" t="s">
        <v>776</v>
      </c>
      <c r="I2277" t="s">
        <v>22</v>
      </c>
      <c r="J2277" s="13">
        <v>45978</v>
      </c>
      <c r="K2277" s="13">
        <v>46023</v>
      </c>
      <c r="L2277" t="s">
        <v>497</v>
      </c>
      <c r="M2277" t="s">
        <v>54</v>
      </c>
      <c r="N2277">
        <v>72045267</v>
      </c>
    </row>
    <row r="2278" spans="1:14" x14ac:dyDescent="0.25">
      <c r="A2278">
        <v>58169322</v>
      </c>
      <c r="B2278" t="s">
        <v>1089</v>
      </c>
      <c r="C2278" t="s">
        <v>506</v>
      </c>
      <c r="D2278" t="s">
        <v>5701</v>
      </c>
      <c r="E2278">
        <v>2055148886</v>
      </c>
      <c r="F2278" t="s">
        <v>790</v>
      </c>
      <c r="G2278" t="s">
        <v>791</v>
      </c>
      <c r="I2278" t="s">
        <v>119</v>
      </c>
      <c r="J2278" s="13">
        <v>45978</v>
      </c>
      <c r="K2278" s="13">
        <v>46023</v>
      </c>
      <c r="L2278" t="s">
        <v>450</v>
      </c>
      <c r="M2278" t="s">
        <v>55</v>
      </c>
      <c r="N2278">
        <v>72045506</v>
      </c>
    </row>
    <row r="2279" spans="1:14" x14ac:dyDescent="0.25">
      <c r="A2279">
        <v>61095108</v>
      </c>
      <c r="B2279" t="s">
        <v>548</v>
      </c>
      <c r="C2279" t="s">
        <v>1510</v>
      </c>
      <c r="D2279" t="s">
        <v>5702</v>
      </c>
      <c r="E2279">
        <v>8037627832</v>
      </c>
      <c r="F2279" t="s">
        <v>1067</v>
      </c>
      <c r="G2279" t="s">
        <v>1068</v>
      </c>
      <c r="I2279" t="s">
        <v>35</v>
      </c>
      <c r="J2279" s="13">
        <v>46084</v>
      </c>
      <c r="K2279" s="13">
        <v>46113</v>
      </c>
      <c r="L2279" t="s">
        <v>533</v>
      </c>
      <c r="M2279" t="s">
        <v>56</v>
      </c>
      <c r="N2279">
        <v>72045533</v>
      </c>
    </row>
    <row r="2280" spans="1:14" x14ac:dyDescent="0.25">
      <c r="A2280">
        <v>58169315</v>
      </c>
      <c r="B2280" t="s">
        <v>784</v>
      </c>
      <c r="C2280" t="s">
        <v>5703</v>
      </c>
      <c r="D2280" t="s">
        <v>5704</v>
      </c>
      <c r="E2280">
        <v>9014966318</v>
      </c>
      <c r="F2280" t="s">
        <v>615</v>
      </c>
      <c r="G2280" t="s">
        <v>616</v>
      </c>
      <c r="I2280" t="s">
        <v>617</v>
      </c>
      <c r="J2280" s="13">
        <v>45978</v>
      </c>
      <c r="K2280" s="13">
        <v>46023</v>
      </c>
      <c r="L2280" t="s">
        <v>479</v>
      </c>
      <c r="M2280" t="s">
        <v>58</v>
      </c>
      <c r="N2280">
        <v>72045549</v>
      </c>
    </row>
    <row r="2281" spans="1:14" x14ac:dyDescent="0.25">
      <c r="A2281">
        <v>58169395</v>
      </c>
      <c r="B2281" t="s">
        <v>645</v>
      </c>
      <c r="C2281" t="s">
        <v>5705</v>
      </c>
      <c r="D2281" t="s">
        <v>5706</v>
      </c>
      <c r="E2281">
        <v>7732787299</v>
      </c>
      <c r="F2281" t="s">
        <v>448</v>
      </c>
      <c r="G2281" t="s">
        <v>449</v>
      </c>
      <c r="I2281" t="s">
        <v>31</v>
      </c>
      <c r="J2281" s="13">
        <v>45978</v>
      </c>
      <c r="K2281" s="13">
        <v>46023</v>
      </c>
      <c r="L2281" t="s">
        <v>470</v>
      </c>
      <c r="M2281" t="s">
        <v>55</v>
      </c>
      <c r="N2281">
        <v>72045599</v>
      </c>
    </row>
    <row r="2282" spans="1:14" x14ac:dyDescent="0.25">
      <c r="A2282">
        <v>58171307</v>
      </c>
      <c r="B2282" t="s">
        <v>5707</v>
      </c>
      <c r="C2282" t="s">
        <v>5708</v>
      </c>
      <c r="D2282" t="s">
        <v>5709</v>
      </c>
      <c r="E2282">
        <v>5016177034</v>
      </c>
      <c r="F2282" t="s">
        <v>649</v>
      </c>
      <c r="G2282" t="s">
        <v>650</v>
      </c>
      <c r="I2282" t="s">
        <v>28</v>
      </c>
      <c r="J2282" s="13">
        <v>45978</v>
      </c>
      <c r="K2282" s="13">
        <v>46023</v>
      </c>
      <c r="L2282" t="s">
        <v>553</v>
      </c>
      <c r="M2282" t="s">
        <v>56</v>
      </c>
      <c r="N2282">
        <v>72046767</v>
      </c>
    </row>
    <row r="2283" spans="1:14" x14ac:dyDescent="0.25">
      <c r="A2283">
        <v>58171624</v>
      </c>
      <c r="B2283" t="s">
        <v>1232</v>
      </c>
      <c r="C2283" t="s">
        <v>5710</v>
      </c>
      <c r="D2283" t="s">
        <v>5711</v>
      </c>
      <c r="E2283">
        <v>9045741092</v>
      </c>
      <c r="F2283" t="s">
        <v>1345</v>
      </c>
      <c r="G2283" t="s">
        <v>799</v>
      </c>
      <c r="I2283" t="s">
        <v>47</v>
      </c>
      <c r="J2283" s="13">
        <v>45978</v>
      </c>
      <c r="K2283" s="13">
        <v>46023</v>
      </c>
      <c r="L2283" t="s">
        <v>497</v>
      </c>
      <c r="M2283" t="s">
        <v>54</v>
      </c>
      <c r="N2283">
        <v>72046954</v>
      </c>
    </row>
    <row r="2284" spans="1:14" x14ac:dyDescent="0.25">
      <c r="A2284">
        <v>58171694</v>
      </c>
      <c r="B2284" t="s">
        <v>1160</v>
      </c>
      <c r="C2284" t="s">
        <v>5712</v>
      </c>
      <c r="D2284" t="s">
        <v>5713</v>
      </c>
      <c r="E2284">
        <v>2142436118</v>
      </c>
      <c r="F2284" t="s">
        <v>815</v>
      </c>
      <c r="G2284" t="s">
        <v>816</v>
      </c>
      <c r="I2284" t="s">
        <v>23</v>
      </c>
      <c r="J2284" s="13">
        <v>45978</v>
      </c>
      <c r="K2284" s="13">
        <v>46023</v>
      </c>
      <c r="L2284" t="s">
        <v>444</v>
      </c>
      <c r="M2284" t="s">
        <v>58</v>
      </c>
      <c r="N2284">
        <v>72046973</v>
      </c>
    </row>
    <row r="2285" spans="1:14" x14ac:dyDescent="0.25">
      <c r="A2285">
        <v>58175980</v>
      </c>
      <c r="B2285" t="s">
        <v>517</v>
      </c>
      <c r="C2285" t="s">
        <v>5714</v>
      </c>
      <c r="D2285" t="s">
        <v>5715</v>
      </c>
      <c r="E2285">
        <v>4807973177</v>
      </c>
      <c r="F2285" t="s">
        <v>828</v>
      </c>
      <c r="G2285" t="s">
        <v>1148</v>
      </c>
      <c r="I2285" t="s">
        <v>17</v>
      </c>
      <c r="J2285" s="13">
        <v>45979</v>
      </c>
      <c r="K2285" s="13">
        <v>46023</v>
      </c>
      <c r="L2285" t="s">
        <v>1179</v>
      </c>
      <c r="M2285" t="s">
        <v>59</v>
      </c>
      <c r="N2285">
        <v>72050035</v>
      </c>
    </row>
    <row r="2286" spans="1:14" x14ac:dyDescent="0.25">
      <c r="A2286">
        <v>58175992</v>
      </c>
      <c r="B2286" t="s">
        <v>1905</v>
      </c>
      <c r="C2286" t="s">
        <v>3284</v>
      </c>
      <c r="D2286" t="s">
        <v>5716</v>
      </c>
      <c r="E2286">
        <v>3042386342</v>
      </c>
      <c r="F2286" t="s">
        <v>1013</v>
      </c>
      <c r="G2286" t="s">
        <v>1014</v>
      </c>
      <c r="I2286" t="s">
        <v>43</v>
      </c>
      <c r="J2286" s="13">
        <v>45979</v>
      </c>
      <c r="K2286" s="13">
        <v>46023</v>
      </c>
      <c r="L2286" t="s">
        <v>1188</v>
      </c>
      <c r="M2286" t="s">
        <v>56</v>
      </c>
      <c r="N2286">
        <v>72050041</v>
      </c>
    </row>
    <row r="2287" spans="1:14" x14ac:dyDescent="0.25">
      <c r="A2287">
        <v>58177017</v>
      </c>
      <c r="B2287" t="s">
        <v>1524</v>
      </c>
      <c r="C2287" t="s">
        <v>5717</v>
      </c>
      <c r="D2287" t="s">
        <v>5718</v>
      </c>
      <c r="E2287">
        <v>6186945603</v>
      </c>
      <c r="F2287" t="s">
        <v>574</v>
      </c>
      <c r="G2287" t="s">
        <v>575</v>
      </c>
      <c r="I2287" t="s">
        <v>14</v>
      </c>
      <c r="J2287" s="13">
        <v>45979</v>
      </c>
      <c r="K2287" s="13">
        <v>46023</v>
      </c>
      <c r="L2287" t="s">
        <v>470</v>
      </c>
      <c r="M2287" t="s">
        <v>61</v>
      </c>
      <c r="N2287">
        <v>72050661</v>
      </c>
    </row>
    <row r="2288" spans="1:14" x14ac:dyDescent="0.25">
      <c r="A2288">
        <v>58177804</v>
      </c>
      <c r="B2288" t="s">
        <v>1401</v>
      </c>
      <c r="C2288" t="s">
        <v>2239</v>
      </c>
      <c r="D2288" t="s">
        <v>5719</v>
      </c>
      <c r="E2288">
        <v>9282051717</v>
      </c>
      <c r="F2288" t="s">
        <v>842</v>
      </c>
      <c r="G2288" t="s">
        <v>1213</v>
      </c>
      <c r="I2288" t="s">
        <v>1214</v>
      </c>
      <c r="J2288" s="13">
        <v>45979</v>
      </c>
      <c r="K2288" s="13">
        <v>46023</v>
      </c>
      <c r="L2288" t="s">
        <v>1179</v>
      </c>
      <c r="M2288" t="s">
        <v>54</v>
      </c>
      <c r="N2288">
        <v>72051197</v>
      </c>
    </row>
    <row r="2289" spans="1:14" x14ac:dyDescent="0.25">
      <c r="A2289">
        <v>58177985</v>
      </c>
      <c r="B2289" t="s">
        <v>1106</v>
      </c>
      <c r="C2289" t="s">
        <v>5720</v>
      </c>
      <c r="D2289" t="s">
        <v>5721</v>
      </c>
      <c r="E2289">
        <v>8037572897</v>
      </c>
      <c r="F2289" t="s">
        <v>649</v>
      </c>
      <c r="G2289" t="s">
        <v>650</v>
      </c>
      <c r="I2289" t="s">
        <v>28</v>
      </c>
      <c r="J2289" s="13">
        <v>45979</v>
      </c>
      <c r="K2289" s="13">
        <v>46023</v>
      </c>
      <c r="L2289" t="s">
        <v>533</v>
      </c>
      <c r="M2289" t="s">
        <v>56</v>
      </c>
      <c r="N2289">
        <v>72051316</v>
      </c>
    </row>
    <row r="2290" spans="1:14" x14ac:dyDescent="0.25">
      <c r="A2290">
        <v>58178579</v>
      </c>
      <c r="B2290" t="s">
        <v>1038</v>
      </c>
      <c r="C2290" t="s">
        <v>5722</v>
      </c>
      <c r="D2290" t="s">
        <v>5723</v>
      </c>
      <c r="E2290">
        <v>5405668955</v>
      </c>
      <c r="F2290" t="s">
        <v>842</v>
      </c>
      <c r="G2290" t="s">
        <v>843</v>
      </c>
      <c r="I2290" t="s">
        <v>98</v>
      </c>
      <c r="J2290" s="13">
        <v>45979</v>
      </c>
      <c r="K2290" s="13">
        <v>46023</v>
      </c>
      <c r="L2290" t="s">
        <v>454</v>
      </c>
      <c r="M2290" t="s">
        <v>56</v>
      </c>
      <c r="N2290">
        <v>72051704</v>
      </c>
    </row>
    <row r="2291" spans="1:14" x14ac:dyDescent="0.25">
      <c r="A2291">
        <v>58178617</v>
      </c>
      <c r="B2291" t="s">
        <v>5724</v>
      </c>
      <c r="C2291" t="s">
        <v>5725</v>
      </c>
      <c r="D2291" t="s">
        <v>5726</v>
      </c>
      <c r="E2291">
        <v>3053426824</v>
      </c>
      <c r="F2291" t="s">
        <v>462</v>
      </c>
      <c r="G2291" t="s">
        <v>463</v>
      </c>
      <c r="I2291" t="s">
        <v>39</v>
      </c>
      <c r="J2291" s="13">
        <v>45979</v>
      </c>
      <c r="K2291" s="13">
        <v>46023</v>
      </c>
      <c r="L2291" t="s">
        <v>497</v>
      </c>
      <c r="M2291" t="s">
        <v>54</v>
      </c>
      <c r="N2291">
        <v>72051733</v>
      </c>
    </row>
    <row r="2292" spans="1:14" x14ac:dyDescent="0.25">
      <c r="A2292">
        <v>58179604</v>
      </c>
      <c r="B2292" t="s">
        <v>5727</v>
      </c>
      <c r="C2292" t="s">
        <v>5728</v>
      </c>
      <c r="D2292" t="s">
        <v>5729</v>
      </c>
      <c r="E2292" t="s">
        <v>5730</v>
      </c>
      <c r="F2292" t="s">
        <v>423</v>
      </c>
      <c r="G2292" t="s">
        <v>424</v>
      </c>
      <c r="I2292" t="s">
        <v>46</v>
      </c>
      <c r="J2292" s="13">
        <v>45979</v>
      </c>
      <c r="K2292" s="13">
        <v>46023</v>
      </c>
      <c r="L2292" t="s">
        <v>497</v>
      </c>
      <c r="M2292" t="s">
        <v>56</v>
      </c>
      <c r="N2292">
        <v>72051916</v>
      </c>
    </row>
    <row r="2293" spans="1:14" x14ac:dyDescent="0.25">
      <c r="A2293">
        <v>58179700</v>
      </c>
      <c r="B2293" t="s">
        <v>5731</v>
      </c>
      <c r="C2293" t="s">
        <v>3960</v>
      </c>
      <c r="D2293" t="s">
        <v>5732</v>
      </c>
      <c r="E2293">
        <v>3057421941</v>
      </c>
      <c r="F2293" t="s">
        <v>1345</v>
      </c>
      <c r="G2293" t="s">
        <v>799</v>
      </c>
      <c r="I2293" t="s">
        <v>47</v>
      </c>
      <c r="J2293" s="13">
        <v>45979</v>
      </c>
      <c r="K2293" s="13">
        <v>46023</v>
      </c>
      <c r="L2293" t="s">
        <v>497</v>
      </c>
      <c r="M2293" t="s">
        <v>56</v>
      </c>
      <c r="N2293">
        <v>72052528</v>
      </c>
    </row>
    <row r="2294" spans="1:14" x14ac:dyDescent="0.25">
      <c r="A2294">
        <v>58180013</v>
      </c>
      <c r="B2294" t="s">
        <v>867</v>
      </c>
      <c r="C2294" t="s">
        <v>2918</v>
      </c>
      <c r="D2294" t="s">
        <v>5733</v>
      </c>
      <c r="E2294">
        <v>7579270308</v>
      </c>
      <c r="F2294" t="s">
        <v>615</v>
      </c>
      <c r="G2294" t="s">
        <v>616</v>
      </c>
      <c r="I2294" t="s">
        <v>617</v>
      </c>
      <c r="J2294" s="13">
        <v>45979</v>
      </c>
      <c r="K2294" s="13">
        <v>46023</v>
      </c>
      <c r="L2294" t="s">
        <v>454</v>
      </c>
      <c r="M2294" t="s">
        <v>56</v>
      </c>
      <c r="N2294">
        <v>72052745</v>
      </c>
    </row>
    <row r="2295" spans="1:14" x14ac:dyDescent="0.25">
      <c r="A2295">
        <v>58180206</v>
      </c>
      <c r="B2295" t="s">
        <v>5734</v>
      </c>
      <c r="C2295" t="s">
        <v>5735</v>
      </c>
      <c r="D2295" t="s">
        <v>5736</v>
      </c>
      <c r="E2295">
        <v>8032373253</v>
      </c>
      <c r="F2295" t="s">
        <v>957</v>
      </c>
      <c r="G2295" t="s">
        <v>958</v>
      </c>
      <c r="H2295" t="s">
        <v>959</v>
      </c>
      <c r="I2295" t="s">
        <v>960</v>
      </c>
      <c r="J2295" s="13">
        <v>45979</v>
      </c>
      <c r="K2295" s="13">
        <v>46023</v>
      </c>
      <c r="L2295" t="s">
        <v>533</v>
      </c>
      <c r="M2295" t="s">
        <v>61</v>
      </c>
      <c r="N2295">
        <v>72052772</v>
      </c>
    </row>
    <row r="2296" spans="1:14" x14ac:dyDescent="0.25">
      <c r="A2296">
        <v>58180098</v>
      </c>
      <c r="B2296" t="s">
        <v>5737</v>
      </c>
      <c r="C2296" t="s">
        <v>5738</v>
      </c>
      <c r="D2296" t="s">
        <v>5739</v>
      </c>
      <c r="E2296">
        <v>7276864933</v>
      </c>
      <c r="F2296" t="s">
        <v>775</v>
      </c>
      <c r="G2296" t="s">
        <v>776</v>
      </c>
      <c r="I2296" t="s">
        <v>22</v>
      </c>
      <c r="J2296" s="13">
        <v>45979</v>
      </c>
      <c r="K2296" s="13">
        <v>46023</v>
      </c>
      <c r="L2296" t="s">
        <v>497</v>
      </c>
      <c r="M2296" t="s">
        <v>56</v>
      </c>
      <c r="N2296">
        <v>72052795</v>
      </c>
    </row>
    <row r="2297" spans="1:14" x14ac:dyDescent="0.25">
      <c r="A2297">
        <v>58180595</v>
      </c>
      <c r="B2297" t="s">
        <v>604</v>
      </c>
      <c r="C2297" t="s">
        <v>5740</v>
      </c>
      <c r="D2297" t="s">
        <v>5741</v>
      </c>
      <c r="E2297">
        <v>2196292380</v>
      </c>
      <c r="F2297" t="s">
        <v>790</v>
      </c>
      <c r="G2297" t="s">
        <v>791</v>
      </c>
      <c r="I2297" t="s">
        <v>119</v>
      </c>
      <c r="J2297" s="13">
        <v>45979</v>
      </c>
      <c r="K2297" s="13">
        <v>46023</v>
      </c>
      <c r="L2297" t="s">
        <v>440</v>
      </c>
      <c r="M2297" t="s">
        <v>58</v>
      </c>
      <c r="N2297">
        <v>72053056</v>
      </c>
    </row>
    <row r="2298" spans="1:14" x14ac:dyDescent="0.25">
      <c r="A2298">
        <v>58181035</v>
      </c>
      <c r="B2298" t="s">
        <v>2947</v>
      </c>
      <c r="C2298" t="s">
        <v>5742</v>
      </c>
      <c r="D2298" t="s">
        <v>5743</v>
      </c>
      <c r="E2298">
        <v>7723536426</v>
      </c>
      <c r="F2298" t="s">
        <v>416</v>
      </c>
      <c r="G2298" t="s">
        <v>417</v>
      </c>
      <c r="I2298" t="s">
        <v>26</v>
      </c>
      <c r="J2298" s="13">
        <v>45979</v>
      </c>
      <c r="K2298" s="13">
        <v>46023</v>
      </c>
      <c r="L2298" t="s">
        <v>497</v>
      </c>
      <c r="M2298" t="s">
        <v>58</v>
      </c>
      <c r="N2298">
        <v>72053213</v>
      </c>
    </row>
    <row r="2299" spans="1:14" x14ac:dyDescent="0.25">
      <c r="A2299">
        <v>58181261</v>
      </c>
      <c r="B2299" t="s">
        <v>5744</v>
      </c>
      <c r="C2299" t="s">
        <v>5745</v>
      </c>
      <c r="D2299" t="s">
        <v>5746</v>
      </c>
      <c r="E2299">
        <v>8548321225</v>
      </c>
      <c r="F2299" t="s">
        <v>1003</v>
      </c>
      <c r="G2299" t="s">
        <v>1004</v>
      </c>
      <c r="I2299" t="s">
        <v>89</v>
      </c>
      <c r="J2299" s="13">
        <v>45979</v>
      </c>
      <c r="K2299" s="13">
        <v>46023</v>
      </c>
      <c r="L2299" t="s">
        <v>533</v>
      </c>
      <c r="M2299" t="s">
        <v>58</v>
      </c>
      <c r="N2299">
        <v>72053521</v>
      </c>
    </row>
    <row r="2300" spans="1:14" x14ac:dyDescent="0.25">
      <c r="A2300">
        <v>58181933</v>
      </c>
      <c r="B2300" t="s">
        <v>501</v>
      </c>
      <c r="C2300" t="s">
        <v>5747</v>
      </c>
      <c r="D2300" t="s">
        <v>5748</v>
      </c>
      <c r="E2300">
        <v>3047844781</v>
      </c>
      <c r="F2300" t="s">
        <v>474</v>
      </c>
      <c r="G2300" t="s">
        <v>475</v>
      </c>
      <c r="I2300" t="s">
        <v>132</v>
      </c>
      <c r="J2300" s="13">
        <v>45979</v>
      </c>
      <c r="K2300" s="13">
        <v>46023</v>
      </c>
      <c r="L2300" t="s">
        <v>1188</v>
      </c>
      <c r="M2300" t="s">
        <v>56</v>
      </c>
      <c r="N2300">
        <v>72053946</v>
      </c>
    </row>
    <row r="2301" spans="1:14" x14ac:dyDescent="0.25">
      <c r="A2301">
        <v>58181939</v>
      </c>
      <c r="B2301" t="s">
        <v>5749</v>
      </c>
      <c r="C2301" t="s">
        <v>5750</v>
      </c>
      <c r="D2301" t="s">
        <v>5751</v>
      </c>
      <c r="E2301">
        <v>7197781192</v>
      </c>
      <c r="F2301" t="s">
        <v>842</v>
      </c>
      <c r="G2301" t="s">
        <v>843</v>
      </c>
      <c r="I2301" t="s">
        <v>98</v>
      </c>
      <c r="J2301" s="13">
        <v>45979</v>
      </c>
      <c r="K2301" s="13">
        <v>46023</v>
      </c>
      <c r="L2301" t="s">
        <v>539</v>
      </c>
      <c r="M2301" t="s">
        <v>59</v>
      </c>
      <c r="N2301">
        <v>72053947</v>
      </c>
    </row>
    <row r="2302" spans="1:14" x14ac:dyDescent="0.25">
      <c r="A2302">
        <v>58181963</v>
      </c>
      <c r="B2302" t="s">
        <v>1532</v>
      </c>
      <c r="C2302" t="s">
        <v>5752</v>
      </c>
      <c r="D2302" t="s">
        <v>5753</v>
      </c>
      <c r="E2302" t="s">
        <v>5754</v>
      </c>
      <c r="F2302" t="s">
        <v>474</v>
      </c>
      <c r="G2302" t="s">
        <v>475</v>
      </c>
      <c r="I2302" t="s">
        <v>132</v>
      </c>
      <c r="J2302" s="13">
        <v>45979</v>
      </c>
      <c r="K2302" s="13">
        <v>46023</v>
      </c>
      <c r="L2302" t="s">
        <v>1188</v>
      </c>
      <c r="M2302" t="s">
        <v>56</v>
      </c>
      <c r="N2302">
        <v>72053960</v>
      </c>
    </row>
    <row r="2303" spans="1:14" x14ac:dyDescent="0.25">
      <c r="A2303">
        <v>58182125</v>
      </c>
      <c r="B2303" t="s">
        <v>1777</v>
      </c>
      <c r="C2303" t="s">
        <v>5755</v>
      </c>
      <c r="D2303" t="s">
        <v>5756</v>
      </c>
      <c r="E2303" t="s">
        <v>5757</v>
      </c>
      <c r="F2303" t="s">
        <v>448</v>
      </c>
      <c r="G2303" t="s">
        <v>449</v>
      </c>
      <c r="I2303" t="s">
        <v>31</v>
      </c>
      <c r="J2303" s="13">
        <v>45979</v>
      </c>
      <c r="K2303" s="13">
        <v>46023</v>
      </c>
      <c r="L2303" t="s">
        <v>612</v>
      </c>
      <c r="M2303" t="s">
        <v>56</v>
      </c>
      <c r="N2303">
        <v>72054068</v>
      </c>
    </row>
    <row r="2304" spans="1:14" x14ac:dyDescent="0.25">
      <c r="A2304">
        <v>58182279</v>
      </c>
      <c r="B2304" t="s">
        <v>879</v>
      </c>
      <c r="C2304" t="s">
        <v>5758</v>
      </c>
      <c r="D2304" t="s">
        <v>5759</v>
      </c>
      <c r="E2304">
        <v>4633222278</v>
      </c>
      <c r="F2304" t="s">
        <v>551</v>
      </c>
      <c r="G2304" t="s">
        <v>552</v>
      </c>
      <c r="I2304" t="s">
        <v>42</v>
      </c>
      <c r="J2304" s="13">
        <v>45979</v>
      </c>
      <c r="K2304" s="13">
        <v>46023</v>
      </c>
      <c r="L2304" t="s">
        <v>440</v>
      </c>
      <c r="M2304" t="s">
        <v>58</v>
      </c>
      <c r="N2304">
        <v>72054123</v>
      </c>
    </row>
    <row r="2305" spans="1:14" x14ac:dyDescent="0.25">
      <c r="A2305">
        <v>58183616</v>
      </c>
      <c r="B2305" t="s">
        <v>2662</v>
      </c>
      <c r="C2305" t="s">
        <v>1039</v>
      </c>
      <c r="D2305" t="s">
        <v>5760</v>
      </c>
      <c r="E2305">
        <v>5022598623</v>
      </c>
      <c r="F2305" t="s">
        <v>842</v>
      </c>
      <c r="G2305" t="s">
        <v>843</v>
      </c>
      <c r="I2305" t="s">
        <v>98</v>
      </c>
      <c r="J2305" s="13">
        <v>45979</v>
      </c>
      <c r="K2305" s="13">
        <v>46023</v>
      </c>
      <c r="L2305" t="s">
        <v>490</v>
      </c>
      <c r="M2305" t="s">
        <v>56</v>
      </c>
      <c r="N2305">
        <v>72054946</v>
      </c>
    </row>
    <row r="2306" spans="1:14" x14ac:dyDescent="0.25">
      <c r="A2306">
        <v>58183759</v>
      </c>
      <c r="B2306" t="s">
        <v>5761</v>
      </c>
      <c r="C2306" t="s">
        <v>3608</v>
      </c>
      <c r="D2306" t="s">
        <v>5762</v>
      </c>
      <c r="E2306">
        <v>7207089570</v>
      </c>
      <c r="F2306" t="s">
        <v>1013</v>
      </c>
      <c r="G2306" t="s">
        <v>1014</v>
      </c>
      <c r="I2306" t="s">
        <v>43</v>
      </c>
      <c r="J2306" s="13">
        <v>45979</v>
      </c>
      <c r="K2306" s="13">
        <v>46023</v>
      </c>
      <c r="L2306" t="s">
        <v>539</v>
      </c>
      <c r="M2306" t="s">
        <v>56</v>
      </c>
      <c r="N2306">
        <v>72055072</v>
      </c>
    </row>
    <row r="2307" spans="1:14" x14ac:dyDescent="0.25">
      <c r="A2307">
        <v>58183763</v>
      </c>
      <c r="B2307" t="s">
        <v>5763</v>
      </c>
      <c r="C2307" t="s">
        <v>3608</v>
      </c>
      <c r="D2307" t="s">
        <v>5764</v>
      </c>
      <c r="E2307">
        <v>7205706099</v>
      </c>
      <c r="F2307" t="s">
        <v>1013</v>
      </c>
      <c r="G2307" t="s">
        <v>1014</v>
      </c>
      <c r="I2307" t="s">
        <v>43</v>
      </c>
      <c r="J2307" s="13">
        <v>45979</v>
      </c>
      <c r="K2307" s="13">
        <v>46023</v>
      </c>
      <c r="L2307" t="s">
        <v>539</v>
      </c>
      <c r="M2307" t="s">
        <v>56</v>
      </c>
      <c r="N2307">
        <v>72055076</v>
      </c>
    </row>
    <row r="2308" spans="1:14" x14ac:dyDescent="0.25">
      <c r="A2308">
        <v>58184685</v>
      </c>
      <c r="B2308" t="s">
        <v>4497</v>
      </c>
      <c r="C2308" t="s">
        <v>5765</v>
      </c>
      <c r="D2308" t="s">
        <v>5766</v>
      </c>
      <c r="E2308">
        <v>7432203185</v>
      </c>
      <c r="F2308" t="s">
        <v>957</v>
      </c>
      <c r="G2308" t="s">
        <v>958</v>
      </c>
      <c r="H2308" t="s">
        <v>959</v>
      </c>
      <c r="I2308" t="s">
        <v>960</v>
      </c>
      <c r="J2308" s="13">
        <v>45979</v>
      </c>
      <c r="K2308" s="13">
        <v>46023</v>
      </c>
      <c r="L2308" t="s">
        <v>603</v>
      </c>
      <c r="M2308" t="s">
        <v>56</v>
      </c>
      <c r="N2308">
        <v>72055131</v>
      </c>
    </row>
    <row r="2309" spans="1:14" x14ac:dyDescent="0.25">
      <c r="A2309">
        <v>58184557</v>
      </c>
      <c r="B2309" t="s">
        <v>5767</v>
      </c>
      <c r="C2309" t="s">
        <v>5768</v>
      </c>
      <c r="D2309" t="s">
        <v>5769</v>
      </c>
      <c r="E2309">
        <v>7137913090</v>
      </c>
      <c r="F2309" t="s">
        <v>615</v>
      </c>
      <c r="G2309" t="s">
        <v>616</v>
      </c>
      <c r="I2309" t="s">
        <v>617</v>
      </c>
      <c r="J2309" s="13">
        <v>45979</v>
      </c>
      <c r="K2309" s="13">
        <v>46023</v>
      </c>
      <c r="L2309" t="s">
        <v>444</v>
      </c>
      <c r="M2309" t="s">
        <v>55</v>
      </c>
      <c r="N2309">
        <v>72055481</v>
      </c>
    </row>
    <row r="2310" spans="1:14" x14ac:dyDescent="0.25">
      <c r="A2310">
        <v>58184716</v>
      </c>
      <c r="B2310" t="s">
        <v>420</v>
      </c>
      <c r="C2310" t="s">
        <v>5770</v>
      </c>
      <c r="D2310" t="s">
        <v>5771</v>
      </c>
      <c r="E2310">
        <v>8039911334</v>
      </c>
      <c r="F2310" t="s">
        <v>474</v>
      </c>
      <c r="G2310" t="s">
        <v>475</v>
      </c>
      <c r="I2310" t="s">
        <v>132</v>
      </c>
      <c r="J2310" s="13">
        <v>45979</v>
      </c>
      <c r="K2310" s="13">
        <v>46023</v>
      </c>
      <c r="L2310" t="s">
        <v>470</v>
      </c>
      <c r="M2310" t="s">
        <v>60</v>
      </c>
      <c r="N2310">
        <v>72055588</v>
      </c>
    </row>
    <row r="2311" spans="1:14" x14ac:dyDescent="0.25">
      <c r="A2311">
        <v>58184763</v>
      </c>
      <c r="B2311" t="s">
        <v>5772</v>
      </c>
      <c r="C2311" t="s">
        <v>5773</v>
      </c>
      <c r="D2311" t="s">
        <v>5774</v>
      </c>
      <c r="E2311">
        <v>5206600281</v>
      </c>
      <c r="F2311" t="s">
        <v>842</v>
      </c>
      <c r="G2311" t="s">
        <v>1213</v>
      </c>
      <c r="I2311" t="s">
        <v>1214</v>
      </c>
      <c r="J2311" s="13">
        <v>45979</v>
      </c>
      <c r="K2311" s="13">
        <v>46023</v>
      </c>
      <c r="L2311" t="s">
        <v>1179</v>
      </c>
      <c r="M2311" t="s">
        <v>54</v>
      </c>
      <c r="N2311">
        <v>72055622</v>
      </c>
    </row>
    <row r="2312" spans="1:14" x14ac:dyDescent="0.25">
      <c r="A2312">
        <v>58185289</v>
      </c>
      <c r="B2312" t="s">
        <v>5775</v>
      </c>
      <c r="C2312" t="s">
        <v>5776</v>
      </c>
      <c r="D2312" t="s">
        <v>5777</v>
      </c>
      <c r="E2312">
        <v>3868012294</v>
      </c>
      <c r="F2312" t="s">
        <v>775</v>
      </c>
      <c r="G2312" t="s">
        <v>776</v>
      </c>
      <c r="I2312" t="s">
        <v>22</v>
      </c>
      <c r="J2312" s="13">
        <v>45979</v>
      </c>
      <c r="K2312" s="13">
        <v>46023</v>
      </c>
      <c r="L2312" t="s">
        <v>497</v>
      </c>
      <c r="M2312" t="s">
        <v>56</v>
      </c>
      <c r="N2312">
        <v>72056047</v>
      </c>
    </row>
    <row r="2313" spans="1:14" x14ac:dyDescent="0.25">
      <c r="A2313">
        <v>58185555</v>
      </c>
      <c r="B2313" t="s">
        <v>672</v>
      </c>
      <c r="C2313" t="s">
        <v>5778</v>
      </c>
      <c r="D2313" t="s">
        <v>5779</v>
      </c>
      <c r="E2313">
        <v>9046154264</v>
      </c>
      <c r="F2313" t="s">
        <v>928</v>
      </c>
      <c r="G2313" t="s">
        <v>929</v>
      </c>
      <c r="I2313" t="s">
        <v>30</v>
      </c>
      <c r="J2313" s="13">
        <v>45979</v>
      </c>
      <c r="K2313" s="13">
        <v>46023</v>
      </c>
      <c r="L2313" t="s">
        <v>497</v>
      </c>
      <c r="M2313" t="s">
        <v>58</v>
      </c>
      <c r="N2313">
        <v>72056214</v>
      </c>
    </row>
    <row r="2314" spans="1:14" x14ac:dyDescent="0.25">
      <c r="A2314">
        <v>58185807</v>
      </c>
      <c r="B2314" t="s">
        <v>2418</v>
      </c>
      <c r="C2314" t="s">
        <v>5780</v>
      </c>
      <c r="D2314" t="s">
        <v>5781</v>
      </c>
      <c r="E2314">
        <v>5202558578</v>
      </c>
      <c r="F2314" t="s">
        <v>462</v>
      </c>
      <c r="G2314" t="s">
        <v>463</v>
      </c>
      <c r="I2314" t="s">
        <v>39</v>
      </c>
      <c r="J2314" s="13">
        <v>45979</v>
      </c>
      <c r="K2314" s="13">
        <v>46023</v>
      </c>
      <c r="L2314" t="s">
        <v>1179</v>
      </c>
      <c r="M2314" t="s">
        <v>54</v>
      </c>
      <c r="N2314">
        <v>72056368</v>
      </c>
    </row>
    <row r="2315" spans="1:14" x14ac:dyDescent="0.25">
      <c r="A2315">
        <v>58186333</v>
      </c>
      <c r="B2315" t="s">
        <v>5782</v>
      </c>
      <c r="C2315" t="s">
        <v>3888</v>
      </c>
      <c r="D2315" t="s">
        <v>5783</v>
      </c>
      <c r="E2315">
        <v>7736143337</v>
      </c>
      <c r="F2315" t="s">
        <v>551</v>
      </c>
      <c r="G2315" t="s">
        <v>552</v>
      </c>
      <c r="I2315" t="s">
        <v>42</v>
      </c>
      <c r="J2315" s="13">
        <v>45979</v>
      </c>
      <c r="K2315" s="13">
        <v>46023</v>
      </c>
      <c r="L2315" t="s">
        <v>470</v>
      </c>
      <c r="M2315" t="s">
        <v>61</v>
      </c>
      <c r="N2315">
        <v>72056584</v>
      </c>
    </row>
    <row r="2316" spans="1:14" x14ac:dyDescent="0.25">
      <c r="A2316">
        <v>58681234</v>
      </c>
      <c r="B2316" t="s">
        <v>5479</v>
      </c>
      <c r="C2316" t="s">
        <v>429</v>
      </c>
      <c r="D2316" t="s">
        <v>5784</v>
      </c>
      <c r="E2316">
        <v>4697195455</v>
      </c>
      <c r="F2316" t="s">
        <v>537</v>
      </c>
      <c r="G2316" t="s">
        <v>538</v>
      </c>
      <c r="I2316" t="s">
        <v>49</v>
      </c>
      <c r="J2316" s="13">
        <v>45995</v>
      </c>
      <c r="K2316" s="13">
        <v>46023</v>
      </c>
      <c r="L2316" t="s">
        <v>444</v>
      </c>
      <c r="M2316" t="s">
        <v>56</v>
      </c>
      <c r="N2316">
        <v>72056697</v>
      </c>
    </row>
    <row r="2317" spans="1:14" x14ac:dyDescent="0.25">
      <c r="A2317">
        <v>58187234</v>
      </c>
      <c r="B2317" t="s">
        <v>651</v>
      </c>
      <c r="C2317" t="s">
        <v>5785</v>
      </c>
      <c r="D2317" t="s">
        <v>5786</v>
      </c>
      <c r="E2317">
        <v>8134167737</v>
      </c>
      <c r="F2317" t="s">
        <v>416</v>
      </c>
      <c r="G2317" t="s">
        <v>417</v>
      </c>
      <c r="I2317" t="s">
        <v>26</v>
      </c>
      <c r="J2317" s="13">
        <v>45979</v>
      </c>
      <c r="K2317" s="13">
        <v>46023</v>
      </c>
      <c r="L2317" t="s">
        <v>497</v>
      </c>
      <c r="M2317" t="s">
        <v>54</v>
      </c>
      <c r="N2317">
        <v>72057203</v>
      </c>
    </row>
    <row r="2318" spans="1:14" x14ac:dyDescent="0.25">
      <c r="A2318">
        <v>58187278</v>
      </c>
      <c r="B2318" t="s">
        <v>672</v>
      </c>
      <c r="C2318" t="s">
        <v>5787</v>
      </c>
      <c r="D2318" t="s">
        <v>5788</v>
      </c>
      <c r="E2318">
        <v>9016595272</v>
      </c>
      <c r="F2318" t="s">
        <v>705</v>
      </c>
      <c r="G2318" t="s">
        <v>706</v>
      </c>
      <c r="I2318" t="s">
        <v>12</v>
      </c>
      <c r="J2318" s="13">
        <v>45979</v>
      </c>
      <c r="K2318" s="13">
        <v>46023</v>
      </c>
      <c r="L2318" t="s">
        <v>479</v>
      </c>
      <c r="M2318" t="s">
        <v>56</v>
      </c>
      <c r="N2318">
        <v>72057234</v>
      </c>
    </row>
    <row r="2319" spans="1:14" x14ac:dyDescent="0.25">
      <c r="A2319">
        <v>58188312</v>
      </c>
      <c r="B2319" t="s">
        <v>1148</v>
      </c>
      <c r="C2319" t="s">
        <v>5789</v>
      </c>
      <c r="D2319" t="s">
        <v>5790</v>
      </c>
      <c r="E2319">
        <v>7863711040</v>
      </c>
      <c r="F2319" t="s">
        <v>423</v>
      </c>
      <c r="G2319" t="s">
        <v>424</v>
      </c>
      <c r="I2319" t="s">
        <v>46</v>
      </c>
      <c r="J2319" s="13">
        <v>45979</v>
      </c>
      <c r="K2319" s="13">
        <v>46023</v>
      </c>
      <c r="L2319" t="s">
        <v>497</v>
      </c>
      <c r="M2319" t="s">
        <v>54</v>
      </c>
      <c r="N2319">
        <v>72058006</v>
      </c>
    </row>
    <row r="2320" spans="1:14" x14ac:dyDescent="0.25">
      <c r="A2320">
        <v>58188467</v>
      </c>
      <c r="B2320" t="s">
        <v>1515</v>
      </c>
      <c r="C2320" t="s">
        <v>3508</v>
      </c>
      <c r="D2320" t="s">
        <v>5791</v>
      </c>
      <c r="E2320">
        <v>5615419082</v>
      </c>
      <c r="F2320" t="s">
        <v>1345</v>
      </c>
      <c r="G2320" t="s">
        <v>799</v>
      </c>
      <c r="I2320" t="s">
        <v>47</v>
      </c>
      <c r="J2320" s="13">
        <v>45979</v>
      </c>
      <c r="K2320" s="13">
        <v>46023</v>
      </c>
      <c r="L2320" t="s">
        <v>497</v>
      </c>
      <c r="M2320" t="s">
        <v>54</v>
      </c>
      <c r="N2320">
        <v>72058126</v>
      </c>
    </row>
    <row r="2321" spans="1:14" x14ac:dyDescent="0.25">
      <c r="A2321">
        <v>58189097</v>
      </c>
      <c r="B2321" t="s">
        <v>5792</v>
      </c>
      <c r="C2321" t="s">
        <v>5793</v>
      </c>
      <c r="D2321" t="s">
        <v>5794</v>
      </c>
      <c r="E2321">
        <v>7703189016</v>
      </c>
      <c r="F2321" t="s">
        <v>928</v>
      </c>
      <c r="G2321" t="s">
        <v>929</v>
      </c>
      <c r="I2321" t="s">
        <v>30</v>
      </c>
      <c r="J2321" s="13">
        <v>45979</v>
      </c>
      <c r="K2321" s="13">
        <v>46023</v>
      </c>
      <c r="L2321" t="s">
        <v>621</v>
      </c>
      <c r="M2321" t="s">
        <v>56</v>
      </c>
      <c r="N2321">
        <v>72058603</v>
      </c>
    </row>
    <row r="2322" spans="1:14" x14ac:dyDescent="0.25">
      <c r="A2322">
        <v>58189160</v>
      </c>
      <c r="B2322" t="s">
        <v>5795</v>
      </c>
      <c r="C2322" t="s">
        <v>5796</v>
      </c>
      <c r="D2322" t="s">
        <v>5797</v>
      </c>
      <c r="E2322">
        <v>8134109382</v>
      </c>
      <c r="F2322" t="s">
        <v>842</v>
      </c>
      <c r="G2322" t="s">
        <v>843</v>
      </c>
      <c r="I2322" t="s">
        <v>98</v>
      </c>
      <c r="J2322" s="13">
        <v>45979</v>
      </c>
      <c r="K2322" s="13">
        <v>46023</v>
      </c>
      <c r="L2322" t="s">
        <v>444</v>
      </c>
      <c r="M2322" t="s">
        <v>419</v>
      </c>
      <c r="N2322">
        <v>72058638</v>
      </c>
    </row>
    <row r="2323" spans="1:14" x14ac:dyDescent="0.25">
      <c r="A2323">
        <v>58189580</v>
      </c>
      <c r="B2323" t="s">
        <v>672</v>
      </c>
      <c r="C2323" t="s">
        <v>758</v>
      </c>
      <c r="D2323" t="s">
        <v>5798</v>
      </c>
      <c r="E2323">
        <v>2079550439</v>
      </c>
      <c r="F2323" t="s">
        <v>474</v>
      </c>
      <c r="G2323" t="s">
        <v>475</v>
      </c>
      <c r="I2323" t="s">
        <v>132</v>
      </c>
      <c r="J2323" s="13">
        <v>45979</v>
      </c>
      <c r="K2323" s="13">
        <v>46023</v>
      </c>
      <c r="L2323" t="s">
        <v>941</v>
      </c>
      <c r="M2323" t="s">
        <v>56</v>
      </c>
      <c r="N2323">
        <v>72058867</v>
      </c>
    </row>
    <row r="2324" spans="1:14" x14ac:dyDescent="0.25">
      <c r="A2324">
        <v>58190943</v>
      </c>
      <c r="B2324" t="s">
        <v>1038</v>
      </c>
      <c r="C2324" t="s">
        <v>5799</v>
      </c>
      <c r="D2324" t="s">
        <v>5800</v>
      </c>
      <c r="E2324">
        <v>5614015213</v>
      </c>
      <c r="F2324" t="s">
        <v>474</v>
      </c>
      <c r="G2324" t="s">
        <v>475</v>
      </c>
      <c r="I2324" t="s">
        <v>132</v>
      </c>
      <c r="J2324" s="13">
        <v>45979</v>
      </c>
      <c r="K2324" s="13">
        <v>46023</v>
      </c>
      <c r="L2324" t="s">
        <v>497</v>
      </c>
      <c r="M2324" t="s">
        <v>59</v>
      </c>
      <c r="N2324">
        <v>72059684</v>
      </c>
    </row>
    <row r="2325" spans="1:14" x14ac:dyDescent="0.25">
      <c r="A2325">
        <v>58191256</v>
      </c>
      <c r="B2325" t="s">
        <v>480</v>
      </c>
      <c r="C2325" t="s">
        <v>5801</v>
      </c>
      <c r="D2325" t="s">
        <v>5802</v>
      </c>
      <c r="E2325">
        <v>3047904598</v>
      </c>
      <c r="F2325" t="s">
        <v>537</v>
      </c>
      <c r="G2325" t="s">
        <v>538</v>
      </c>
      <c r="I2325" t="s">
        <v>49</v>
      </c>
      <c r="J2325" s="13">
        <v>45979</v>
      </c>
      <c r="K2325" s="13">
        <v>46023</v>
      </c>
      <c r="L2325" t="s">
        <v>1188</v>
      </c>
      <c r="M2325" t="s">
        <v>58</v>
      </c>
      <c r="N2325">
        <v>72059847</v>
      </c>
    </row>
    <row r="2326" spans="1:14" x14ac:dyDescent="0.25">
      <c r="A2326">
        <v>58191315</v>
      </c>
      <c r="B2326" t="s">
        <v>5803</v>
      </c>
      <c r="C2326" t="s">
        <v>5198</v>
      </c>
      <c r="D2326" t="s">
        <v>5804</v>
      </c>
      <c r="E2326">
        <v>3343707671</v>
      </c>
      <c r="F2326" t="s">
        <v>790</v>
      </c>
      <c r="G2326" t="s">
        <v>791</v>
      </c>
      <c r="I2326" t="s">
        <v>119</v>
      </c>
      <c r="J2326" s="13">
        <v>45979</v>
      </c>
      <c r="K2326" s="13">
        <v>46023</v>
      </c>
      <c r="L2326" t="s">
        <v>450</v>
      </c>
      <c r="M2326" t="s">
        <v>56</v>
      </c>
      <c r="N2326">
        <v>72059858</v>
      </c>
    </row>
    <row r="2327" spans="1:14" x14ac:dyDescent="0.25">
      <c r="A2327">
        <v>58191642</v>
      </c>
      <c r="B2327" t="s">
        <v>998</v>
      </c>
      <c r="C2327" t="s">
        <v>5805</v>
      </c>
      <c r="D2327" t="s">
        <v>5806</v>
      </c>
      <c r="E2327">
        <v>9284600991</v>
      </c>
      <c r="F2327" t="s">
        <v>821</v>
      </c>
      <c r="G2327" t="s">
        <v>822</v>
      </c>
      <c r="I2327" t="s">
        <v>823</v>
      </c>
      <c r="J2327" s="13">
        <v>45979</v>
      </c>
      <c r="K2327" s="13">
        <v>46023</v>
      </c>
      <c r="L2327" t="s">
        <v>1179</v>
      </c>
      <c r="M2327" t="s">
        <v>58</v>
      </c>
      <c r="N2327">
        <v>72060232</v>
      </c>
    </row>
    <row r="2328" spans="1:14" x14ac:dyDescent="0.25">
      <c r="A2328">
        <v>58191826</v>
      </c>
      <c r="B2328" t="s">
        <v>5807</v>
      </c>
      <c r="C2328" t="s">
        <v>1978</v>
      </c>
      <c r="D2328" t="s">
        <v>5808</v>
      </c>
      <c r="E2328">
        <v>3366958237</v>
      </c>
      <c r="F2328" t="s">
        <v>1003</v>
      </c>
      <c r="G2328" t="s">
        <v>1004</v>
      </c>
      <c r="I2328" t="s">
        <v>89</v>
      </c>
      <c r="J2328" s="13">
        <v>45979</v>
      </c>
      <c r="K2328" s="13">
        <v>46023</v>
      </c>
      <c r="L2328" t="s">
        <v>603</v>
      </c>
      <c r="M2328" t="s">
        <v>59</v>
      </c>
      <c r="N2328">
        <v>72060419</v>
      </c>
    </row>
    <row r="2329" spans="1:14" x14ac:dyDescent="0.25">
      <c r="A2329">
        <v>58192601</v>
      </c>
      <c r="B2329" t="s">
        <v>784</v>
      </c>
      <c r="C2329" t="s">
        <v>2670</v>
      </c>
      <c r="D2329" t="s">
        <v>5809</v>
      </c>
      <c r="E2329">
        <v>4794272011</v>
      </c>
      <c r="F2329" t="s">
        <v>574</v>
      </c>
      <c r="G2329" t="s">
        <v>575</v>
      </c>
      <c r="I2329" t="s">
        <v>14</v>
      </c>
      <c r="J2329" s="13">
        <v>45979</v>
      </c>
      <c r="K2329" s="13">
        <v>46023</v>
      </c>
      <c r="L2329" t="s">
        <v>553</v>
      </c>
      <c r="M2329" t="s">
        <v>56</v>
      </c>
      <c r="N2329">
        <v>72060878</v>
      </c>
    </row>
    <row r="2330" spans="1:14" x14ac:dyDescent="0.25">
      <c r="A2330">
        <v>58192627</v>
      </c>
      <c r="B2330" t="s">
        <v>1515</v>
      </c>
      <c r="C2330" t="s">
        <v>939</v>
      </c>
      <c r="D2330" t="s">
        <v>5810</v>
      </c>
      <c r="E2330">
        <v>3054973238</v>
      </c>
      <c r="F2330" t="s">
        <v>828</v>
      </c>
      <c r="G2330" t="s">
        <v>1148</v>
      </c>
      <c r="I2330" t="s">
        <v>17</v>
      </c>
      <c r="J2330" s="13">
        <v>45979</v>
      </c>
      <c r="K2330" s="13">
        <v>46023</v>
      </c>
      <c r="L2330" t="s">
        <v>497</v>
      </c>
      <c r="M2330" t="s">
        <v>56</v>
      </c>
      <c r="N2330">
        <v>72060895</v>
      </c>
    </row>
    <row r="2331" spans="1:14" x14ac:dyDescent="0.25">
      <c r="A2331">
        <v>58192708</v>
      </c>
      <c r="B2331" t="s">
        <v>5811</v>
      </c>
      <c r="C2331" t="s">
        <v>4753</v>
      </c>
      <c r="D2331" t="s">
        <v>5812</v>
      </c>
      <c r="E2331">
        <v>4794272011</v>
      </c>
      <c r="F2331" t="s">
        <v>574</v>
      </c>
      <c r="G2331" t="s">
        <v>575</v>
      </c>
      <c r="I2331" t="s">
        <v>14</v>
      </c>
      <c r="J2331" s="13">
        <v>45979</v>
      </c>
      <c r="K2331" s="13">
        <v>46023</v>
      </c>
      <c r="L2331" t="s">
        <v>553</v>
      </c>
      <c r="M2331" t="s">
        <v>56</v>
      </c>
      <c r="N2331">
        <v>72060958</v>
      </c>
    </row>
    <row r="2332" spans="1:14" x14ac:dyDescent="0.25">
      <c r="A2332">
        <v>58194111</v>
      </c>
      <c r="B2332" t="s">
        <v>1997</v>
      </c>
      <c r="C2332" t="s">
        <v>5813</v>
      </c>
      <c r="D2332" t="s">
        <v>5814</v>
      </c>
      <c r="E2332">
        <v>8132171356</v>
      </c>
      <c r="F2332" t="s">
        <v>423</v>
      </c>
      <c r="G2332" t="s">
        <v>424</v>
      </c>
      <c r="I2332" t="s">
        <v>46</v>
      </c>
      <c r="J2332" s="13">
        <v>45979</v>
      </c>
      <c r="K2332" s="13">
        <v>46023</v>
      </c>
      <c r="L2332" t="s">
        <v>497</v>
      </c>
      <c r="M2332" t="s">
        <v>54</v>
      </c>
      <c r="N2332">
        <v>72061816</v>
      </c>
    </row>
    <row r="2333" spans="1:14" x14ac:dyDescent="0.25">
      <c r="A2333">
        <v>58195514</v>
      </c>
      <c r="B2333" t="s">
        <v>709</v>
      </c>
      <c r="C2333" t="s">
        <v>1177</v>
      </c>
      <c r="D2333" t="s">
        <v>5815</v>
      </c>
      <c r="E2333">
        <v>4234267352</v>
      </c>
      <c r="F2333" t="s">
        <v>815</v>
      </c>
      <c r="G2333" t="s">
        <v>816</v>
      </c>
      <c r="I2333" t="s">
        <v>23</v>
      </c>
      <c r="J2333" s="13">
        <v>45979</v>
      </c>
      <c r="K2333" s="13">
        <v>46023</v>
      </c>
      <c r="L2333" t="s">
        <v>479</v>
      </c>
      <c r="M2333" t="s">
        <v>58</v>
      </c>
      <c r="N2333">
        <v>72062573</v>
      </c>
    </row>
    <row r="2334" spans="1:14" x14ac:dyDescent="0.25">
      <c r="A2334">
        <v>58195759</v>
      </c>
      <c r="B2334" t="s">
        <v>748</v>
      </c>
      <c r="C2334" t="s">
        <v>3113</v>
      </c>
      <c r="D2334" t="s">
        <v>5816</v>
      </c>
      <c r="E2334">
        <v>5204881311</v>
      </c>
      <c r="F2334" t="s">
        <v>1142</v>
      </c>
      <c r="G2334" t="s">
        <v>1143</v>
      </c>
      <c r="I2334" t="s">
        <v>124</v>
      </c>
      <c r="J2334" s="13">
        <v>45979</v>
      </c>
      <c r="K2334" s="13">
        <v>46023</v>
      </c>
      <c r="L2334" t="s">
        <v>1179</v>
      </c>
      <c r="M2334" t="s">
        <v>55</v>
      </c>
      <c r="N2334">
        <v>72062795</v>
      </c>
    </row>
    <row r="2335" spans="1:14" x14ac:dyDescent="0.25">
      <c r="A2335">
        <v>58195786</v>
      </c>
      <c r="B2335" t="s">
        <v>1103</v>
      </c>
      <c r="C2335" t="s">
        <v>5817</v>
      </c>
      <c r="D2335" t="s">
        <v>5818</v>
      </c>
      <c r="E2335">
        <v>7374243354</v>
      </c>
      <c r="F2335" t="s">
        <v>649</v>
      </c>
      <c r="G2335" t="s">
        <v>650</v>
      </c>
      <c r="I2335" t="s">
        <v>28</v>
      </c>
      <c r="J2335" s="13">
        <v>45979</v>
      </c>
      <c r="K2335" s="13">
        <v>46023</v>
      </c>
      <c r="L2335" t="s">
        <v>444</v>
      </c>
      <c r="M2335" t="s">
        <v>56</v>
      </c>
      <c r="N2335">
        <v>72062810</v>
      </c>
    </row>
    <row r="2336" spans="1:14" x14ac:dyDescent="0.25">
      <c r="A2336">
        <v>58195966</v>
      </c>
      <c r="B2336" t="s">
        <v>2662</v>
      </c>
      <c r="C2336" t="s">
        <v>1309</v>
      </c>
      <c r="D2336" t="s">
        <v>5819</v>
      </c>
      <c r="E2336">
        <v>3045046612</v>
      </c>
      <c r="F2336" t="s">
        <v>957</v>
      </c>
      <c r="G2336" t="s">
        <v>958</v>
      </c>
      <c r="H2336" t="s">
        <v>959</v>
      </c>
      <c r="I2336" t="s">
        <v>960</v>
      </c>
      <c r="J2336" s="13">
        <v>45979</v>
      </c>
      <c r="K2336" s="13">
        <v>46023</v>
      </c>
      <c r="L2336" t="s">
        <v>1188</v>
      </c>
      <c r="M2336" t="s">
        <v>56</v>
      </c>
      <c r="N2336">
        <v>72062902</v>
      </c>
    </row>
    <row r="2337" spans="1:14" x14ac:dyDescent="0.25">
      <c r="A2337">
        <v>58196241</v>
      </c>
      <c r="B2337" t="s">
        <v>5820</v>
      </c>
      <c r="C2337" t="s">
        <v>5821</v>
      </c>
      <c r="D2337" t="s">
        <v>5822</v>
      </c>
      <c r="E2337">
        <v>8132171356</v>
      </c>
      <c r="F2337" t="s">
        <v>423</v>
      </c>
      <c r="G2337" t="s">
        <v>424</v>
      </c>
      <c r="I2337" t="s">
        <v>46</v>
      </c>
      <c r="J2337" s="13">
        <v>45979</v>
      </c>
      <c r="K2337" s="13">
        <v>46023</v>
      </c>
      <c r="L2337" t="s">
        <v>497</v>
      </c>
      <c r="M2337" t="s">
        <v>54</v>
      </c>
      <c r="N2337">
        <v>72063046</v>
      </c>
    </row>
    <row r="2338" spans="1:14" x14ac:dyDescent="0.25">
      <c r="A2338">
        <v>58196640</v>
      </c>
      <c r="B2338" t="s">
        <v>548</v>
      </c>
      <c r="C2338" t="s">
        <v>2020</v>
      </c>
      <c r="D2338" t="s">
        <v>5823</v>
      </c>
      <c r="E2338">
        <v>4802570337</v>
      </c>
      <c r="F2338" t="s">
        <v>551</v>
      </c>
      <c r="G2338" t="s">
        <v>552</v>
      </c>
      <c r="I2338" t="s">
        <v>42</v>
      </c>
      <c r="J2338" s="13">
        <v>45979</v>
      </c>
      <c r="K2338" s="13">
        <v>46023</v>
      </c>
      <c r="L2338" t="s">
        <v>1179</v>
      </c>
      <c r="M2338" t="s">
        <v>55</v>
      </c>
      <c r="N2338">
        <v>72063365</v>
      </c>
    </row>
    <row r="2339" spans="1:14" x14ac:dyDescent="0.25">
      <c r="A2339">
        <v>58196623</v>
      </c>
      <c r="B2339" t="s">
        <v>2071</v>
      </c>
      <c r="C2339" t="s">
        <v>5824</v>
      </c>
      <c r="D2339" t="s">
        <v>5825</v>
      </c>
      <c r="E2339">
        <v>4803530774</v>
      </c>
      <c r="F2339" t="s">
        <v>842</v>
      </c>
      <c r="G2339" t="s">
        <v>1213</v>
      </c>
      <c r="I2339" t="s">
        <v>1214</v>
      </c>
      <c r="J2339" s="13">
        <v>45979</v>
      </c>
      <c r="K2339" s="13">
        <v>46023</v>
      </c>
      <c r="L2339" t="s">
        <v>1179</v>
      </c>
      <c r="M2339" t="s">
        <v>55</v>
      </c>
      <c r="N2339">
        <v>72063408</v>
      </c>
    </row>
    <row r="2340" spans="1:14" x14ac:dyDescent="0.25">
      <c r="A2340">
        <v>58197571</v>
      </c>
      <c r="B2340" t="s">
        <v>548</v>
      </c>
      <c r="C2340" t="s">
        <v>5826</v>
      </c>
      <c r="D2340" t="s">
        <v>5827</v>
      </c>
      <c r="E2340">
        <v>8542108078</v>
      </c>
      <c r="F2340" t="s">
        <v>1067</v>
      </c>
      <c r="G2340" t="s">
        <v>1068</v>
      </c>
      <c r="I2340" t="s">
        <v>35</v>
      </c>
      <c r="J2340" s="13">
        <v>45979</v>
      </c>
      <c r="K2340" s="13">
        <v>46023</v>
      </c>
      <c r="L2340" t="s">
        <v>533</v>
      </c>
      <c r="M2340" t="s">
        <v>58</v>
      </c>
      <c r="N2340">
        <v>72064057</v>
      </c>
    </row>
    <row r="2341" spans="1:14" x14ac:dyDescent="0.25">
      <c r="A2341">
        <v>58200095</v>
      </c>
      <c r="B2341" t="s">
        <v>597</v>
      </c>
      <c r="C2341" t="s">
        <v>5828</v>
      </c>
      <c r="D2341" t="s">
        <v>5829</v>
      </c>
      <c r="E2341">
        <v>6023268289</v>
      </c>
      <c r="F2341" t="s">
        <v>4853</v>
      </c>
      <c r="G2341" t="s">
        <v>5017</v>
      </c>
      <c r="I2341" t="s">
        <v>5018</v>
      </c>
      <c r="J2341" s="13">
        <v>45979</v>
      </c>
      <c r="K2341" s="13">
        <v>46023</v>
      </c>
      <c r="L2341" t="s">
        <v>1179</v>
      </c>
      <c r="M2341" t="s">
        <v>54</v>
      </c>
      <c r="N2341">
        <v>72065387</v>
      </c>
    </row>
    <row r="2342" spans="1:14" x14ac:dyDescent="0.25">
      <c r="A2342">
        <v>58200112</v>
      </c>
      <c r="B2342" t="s">
        <v>5830</v>
      </c>
      <c r="C2342" t="s">
        <v>1203</v>
      </c>
      <c r="D2342" t="s">
        <v>5831</v>
      </c>
      <c r="E2342">
        <v>9414653481</v>
      </c>
      <c r="F2342" t="s">
        <v>462</v>
      </c>
      <c r="G2342" t="s">
        <v>463</v>
      </c>
      <c r="I2342" t="s">
        <v>39</v>
      </c>
      <c r="J2342" s="13">
        <v>45979</v>
      </c>
      <c r="K2342" s="13">
        <v>46023</v>
      </c>
      <c r="L2342" t="s">
        <v>497</v>
      </c>
      <c r="M2342" t="s">
        <v>56</v>
      </c>
      <c r="N2342">
        <v>72065408</v>
      </c>
    </row>
    <row r="2343" spans="1:14" x14ac:dyDescent="0.25">
      <c r="A2343">
        <v>58200271</v>
      </c>
      <c r="B2343" t="s">
        <v>1566</v>
      </c>
      <c r="C2343" t="s">
        <v>5832</v>
      </c>
      <c r="D2343" t="s">
        <v>5833</v>
      </c>
      <c r="E2343">
        <v>6362828511</v>
      </c>
      <c r="F2343" t="s">
        <v>798</v>
      </c>
      <c r="G2343" t="s">
        <v>799</v>
      </c>
      <c r="I2343" t="s">
        <v>800</v>
      </c>
      <c r="J2343" s="13">
        <v>45979</v>
      </c>
      <c r="K2343" s="13">
        <v>46023</v>
      </c>
      <c r="L2343" t="s">
        <v>434</v>
      </c>
      <c r="M2343" t="s">
        <v>61</v>
      </c>
      <c r="N2343">
        <v>72065499</v>
      </c>
    </row>
    <row r="2344" spans="1:14" x14ac:dyDescent="0.25">
      <c r="A2344">
        <v>58200812</v>
      </c>
      <c r="B2344" t="s">
        <v>5834</v>
      </c>
      <c r="C2344" t="s">
        <v>5835</v>
      </c>
      <c r="D2344" t="s">
        <v>5836</v>
      </c>
      <c r="E2344">
        <v>9544156569</v>
      </c>
      <c r="F2344" t="s">
        <v>416</v>
      </c>
      <c r="G2344" t="s">
        <v>417</v>
      </c>
      <c r="I2344" t="s">
        <v>26</v>
      </c>
      <c r="J2344" s="13">
        <v>45979</v>
      </c>
      <c r="K2344" s="13">
        <v>46023</v>
      </c>
      <c r="L2344" t="s">
        <v>497</v>
      </c>
      <c r="M2344" t="s">
        <v>56</v>
      </c>
      <c r="N2344">
        <v>72065789</v>
      </c>
    </row>
    <row r="2345" spans="1:14" x14ac:dyDescent="0.25">
      <c r="A2345">
        <v>58201055</v>
      </c>
      <c r="B2345" t="s">
        <v>1072</v>
      </c>
      <c r="C2345" t="s">
        <v>5837</v>
      </c>
      <c r="D2345" t="s">
        <v>5838</v>
      </c>
      <c r="E2345">
        <v>3343570324</v>
      </c>
      <c r="F2345" t="s">
        <v>790</v>
      </c>
      <c r="G2345" t="s">
        <v>791</v>
      </c>
      <c r="I2345" t="s">
        <v>119</v>
      </c>
      <c r="J2345" s="13">
        <v>45979</v>
      </c>
      <c r="K2345" s="13">
        <v>46023</v>
      </c>
      <c r="L2345" t="s">
        <v>450</v>
      </c>
      <c r="M2345" t="s">
        <v>56</v>
      </c>
      <c r="N2345">
        <v>72065957</v>
      </c>
    </row>
    <row r="2346" spans="1:14" x14ac:dyDescent="0.25">
      <c r="A2346">
        <v>58201072</v>
      </c>
      <c r="B2346" t="s">
        <v>5839</v>
      </c>
      <c r="C2346" t="s">
        <v>5840</v>
      </c>
      <c r="D2346" t="s">
        <v>5841</v>
      </c>
      <c r="E2346">
        <v>4808599805</v>
      </c>
      <c r="F2346" t="s">
        <v>780</v>
      </c>
      <c r="G2346" t="s">
        <v>781</v>
      </c>
      <c r="I2346" t="s">
        <v>20</v>
      </c>
      <c r="J2346" s="13">
        <v>45979</v>
      </c>
      <c r="K2346" s="13">
        <v>46023</v>
      </c>
      <c r="L2346" t="s">
        <v>1179</v>
      </c>
      <c r="M2346" t="s">
        <v>55</v>
      </c>
      <c r="N2346">
        <v>72065973</v>
      </c>
    </row>
    <row r="2347" spans="1:14" x14ac:dyDescent="0.25">
      <c r="A2347">
        <v>58201433</v>
      </c>
      <c r="B2347" t="s">
        <v>521</v>
      </c>
      <c r="C2347" t="s">
        <v>4514</v>
      </c>
      <c r="D2347" t="s">
        <v>5842</v>
      </c>
      <c r="E2347">
        <v>5013043304</v>
      </c>
      <c r="F2347" t="s">
        <v>1003</v>
      </c>
      <c r="G2347" t="s">
        <v>1004</v>
      </c>
      <c r="I2347" t="s">
        <v>89</v>
      </c>
      <c r="J2347" s="13">
        <v>45979</v>
      </c>
      <c r="K2347" s="13">
        <v>46023</v>
      </c>
      <c r="L2347" t="s">
        <v>553</v>
      </c>
      <c r="M2347" t="s">
        <v>59</v>
      </c>
      <c r="N2347">
        <v>72066231</v>
      </c>
    </row>
    <row r="2348" spans="1:14" x14ac:dyDescent="0.25">
      <c r="A2348">
        <v>58202779</v>
      </c>
      <c r="B2348" t="s">
        <v>748</v>
      </c>
      <c r="C2348" t="s">
        <v>903</v>
      </c>
      <c r="D2348" t="s">
        <v>5843</v>
      </c>
      <c r="E2348">
        <v>7736429660</v>
      </c>
      <c r="F2348" t="s">
        <v>649</v>
      </c>
      <c r="G2348" t="s">
        <v>650</v>
      </c>
      <c r="I2348" t="s">
        <v>28</v>
      </c>
      <c r="J2348" s="13">
        <v>45979</v>
      </c>
      <c r="K2348" s="13">
        <v>46023</v>
      </c>
      <c r="L2348" t="s">
        <v>470</v>
      </c>
      <c r="M2348" t="s">
        <v>60</v>
      </c>
      <c r="N2348">
        <v>72066533</v>
      </c>
    </row>
    <row r="2349" spans="1:14" x14ac:dyDescent="0.25">
      <c r="A2349">
        <v>58202929</v>
      </c>
      <c r="B2349" t="s">
        <v>2600</v>
      </c>
      <c r="C2349" t="s">
        <v>5844</v>
      </c>
      <c r="D2349" t="s">
        <v>5845</v>
      </c>
      <c r="E2349">
        <v>6023963961</v>
      </c>
      <c r="F2349" t="s">
        <v>4853</v>
      </c>
      <c r="G2349" t="s">
        <v>5017</v>
      </c>
      <c r="I2349" t="s">
        <v>5018</v>
      </c>
      <c r="J2349" s="13">
        <v>45979</v>
      </c>
      <c r="K2349" s="13">
        <v>46023</v>
      </c>
      <c r="L2349" t="s">
        <v>1179</v>
      </c>
      <c r="M2349" t="s">
        <v>54</v>
      </c>
      <c r="N2349">
        <v>72066640</v>
      </c>
    </row>
    <row r="2350" spans="1:14" x14ac:dyDescent="0.25">
      <c r="A2350">
        <v>58205401</v>
      </c>
      <c r="B2350" t="s">
        <v>3326</v>
      </c>
      <c r="C2350" t="s">
        <v>5846</v>
      </c>
      <c r="D2350" t="s">
        <v>5847</v>
      </c>
      <c r="E2350">
        <v>3366842025</v>
      </c>
      <c r="F2350" t="s">
        <v>474</v>
      </c>
      <c r="G2350" t="s">
        <v>475</v>
      </c>
      <c r="I2350" t="s">
        <v>132</v>
      </c>
      <c r="J2350" s="13">
        <v>45980</v>
      </c>
      <c r="K2350" s="13">
        <v>46023</v>
      </c>
      <c r="L2350" t="s">
        <v>603</v>
      </c>
      <c r="M2350" t="s">
        <v>56</v>
      </c>
      <c r="N2350">
        <v>72068674</v>
      </c>
    </row>
    <row r="2351" spans="1:14" x14ac:dyDescent="0.25">
      <c r="A2351">
        <v>58207559</v>
      </c>
      <c r="B2351" t="s">
        <v>2041</v>
      </c>
      <c r="C2351" t="s">
        <v>5848</v>
      </c>
      <c r="D2351" t="s">
        <v>5849</v>
      </c>
      <c r="E2351" t="s">
        <v>5850</v>
      </c>
      <c r="F2351" t="s">
        <v>551</v>
      </c>
      <c r="G2351" t="s">
        <v>552</v>
      </c>
      <c r="I2351" t="s">
        <v>42</v>
      </c>
      <c r="J2351" s="13">
        <v>45980</v>
      </c>
      <c r="K2351" s="13">
        <v>46023</v>
      </c>
      <c r="L2351" t="s">
        <v>497</v>
      </c>
      <c r="M2351" t="s">
        <v>56</v>
      </c>
      <c r="N2351">
        <v>72070233</v>
      </c>
    </row>
    <row r="2352" spans="1:14" x14ac:dyDescent="0.25">
      <c r="A2352">
        <v>58207502</v>
      </c>
      <c r="B2352" t="s">
        <v>5851</v>
      </c>
      <c r="C2352" t="s">
        <v>5852</v>
      </c>
      <c r="D2352" t="s">
        <v>5853</v>
      </c>
      <c r="E2352">
        <v>9043033446</v>
      </c>
      <c r="F2352" t="s">
        <v>775</v>
      </c>
      <c r="G2352" t="s">
        <v>776</v>
      </c>
      <c r="I2352" t="s">
        <v>22</v>
      </c>
      <c r="J2352" s="13">
        <v>45980</v>
      </c>
      <c r="K2352" s="13">
        <v>46023</v>
      </c>
      <c r="L2352" t="s">
        <v>497</v>
      </c>
      <c r="M2352" t="s">
        <v>56</v>
      </c>
      <c r="N2352">
        <v>72070236</v>
      </c>
    </row>
    <row r="2353" spans="1:14" x14ac:dyDescent="0.25">
      <c r="A2353">
        <v>58208223</v>
      </c>
      <c r="B2353" t="s">
        <v>5854</v>
      </c>
      <c r="C2353" t="s">
        <v>5855</v>
      </c>
      <c r="D2353" t="s">
        <v>5856</v>
      </c>
      <c r="E2353">
        <v>5208400493</v>
      </c>
      <c r="F2353" t="s">
        <v>416</v>
      </c>
      <c r="G2353" t="s">
        <v>417</v>
      </c>
      <c r="I2353" t="s">
        <v>26</v>
      </c>
      <c r="J2353" s="13">
        <v>45980</v>
      </c>
      <c r="K2353" s="13">
        <v>46023</v>
      </c>
      <c r="L2353" t="s">
        <v>1179</v>
      </c>
      <c r="M2353" t="s">
        <v>56</v>
      </c>
      <c r="N2353">
        <v>72070663</v>
      </c>
    </row>
    <row r="2354" spans="1:14" x14ac:dyDescent="0.25">
      <c r="A2354">
        <v>58209100</v>
      </c>
      <c r="B2354" t="s">
        <v>5857</v>
      </c>
      <c r="C2354" t="s">
        <v>5858</v>
      </c>
      <c r="D2354" t="s">
        <v>5859</v>
      </c>
      <c r="E2354">
        <v>2405202703</v>
      </c>
      <c r="F2354" t="s">
        <v>790</v>
      </c>
      <c r="G2354" t="s">
        <v>791</v>
      </c>
      <c r="I2354" t="s">
        <v>119</v>
      </c>
      <c r="J2354" s="13">
        <v>45980</v>
      </c>
      <c r="K2354" s="13">
        <v>46023</v>
      </c>
      <c r="L2354" t="s">
        <v>621</v>
      </c>
      <c r="M2354" t="s">
        <v>58</v>
      </c>
      <c r="N2354">
        <v>72071242</v>
      </c>
    </row>
    <row r="2355" spans="1:14" x14ac:dyDescent="0.25">
      <c r="A2355">
        <v>58209693</v>
      </c>
      <c r="B2355" t="s">
        <v>1292</v>
      </c>
      <c r="C2355" t="s">
        <v>5860</v>
      </c>
      <c r="D2355" t="s">
        <v>5861</v>
      </c>
      <c r="E2355">
        <v>7087311260</v>
      </c>
      <c r="F2355" t="s">
        <v>448</v>
      </c>
      <c r="G2355" t="s">
        <v>449</v>
      </c>
      <c r="I2355" t="s">
        <v>31</v>
      </c>
      <c r="J2355" s="13">
        <v>45980</v>
      </c>
      <c r="K2355" s="13">
        <v>46023</v>
      </c>
      <c r="L2355" t="s">
        <v>470</v>
      </c>
      <c r="M2355" t="s">
        <v>60</v>
      </c>
      <c r="N2355">
        <v>72071830</v>
      </c>
    </row>
    <row r="2356" spans="1:14" x14ac:dyDescent="0.25">
      <c r="A2356">
        <v>58209695</v>
      </c>
      <c r="B2356" t="s">
        <v>1109</v>
      </c>
      <c r="C2356" t="s">
        <v>4529</v>
      </c>
      <c r="D2356" t="s">
        <v>5862</v>
      </c>
      <c r="E2356">
        <v>7725190491</v>
      </c>
      <c r="F2356" t="s">
        <v>462</v>
      </c>
      <c r="G2356" t="s">
        <v>463</v>
      </c>
      <c r="I2356" t="s">
        <v>39</v>
      </c>
      <c r="J2356" s="13">
        <v>45980</v>
      </c>
      <c r="K2356" s="13">
        <v>46023</v>
      </c>
      <c r="L2356" t="s">
        <v>497</v>
      </c>
      <c r="M2356" t="s">
        <v>54</v>
      </c>
      <c r="N2356">
        <v>72071833</v>
      </c>
    </row>
    <row r="2357" spans="1:14" x14ac:dyDescent="0.25">
      <c r="A2357">
        <v>58209808</v>
      </c>
      <c r="B2357" t="s">
        <v>5863</v>
      </c>
      <c r="C2357" t="s">
        <v>5864</v>
      </c>
      <c r="D2357" t="s">
        <v>5865</v>
      </c>
      <c r="E2357">
        <v>9125123764</v>
      </c>
      <c r="F2357" t="s">
        <v>574</v>
      </c>
      <c r="G2357" t="s">
        <v>575</v>
      </c>
      <c r="I2357" t="s">
        <v>14</v>
      </c>
      <c r="J2357" s="13">
        <v>45980</v>
      </c>
      <c r="K2357" s="13">
        <v>46023</v>
      </c>
      <c r="L2357" t="s">
        <v>621</v>
      </c>
      <c r="M2357" t="s">
        <v>59</v>
      </c>
      <c r="N2357">
        <v>72071913</v>
      </c>
    </row>
    <row r="2358" spans="1:14" x14ac:dyDescent="0.25">
      <c r="A2358">
        <v>58210383</v>
      </c>
      <c r="B2358" t="s">
        <v>1072</v>
      </c>
      <c r="C2358" t="s">
        <v>5866</v>
      </c>
      <c r="D2358" t="s">
        <v>5867</v>
      </c>
      <c r="E2358">
        <v>3346633236</v>
      </c>
      <c r="F2358" t="s">
        <v>1142</v>
      </c>
      <c r="G2358" t="s">
        <v>1143</v>
      </c>
      <c r="I2358" t="s">
        <v>124</v>
      </c>
      <c r="J2358" s="13">
        <v>45980</v>
      </c>
      <c r="K2358" s="13">
        <v>46023</v>
      </c>
      <c r="L2358" t="s">
        <v>450</v>
      </c>
      <c r="M2358" t="s">
        <v>56</v>
      </c>
      <c r="N2358">
        <v>72072349</v>
      </c>
    </row>
    <row r="2359" spans="1:14" x14ac:dyDescent="0.25">
      <c r="A2359">
        <v>58211262</v>
      </c>
      <c r="B2359" t="s">
        <v>1991</v>
      </c>
      <c r="C2359" t="s">
        <v>5868</v>
      </c>
      <c r="D2359" t="s">
        <v>5869</v>
      </c>
      <c r="E2359">
        <v>9107281427</v>
      </c>
      <c r="F2359" t="s">
        <v>628</v>
      </c>
      <c r="G2359" t="s">
        <v>629</v>
      </c>
      <c r="I2359" t="s">
        <v>24</v>
      </c>
      <c r="J2359" s="13">
        <v>45980</v>
      </c>
      <c r="K2359" s="13">
        <v>46023</v>
      </c>
      <c r="L2359" t="s">
        <v>603</v>
      </c>
      <c r="M2359" t="s">
        <v>58</v>
      </c>
      <c r="N2359">
        <v>72072972</v>
      </c>
    </row>
    <row r="2360" spans="1:14" x14ac:dyDescent="0.25">
      <c r="A2360">
        <v>58211645</v>
      </c>
      <c r="B2360" t="s">
        <v>1856</v>
      </c>
      <c r="C2360" t="s">
        <v>5870</v>
      </c>
      <c r="D2360" t="s">
        <v>5871</v>
      </c>
      <c r="E2360">
        <v>3367802173</v>
      </c>
      <c r="F2360" t="s">
        <v>537</v>
      </c>
      <c r="G2360" t="s">
        <v>538</v>
      </c>
      <c r="I2360" t="s">
        <v>49</v>
      </c>
      <c r="J2360" s="13">
        <v>45980</v>
      </c>
      <c r="K2360" s="13">
        <v>46023</v>
      </c>
      <c r="L2360" t="s">
        <v>603</v>
      </c>
      <c r="M2360" t="s">
        <v>56</v>
      </c>
      <c r="N2360">
        <v>72073192</v>
      </c>
    </row>
    <row r="2361" spans="1:14" x14ac:dyDescent="0.25">
      <c r="A2361">
        <v>58211667</v>
      </c>
      <c r="B2361" t="s">
        <v>5259</v>
      </c>
      <c r="C2361" t="s">
        <v>5872</v>
      </c>
      <c r="D2361" t="s">
        <v>5873</v>
      </c>
      <c r="E2361">
        <v>9013040221</v>
      </c>
      <c r="F2361" t="s">
        <v>842</v>
      </c>
      <c r="G2361" t="s">
        <v>843</v>
      </c>
      <c r="I2361" t="s">
        <v>98</v>
      </c>
      <c r="J2361" s="13">
        <v>45980</v>
      </c>
      <c r="K2361" s="13">
        <v>46023</v>
      </c>
      <c r="L2361" t="s">
        <v>479</v>
      </c>
      <c r="M2361" t="s">
        <v>59</v>
      </c>
      <c r="N2361">
        <v>72073210</v>
      </c>
    </row>
    <row r="2362" spans="1:14" x14ac:dyDescent="0.25">
      <c r="A2362">
        <v>58211743</v>
      </c>
      <c r="B2362" t="s">
        <v>1226</v>
      </c>
      <c r="C2362" t="s">
        <v>5874</v>
      </c>
      <c r="D2362" t="s">
        <v>5875</v>
      </c>
      <c r="E2362">
        <v>8046479643</v>
      </c>
      <c r="F2362" t="s">
        <v>770</v>
      </c>
      <c r="G2362" t="s">
        <v>771</v>
      </c>
      <c r="I2362" t="s">
        <v>25</v>
      </c>
      <c r="J2362" s="13">
        <v>45980</v>
      </c>
      <c r="K2362" s="13">
        <v>46023</v>
      </c>
      <c r="L2362" t="s">
        <v>444</v>
      </c>
      <c r="M2362" t="s">
        <v>56</v>
      </c>
      <c r="N2362">
        <v>72073241</v>
      </c>
    </row>
    <row r="2363" spans="1:14" x14ac:dyDescent="0.25">
      <c r="A2363">
        <v>58212076</v>
      </c>
      <c r="B2363" t="s">
        <v>724</v>
      </c>
      <c r="C2363" t="s">
        <v>5844</v>
      </c>
      <c r="D2363" t="s">
        <v>5876</v>
      </c>
      <c r="E2363">
        <v>3524268532</v>
      </c>
      <c r="F2363" t="s">
        <v>474</v>
      </c>
      <c r="G2363" t="s">
        <v>475</v>
      </c>
      <c r="I2363" t="s">
        <v>132</v>
      </c>
      <c r="J2363" s="13">
        <v>45980</v>
      </c>
      <c r="K2363" s="13">
        <v>46023</v>
      </c>
      <c r="L2363" t="s">
        <v>497</v>
      </c>
      <c r="M2363" t="s">
        <v>56</v>
      </c>
      <c r="N2363">
        <v>72073431</v>
      </c>
    </row>
    <row r="2364" spans="1:14" x14ac:dyDescent="0.25">
      <c r="A2364">
        <v>58212676</v>
      </c>
      <c r="B2364" t="s">
        <v>476</v>
      </c>
      <c r="C2364" t="s">
        <v>5877</v>
      </c>
      <c r="D2364" t="s">
        <v>5878</v>
      </c>
      <c r="E2364">
        <v>7085482207</v>
      </c>
      <c r="F2364" t="s">
        <v>448</v>
      </c>
      <c r="G2364" t="s">
        <v>449</v>
      </c>
      <c r="I2364" t="s">
        <v>31</v>
      </c>
      <c r="J2364" s="13">
        <v>45980</v>
      </c>
      <c r="K2364" s="13">
        <v>46023</v>
      </c>
      <c r="L2364" t="s">
        <v>470</v>
      </c>
      <c r="M2364" t="s">
        <v>56</v>
      </c>
      <c r="N2364">
        <v>72073775</v>
      </c>
    </row>
    <row r="2365" spans="1:14" x14ac:dyDescent="0.25">
      <c r="A2365">
        <v>58213001</v>
      </c>
      <c r="B2365" t="s">
        <v>451</v>
      </c>
      <c r="C2365" t="s">
        <v>5879</v>
      </c>
      <c r="D2365" t="s">
        <v>5880</v>
      </c>
      <c r="E2365">
        <v>9382573317</v>
      </c>
      <c r="F2365" t="s">
        <v>842</v>
      </c>
      <c r="G2365" t="s">
        <v>1213</v>
      </c>
      <c r="I2365" t="s">
        <v>1214</v>
      </c>
      <c r="J2365" s="13">
        <v>45980</v>
      </c>
      <c r="K2365" s="13">
        <v>46023</v>
      </c>
      <c r="L2365" t="s">
        <v>1179</v>
      </c>
      <c r="M2365" t="s">
        <v>54</v>
      </c>
      <c r="N2365">
        <v>72074006</v>
      </c>
    </row>
    <row r="2366" spans="1:14" x14ac:dyDescent="0.25">
      <c r="A2366">
        <v>58213137</v>
      </c>
      <c r="B2366" t="s">
        <v>676</v>
      </c>
      <c r="C2366" t="s">
        <v>446</v>
      </c>
      <c r="D2366" t="s">
        <v>5881</v>
      </c>
      <c r="E2366">
        <v>7734325575</v>
      </c>
      <c r="F2366" t="s">
        <v>821</v>
      </c>
      <c r="G2366" t="s">
        <v>822</v>
      </c>
      <c r="I2366" t="s">
        <v>823</v>
      </c>
      <c r="J2366" s="13">
        <v>45980</v>
      </c>
      <c r="K2366" s="13">
        <v>46023</v>
      </c>
      <c r="L2366" t="s">
        <v>470</v>
      </c>
      <c r="M2366" t="s">
        <v>59</v>
      </c>
      <c r="N2366">
        <v>72074089</v>
      </c>
    </row>
    <row r="2367" spans="1:14" x14ac:dyDescent="0.25">
      <c r="A2367">
        <v>58213150</v>
      </c>
      <c r="B2367" t="s">
        <v>5882</v>
      </c>
      <c r="C2367" t="s">
        <v>5883</v>
      </c>
      <c r="D2367" t="s">
        <v>5884</v>
      </c>
      <c r="E2367">
        <v>8137631412</v>
      </c>
      <c r="F2367" t="s">
        <v>569</v>
      </c>
      <c r="G2367" t="s">
        <v>570</v>
      </c>
      <c r="I2367" t="s">
        <v>34</v>
      </c>
      <c r="J2367" s="13">
        <v>45980</v>
      </c>
      <c r="K2367" s="13">
        <v>46023</v>
      </c>
      <c r="L2367" t="s">
        <v>497</v>
      </c>
      <c r="M2367" t="s">
        <v>56</v>
      </c>
      <c r="N2367">
        <v>72074095</v>
      </c>
    </row>
    <row r="2368" spans="1:14" x14ac:dyDescent="0.25">
      <c r="A2368">
        <v>58213388</v>
      </c>
      <c r="B2368" t="s">
        <v>2128</v>
      </c>
      <c r="C2368" t="s">
        <v>957</v>
      </c>
      <c r="D2368" t="s">
        <v>5885</v>
      </c>
      <c r="E2368">
        <v>2523254764</v>
      </c>
      <c r="F2368" t="s">
        <v>4853</v>
      </c>
      <c r="G2368" t="s">
        <v>5017</v>
      </c>
      <c r="I2368" t="s">
        <v>5018</v>
      </c>
      <c r="J2368" s="13">
        <v>45980</v>
      </c>
      <c r="K2368" s="13">
        <v>46023</v>
      </c>
      <c r="L2368" t="s">
        <v>1179</v>
      </c>
      <c r="M2368" t="s">
        <v>55</v>
      </c>
      <c r="N2368">
        <v>72074261</v>
      </c>
    </row>
    <row r="2369" spans="1:14" x14ac:dyDescent="0.25">
      <c r="A2369">
        <v>58214511</v>
      </c>
      <c r="B2369" t="s">
        <v>5886</v>
      </c>
      <c r="C2369" t="s">
        <v>512</v>
      </c>
      <c r="D2369" t="s">
        <v>5887</v>
      </c>
      <c r="E2369">
        <v>5012400501</v>
      </c>
      <c r="F2369" t="s">
        <v>957</v>
      </c>
      <c r="G2369" t="s">
        <v>958</v>
      </c>
      <c r="H2369" t="s">
        <v>959</v>
      </c>
      <c r="I2369" t="s">
        <v>960</v>
      </c>
      <c r="J2369" s="13">
        <v>45980</v>
      </c>
      <c r="K2369" s="13">
        <v>46023</v>
      </c>
      <c r="L2369" t="s">
        <v>553</v>
      </c>
      <c r="M2369" t="s">
        <v>58</v>
      </c>
      <c r="N2369">
        <v>72074908</v>
      </c>
    </row>
    <row r="2370" spans="1:14" x14ac:dyDescent="0.25">
      <c r="A2370">
        <v>58214691</v>
      </c>
      <c r="B2370" t="s">
        <v>5888</v>
      </c>
      <c r="C2370" t="s">
        <v>5889</v>
      </c>
      <c r="D2370" t="s">
        <v>5890</v>
      </c>
      <c r="E2370">
        <v>9545528036</v>
      </c>
      <c r="F2370" t="s">
        <v>775</v>
      </c>
      <c r="G2370" t="s">
        <v>776</v>
      </c>
      <c r="I2370" t="s">
        <v>22</v>
      </c>
      <c r="J2370" s="13">
        <v>45980</v>
      </c>
      <c r="K2370" s="13">
        <v>46023</v>
      </c>
      <c r="L2370" t="s">
        <v>497</v>
      </c>
      <c r="M2370" t="s">
        <v>56</v>
      </c>
      <c r="N2370">
        <v>72075075</v>
      </c>
    </row>
    <row r="2371" spans="1:14" x14ac:dyDescent="0.25">
      <c r="A2371">
        <v>58215134</v>
      </c>
      <c r="B2371" t="s">
        <v>5891</v>
      </c>
      <c r="C2371" t="s">
        <v>5892</v>
      </c>
      <c r="D2371" t="s">
        <v>5893</v>
      </c>
      <c r="E2371">
        <v>3343895982</v>
      </c>
      <c r="F2371" t="s">
        <v>815</v>
      </c>
      <c r="G2371" t="s">
        <v>816</v>
      </c>
      <c r="I2371" t="s">
        <v>23</v>
      </c>
      <c r="J2371" s="13">
        <v>45980</v>
      </c>
      <c r="K2371" s="13">
        <v>46023</v>
      </c>
      <c r="L2371" t="s">
        <v>450</v>
      </c>
      <c r="M2371" t="s">
        <v>58</v>
      </c>
      <c r="N2371">
        <v>72075385</v>
      </c>
    </row>
    <row r="2372" spans="1:14" x14ac:dyDescent="0.25">
      <c r="A2372">
        <v>58215258</v>
      </c>
      <c r="B2372" t="s">
        <v>709</v>
      </c>
      <c r="C2372" t="s">
        <v>5894</v>
      </c>
      <c r="D2372" t="s">
        <v>5895</v>
      </c>
      <c r="E2372">
        <v>3525019916</v>
      </c>
      <c r="F2372" t="s">
        <v>474</v>
      </c>
      <c r="G2372" t="s">
        <v>475</v>
      </c>
      <c r="I2372" t="s">
        <v>132</v>
      </c>
      <c r="J2372" s="13">
        <v>45980</v>
      </c>
      <c r="K2372" s="13">
        <v>46023</v>
      </c>
      <c r="L2372" t="s">
        <v>497</v>
      </c>
      <c r="M2372" t="s">
        <v>56</v>
      </c>
      <c r="N2372">
        <v>72075456</v>
      </c>
    </row>
    <row r="2373" spans="1:14" x14ac:dyDescent="0.25">
      <c r="A2373">
        <v>58215264</v>
      </c>
      <c r="B2373" t="s">
        <v>5896</v>
      </c>
      <c r="C2373" t="s">
        <v>5897</v>
      </c>
      <c r="D2373" t="s">
        <v>5898</v>
      </c>
      <c r="E2373">
        <v>7276784670</v>
      </c>
      <c r="F2373" t="s">
        <v>462</v>
      </c>
      <c r="G2373" t="s">
        <v>463</v>
      </c>
      <c r="I2373" t="s">
        <v>39</v>
      </c>
      <c r="J2373" s="13">
        <v>45980</v>
      </c>
      <c r="K2373" s="13">
        <v>46023</v>
      </c>
      <c r="L2373" t="s">
        <v>497</v>
      </c>
      <c r="M2373" t="s">
        <v>59</v>
      </c>
      <c r="N2373">
        <v>72075466</v>
      </c>
    </row>
    <row r="2374" spans="1:14" x14ac:dyDescent="0.25">
      <c r="A2374">
        <v>58215361</v>
      </c>
      <c r="B2374" t="s">
        <v>687</v>
      </c>
      <c r="C2374" t="s">
        <v>5899</v>
      </c>
      <c r="D2374" t="s">
        <v>5900</v>
      </c>
      <c r="E2374">
        <v>3369201909</v>
      </c>
      <c r="F2374" t="s">
        <v>448</v>
      </c>
      <c r="G2374" t="s">
        <v>449</v>
      </c>
      <c r="I2374" t="s">
        <v>31</v>
      </c>
      <c r="J2374" s="13">
        <v>45980</v>
      </c>
      <c r="K2374" s="13">
        <v>46023</v>
      </c>
      <c r="L2374" t="s">
        <v>603</v>
      </c>
      <c r="M2374" t="s">
        <v>56</v>
      </c>
      <c r="N2374">
        <v>72075758</v>
      </c>
    </row>
    <row r="2375" spans="1:14" x14ac:dyDescent="0.25">
      <c r="A2375">
        <v>58215364</v>
      </c>
      <c r="B2375" t="s">
        <v>604</v>
      </c>
      <c r="C2375" t="s">
        <v>5901</v>
      </c>
      <c r="D2375" t="s">
        <v>5902</v>
      </c>
      <c r="E2375">
        <v>4342094894</v>
      </c>
      <c r="F2375" t="s">
        <v>828</v>
      </c>
      <c r="G2375" t="s">
        <v>1148</v>
      </c>
      <c r="I2375" t="s">
        <v>17</v>
      </c>
      <c r="J2375" s="13">
        <v>45980</v>
      </c>
      <c r="K2375" s="13">
        <v>46023</v>
      </c>
      <c r="L2375" t="s">
        <v>454</v>
      </c>
      <c r="M2375" t="s">
        <v>56</v>
      </c>
      <c r="N2375">
        <v>72075759</v>
      </c>
    </row>
    <row r="2376" spans="1:14" x14ac:dyDescent="0.25">
      <c r="A2376">
        <v>58215530</v>
      </c>
      <c r="B2376" t="s">
        <v>1160</v>
      </c>
      <c r="C2376" t="s">
        <v>5903</v>
      </c>
      <c r="D2376" t="s">
        <v>5904</v>
      </c>
      <c r="E2376" t="s">
        <v>5905</v>
      </c>
      <c r="F2376" t="s">
        <v>423</v>
      </c>
      <c r="G2376" t="s">
        <v>424</v>
      </c>
      <c r="I2376" t="s">
        <v>46</v>
      </c>
      <c r="J2376" s="13">
        <v>45980</v>
      </c>
      <c r="K2376" s="13">
        <v>46023</v>
      </c>
      <c r="L2376" t="s">
        <v>497</v>
      </c>
      <c r="M2376" t="s">
        <v>54</v>
      </c>
      <c r="N2376">
        <v>72075805</v>
      </c>
    </row>
    <row r="2377" spans="1:14" x14ac:dyDescent="0.25">
      <c r="A2377">
        <v>58215811</v>
      </c>
      <c r="B2377" t="s">
        <v>5906</v>
      </c>
      <c r="C2377" t="s">
        <v>5907</v>
      </c>
      <c r="D2377" t="s">
        <v>5908</v>
      </c>
      <c r="E2377">
        <v>2175976806</v>
      </c>
      <c r="F2377" t="s">
        <v>790</v>
      </c>
      <c r="G2377" t="s">
        <v>791</v>
      </c>
      <c r="I2377" t="s">
        <v>119</v>
      </c>
      <c r="J2377" s="13">
        <v>45980</v>
      </c>
      <c r="K2377" s="13">
        <v>46023</v>
      </c>
      <c r="L2377" t="s">
        <v>470</v>
      </c>
      <c r="M2377" t="s">
        <v>56</v>
      </c>
      <c r="N2377">
        <v>72076043</v>
      </c>
    </row>
    <row r="2378" spans="1:14" x14ac:dyDescent="0.25">
      <c r="A2378">
        <v>58215894</v>
      </c>
      <c r="B2378" t="s">
        <v>1524</v>
      </c>
      <c r="C2378" t="s">
        <v>5909</v>
      </c>
      <c r="D2378" t="s">
        <v>5910</v>
      </c>
      <c r="E2378">
        <v>9842096423</v>
      </c>
      <c r="F2378" t="s">
        <v>1067</v>
      </c>
      <c r="G2378" t="s">
        <v>1068</v>
      </c>
      <c r="I2378" t="s">
        <v>35</v>
      </c>
      <c r="J2378" s="13">
        <v>45980</v>
      </c>
      <c r="K2378" s="13">
        <v>46023</v>
      </c>
      <c r="L2378" t="s">
        <v>603</v>
      </c>
      <c r="M2378" t="s">
        <v>58</v>
      </c>
      <c r="N2378">
        <v>72076149</v>
      </c>
    </row>
    <row r="2379" spans="1:14" x14ac:dyDescent="0.25">
      <c r="A2379">
        <v>58216132</v>
      </c>
      <c r="B2379" t="s">
        <v>1038</v>
      </c>
      <c r="C2379" t="s">
        <v>5911</v>
      </c>
      <c r="D2379" t="s">
        <v>5912</v>
      </c>
      <c r="E2379">
        <v>6234511133</v>
      </c>
      <c r="F2379" t="s">
        <v>775</v>
      </c>
      <c r="G2379" t="s">
        <v>776</v>
      </c>
      <c r="I2379" t="s">
        <v>22</v>
      </c>
      <c r="J2379" s="13">
        <v>45980</v>
      </c>
      <c r="K2379" s="13">
        <v>46023</v>
      </c>
      <c r="L2379" t="s">
        <v>1179</v>
      </c>
      <c r="M2379" t="s">
        <v>54</v>
      </c>
      <c r="N2379">
        <v>72076276</v>
      </c>
    </row>
    <row r="2380" spans="1:14" x14ac:dyDescent="0.25">
      <c r="A2380">
        <v>58216712</v>
      </c>
      <c r="B2380" t="s">
        <v>1041</v>
      </c>
      <c r="C2380" t="s">
        <v>5913</v>
      </c>
      <c r="D2380" t="s">
        <v>5914</v>
      </c>
      <c r="E2380">
        <v>2148085515</v>
      </c>
      <c r="F2380" t="s">
        <v>780</v>
      </c>
      <c r="G2380" t="s">
        <v>781</v>
      </c>
      <c r="I2380" t="s">
        <v>20</v>
      </c>
      <c r="J2380" s="13">
        <v>45980</v>
      </c>
      <c r="K2380" s="13">
        <v>46023</v>
      </c>
      <c r="L2380" t="s">
        <v>444</v>
      </c>
      <c r="M2380" t="s">
        <v>55</v>
      </c>
      <c r="N2380">
        <v>72076618</v>
      </c>
    </row>
    <row r="2381" spans="1:14" x14ac:dyDescent="0.25">
      <c r="A2381">
        <v>58216872</v>
      </c>
      <c r="B2381" t="s">
        <v>730</v>
      </c>
      <c r="C2381" t="s">
        <v>5915</v>
      </c>
      <c r="D2381" t="s">
        <v>5916</v>
      </c>
      <c r="E2381">
        <v>7064698776</v>
      </c>
      <c r="F2381" t="s">
        <v>574</v>
      </c>
      <c r="G2381" t="s">
        <v>575</v>
      </c>
      <c r="I2381" t="s">
        <v>14</v>
      </c>
      <c r="J2381" s="13">
        <v>45980</v>
      </c>
      <c r="K2381" s="13">
        <v>46023</v>
      </c>
      <c r="L2381" t="s">
        <v>621</v>
      </c>
      <c r="M2381" t="s">
        <v>61</v>
      </c>
      <c r="N2381">
        <v>72076731</v>
      </c>
    </row>
    <row r="2382" spans="1:14" x14ac:dyDescent="0.25">
      <c r="A2382">
        <v>58217422</v>
      </c>
      <c r="B2382" t="s">
        <v>5917</v>
      </c>
      <c r="C2382" t="s">
        <v>5918</v>
      </c>
      <c r="D2382" t="s">
        <v>5919</v>
      </c>
      <c r="E2382">
        <v>2819959607</v>
      </c>
      <c r="F2382" t="s">
        <v>1142</v>
      </c>
      <c r="G2382" t="s">
        <v>1143</v>
      </c>
      <c r="I2382" t="s">
        <v>124</v>
      </c>
      <c r="J2382" s="13">
        <v>45980</v>
      </c>
      <c r="K2382" s="13">
        <v>46023</v>
      </c>
      <c r="L2382" t="s">
        <v>444</v>
      </c>
      <c r="M2382" t="s">
        <v>58</v>
      </c>
      <c r="N2382">
        <v>72077127</v>
      </c>
    </row>
    <row r="2383" spans="1:14" x14ac:dyDescent="0.25">
      <c r="A2383">
        <v>58218153</v>
      </c>
      <c r="B2383" t="s">
        <v>5920</v>
      </c>
      <c r="C2383" t="s">
        <v>5921</v>
      </c>
      <c r="D2383" t="s">
        <v>5922</v>
      </c>
      <c r="E2383">
        <v>7733660922</v>
      </c>
      <c r="F2383" t="s">
        <v>615</v>
      </c>
      <c r="G2383" t="s">
        <v>616</v>
      </c>
      <c r="I2383" t="s">
        <v>617</v>
      </c>
      <c r="J2383" s="13">
        <v>45980</v>
      </c>
      <c r="K2383" s="13">
        <v>46023</v>
      </c>
      <c r="L2383" t="s">
        <v>470</v>
      </c>
      <c r="M2383" t="s">
        <v>62</v>
      </c>
      <c r="N2383">
        <v>72077608</v>
      </c>
    </row>
    <row r="2384" spans="1:14" x14ac:dyDescent="0.25">
      <c r="A2384">
        <v>58218362</v>
      </c>
      <c r="B2384" t="s">
        <v>4896</v>
      </c>
      <c r="C2384" t="s">
        <v>5923</v>
      </c>
      <c r="D2384" t="s">
        <v>5924</v>
      </c>
      <c r="E2384">
        <v>5205890370</v>
      </c>
      <c r="F2384" t="s">
        <v>474</v>
      </c>
      <c r="G2384" t="s">
        <v>475</v>
      </c>
      <c r="I2384" t="s">
        <v>132</v>
      </c>
      <c r="J2384" s="13">
        <v>45980</v>
      </c>
      <c r="K2384" s="13">
        <v>46023</v>
      </c>
      <c r="L2384" t="s">
        <v>1179</v>
      </c>
      <c r="M2384" t="s">
        <v>59</v>
      </c>
      <c r="N2384">
        <v>72077756</v>
      </c>
    </row>
    <row r="2385" spans="1:14" x14ac:dyDescent="0.25">
      <c r="A2385">
        <v>58220505</v>
      </c>
      <c r="B2385" t="s">
        <v>5925</v>
      </c>
      <c r="C2385" t="s">
        <v>5776</v>
      </c>
      <c r="D2385" t="s">
        <v>5926</v>
      </c>
      <c r="E2385">
        <v>3868012294</v>
      </c>
      <c r="F2385" t="s">
        <v>775</v>
      </c>
      <c r="G2385" t="s">
        <v>776</v>
      </c>
      <c r="I2385" t="s">
        <v>22</v>
      </c>
      <c r="J2385" s="13">
        <v>45980</v>
      </c>
      <c r="K2385" s="13">
        <v>46023</v>
      </c>
      <c r="L2385" t="s">
        <v>497</v>
      </c>
      <c r="M2385" t="s">
        <v>54</v>
      </c>
      <c r="N2385">
        <v>72077807</v>
      </c>
    </row>
    <row r="2386" spans="1:14" x14ac:dyDescent="0.25">
      <c r="A2386">
        <v>58218661</v>
      </c>
      <c r="B2386" t="s">
        <v>5927</v>
      </c>
      <c r="C2386" t="s">
        <v>5928</v>
      </c>
      <c r="D2386" t="s">
        <v>5929</v>
      </c>
      <c r="E2386">
        <v>5013264743</v>
      </c>
      <c r="F2386" t="s">
        <v>842</v>
      </c>
      <c r="G2386" t="s">
        <v>843</v>
      </c>
      <c r="I2386" t="s">
        <v>98</v>
      </c>
      <c r="J2386" s="13">
        <v>45980</v>
      </c>
      <c r="K2386" s="13">
        <v>46023</v>
      </c>
      <c r="L2386" t="s">
        <v>553</v>
      </c>
      <c r="M2386" t="s">
        <v>56</v>
      </c>
      <c r="N2386">
        <v>72077937</v>
      </c>
    </row>
    <row r="2387" spans="1:14" x14ac:dyDescent="0.25">
      <c r="A2387">
        <v>58219704</v>
      </c>
      <c r="B2387" t="s">
        <v>5930</v>
      </c>
      <c r="C2387" t="s">
        <v>546</v>
      </c>
      <c r="D2387" t="s">
        <v>5931</v>
      </c>
      <c r="E2387">
        <v>6024734383</v>
      </c>
      <c r="F2387" t="s">
        <v>416</v>
      </c>
      <c r="G2387" t="s">
        <v>417</v>
      </c>
      <c r="I2387" t="s">
        <v>26</v>
      </c>
      <c r="J2387" s="13">
        <v>45980</v>
      </c>
      <c r="K2387" s="13">
        <v>46023</v>
      </c>
      <c r="L2387" t="s">
        <v>1179</v>
      </c>
      <c r="M2387" t="s">
        <v>54</v>
      </c>
      <c r="N2387">
        <v>72078566</v>
      </c>
    </row>
    <row r="2388" spans="1:14" x14ac:dyDescent="0.25">
      <c r="A2388">
        <v>58220010</v>
      </c>
      <c r="B2388" t="s">
        <v>498</v>
      </c>
      <c r="C2388" t="s">
        <v>5932</v>
      </c>
      <c r="D2388" t="s">
        <v>5933</v>
      </c>
      <c r="E2388">
        <v>9198795050</v>
      </c>
      <c r="F2388" t="s">
        <v>649</v>
      </c>
      <c r="G2388" t="s">
        <v>650</v>
      </c>
      <c r="I2388" t="s">
        <v>28</v>
      </c>
      <c r="J2388" s="13">
        <v>45980</v>
      </c>
      <c r="K2388" s="13">
        <v>46023</v>
      </c>
      <c r="L2388" t="s">
        <v>603</v>
      </c>
      <c r="M2388" t="s">
        <v>56</v>
      </c>
      <c r="N2388">
        <v>72078847</v>
      </c>
    </row>
    <row r="2389" spans="1:14" x14ac:dyDescent="0.25">
      <c r="A2389">
        <v>58220683</v>
      </c>
      <c r="B2389" t="s">
        <v>548</v>
      </c>
      <c r="C2389" t="s">
        <v>5934</v>
      </c>
      <c r="D2389" t="s">
        <v>5935</v>
      </c>
      <c r="E2389">
        <v>5128392017</v>
      </c>
      <c r="F2389" t="s">
        <v>928</v>
      </c>
      <c r="G2389" t="s">
        <v>929</v>
      </c>
      <c r="I2389" t="s">
        <v>30</v>
      </c>
      <c r="J2389" s="13">
        <v>45980</v>
      </c>
      <c r="K2389" s="13">
        <v>46023</v>
      </c>
      <c r="L2389" t="s">
        <v>444</v>
      </c>
      <c r="M2389" t="s">
        <v>58</v>
      </c>
      <c r="N2389">
        <v>72079311</v>
      </c>
    </row>
    <row r="2390" spans="1:14" x14ac:dyDescent="0.25">
      <c r="A2390">
        <v>58220914</v>
      </c>
      <c r="B2390" t="s">
        <v>1041</v>
      </c>
      <c r="C2390" t="s">
        <v>5936</v>
      </c>
      <c r="D2390" t="s">
        <v>5937</v>
      </c>
      <c r="E2390">
        <v>9723427817</v>
      </c>
      <c r="F2390" t="s">
        <v>790</v>
      </c>
      <c r="G2390" t="s">
        <v>791</v>
      </c>
      <c r="I2390" t="s">
        <v>119</v>
      </c>
      <c r="J2390" s="13">
        <v>45980</v>
      </c>
      <c r="K2390" s="13">
        <v>46023</v>
      </c>
      <c r="L2390" t="s">
        <v>444</v>
      </c>
      <c r="M2390" t="s">
        <v>55</v>
      </c>
      <c r="N2390">
        <v>72079427</v>
      </c>
    </row>
    <row r="2391" spans="1:14" x14ac:dyDescent="0.25">
      <c r="A2391">
        <v>58221415</v>
      </c>
      <c r="B2391" t="s">
        <v>5938</v>
      </c>
      <c r="C2391" t="s">
        <v>5939</v>
      </c>
      <c r="D2391" t="s">
        <v>5940</v>
      </c>
      <c r="E2391">
        <v>9283860786</v>
      </c>
      <c r="F2391" t="s">
        <v>815</v>
      </c>
      <c r="G2391" t="s">
        <v>816</v>
      </c>
      <c r="I2391" t="s">
        <v>23</v>
      </c>
      <c r="J2391" s="13">
        <v>45980</v>
      </c>
      <c r="K2391" s="13">
        <v>46023</v>
      </c>
      <c r="L2391" t="s">
        <v>1179</v>
      </c>
      <c r="M2391" t="s">
        <v>56</v>
      </c>
      <c r="N2391">
        <v>72079740</v>
      </c>
    </row>
    <row r="2392" spans="1:14" x14ac:dyDescent="0.25">
      <c r="A2392">
        <v>58221728</v>
      </c>
      <c r="B2392" t="s">
        <v>5941</v>
      </c>
      <c r="C2392" t="s">
        <v>5942</v>
      </c>
      <c r="D2392" t="s">
        <v>5943</v>
      </c>
      <c r="E2392">
        <v>2053918894</v>
      </c>
      <c r="F2392" t="s">
        <v>537</v>
      </c>
      <c r="G2392" t="s">
        <v>538</v>
      </c>
      <c r="I2392" t="s">
        <v>49</v>
      </c>
      <c r="J2392" s="13">
        <v>45980</v>
      </c>
      <c r="K2392" s="13">
        <v>46023</v>
      </c>
      <c r="L2392" t="s">
        <v>450</v>
      </c>
      <c r="M2392" t="s">
        <v>56</v>
      </c>
      <c r="N2392">
        <v>72079920</v>
      </c>
    </row>
    <row r="2393" spans="1:14" x14ac:dyDescent="0.25">
      <c r="A2393">
        <v>58223129</v>
      </c>
      <c r="B2393" t="s">
        <v>3335</v>
      </c>
      <c r="C2393" t="s">
        <v>5944</v>
      </c>
      <c r="D2393" t="s">
        <v>5945</v>
      </c>
      <c r="E2393">
        <v>2053934608</v>
      </c>
      <c r="F2393" t="s">
        <v>448</v>
      </c>
      <c r="G2393" t="s">
        <v>449</v>
      </c>
      <c r="I2393" t="s">
        <v>31</v>
      </c>
      <c r="J2393" s="13">
        <v>45980</v>
      </c>
      <c r="K2393" s="13">
        <v>46023</v>
      </c>
      <c r="L2393" t="s">
        <v>450</v>
      </c>
      <c r="M2393" t="s">
        <v>59</v>
      </c>
      <c r="N2393">
        <v>72080708</v>
      </c>
    </row>
    <row r="2394" spans="1:14" x14ac:dyDescent="0.25">
      <c r="A2394">
        <v>58223585</v>
      </c>
      <c r="B2394" t="s">
        <v>5946</v>
      </c>
      <c r="C2394" t="s">
        <v>5947</v>
      </c>
      <c r="D2394" t="s">
        <v>5948</v>
      </c>
      <c r="E2394">
        <v>5613520515</v>
      </c>
      <c r="F2394" t="s">
        <v>423</v>
      </c>
      <c r="G2394" t="s">
        <v>424</v>
      </c>
      <c r="I2394" t="s">
        <v>46</v>
      </c>
      <c r="J2394" s="13">
        <v>45980</v>
      </c>
      <c r="K2394" s="13">
        <v>46023</v>
      </c>
      <c r="L2394" t="s">
        <v>497</v>
      </c>
      <c r="M2394" t="s">
        <v>59</v>
      </c>
      <c r="N2394">
        <v>72080729</v>
      </c>
    </row>
    <row r="2395" spans="1:14" x14ac:dyDescent="0.25">
      <c r="A2395">
        <v>58223376</v>
      </c>
      <c r="B2395" t="s">
        <v>2686</v>
      </c>
      <c r="C2395" t="s">
        <v>5949</v>
      </c>
      <c r="D2395" t="s">
        <v>5950</v>
      </c>
      <c r="E2395">
        <v>3056159104</v>
      </c>
      <c r="F2395" t="s">
        <v>780</v>
      </c>
      <c r="G2395" t="s">
        <v>781</v>
      </c>
      <c r="I2395" t="s">
        <v>20</v>
      </c>
      <c r="J2395" s="13">
        <v>45980</v>
      </c>
      <c r="K2395" s="13">
        <v>46023</v>
      </c>
      <c r="L2395" t="s">
        <v>497</v>
      </c>
      <c r="M2395" t="s">
        <v>56</v>
      </c>
      <c r="N2395">
        <v>72080850</v>
      </c>
    </row>
    <row r="2396" spans="1:14" x14ac:dyDescent="0.25">
      <c r="A2396">
        <v>58224669</v>
      </c>
      <c r="B2396" t="s">
        <v>948</v>
      </c>
      <c r="C2396" t="s">
        <v>5951</v>
      </c>
      <c r="D2396" t="s">
        <v>5952</v>
      </c>
      <c r="E2396">
        <v>7274091661</v>
      </c>
      <c r="F2396" t="s">
        <v>569</v>
      </c>
      <c r="G2396" t="s">
        <v>570</v>
      </c>
      <c r="I2396" t="s">
        <v>34</v>
      </c>
      <c r="J2396" s="13">
        <v>45980</v>
      </c>
      <c r="K2396" s="13">
        <v>46023</v>
      </c>
      <c r="L2396" t="s">
        <v>497</v>
      </c>
      <c r="M2396" t="s">
        <v>54</v>
      </c>
      <c r="N2396">
        <v>72082024</v>
      </c>
    </row>
    <row r="2397" spans="1:14" x14ac:dyDescent="0.25">
      <c r="A2397">
        <v>58224781</v>
      </c>
      <c r="B2397" t="s">
        <v>2520</v>
      </c>
      <c r="C2397" t="s">
        <v>5953</v>
      </c>
      <c r="D2397" t="s">
        <v>5954</v>
      </c>
      <c r="E2397">
        <v>2393229860</v>
      </c>
      <c r="F2397" t="s">
        <v>416</v>
      </c>
      <c r="G2397" t="s">
        <v>417</v>
      </c>
      <c r="I2397" t="s">
        <v>26</v>
      </c>
      <c r="J2397" s="13">
        <v>45980</v>
      </c>
      <c r="K2397" s="13">
        <v>46023</v>
      </c>
      <c r="L2397" t="s">
        <v>497</v>
      </c>
      <c r="M2397" t="s">
        <v>56</v>
      </c>
      <c r="N2397">
        <v>72082084</v>
      </c>
    </row>
    <row r="2398" spans="1:14" x14ac:dyDescent="0.25">
      <c r="A2398">
        <v>58224794</v>
      </c>
      <c r="B2398" t="s">
        <v>5503</v>
      </c>
      <c r="C2398" t="s">
        <v>5955</v>
      </c>
      <c r="D2398" t="s">
        <v>5956</v>
      </c>
      <c r="E2398">
        <v>3212911092</v>
      </c>
      <c r="F2398" t="s">
        <v>1067</v>
      </c>
      <c r="G2398" t="s">
        <v>1068</v>
      </c>
      <c r="I2398" t="s">
        <v>35</v>
      </c>
      <c r="J2398" s="13">
        <v>45980</v>
      </c>
      <c r="K2398" s="13">
        <v>46023</v>
      </c>
      <c r="L2398" t="s">
        <v>497</v>
      </c>
      <c r="M2398" t="s">
        <v>58</v>
      </c>
      <c r="N2398">
        <v>72082114</v>
      </c>
    </row>
    <row r="2399" spans="1:14" x14ac:dyDescent="0.25">
      <c r="A2399">
        <v>58225225</v>
      </c>
      <c r="B2399" t="s">
        <v>2041</v>
      </c>
      <c r="C2399" t="s">
        <v>5957</v>
      </c>
      <c r="D2399" t="s">
        <v>5958</v>
      </c>
      <c r="E2399">
        <v>9186139170</v>
      </c>
      <c r="F2399" t="s">
        <v>842</v>
      </c>
      <c r="G2399" t="s">
        <v>843</v>
      </c>
      <c r="I2399" t="s">
        <v>98</v>
      </c>
      <c r="J2399" s="13">
        <v>45980</v>
      </c>
      <c r="K2399" s="13">
        <v>46023</v>
      </c>
      <c r="L2399" t="s">
        <v>553</v>
      </c>
      <c r="M2399" t="s">
        <v>56</v>
      </c>
      <c r="N2399">
        <v>72082424</v>
      </c>
    </row>
    <row r="2400" spans="1:14" x14ac:dyDescent="0.25">
      <c r="A2400">
        <v>58225405</v>
      </c>
      <c r="B2400" t="s">
        <v>5959</v>
      </c>
      <c r="C2400" t="s">
        <v>5960</v>
      </c>
      <c r="D2400" t="s">
        <v>5961</v>
      </c>
      <c r="E2400">
        <v>8472077816</v>
      </c>
      <c r="F2400" t="s">
        <v>4853</v>
      </c>
      <c r="G2400" t="s">
        <v>5017</v>
      </c>
      <c r="I2400" t="s">
        <v>5018</v>
      </c>
      <c r="J2400" s="13">
        <v>45980</v>
      </c>
      <c r="K2400" s="13">
        <v>46023</v>
      </c>
      <c r="L2400" t="s">
        <v>1179</v>
      </c>
      <c r="M2400" t="s">
        <v>55</v>
      </c>
      <c r="N2400">
        <v>72082554</v>
      </c>
    </row>
    <row r="2401" spans="1:14" x14ac:dyDescent="0.25">
      <c r="A2401">
        <v>58225566</v>
      </c>
      <c r="B2401" t="s">
        <v>2890</v>
      </c>
      <c r="C2401" t="s">
        <v>2617</v>
      </c>
      <c r="D2401" t="s">
        <v>5962</v>
      </c>
      <c r="E2401">
        <v>9107590030</v>
      </c>
      <c r="F2401" t="s">
        <v>1003</v>
      </c>
      <c r="G2401" t="s">
        <v>1004</v>
      </c>
      <c r="I2401" t="s">
        <v>89</v>
      </c>
      <c r="J2401" s="13">
        <v>45980</v>
      </c>
      <c r="K2401" s="13">
        <v>46023</v>
      </c>
      <c r="L2401" t="s">
        <v>603</v>
      </c>
      <c r="M2401" t="s">
        <v>56</v>
      </c>
      <c r="N2401">
        <v>72082655</v>
      </c>
    </row>
    <row r="2402" spans="1:14" x14ac:dyDescent="0.25">
      <c r="A2402">
        <v>58225571</v>
      </c>
      <c r="B2402" t="s">
        <v>5963</v>
      </c>
      <c r="C2402" t="s">
        <v>5846</v>
      </c>
      <c r="D2402" t="s">
        <v>5964</v>
      </c>
      <c r="E2402">
        <v>8132940588</v>
      </c>
      <c r="F2402" t="s">
        <v>775</v>
      </c>
      <c r="G2402" t="s">
        <v>776</v>
      </c>
      <c r="I2402" t="s">
        <v>22</v>
      </c>
      <c r="J2402" s="13">
        <v>45980</v>
      </c>
      <c r="K2402" s="13">
        <v>46023</v>
      </c>
      <c r="L2402" t="s">
        <v>497</v>
      </c>
      <c r="M2402" t="s">
        <v>56</v>
      </c>
      <c r="N2402">
        <v>72082665</v>
      </c>
    </row>
    <row r="2403" spans="1:14" x14ac:dyDescent="0.25">
      <c r="A2403">
        <v>58225785</v>
      </c>
      <c r="B2403" t="s">
        <v>5965</v>
      </c>
      <c r="C2403" t="s">
        <v>5966</v>
      </c>
      <c r="D2403" t="s">
        <v>5967</v>
      </c>
      <c r="E2403">
        <v>2078388900</v>
      </c>
      <c r="F2403" t="s">
        <v>770</v>
      </c>
      <c r="G2403" t="s">
        <v>771</v>
      </c>
      <c r="I2403" t="s">
        <v>25</v>
      </c>
      <c r="J2403" s="13">
        <v>45980</v>
      </c>
      <c r="K2403" s="13">
        <v>46023</v>
      </c>
      <c r="L2403" t="s">
        <v>941</v>
      </c>
      <c r="M2403" t="s">
        <v>56</v>
      </c>
      <c r="N2403">
        <v>72082780</v>
      </c>
    </row>
    <row r="2404" spans="1:14" x14ac:dyDescent="0.25">
      <c r="A2404">
        <v>58226225</v>
      </c>
      <c r="B2404" t="s">
        <v>5362</v>
      </c>
      <c r="C2404" t="s">
        <v>5968</v>
      </c>
      <c r="D2404" t="s">
        <v>5969</v>
      </c>
      <c r="E2404">
        <v>8137843831</v>
      </c>
      <c r="F2404" t="s">
        <v>462</v>
      </c>
      <c r="G2404" t="s">
        <v>463</v>
      </c>
      <c r="I2404" t="s">
        <v>39</v>
      </c>
      <c r="J2404" s="13">
        <v>45980</v>
      </c>
      <c r="K2404" s="13">
        <v>46023</v>
      </c>
      <c r="L2404" t="s">
        <v>497</v>
      </c>
      <c r="M2404" t="s">
        <v>54</v>
      </c>
      <c r="N2404">
        <v>72083096</v>
      </c>
    </row>
    <row r="2405" spans="1:14" x14ac:dyDescent="0.25">
      <c r="A2405">
        <v>58226585</v>
      </c>
      <c r="B2405" t="s">
        <v>1109</v>
      </c>
      <c r="C2405" t="s">
        <v>564</v>
      </c>
      <c r="D2405" t="s">
        <v>5970</v>
      </c>
      <c r="E2405">
        <v>2145663433</v>
      </c>
      <c r="F2405" t="s">
        <v>815</v>
      </c>
      <c r="G2405" t="s">
        <v>816</v>
      </c>
      <c r="I2405" t="s">
        <v>23</v>
      </c>
      <c r="J2405" s="13">
        <v>45980</v>
      </c>
      <c r="K2405" s="13">
        <v>46023</v>
      </c>
      <c r="L2405" t="s">
        <v>444</v>
      </c>
      <c r="M2405" t="s">
        <v>55</v>
      </c>
      <c r="N2405">
        <v>72083332</v>
      </c>
    </row>
    <row r="2406" spans="1:14" x14ac:dyDescent="0.25">
      <c r="A2406">
        <v>58226984</v>
      </c>
      <c r="B2406" t="s">
        <v>5971</v>
      </c>
      <c r="C2406" t="s">
        <v>5972</v>
      </c>
      <c r="D2406" t="s">
        <v>5973</v>
      </c>
      <c r="E2406">
        <v>9043829542</v>
      </c>
      <c r="F2406" t="s">
        <v>569</v>
      </c>
      <c r="G2406" t="s">
        <v>570</v>
      </c>
      <c r="I2406" t="s">
        <v>34</v>
      </c>
      <c r="J2406" s="13">
        <v>45980</v>
      </c>
      <c r="K2406" s="13">
        <v>46023</v>
      </c>
      <c r="L2406" t="s">
        <v>497</v>
      </c>
      <c r="M2406" t="s">
        <v>54</v>
      </c>
      <c r="N2406">
        <v>72083669</v>
      </c>
    </row>
    <row r="2407" spans="1:14" x14ac:dyDescent="0.25">
      <c r="A2407">
        <v>58227409</v>
      </c>
      <c r="B2407" t="s">
        <v>5974</v>
      </c>
      <c r="C2407" t="s">
        <v>5975</v>
      </c>
      <c r="D2407" t="s">
        <v>5976</v>
      </c>
      <c r="E2407">
        <v>5203696461</v>
      </c>
      <c r="F2407" t="s">
        <v>842</v>
      </c>
      <c r="G2407" t="s">
        <v>1213</v>
      </c>
      <c r="I2407" t="s">
        <v>1214</v>
      </c>
      <c r="J2407" s="13">
        <v>45980</v>
      </c>
      <c r="K2407" s="13">
        <v>46023</v>
      </c>
      <c r="L2407" t="s">
        <v>1179</v>
      </c>
      <c r="M2407" t="s">
        <v>54</v>
      </c>
      <c r="N2407">
        <v>72084054</v>
      </c>
    </row>
    <row r="2408" spans="1:14" x14ac:dyDescent="0.25">
      <c r="A2408">
        <v>58227780</v>
      </c>
      <c r="B2408" t="s">
        <v>3144</v>
      </c>
      <c r="C2408" t="s">
        <v>5013</v>
      </c>
      <c r="D2408" t="s">
        <v>5977</v>
      </c>
      <c r="E2408">
        <v>3869376438</v>
      </c>
      <c r="F2408" t="s">
        <v>551</v>
      </c>
      <c r="G2408" t="s">
        <v>552</v>
      </c>
      <c r="I2408" t="s">
        <v>42</v>
      </c>
      <c r="J2408" s="13">
        <v>45980</v>
      </c>
      <c r="K2408" s="13">
        <v>46023</v>
      </c>
      <c r="L2408" t="s">
        <v>497</v>
      </c>
      <c r="M2408" t="s">
        <v>58</v>
      </c>
      <c r="N2408">
        <v>72084136</v>
      </c>
    </row>
    <row r="2409" spans="1:14" x14ac:dyDescent="0.25">
      <c r="A2409">
        <v>58229230</v>
      </c>
      <c r="B2409" t="s">
        <v>5978</v>
      </c>
      <c r="C2409" t="s">
        <v>477</v>
      </c>
      <c r="D2409" t="s">
        <v>5979</v>
      </c>
      <c r="E2409">
        <v>7275206582</v>
      </c>
      <c r="F2409" t="s">
        <v>416</v>
      </c>
      <c r="G2409" t="s">
        <v>417</v>
      </c>
      <c r="I2409" t="s">
        <v>26</v>
      </c>
      <c r="J2409" s="13">
        <v>45980</v>
      </c>
      <c r="K2409" s="13">
        <v>46023</v>
      </c>
      <c r="L2409" t="s">
        <v>497</v>
      </c>
      <c r="M2409" t="s">
        <v>56</v>
      </c>
      <c r="N2409">
        <v>72085205</v>
      </c>
    </row>
    <row r="2410" spans="1:14" x14ac:dyDescent="0.25">
      <c r="A2410">
        <v>58229984</v>
      </c>
      <c r="B2410" t="s">
        <v>3737</v>
      </c>
      <c r="C2410" t="s">
        <v>5980</v>
      </c>
      <c r="D2410" t="s">
        <v>5981</v>
      </c>
      <c r="E2410">
        <v>6512063112</v>
      </c>
      <c r="F2410" t="s">
        <v>423</v>
      </c>
      <c r="G2410" t="s">
        <v>424</v>
      </c>
      <c r="I2410" t="s">
        <v>46</v>
      </c>
      <c r="J2410" s="13">
        <v>45980</v>
      </c>
      <c r="K2410" s="13">
        <v>46023</v>
      </c>
      <c r="L2410" t="s">
        <v>1179</v>
      </c>
      <c r="M2410" t="s">
        <v>54</v>
      </c>
      <c r="N2410">
        <v>72085953</v>
      </c>
    </row>
    <row r="2411" spans="1:14" x14ac:dyDescent="0.25">
      <c r="A2411">
        <v>58230566</v>
      </c>
      <c r="B2411" t="s">
        <v>1895</v>
      </c>
      <c r="C2411" t="s">
        <v>5982</v>
      </c>
      <c r="D2411" t="s">
        <v>5983</v>
      </c>
      <c r="E2411">
        <v>6784717861</v>
      </c>
      <c r="F2411" t="s">
        <v>775</v>
      </c>
      <c r="G2411" t="s">
        <v>776</v>
      </c>
      <c r="I2411" t="s">
        <v>22</v>
      </c>
      <c r="J2411" s="13">
        <v>45980</v>
      </c>
      <c r="K2411" s="13">
        <v>46023</v>
      </c>
      <c r="L2411" t="s">
        <v>497</v>
      </c>
      <c r="M2411" t="s">
        <v>54</v>
      </c>
      <c r="N2411">
        <v>72086324</v>
      </c>
    </row>
    <row r="2412" spans="1:14" x14ac:dyDescent="0.25">
      <c r="A2412">
        <v>58230632</v>
      </c>
      <c r="B2412" t="s">
        <v>5984</v>
      </c>
      <c r="C2412" t="s">
        <v>5985</v>
      </c>
      <c r="D2412" t="s">
        <v>5986</v>
      </c>
      <c r="E2412">
        <v>3862132795</v>
      </c>
      <c r="F2412" t="s">
        <v>551</v>
      </c>
      <c r="G2412" t="s">
        <v>552</v>
      </c>
      <c r="I2412" t="s">
        <v>42</v>
      </c>
      <c r="J2412" s="13">
        <v>45980</v>
      </c>
      <c r="K2412" s="13">
        <v>46023</v>
      </c>
      <c r="L2412" t="s">
        <v>497</v>
      </c>
      <c r="M2412" t="s">
        <v>56</v>
      </c>
      <c r="N2412">
        <v>72086356</v>
      </c>
    </row>
    <row r="2413" spans="1:14" x14ac:dyDescent="0.25">
      <c r="A2413">
        <v>58230685</v>
      </c>
      <c r="B2413" t="s">
        <v>5987</v>
      </c>
      <c r="C2413" t="s">
        <v>4328</v>
      </c>
      <c r="D2413" t="s">
        <v>5988</v>
      </c>
      <c r="E2413">
        <v>4809967199</v>
      </c>
      <c r="F2413" t="s">
        <v>416</v>
      </c>
      <c r="G2413" t="s">
        <v>417</v>
      </c>
      <c r="I2413" t="s">
        <v>26</v>
      </c>
      <c r="J2413" s="13">
        <v>45980</v>
      </c>
      <c r="K2413" s="13">
        <v>46023</v>
      </c>
      <c r="L2413" t="s">
        <v>1179</v>
      </c>
      <c r="M2413" t="s">
        <v>54</v>
      </c>
      <c r="N2413">
        <v>72086385</v>
      </c>
    </row>
    <row r="2414" spans="1:14" x14ac:dyDescent="0.25">
      <c r="A2414">
        <v>58230783</v>
      </c>
      <c r="B2414" t="s">
        <v>4981</v>
      </c>
      <c r="C2414" t="s">
        <v>4853</v>
      </c>
      <c r="D2414" t="s">
        <v>5989</v>
      </c>
      <c r="E2414">
        <v>4692031674</v>
      </c>
      <c r="F2414" t="s">
        <v>790</v>
      </c>
      <c r="G2414" t="s">
        <v>791</v>
      </c>
      <c r="I2414" t="s">
        <v>119</v>
      </c>
      <c r="J2414" s="13">
        <v>45980</v>
      </c>
      <c r="K2414" s="13">
        <v>46023</v>
      </c>
      <c r="L2414" t="s">
        <v>444</v>
      </c>
      <c r="M2414" t="s">
        <v>419</v>
      </c>
      <c r="N2414">
        <v>72086454</v>
      </c>
    </row>
    <row r="2415" spans="1:14" x14ac:dyDescent="0.25">
      <c r="A2415">
        <v>58230932</v>
      </c>
      <c r="B2415" t="s">
        <v>5990</v>
      </c>
      <c r="C2415" t="s">
        <v>546</v>
      </c>
      <c r="D2415" t="s">
        <v>5991</v>
      </c>
      <c r="E2415">
        <v>3863834537</v>
      </c>
      <c r="F2415" t="s">
        <v>798</v>
      </c>
      <c r="G2415" t="s">
        <v>799</v>
      </c>
      <c r="I2415" t="s">
        <v>800</v>
      </c>
      <c r="J2415" s="13">
        <v>45980</v>
      </c>
      <c r="K2415" s="13">
        <v>46023</v>
      </c>
      <c r="L2415" t="s">
        <v>497</v>
      </c>
      <c r="M2415" t="s">
        <v>56</v>
      </c>
      <c r="N2415">
        <v>72086545</v>
      </c>
    </row>
    <row r="2416" spans="1:14" x14ac:dyDescent="0.25">
      <c r="A2416">
        <v>58231280</v>
      </c>
      <c r="B2416" t="s">
        <v>521</v>
      </c>
      <c r="C2416" t="s">
        <v>5992</v>
      </c>
      <c r="D2416" t="s">
        <v>5993</v>
      </c>
      <c r="E2416">
        <v>5612553273</v>
      </c>
      <c r="F2416" t="s">
        <v>416</v>
      </c>
      <c r="G2416" t="s">
        <v>417</v>
      </c>
      <c r="I2416" t="s">
        <v>26</v>
      </c>
      <c r="J2416" s="13">
        <v>45980</v>
      </c>
      <c r="K2416" s="13">
        <v>46023</v>
      </c>
      <c r="L2416" t="s">
        <v>497</v>
      </c>
      <c r="M2416" t="s">
        <v>56</v>
      </c>
      <c r="N2416">
        <v>72086779</v>
      </c>
    </row>
    <row r="2417" spans="1:14" x14ac:dyDescent="0.25">
      <c r="A2417">
        <v>58234624</v>
      </c>
      <c r="B2417" t="s">
        <v>5994</v>
      </c>
      <c r="C2417" t="s">
        <v>5995</v>
      </c>
      <c r="D2417" t="s">
        <v>5996</v>
      </c>
      <c r="E2417">
        <v>6024196301</v>
      </c>
      <c r="F2417" t="s">
        <v>828</v>
      </c>
      <c r="G2417" t="s">
        <v>1148</v>
      </c>
      <c r="I2417" t="s">
        <v>17</v>
      </c>
      <c r="J2417" s="13">
        <v>45980</v>
      </c>
      <c r="K2417" s="13">
        <v>46023</v>
      </c>
      <c r="L2417" t="s">
        <v>1179</v>
      </c>
      <c r="M2417" t="s">
        <v>56</v>
      </c>
      <c r="N2417">
        <v>72090825</v>
      </c>
    </row>
    <row r="2418" spans="1:14" x14ac:dyDescent="0.25">
      <c r="A2418">
        <v>58236508</v>
      </c>
      <c r="B2418" t="s">
        <v>2323</v>
      </c>
      <c r="C2418" t="s">
        <v>5997</v>
      </c>
      <c r="D2418" t="s">
        <v>5998</v>
      </c>
      <c r="E2418">
        <v>5057157318</v>
      </c>
      <c r="F2418" t="s">
        <v>474</v>
      </c>
      <c r="G2418" t="s">
        <v>475</v>
      </c>
      <c r="I2418" t="s">
        <v>132</v>
      </c>
      <c r="J2418" s="13">
        <v>45981</v>
      </c>
      <c r="K2418" s="13">
        <v>46023</v>
      </c>
      <c r="L2418" t="s">
        <v>553</v>
      </c>
      <c r="M2418" t="s">
        <v>56</v>
      </c>
      <c r="N2418">
        <v>72092202</v>
      </c>
    </row>
    <row r="2419" spans="1:14" x14ac:dyDescent="0.25">
      <c r="A2419">
        <v>58237405</v>
      </c>
      <c r="B2419" t="s">
        <v>498</v>
      </c>
      <c r="C2419" t="s">
        <v>5999</v>
      </c>
      <c r="D2419" t="s">
        <v>6000</v>
      </c>
      <c r="E2419">
        <v>8284675913</v>
      </c>
      <c r="F2419" t="s">
        <v>474</v>
      </c>
      <c r="G2419" t="s">
        <v>475</v>
      </c>
      <c r="I2419" t="s">
        <v>132</v>
      </c>
      <c r="J2419" s="13">
        <v>45972</v>
      </c>
      <c r="K2419" s="13">
        <v>46023</v>
      </c>
      <c r="L2419" t="s">
        <v>497</v>
      </c>
      <c r="M2419" t="s">
        <v>56</v>
      </c>
      <c r="N2419">
        <v>72092799</v>
      </c>
    </row>
    <row r="2420" spans="1:14" x14ac:dyDescent="0.25">
      <c r="A2420">
        <v>58237554</v>
      </c>
      <c r="B2420" t="s">
        <v>6001</v>
      </c>
      <c r="C2420" t="s">
        <v>6002</v>
      </c>
      <c r="D2420" t="s">
        <v>6003</v>
      </c>
      <c r="E2420">
        <v>3214054424</v>
      </c>
      <c r="F2420" t="s">
        <v>423</v>
      </c>
      <c r="G2420" t="s">
        <v>424</v>
      </c>
      <c r="I2420" t="s">
        <v>46</v>
      </c>
      <c r="J2420" s="13">
        <v>45981</v>
      </c>
      <c r="K2420" s="13">
        <v>46023</v>
      </c>
      <c r="L2420" t="s">
        <v>497</v>
      </c>
      <c r="M2420" t="s">
        <v>56</v>
      </c>
      <c r="N2420">
        <v>72092879</v>
      </c>
    </row>
    <row r="2421" spans="1:14" x14ac:dyDescent="0.25">
      <c r="A2421">
        <v>58240704</v>
      </c>
      <c r="B2421" t="s">
        <v>2418</v>
      </c>
      <c r="C2421" t="s">
        <v>735</v>
      </c>
      <c r="D2421" t="s">
        <v>6004</v>
      </c>
      <c r="E2421">
        <v>8437812567</v>
      </c>
      <c r="F2421" t="s">
        <v>1067</v>
      </c>
      <c r="G2421" t="s">
        <v>1068</v>
      </c>
      <c r="I2421" t="s">
        <v>35</v>
      </c>
      <c r="J2421" s="13">
        <v>45981</v>
      </c>
      <c r="K2421" s="13">
        <v>46023</v>
      </c>
      <c r="L2421" t="s">
        <v>533</v>
      </c>
      <c r="M2421" t="s">
        <v>56</v>
      </c>
      <c r="N2421">
        <v>72095035</v>
      </c>
    </row>
    <row r="2422" spans="1:14" x14ac:dyDescent="0.25">
      <c r="A2422">
        <v>58242642</v>
      </c>
      <c r="B2422" t="s">
        <v>6005</v>
      </c>
      <c r="C2422" t="s">
        <v>4137</v>
      </c>
      <c r="D2422" t="s">
        <v>6006</v>
      </c>
      <c r="E2422" t="s">
        <v>6007</v>
      </c>
      <c r="F2422" t="s">
        <v>705</v>
      </c>
      <c r="G2422" t="s">
        <v>706</v>
      </c>
      <c r="I2422" t="s">
        <v>12</v>
      </c>
      <c r="J2422" s="13">
        <v>45981</v>
      </c>
      <c r="K2422" s="13">
        <v>46023</v>
      </c>
      <c r="L2422" t="s">
        <v>444</v>
      </c>
      <c r="M2422" t="s">
        <v>58</v>
      </c>
      <c r="N2422">
        <v>72096371</v>
      </c>
    </row>
    <row r="2423" spans="1:14" x14ac:dyDescent="0.25">
      <c r="A2423">
        <v>58242943</v>
      </c>
      <c r="B2423" t="s">
        <v>6008</v>
      </c>
      <c r="C2423" t="s">
        <v>6009</v>
      </c>
      <c r="D2423" t="s">
        <v>6010</v>
      </c>
      <c r="E2423">
        <v>9547740547</v>
      </c>
      <c r="F2423" t="s">
        <v>1345</v>
      </c>
      <c r="G2423" t="s">
        <v>799</v>
      </c>
      <c r="I2423" t="s">
        <v>47</v>
      </c>
      <c r="J2423" s="13">
        <v>45981</v>
      </c>
      <c r="K2423" s="13">
        <v>46023</v>
      </c>
      <c r="L2423" t="s">
        <v>497</v>
      </c>
      <c r="M2423" t="s">
        <v>54</v>
      </c>
      <c r="N2423">
        <v>72096587</v>
      </c>
    </row>
    <row r="2424" spans="1:14" x14ac:dyDescent="0.25">
      <c r="A2424">
        <v>58244018</v>
      </c>
      <c r="B2424" t="s">
        <v>6011</v>
      </c>
      <c r="C2424" t="s">
        <v>6012</v>
      </c>
      <c r="D2424" t="s">
        <v>6013</v>
      </c>
      <c r="E2424">
        <v>4042460668</v>
      </c>
      <c r="F2424" t="s">
        <v>828</v>
      </c>
      <c r="G2424" t="s">
        <v>1148</v>
      </c>
      <c r="I2424" t="s">
        <v>17</v>
      </c>
      <c r="J2424" s="13">
        <v>45981</v>
      </c>
      <c r="K2424" s="13">
        <v>46023</v>
      </c>
      <c r="L2424" t="s">
        <v>621</v>
      </c>
      <c r="M2424" t="s">
        <v>58</v>
      </c>
      <c r="N2424">
        <v>72097338</v>
      </c>
    </row>
    <row r="2425" spans="1:14" x14ac:dyDescent="0.25">
      <c r="A2425">
        <v>58244722</v>
      </c>
      <c r="B2425" t="s">
        <v>4408</v>
      </c>
      <c r="C2425" t="s">
        <v>6014</v>
      </c>
      <c r="D2425" t="s">
        <v>6015</v>
      </c>
      <c r="E2425">
        <v>6562248390</v>
      </c>
      <c r="F2425" t="s">
        <v>798</v>
      </c>
      <c r="G2425" t="s">
        <v>799</v>
      </c>
      <c r="I2425" t="s">
        <v>800</v>
      </c>
      <c r="J2425" s="13">
        <v>45981</v>
      </c>
      <c r="K2425" s="13">
        <v>46023</v>
      </c>
      <c r="L2425" t="s">
        <v>497</v>
      </c>
      <c r="M2425" t="s">
        <v>56</v>
      </c>
      <c r="N2425">
        <v>72097900</v>
      </c>
    </row>
    <row r="2426" spans="1:14" x14ac:dyDescent="0.25">
      <c r="A2426">
        <v>58245004</v>
      </c>
      <c r="B2426" t="s">
        <v>2387</v>
      </c>
      <c r="C2426" t="s">
        <v>4741</v>
      </c>
      <c r="D2426" t="s">
        <v>6016</v>
      </c>
      <c r="E2426">
        <v>3045934232</v>
      </c>
      <c r="F2426" t="s">
        <v>842</v>
      </c>
      <c r="G2426" t="s">
        <v>843</v>
      </c>
      <c r="I2426" t="s">
        <v>98</v>
      </c>
      <c r="J2426" s="13">
        <v>45981</v>
      </c>
      <c r="K2426" s="13">
        <v>46023</v>
      </c>
      <c r="L2426" t="s">
        <v>1188</v>
      </c>
      <c r="M2426" t="s">
        <v>56</v>
      </c>
      <c r="N2426">
        <v>72098111</v>
      </c>
    </row>
    <row r="2427" spans="1:14" x14ac:dyDescent="0.25">
      <c r="A2427">
        <v>58245006</v>
      </c>
      <c r="B2427" t="s">
        <v>6017</v>
      </c>
      <c r="C2427" t="s">
        <v>6018</v>
      </c>
      <c r="D2427" t="s">
        <v>6019</v>
      </c>
      <c r="E2427">
        <v>8034478000</v>
      </c>
      <c r="F2427" t="s">
        <v>649</v>
      </c>
      <c r="G2427" t="s">
        <v>650</v>
      </c>
      <c r="I2427" t="s">
        <v>28</v>
      </c>
      <c r="J2427" s="13">
        <v>45981</v>
      </c>
      <c r="K2427" s="13">
        <v>46023</v>
      </c>
      <c r="L2427" t="s">
        <v>533</v>
      </c>
      <c r="M2427" t="s">
        <v>58</v>
      </c>
      <c r="N2427">
        <v>72098113</v>
      </c>
    </row>
    <row r="2428" spans="1:14" x14ac:dyDescent="0.25">
      <c r="A2428">
        <v>58245230</v>
      </c>
      <c r="B2428" t="s">
        <v>4850</v>
      </c>
      <c r="C2428" t="s">
        <v>6020</v>
      </c>
      <c r="D2428" t="s">
        <v>6021</v>
      </c>
      <c r="E2428">
        <v>6786439815</v>
      </c>
      <c r="F2428" t="s">
        <v>1142</v>
      </c>
      <c r="G2428" t="s">
        <v>1143</v>
      </c>
      <c r="I2428" t="s">
        <v>124</v>
      </c>
      <c r="J2428" s="13">
        <v>45981</v>
      </c>
      <c r="K2428" s="13">
        <v>46023</v>
      </c>
      <c r="L2428" t="s">
        <v>621</v>
      </c>
      <c r="M2428" t="s">
        <v>56</v>
      </c>
      <c r="N2428">
        <v>72098261</v>
      </c>
    </row>
    <row r="2429" spans="1:14" x14ac:dyDescent="0.25">
      <c r="A2429">
        <v>58245264</v>
      </c>
      <c r="B2429" t="s">
        <v>6022</v>
      </c>
      <c r="C2429" t="s">
        <v>6023</v>
      </c>
      <c r="D2429" t="s">
        <v>6024</v>
      </c>
      <c r="E2429">
        <v>3862880067</v>
      </c>
      <c r="F2429" t="s">
        <v>780</v>
      </c>
      <c r="G2429" t="s">
        <v>781</v>
      </c>
      <c r="I2429" t="s">
        <v>20</v>
      </c>
      <c r="J2429" s="13">
        <v>45981</v>
      </c>
      <c r="K2429" s="13">
        <v>46023</v>
      </c>
      <c r="L2429" t="s">
        <v>497</v>
      </c>
      <c r="M2429" t="s">
        <v>56</v>
      </c>
      <c r="N2429">
        <v>72098279</v>
      </c>
    </row>
    <row r="2430" spans="1:14" x14ac:dyDescent="0.25">
      <c r="A2430">
        <v>58246399</v>
      </c>
      <c r="B2430" t="s">
        <v>445</v>
      </c>
      <c r="C2430" t="s">
        <v>564</v>
      </c>
      <c r="D2430" t="s">
        <v>6025</v>
      </c>
      <c r="E2430">
        <v>2052297347</v>
      </c>
      <c r="F2430" t="s">
        <v>574</v>
      </c>
      <c r="G2430" t="s">
        <v>575</v>
      </c>
      <c r="I2430" t="s">
        <v>14</v>
      </c>
      <c r="J2430" s="13">
        <v>45981</v>
      </c>
      <c r="K2430" s="13">
        <v>46023</v>
      </c>
      <c r="L2430" t="s">
        <v>450</v>
      </c>
      <c r="M2430" t="s">
        <v>56</v>
      </c>
      <c r="N2430">
        <v>72099027</v>
      </c>
    </row>
    <row r="2431" spans="1:14" x14ac:dyDescent="0.25">
      <c r="A2431">
        <v>58247251</v>
      </c>
      <c r="B2431" t="s">
        <v>672</v>
      </c>
      <c r="C2431" t="s">
        <v>6026</v>
      </c>
      <c r="D2431" t="s">
        <v>6027</v>
      </c>
      <c r="E2431">
        <v>2103811571</v>
      </c>
      <c r="F2431" t="s">
        <v>842</v>
      </c>
      <c r="G2431" t="s">
        <v>843</v>
      </c>
      <c r="I2431" t="s">
        <v>98</v>
      </c>
      <c r="J2431" s="13">
        <v>45981</v>
      </c>
      <c r="K2431" s="13">
        <v>46023</v>
      </c>
      <c r="L2431" t="s">
        <v>444</v>
      </c>
      <c r="M2431" t="s">
        <v>55</v>
      </c>
      <c r="N2431">
        <v>72099548</v>
      </c>
    </row>
    <row r="2432" spans="1:14" x14ac:dyDescent="0.25">
      <c r="A2432">
        <v>58247300</v>
      </c>
      <c r="B2432" t="s">
        <v>1895</v>
      </c>
      <c r="C2432" t="s">
        <v>6028</v>
      </c>
      <c r="D2432" t="s">
        <v>6029</v>
      </c>
      <c r="E2432">
        <v>9414659790</v>
      </c>
      <c r="F2432" t="s">
        <v>462</v>
      </c>
      <c r="G2432" t="s">
        <v>463</v>
      </c>
      <c r="I2432" t="s">
        <v>39</v>
      </c>
      <c r="J2432" s="13">
        <v>45981</v>
      </c>
      <c r="K2432" s="13">
        <v>46023</v>
      </c>
      <c r="L2432" t="s">
        <v>497</v>
      </c>
      <c r="M2432" t="s">
        <v>56</v>
      </c>
      <c r="N2432">
        <v>72099581</v>
      </c>
    </row>
    <row r="2433" spans="1:14" x14ac:dyDescent="0.25">
      <c r="A2433">
        <v>58250364</v>
      </c>
      <c r="B2433" t="s">
        <v>522</v>
      </c>
      <c r="C2433" t="s">
        <v>6030</v>
      </c>
      <c r="D2433" t="s">
        <v>6031</v>
      </c>
      <c r="E2433">
        <v>7723067029</v>
      </c>
      <c r="F2433" t="s">
        <v>423</v>
      </c>
      <c r="G2433" t="s">
        <v>424</v>
      </c>
      <c r="I2433" t="s">
        <v>46</v>
      </c>
      <c r="J2433" s="13">
        <v>45981</v>
      </c>
      <c r="K2433" s="13">
        <v>46023</v>
      </c>
      <c r="L2433" t="s">
        <v>497</v>
      </c>
      <c r="M2433" t="s">
        <v>54</v>
      </c>
      <c r="N2433">
        <v>72101441</v>
      </c>
    </row>
    <row r="2434" spans="1:14" x14ac:dyDescent="0.25">
      <c r="A2434">
        <v>58251972</v>
      </c>
      <c r="B2434" t="s">
        <v>6032</v>
      </c>
      <c r="C2434" t="s">
        <v>6033</v>
      </c>
      <c r="D2434" t="s">
        <v>6034</v>
      </c>
      <c r="E2434">
        <v>9015910050</v>
      </c>
      <c r="F2434" t="s">
        <v>821</v>
      </c>
      <c r="G2434" t="s">
        <v>822</v>
      </c>
      <c r="I2434" t="s">
        <v>823</v>
      </c>
      <c r="J2434" s="13">
        <v>45981</v>
      </c>
      <c r="K2434" s="13">
        <v>46023</v>
      </c>
      <c r="L2434" t="s">
        <v>479</v>
      </c>
      <c r="M2434" t="s">
        <v>56</v>
      </c>
      <c r="N2434">
        <v>72102615</v>
      </c>
    </row>
    <row r="2435" spans="1:14" x14ac:dyDescent="0.25">
      <c r="A2435">
        <v>58251998</v>
      </c>
      <c r="B2435" t="s">
        <v>6035</v>
      </c>
      <c r="C2435" t="s">
        <v>6036</v>
      </c>
      <c r="D2435" t="s">
        <v>6037</v>
      </c>
      <c r="E2435">
        <v>8508143924</v>
      </c>
      <c r="F2435" t="s">
        <v>1067</v>
      </c>
      <c r="G2435" t="s">
        <v>1068</v>
      </c>
      <c r="I2435" t="s">
        <v>35</v>
      </c>
      <c r="J2435" s="13">
        <v>45981</v>
      </c>
      <c r="K2435" s="13">
        <v>46023</v>
      </c>
      <c r="L2435" t="s">
        <v>497</v>
      </c>
      <c r="M2435" t="s">
        <v>56</v>
      </c>
      <c r="N2435">
        <v>72102630</v>
      </c>
    </row>
    <row r="2436" spans="1:14" x14ac:dyDescent="0.25">
      <c r="A2436">
        <v>58252099</v>
      </c>
      <c r="B2436" t="s">
        <v>467</v>
      </c>
      <c r="C2436" t="s">
        <v>6038</v>
      </c>
      <c r="D2436" t="s">
        <v>6039</v>
      </c>
      <c r="E2436">
        <v>9046100705</v>
      </c>
      <c r="F2436" t="s">
        <v>569</v>
      </c>
      <c r="G2436" t="s">
        <v>570</v>
      </c>
      <c r="I2436" t="s">
        <v>34</v>
      </c>
      <c r="J2436" s="13">
        <v>45981</v>
      </c>
      <c r="K2436" s="13">
        <v>46023</v>
      </c>
      <c r="L2436" t="s">
        <v>497</v>
      </c>
      <c r="M2436" t="s">
        <v>54</v>
      </c>
      <c r="N2436">
        <v>72102709</v>
      </c>
    </row>
    <row r="2437" spans="1:14" x14ac:dyDescent="0.25">
      <c r="A2437">
        <v>58252729</v>
      </c>
      <c r="B2437" t="s">
        <v>4458</v>
      </c>
      <c r="C2437" t="s">
        <v>6040</v>
      </c>
      <c r="D2437" t="s">
        <v>6041</v>
      </c>
      <c r="E2437">
        <v>5617136032</v>
      </c>
      <c r="F2437" t="s">
        <v>957</v>
      </c>
      <c r="G2437" t="s">
        <v>958</v>
      </c>
      <c r="H2437" t="s">
        <v>959</v>
      </c>
      <c r="I2437" t="s">
        <v>960</v>
      </c>
      <c r="J2437" s="13">
        <v>45981</v>
      </c>
      <c r="K2437" s="13">
        <v>46023</v>
      </c>
      <c r="L2437" t="s">
        <v>1179</v>
      </c>
      <c r="M2437" t="s">
        <v>60</v>
      </c>
      <c r="N2437">
        <v>72103143</v>
      </c>
    </row>
    <row r="2438" spans="1:14" x14ac:dyDescent="0.25">
      <c r="A2438">
        <v>58254639</v>
      </c>
      <c r="B2438" t="s">
        <v>718</v>
      </c>
      <c r="C2438" t="s">
        <v>5162</v>
      </c>
      <c r="D2438" t="s">
        <v>6042</v>
      </c>
      <c r="E2438">
        <v>7277426932</v>
      </c>
      <c r="F2438" t="s">
        <v>615</v>
      </c>
      <c r="G2438" t="s">
        <v>616</v>
      </c>
      <c r="I2438" t="s">
        <v>617</v>
      </c>
      <c r="J2438" s="13">
        <v>45981</v>
      </c>
      <c r="K2438" s="13">
        <v>46023</v>
      </c>
      <c r="L2438" t="s">
        <v>497</v>
      </c>
      <c r="M2438" t="s">
        <v>56</v>
      </c>
      <c r="N2438">
        <v>72104442</v>
      </c>
    </row>
    <row r="2439" spans="1:14" x14ac:dyDescent="0.25">
      <c r="A2439">
        <v>58254899</v>
      </c>
      <c r="B2439" t="s">
        <v>445</v>
      </c>
      <c r="C2439" t="s">
        <v>6043</v>
      </c>
      <c r="D2439" t="s">
        <v>6044</v>
      </c>
      <c r="E2439">
        <v>5615253624</v>
      </c>
      <c r="F2439" t="s">
        <v>416</v>
      </c>
      <c r="G2439" t="s">
        <v>417</v>
      </c>
      <c r="I2439" t="s">
        <v>26</v>
      </c>
      <c r="J2439" s="13">
        <v>45981</v>
      </c>
      <c r="K2439" s="13">
        <v>46023</v>
      </c>
      <c r="L2439" t="s">
        <v>497</v>
      </c>
      <c r="M2439" t="s">
        <v>56</v>
      </c>
      <c r="N2439">
        <v>72104512</v>
      </c>
    </row>
    <row r="2440" spans="1:14" x14ac:dyDescent="0.25">
      <c r="A2440">
        <v>58255146</v>
      </c>
      <c r="B2440" t="s">
        <v>6045</v>
      </c>
      <c r="C2440" t="s">
        <v>6046</v>
      </c>
      <c r="D2440" t="s">
        <v>6047</v>
      </c>
      <c r="E2440">
        <v>9542974295</v>
      </c>
      <c r="F2440" t="s">
        <v>423</v>
      </c>
      <c r="G2440" t="s">
        <v>424</v>
      </c>
      <c r="I2440" t="s">
        <v>46</v>
      </c>
      <c r="J2440" s="13">
        <v>45981</v>
      </c>
      <c r="K2440" s="13">
        <v>46023</v>
      </c>
      <c r="L2440" t="s">
        <v>497</v>
      </c>
      <c r="M2440" t="s">
        <v>54</v>
      </c>
      <c r="N2440">
        <v>72104531</v>
      </c>
    </row>
    <row r="2441" spans="1:14" x14ac:dyDescent="0.25">
      <c r="A2441">
        <v>58255099</v>
      </c>
      <c r="B2441" t="s">
        <v>622</v>
      </c>
      <c r="C2441" t="s">
        <v>4979</v>
      </c>
      <c r="D2441" t="s">
        <v>6048</v>
      </c>
      <c r="E2441">
        <v>5203495374</v>
      </c>
      <c r="F2441" t="s">
        <v>746</v>
      </c>
      <c r="G2441" t="s">
        <v>747</v>
      </c>
      <c r="I2441" t="s">
        <v>27</v>
      </c>
      <c r="J2441" s="13">
        <v>45981</v>
      </c>
      <c r="K2441" s="13">
        <v>46023</v>
      </c>
      <c r="L2441" t="s">
        <v>1179</v>
      </c>
      <c r="M2441" t="s">
        <v>54</v>
      </c>
      <c r="N2441">
        <v>72104739</v>
      </c>
    </row>
    <row r="2442" spans="1:14" x14ac:dyDescent="0.25">
      <c r="A2442">
        <v>58256141</v>
      </c>
      <c r="B2442" t="s">
        <v>2272</v>
      </c>
      <c r="C2442" t="s">
        <v>6049</v>
      </c>
      <c r="D2442" t="s">
        <v>6050</v>
      </c>
      <c r="E2442">
        <v>8169460618</v>
      </c>
      <c r="F2442" t="s">
        <v>474</v>
      </c>
      <c r="G2442" t="s">
        <v>475</v>
      </c>
      <c r="I2442" t="s">
        <v>132</v>
      </c>
      <c r="J2442" s="13">
        <v>45981</v>
      </c>
      <c r="K2442" s="13">
        <v>46023</v>
      </c>
      <c r="L2442" t="s">
        <v>434</v>
      </c>
      <c r="M2442" t="s">
        <v>59</v>
      </c>
      <c r="N2442">
        <v>72105621</v>
      </c>
    </row>
    <row r="2443" spans="1:14" x14ac:dyDescent="0.25">
      <c r="A2443">
        <v>58256347</v>
      </c>
      <c r="B2443" t="s">
        <v>2214</v>
      </c>
      <c r="C2443" t="s">
        <v>6051</v>
      </c>
      <c r="D2443" t="s">
        <v>6052</v>
      </c>
      <c r="E2443">
        <v>3042799308</v>
      </c>
      <c r="F2443" t="s">
        <v>628</v>
      </c>
      <c r="G2443" t="s">
        <v>629</v>
      </c>
      <c r="I2443" t="s">
        <v>24</v>
      </c>
      <c r="J2443" s="13">
        <v>45981</v>
      </c>
      <c r="K2443" s="13">
        <v>46023</v>
      </c>
      <c r="L2443" t="s">
        <v>1188</v>
      </c>
      <c r="M2443" t="s">
        <v>60</v>
      </c>
      <c r="N2443">
        <v>72105799</v>
      </c>
    </row>
    <row r="2444" spans="1:14" x14ac:dyDescent="0.25">
      <c r="A2444">
        <v>58258797</v>
      </c>
      <c r="B2444" t="s">
        <v>6053</v>
      </c>
      <c r="C2444" t="s">
        <v>6054</v>
      </c>
      <c r="D2444" t="s">
        <v>6055</v>
      </c>
      <c r="E2444">
        <v>4073996457</v>
      </c>
      <c r="F2444" t="s">
        <v>798</v>
      </c>
      <c r="G2444" t="s">
        <v>799</v>
      </c>
      <c r="I2444" t="s">
        <v>800</v>
      </c>
      <c r="J2444" s="13">
        <v>45981</v>
      </c>
      <c r="K2444" s="13">
        <v>46023</v>
      </c>
      <c r="L2444" t="s">
        <v>497</v>
      </c>
      <c r="M2444" t="s">
        <v>56</v>
      </c>
      <c r="N2444">
        <v>72107740</v>
      </c>
    </row>
    <row r="2445" spans="1:14" x14ac:dyDescent="0.25">
      <c r="A2445">
        <v>58259159</v>
      </c>
      <c r="B2445" t="s">
        <v>548</v>
      </c>
      <c r="C2445" t="s">
        <v>2175</v>
      </c>
      <c r="D2445" t="s">
        <v>6056</v>
      </c>
      <c r="E2445">
        <v>2075020990</v>
      </c>
      <c r="F2445" t="s">
        <v>842</v>
      </c>
      <c r="G2445" t="s">
        <v>843</v>
      </c>
      <c r="I2445" t="s">
        <v>98</v>
      </c>
      <c r="J2445" s="13">
        <v>45981</v>
      </c>
      <c r="K2445" s="13">
        <v>46023</v>
      </c>
      <c r="L2445" t="s">
        <v>941</v>
      </c>
      <c r="M2445" t="s">
        <v>56</v>
      </c>
      <c r="N2445">
        <v>72107973</v>
      </c>
    </row>
    <row r="2446" spans="1:14" x14ac:dyDescent="0.25">
      <c r="A2446">
        <v>58259303</v>
      </c>
      <c r="B2446" t="s">
        <v>1658</v>
      </c>
      <c r="C2446" t="s">
        <v>6057</v>
      </c>
      <c r="D2446" t="s">
        <v>6058</v>
      </c>
      <c r="E2446">
        <v>4804891555</v>
      </c>
      <c r="F2446" t="s">
        <v>4853</v>
      </c>
      <c r="G2446" t="s">
        <v>5017</v>
      </c>
      <c r="I2446" t="s">
        <v>5018</v>
      </c>
      <c r="J2446" s="13">
        <v>45981</v>
      </c>
      <c r="K2446" s="13">
        <v>46023</v>
      </c>
      <c r="L2446" t="s">
        <v>1179</v>
      </c>
      <c r="M2446" t="s">
        <v>54</v>
      </c>
      <c r="N2446">
        <v>72108068</v>
      </c>
    </row>
    <row r="2447" spans="1:14" x14ac:dyDescent="0.25">
      <c r="A2447">
        <v>58259446</v>
      </c>
      <c r="B2447" t="s">
        <v>431</v>
      </c>
      <c r="C2447" t="s">
        <v>477</v>
      </c>
      <c r="D2447" t="s">
        <v>6059</v>
      </c>
      <c r="E2447">
        <v>7273254889</v>
      </c>
      <c r="F2447" t="s">
        <v>821</v>
      </c>
      <c r="G2447" t="s">
        <v>822</v>
      </c>
      <c r="I2447" t="s">
        <v>823</v>
      </c>
      <c r="J2447" s="13">
        <v>45981</v>
      </c>
      <c r="K2447" s="13">
        <v>46023</v>
      </c>
      <c r="L2447" t="s">
        <v>497</v>
      </c>
      <c r="M2447" t="s">
        <v>58</v>
      </c>
      <c r="N2447">
        <v>72108175</v>
      </c>
    </row>
    <row r="2448" spans="1:14" x14ac:dyDescent="0.25">
      <c r="A2448">
        <v>58260083</v>
      </c>
      <c r="B2448" t="s">
        <v>431</v>
      </c>
      <c r="C2448" t="s">
        <v>6060</v>
      </c>
      <c r="D2448" t="s">
        <v>6061</v>
      </c>
      <c r="E2448">
        <v>2297459907</v>
      </c>
      <c r="F2448" t="s">
        <v>790</v>
      </c>
      <c r="G2448" t="s">
        <v>791</v>
      </c>
      <c r="I2448" t="s">
        <v>119</v>
      </c>
      <c r="J2448" s="13">
        <v>45981</v>
      </c>
      <c r="K2448" s="13">
        <v>46023</v>
      </c>
      <c r="L2448" t="s">
        <v>621</v>
      </c>
      <c r="M2448" t="s">
        <v>56</v>
      </c>
      <c r="N2448">
        <v>72108512</v>
      </c>
    </row>
    <row r="2449" spans="1:14" x14ac:dyDescent="0.25">
      <c r="A2449">
        <v>58260113</v>
      </c>
      <c r="B2449" t="s">
        <v>6062</v>
      </c>
      <c r="C2449" t="s">
        <v>6063</v>
      </c>
      <c r="D2449" t="s">
        <v>6064</v>
      </c>
      <c r="E2449">
        <v>4805867698</v>
      </c>
      <c r="F2449" t="s">
        <v>462</v>
      </c>
      <c r="G2449" t="s">
        <v>463</v>
      </c>
      <c r="I2449" t="s">
        <v>39</v>
      </c>
      <c r="J2449" s="13">
        <v>45981</v>
      </c>
      <c r="K2449" s="13">
        <v>46023</v>
      </c>
      <c r="L2449" t="s">
        <v>1179</v>
      </c>
      <c r="M2449" t="s">
        <v>54</v>
      </c>
      <c r="N2449">
        <v>72108551</v>
      </c>
    </row>
    <row r="2450" spans="1:14" x14ac:dyDescent="0.25">
      <c r="A2450">
        <v>58260229</v>
      </c>
      <c r="B2450" t="s">
        <v>498</v>
      </c>
      <c r="C2450" t="s">
        <v>6065</v>
      </c>
      <c r="D2450" t="s">
        <v>6066</v>
      </c>
      <c r="E2450">
        <v>6024009599</v>
      </c>
      <c r="F2450" t="s">
        <v>1345</v>
      </c>
      <c r="G2450" t="s">
        <v>799</v>
      </c>
      <c r="I2450" t="s">
        <v>47</v>
      </c>
      <c r="J2450" s="13">
        <v>45981</v>
      </c>
      <c r="K2450" s="13">
        <v>46023</v>
      </c>
      <c r="L2450" t="s">
        <v>1179</v>
      </c>
      <c r="M2450" t="s">
        <v>54</v>
      </c>
      <c r="N2450">
        <v>72108625</v>
      </c>
    </row>
    <row r="2451" spans="1:14" x14ac:dyDescent="0.25">
      <c r="A2451">
        <v>58261839</v>
      </c>
      <c r="B2451" t="s">
        <v>4887</v>
      </c>
      <c r="C2451" t="s">
        <v>1442</v>
      </c>
      <c r="D2451" t="s">
        <v>6067</v>
      </c>
      <c r="E2451">
        <v>3143339215</v>
      </c>
      <c r="F2451" t="s">
        <v>1142</v>
      </c>
      <c r="G2451" t="s">
        <v>1143</v>
      </c>
      <c r="I2451" t="s">
        <v>124</v>
      </c>
      <c r="J2451" s="13">
        <v>45981</v>
      </c>
      <c r="K2451" s="13">
        <v>46023</v>
      </c>
      <c r="L2451" t="s">
        <v>434</v>
      </c>
      <c r="M2451" t="s">
        <v>56</v>
      </c>
      <c r="N2451">
        <v>72109652</v>
      </c>
    </row>
    <row r="2452" spans="1:14" x14ac:dyDescent="0.25">
      <c r="A2452">
        <v>58261953</v>
      </c>
      <c r="B2452" t="s">
        <v>6068</v>
      </c>
      <c r="C2452" t="s">
        <v>6069</v>
      </c>
      <c r="D2452" t="s">
        <v>6070</v>
      </c>
      <c r="E2452">
        <v>4306667057</v>
      </c>
      <c r="F2452" t="s">
        <v>1003</v>
      </c>
      <c r="G2452" t="s">
        <v>1004</v>
      </c>
      <c r="I2452" t="s">
        <v>89</v>
      </c>
      <c r="J2452" s="13">
        <v>45981</v>
      </c>
      <c r="K2452" s="13">
        <v>46023</v>
      </c>
      <c r="L2452" t="s">
        <v>444</v>
      </c>
      <c r="M2452" t="s">
        <v>56</v>
      </c>
      <c r="N2452">
        <v>72109673</v>
      </c>
    </row>
    <row r="2453" spans="1:14" x14ac:dyDescent="0.25">
      <c r="A2453">
        <v>58262334</v>
      </c>
      <c r="B2453" t="s">
        <v>6071</v>
      </c>
      <c r="C2453" t="s">
        <v>6072</v>
      </c>
      <c r="D2453" t="s">
        <v>6073</v>
      </c>
      <c r="E2453">
        <v>2708717522</v>
      </c>
      <c r="F2453" t="s">
        <v>705</v>
      </c>
      <c r="G2453" t="s">
        <v>706</v>
      </c>
      <c r="I2453" t="s">
        <v>12</v>
      </c>
      <c r="J2453" s="13">
        <v>45981</v>
      </c>
      <c r="K2453" s="13">
        <v>46023</v>
      </c>
      <c r="L2453" t="s">
        <v>490</v>
      </c>
      <c r="M2453" t="s">
        <v>56</v>
      </c>
      <c r="N2453">
        <v>72109988</v>
      </c>
    </row>
    <row r="2454" spans="1:14" x14ac:dyDescent="0.25">
      <c r="A2454">
        <v>58262463</v>
      </c>
      <c r="B2454" t="s">
        <v>1197</v>
      </c>
      <c r="C2454" t="s">
        <v>6074</v>
      </c>
      <c r="D2454" t="s">
        <v>6075</v>
      </c>
      <c r="E2454">
        <v>5125179931</v>
      </c>
      <c r="F2454" t="s">
        <v>537</v>
      </c>
      <c r="G2454" t="s">
        <v>538</v>
      </c>
      <c r="I2454" t="s">
        <v>49</v>
      </c>
      <c r="J2454" s="13">
        <v>45981</v>
      </c>
      <c r="K2454" s="13">
        <v>46023</v>
      </c>
      <c r="L2454" t="s">
        <v>444</v>
      </c>
      <c r="M2454" t="s">
        <v>58</v>
      </c>
      <c r="N2454">
        <v>72110073</v>
      </c>
    </row>
    <row r="2455" spans="1:14" x14ac:dyDescent="0.25">
      <c r="A2455">
        <v>58262500</v>
      </c>
      <c r="B2455" t="s">
        <v>6076</v>
      </c>
      <c r="C2455" t="s">
        <v>6077</v>
      </c>
      <c r="D2455" t="s">
        <v>6078</v>
      </c>
      <c r="E2455">
        <v>3524544300</v>
      </c>
      <c r="F2455" t="s">
        <v>770</v>
      </c>
      <c r="G2455" t="s">
        <v>771</v>
      </c>
      <c r="I2455" t="s">
        <v>25</v>
      </c>
      <c r="J2455" s="13">
        <v>45981</v>
      </c>
      <c r="K2455" s="13">
        <v>46023</v>
      </c>
      <c r="L2455" t="s">
        <v>497</v>
      </c>
      <c r="M2455" t="s">
        <v>58</v>
      </c>
      <c r="N2455">
        <v>72110088</v>
      </c>
    </row>
    <row r="2456" spans="1:14" x14ac:dyDescent="0.25">
      <c r="A2456">
        <v>58262824</v>
      </c>
      <c r="B2456" t="s">
        <v>5749</v>
      </c>
      <c r="C2456" t="s">
        <v>6079</v>
      </c>
      <c r="D2456" t="s">
        <v>6080</v>
      </c>
      <c r="E2456">
        <v>9288305227</v>
      </c>
      <c r="F2456" t="s">
        <v>828</v>
      </c>
      <c r="G2456" t="s">
        <v>1148</v>
      </c>
      <c r="I2456" t="s">
        <v>17</v>
      </c>
      <c r="J2456" s="13">
        <v>45981</v>
      </c>
      <c r="K2456" s="13">
        <v>46023</v>
      </c>
      <c r="L2456" t="s">
        <v>434</v>
      </c>
      <c r="M2456" t="s">
        <v>58</v>
      </c>
      <c r="N2456">
        <v>72110332</v>
      </c>
    </row>
    <row r="2457" spans="1:14" x14ac:dyDescent="0.25">
      <c r="A2457">
        <v>58263848</v>
      </c>
      <c r="B2457" t="s">
        <v>1621</v>
      </c>
      <c r="C2457" t="s">
        <v>6081</v>
      </c>
      <c r="D2457" t="s">
        <v>6082</v>
      </c>
      <c r="E2457">
        <v>5022244094</v>
      </c>
      <c r="F2457" t="s">
        <v>842</v>
      </c>
      <c r="G2457" t="s">
        <v>843</v>
      </c>
      <c r="I2457" t="s">
        <v>98</v>
      </c>
      <c r="J2457" s="13">
        <v>45981</v>
      </c>
      <c r="K2457" s="13">
        <v>46023</v>
      </c>
      <c r="L2457" t="s">
        <v>490</v>
      </c>
      <c r="M2457" t="s">
        <v>59</v>
      </c>
      <c r="N2457">
        <v>72110886</v>
      </c>
    </row>
    <row r="2458" spans="1:14" x14ac:dyDescent="0.25">
      <c r="A2458">
        <v>58263997</v>
      </c>
      <c r="B2458" t="s">
        <v>1864</v>
      </c>
      <c r="C2458" t="s">
        <v>6083</v>
      </c>
      <c r="D2458" t="s">
        <v>6084</v>
      </c>
      <c r="E2458">
        <v>5202131002</v>
      </c>
      <c r="F2458" t="s">
        <v>462</v>
      </c>
      <c r="G2458" t="s">
        <v>463</v>
      </c>
      <c r="I2458" t="s">
        <v>39</v>
      </c>
      <c r="J2458" s="13">
        <v>45981</v>
      </c>
      <c r="K2458" s="13">
        <v>46023</v>
      </c>
      <c r="L2458" t="s">
        <v>1179</v>
      </c>
      <c r="M2458" t="s">
        <v>54</v>
      </c>
      <c r="N2458">
        <v>72110971</v>
      </c>
    </row>
    <row r="2459" spans="1:14" x14ac:dyDescent="0.25">
      <c r="A2459">
        <v>58264657</v>
      </c>
      <c r="B2459" t="s">
        <v>1784</v>
      </c>
      <c r="C2459" t="s">
        <v>6085</v>
      </c>
      <c r="D2459" t="s">
        <v>6086</v>
      </c>
      <c r="E2459">
        <v>6024104130</v>
      </c>
      <c r="F2459" t="s">
        <v>957</v>
      </c>
      <c r="G2459" t="s">
        <v>958</v>
      </c>
      <c r="H2459" t="s">
        <v>959</v>
      </c>
      <c r="I2459" t="s">
        <v>960</v>
      </c>
      <c r="J2459" s="13">
        <v>45981</v>
      </c>
      <c r="K2459" s="13">
        <v>46023</v>
      </c>
      <c r="L2459" t="s">
        <v>1179</v>
      </c>
      <c r="M2459" t="s">
        <v>55</v>
      </c>
      <c r="N2459">
        <v>72111172</v>
      </c>
    </row>
    <row r="2460" spans="1:14" x14ac:dyDescent="0.25">
      <c r="A2460">
        <v>58265001</v>
      </c>
      <c r="B2460" t="s">
        <v>1373</v>
      </c>
      <c r="C2460" t="s">
        <v>6087</v>
      </c>
      <c r="D2460" t="s">
        <v>6088</v>
      </c>
      <c r="E2460">
        <v>2246283121</v>
      </c>
      <c r="F2460" t="s">
        <v>705</v>
      </c>
      <c r="G2460" t="s">
        <v>706</v>
      </c>
      <c r="I2460" t="s">
        <v>12</v>
      </c>
      <c r="J2460" s="13">
        <v>45981</v>
      </c>
      <c r="K2460" s="13">
        <v>46023</v>
      </c>
      <c r="L2460" t="s">
        <v>470</v>
      </c>
      <c r="M2460" t="s">
        <v>55</v>
      </c>
      <c r="N2460">
        <v>72111497</v>
      </c>
    </row>
    <row r="2461" spans="1:14" x14ac:dyDescent="0.25">
      <c r="A2461">
        <v>58265016</v>
      </c>
      <c r="B2461" t="s">
        <v>2520</v>
      </c>
      <c r="C2461" t="s">
        <v>586</v>
      </c>
      <c r="D2461" t="s">
        <v>6089</v>
      </c>
      <c r="E2461">
        <v>9282808977</v>
      </c>
      <c r="F2461" t="s">
        <v>842</v>
      </c>
      <c r="G2461" t="s">
        <v>1213</v>
      </c>
      <c r="I2461" t="s">
        <v>1214</v>
      </c>
      <c r="J2461" s="13">
        <v>45981</v>
      </c>
      <c r="K2461" s="13">
        <v>46023</v>
      </c>
      <c r="L2461" t="s">
        <v>1179</v>
      </c>
      <c r="M2461" t="s">
        <v>54</v>
      </c>
      <c r="N2461">
        <v>72111513</v>
      </c>
    </row>
    <row r="2462" spans="1:14" x14ac:dyDescent="0.25">
      <c r="A2462">
        <v>58265197</v>
      </c>
      <c r="B2462" t="s">
        <v>6090</v>
      </c>
      <c r="C2462" t="s">
        <v>6091</v>
      </c>
      <c r="D2462" t="s">
        <v>6092</v>
      </c>
      <c r="E2462">
        <v>6307771554</v>
      </c>
      <c r="F2462" t="s">
        <v>615</v>
      </c>
      <c r="G2462" t="s">
        <v>616</v>
      </c>
      <c r="I2462" t="s">
        <v>617</v>
      </c>
      <c r="J2462" s="13">
        <v>45981</v>
      </c>
      <c r="K2462" s="13">
        <v>46023</v>
      </c>
      <c r="L2462" t="s">
        <v>470</v>
      </c>
      <c r="M2462" t="s">
        <v>55</v>
      </c>
      <c r="N2462">
        <v>72111611</v>
      </c>
    </row>
    <row r="2463" spans="1:14" x14ac:dyDescent="0.25">
      <c r="A2463">
        <v>58265294</v>
      </c>
      <c r="B2463" t="s">
        <v>1316</v>
      </c>
      <c r="C2463" t="s">
        <v>6093</v>
      </c>
      <c r="D2463" t="s">
        <v>6094</v>
      </c>
      <c r="E2463">
        <v>8133593117</v>
      </c>
      <c r="F2463" t="s">
        <v>423</v>
      </c>
      <c r="G2463" t="s">
        <v>424</v>
      </c>
      <c r="I2463" t="s">
        <v>46</v>
      </c>
      <c r="J2463" s="13">
        <v>45981</v>
      </c>
      <c r="K2463" s="13">
        <v>46023</v>
      </c>
      <c r="L2463" t="s">
        <v>497</v>
      </c>
      <c r="M2463" t="s">
        <v>54</v>
      </c>
      <c r="N2463">
        <v>72111637</v>
      </c>
    </row>
    <row r="2464" spans="1:14" x14ac:dyDescent="0.25">
      <c r="A2464">
        <v>58265509</v>
      </c>
      <c r="B2464" t="s">
        <v>4976</v>
      </c>
      <c r="C2464" t="s">
        <v>6095</v>
      </c>
      <c r="D2464" t="s">
        <v>6096</v>
      </c>
      <c r="E2464">
        <v>9194520740</v>
      </c>
      <c r="F2464" t="s">
        <v>649</v>
      </c>
      <c r="G2464" t="s">
        <v>650</v>
      </c>
      <c r="I2464" t="s">
        <v>28</v>
      </c>
      <c r="J2464" s="13">
        <v>45981</v>
      </c>
      <c r="K2464" s="13">
        <v>46023</v>
      </c>
      <c r="L2464" t="s">
        <v>603</v>
      </c>
      <c r="M2464" t="s">
        <v>56</v>
      </c>
      <c r="N2464">
        <v>72111793</v>
      </c>
    </row>
    <row r="2465" spans="1:14" x14ac:dyDescent="0.25">
      <c r="A2465">
        <v>58265705</v>
      </c>
      <c r="B2465" t="s">
        <v>6097</v>
      </c>
      <c r="C2465" t="s">
        <v>6098</v>
      </c>
      <c r="D2465" t="s">
        <v>6099</v>
      </c>
      <c r="E2465">
        <v>9047759733</v>
      </c>
      <c r="F2465" t="s">
        <v>780</v>
      </c>
      <c r="G2465" t="s">
        <v>781</v>
      </c>
      <c r="I2465" t="s">
        <v>20</v>
      </c>
      <c r="J2465" s="13">
        <v>45981</v>
      </c>
      <c r="K2465" s="13">
        <v>46023</v>
      </c>
      <c r="L2465" t="s">
        <v>497</v>
      </c>
      <c r="M2465" t="s">
        <v>58</v>
      </c>
      <c r="N2465">
        <v>72111892</v>
      </c>
    </row>
    <row r="2466" spans="1:14" x14ac:dyDescent="0.25">
      <c r="A2466">
        <v>59171185</v>
      </c>
      <c r="B2466" t="s">
        <v>2019</v>
      </c>
      <c r="C2466" t="s">
        <v>6100</v>
      </c>
      <c r="D2466" t="s">
        <v>6101</v>
      </c>
      <c r="E2466">
        <v>5026500360</v>
      </c>
      <c r="F2466" t="s">
        <v>537</v>
      </c>
      <c r="G2466" t="s">
        <v>538</v>
      </c>
      <c r="I2466" t="s">
        <v>49</v>
      </c>
      <c r="J2466" s="13">
        <v>46021</v>
      </c>
      <c r="K2466" s="13">
        <v>46023</v>
      </c>
      <c r="L2466" t="s">
        <v>490</v>
      </c>
      <c r="M2466" t="s">
        <v>56</v>
      </c>
      <c r="N2466">
        <v>72112138</v>
      </c>
    </row>
    <row r="2467" spans="1:14" x14ac:dyDescent="0.25">
      <c r="A2467">
        <v>58266202</v>
      </c>
      <c r="B2467" t="s">
        <v>1255</v>
      </c>
      <c r="C2467" t="s">
        <v>6102</v>
      </c>
      <c r="D2467" t="s">
        <v>6103</v>
      </c>
      <c r="E2467">
        <v>3162177652</v>
      </c>
      <c r="F2467" t="s">
        <v>474</v>
      </c>
      <c r="G2467" t="s">
        <v>475</v>
      </c>
      <c r="I2467" t="s">
        <v>132</v>
      </c>
      <c r="J2467" s="13">
        <v>45981</v>
      </c>
      <c r="K2467" s="13">
        <v>46023</v>
      </c>
      <c r="L2467" t="s">
        <v>520</v>
      </c>
      <c r="M2467" t="s">
        <v>56</v>
      </c>
      <c r="N2467">
        <v>72112167</v>
      </c>
    </row>
    <row r="2468" spans="1:14" x14ac:dyDescent="0.25">
      <c r="A2468">
        <v>58266649</v>
      </c>
      <c r="B2468" t="s">
        <v>5230</v>
      </c>
      <c r="C2468" t="s">
        <v>3440</v>
      </c>
      <c r="D2468" t="s">
        <v>6104</v>
      </c>
      <c r="E2468">
        <v>8508364025</v>
      </c>
      <c r="F2468" t="s">
        <v>1067</v>
      </c>
      <c r="G2468" t="s">
        <v>1068</v>
      </c>
      <c r="I2468" t="s">
        <v>35</v>
      </c>
      <c r="J2468" s="13">
        <v>45981</v>
      </c>
      <c r="K2468" s="13">
        <v>46023</v>
      </c>
      <c r="L2468" t="s">
        <v>497</v>
      </c>
      <c r="M2468" t="s">
        <v>58</v>
      </c>
      <c r="N2468">
        <v>72112479</v>
      </c>
    </row>
    <row r="2469" spans="1:14" x14ac:dyDescent="0.25">
      <c r="A2469">
        <v>58267658</v>
      </c>
      <c r="B2469" t="s">
        <v>6105</v>
      </c>
      <c r="C2469" t="s">
        <v>6106</v>
      </c>
      <c r="D2469" t="s">
        <v>6107</v>
      </c>
      <c r="E2469">
        <v>9548257497</v>
      </c>
      <c r="F2469" t="s">
        <v>416</v>
      </c>
      <c r="G2469" t="s">
        <v>417</v>
      </c>
      <c r="I2469" t="s">
        <v>26</v>
      </c>
      <c r="J2469" s="13">
        <v>45981</v>
      </c>
      <c r="K2469" s="13">
        <v>46023</v>
      </c>
      <c r="L2469" t="s">
        <v>497</v>
      </c>
      <c r="M2469" t="s">
        <v>56</v>
      </c>
      <c r="N2469">
        <v>72113090</v>
      </c>
    </row>
    <row r="2470" spans="1:14" x14ac:dyDescent="0.25">
      <c r="A2470">
        <v>58267828</v>
      </c>
      <c r="B2470" t="s">
        <v>1118</v>
      </c>
      <c r="C2470" t="s">
        <v>6108</v>
      </c>
      <c r="D2470" t="s">
        <v>6109</v>
      </c>
      <c r="E2470">
        <v>7314124198</v>
      </c>
      <c r="F2470" t="s">
        <v>1003</v>
      </c>
      <c r="G2470" t="s">
        <v>1004</v>
      </c>
      <c r="I2470" t="s">
        <v>89</v>
      </c>
      <c r="J2470" s="13">
        <v>45981</v>
      </c>
      <c r="K2470" s="13">
        <v>46023</v>
      </c>
      <c r="L2470" t="s">
        <v>479</v>
      </c>
      <c r="M2470" t="s">
        <v>55</v>
      </c>
      <c r="N2470">
        <v>72113313</v>
      </c>
    </row>
    <row r="2471" spans="1:14" x14ac:dyDescent="0.25">
      <c r="A2471">
        <v>58267935</v>
      </c>
      <c r="B2471" t="s">
        <v>6110</v>
      </c>
      <c r="C2471" t="s">
        <v>6111</v>
      </c>
      <c r="D2471" t="s">
        <v>3621</v>
      </c>
      <c r="E2471">
        <v>2605795050</v>
      </c>
      <c r="F2471" t="s">
        <v>828</v>
      </c>
      <c r="G2471" t="s">
        <v>1148</v>
      </c>
      <c r="I2471" t="s">
        <v>17</v>
      </c>
      <c r="J2471" s="13">
        <v>45981</v>
      </c>
      <c r="K2471" s="13">
        <v>46023</v>
      </c>
      <c r="L2471" t="s">
        <v>440</v>
      </c>
      <c r="M2471" t="s">
        <v>58</v>
      </c>
      <c r="N2471">
        <v>72113366</v>
      </c>
    </row>
    <row r="2472" spans="1:14" x14ac:dyDescent="0.25">
      <c r="A2472">
        <v>58433652</v>
      </c>
      <c r="B2472" t="s">
        <v>2771</v>
      </c>
      <c r="C2472" t="s">
        <v>5745</v>
      </c>
      <c r="D2472" t="s">
        <v>6112</v>
      </c>
      <c r="E2472" t="s">
        <v>6113</v>
      </c>
      <c r="F2472" t="s">
        <v>474</v>
      </c>
      <c r="G2472" t="s">
        <v>475</v>
      </c>
      <c r="I2472" t="s">
        <v>132</v>
      </c>
      <c r="J2472" s="13">
        <v>45986</v>
      </c>
      <c r="K2472" s="13">
        <v>46023</v>
      </c>
      <c r="L2472" t="s">
        <v>444</v>
      </c>
      <c r="M2472" t="s">
        <v>59</v>
      </c>
      <c r="N2472">
        <v>72113783</v>
      </c>
    </row>
    <row r="2473" spans="1:14" x14ac:dyDescent="0.25">
      <c r="A2473">
        <v>58268988</v>
      </c>
      <c r="B2473" t="s">
        <v>1427</v>
      </c>
      <c r="C2473" t="s">
        <v>6114</v>
      </c>
      <c r="D2473" t="s">
        <v>6115</v>
      </c>
      <c r="E2473">
        <v>6024978192</v>
      </c>
      <c r="F2473" t="s">
        <v>1142</v>
      </c>
      <c r="G2473" t="s">
        <v>1143</v>
      </c>
      <c r="I2473" t="s">
        <v>124</v>
      </c>
      <c r="J2473" s="13">
        <v>45981</v>
      </c>
      <c r="K2473" s="13">
        <v>46023</v>
      </c>
      <c r="L2473" t="s">
        <v>1179</v>
      </c>
      <c r="M2473" t="s">
        <v>55</v>
      </c>
      <c r="N2473">
        <v>72114052</v>
      </c>
    </row>
    <row r="2474" spans="1:14" x14ac:dyDescent="0.25">
      <c r="A2474">
        <v>58269582</v>
      </c>
      <c r="B2474" t="s">
        <v>6116</v>
      </c>
      <c r="C2474" t="s">
        <v>4759</v>
      </c>
      <c r="D2474" t="s">
        <v>6117</v>
      </c>
      <c r="E2474">
        <v>6026721706</v>
      </c>
      <c r="F2474" t="s">
        <v>4853</v>
      </c>
      <c r="G2474" t="s">
        <v>5017</v>
      </c>
      <c r="I2474" t="s">
        <v>5018</v>
      </c>
      <c r="J2474" s="13">
        <v>45981</v>
      </c>
      <c r="K2474" s="13">
        <v>46023</v>
      </c>
      <c r="L2474" t="s">
        <v>1179</v>
      </c>
      <c r="M2474" t="s">
        <v>54</v>
      </c>
      <c r="N2474">
        <v>72114416</v>
      </c>
    </row>
    <row r="2475" spans="1:14" x14ac:dyDescent="0.25">
      <c r="A2475">
        <v>58269831</v>
      </c>
      <c r="B2475" t="s">
        <v>6110</v>
      </c>
      <c r="C2475" t="s">
        <v>1535</v>
      </c>
      <c r="D2475" t="s">
        <v>6118</v>
      </c>
      <c r="E2475">
        <v>5208702136</v>
      </c>
      <c r="F2475" t="s">
        <v>842</v>
      </c>
      <c r="G2475" t="s">
        <v>1213</v>
      </c>
      <c r="I2475" t="s">
        <v>1214</v>
      </c>
      <c r="J2475" s="13">
        <v>45981</v>
      </c>
      <c r="K2475" s="13">
        <v>46023</v>
      </c>
      <c r="L2475" t="s">
        <v>1179</v>
      </c>
      <c r="M2475" t="s">
        <v>54</v>
      </c>
      <c r="N2475">
        <v>72114556</v>
      </c>
    </row>
    <row r="2476" spans="1:14" x14ac:dyDescent="0.25">
      <c r="A2476">
        <v>58269883</v>
      </c>
      <c r="B2476" t="s">
        <v>1316</v>
      </c>
      <c r="C2476" t="s">
        <v>6119</v>
      </c>
      <c r="D2476" t="s">
        <v>6120</v>
      </c>
      <c r="E2476">
        <v>8703143903</v>
      </c>
      <c r="F2476" t="s">
        <v>705</v>
      </c>
      <c r="G2476" t="s">
        <v>706</v>
      </c>
      <c r="I2476" t="s">
        <v>12</v>
      </c>
      <c r="J2476" s="13">
        <v>45981</v>
      </c>
      <c r="K2476" s="13">
        <v>46023</v>
      </c>
      <c r="L2476" t="s">
        <v>553</v>
      </c>
      <c r="M2476" t="s">
        <v>56</v>
      </c>
      <c r="N2476">
        <v>72114589</v>
      </c>
    </row>
    <row r="2477" spans="1:14" x14ac:dyDescent="0.25">
      <c r="A2477">
        <v>58270372</v>
      </c>
      <c r="B2477" t="s">
        <v>6121</v>
      </c>
      <c r="C2477" t="s">
        <v>6122</v>
      </c>
      <c r="D2477" t="s">
        <v>6123</v>
      </c>
      <c r="E2477">
        <v>9414652234</v>
      </c>
      <c r="F2477" t="s">
        <v>1345</v>
      </c>
      <c r="G2477" t="s">
        <v>799</v>
      </c>
      <c r="I2477" t="s">
        <v>47</v>
      </c>
      <c r="J2477" s="13">
        <v>45981</v>
      </c>
      <c r="K2477" s="13">
        <v>46023</v>
      </c>
      <c r="L2477" t="s">
        <v>497</v>
      </c>
      <c r="M2477" t="s">
        <v>56</v>
      </c>
      <c r="N2477">
        <v>72114931</v>
      </c>
    </row>
    <row r="2478" spans="1:14" x14ac:dyDescent="0.25">
      <c r="A2478">
        <v>58270427</v>
      </c>
      <c r="B2478" t="s">
        <v>1747</v>
      </c>
      <c r="C2478" t="s">
        <v>6124</v>
      </c>
      <c r="D2478" t="s">
        <v>6125</v>
      </c>
      <c r="E2478">
        <v>4803106865</v>
      </c>
      <c r="F2478" t="s">
        <v>775</v>
      </c>
      <c r="G2478" t="s">
        <v>776</v>
      </c>
      <c r="I2478" t="s">
        <v>22</v>
      </c>
      <c r="J2478" s="13">
        <v>45981</v>
      </c>
      <c r="K2478" s="13">
        <v>46023</v>
      </c>
      <c r="L2478" t="s">
        <v>1179</v>
      </c>
      <c r="M2478" t="s">
        <v>56</v>
      </c>
      <c r="N2478">
        <v>72114948</v>
      </c>
    </row>
    <row r="2479" spans="1:14" x14ac:dyDescent="0.25">
      <c r="A2479">
        <v>58270446</v>
      </c>
      <c r="B2479" t="s">
        <v>672</v>
      </c>
      <c r="C2479" t="s">
        <v>6126</v>
      </c>
      <c r="D2479" t="s">
        <v>6127</v>
      </c>
      <c r="E2479">
        <v>8653852005</v>
      </c>
      <c r="F2479" t="s">
        <v>628</v>
      </c>
      <c r="G2479" t="s">
        <v>629</v>
      </c>
      <c r="I2479" t="s">
        <v>24</v>
      </c>
      <c r="J2479" s="13">
        <v>45981</v>
      </c>
      <c r="K2479" s="13">
        <v>46023</v>
      </c>
      <c r="L2479" t="s">
        <v>479</v>
      </c>
      <c r="M2479" t="s">
        <v>58</v>
      </c>
      <c r="N2479">
        <v>72114960</v>
      </c>
    </row>
    <row r="2480" spans="1:14" x14ac:dyDescent="0.25">
      <c r="A2480">
        <v>58274484</v>
      </c>
      <c r="B2480" t="s">
        <v>6128</v>
      </c>
      <c r="C2480" t="s">
        <v>6129</v>
      </c>
      <c r="D2480" t="s">
        <v>6130</v>
      </c>
      <c r="E2480">
        <v>6186068121</v>
      </c>
      <c r="F2480" t="s">
        <v>474</v>
      </c>
      <c r="G2480" t="s">
        <v>475</v>
      </c>
      <c r="I2480" t="s">
        <v>132</v>
      </c>
      <c r="J2480" s="13">
        <v>45982</v>
      </c>
      <c r="K2480" s="13">
        <v>46023</v>
      </c>
      <c r="L2480" t="s">
        <v>470</v>
      </c>
      <c r="M2480" t="s">
        <v>58</v>
      </c>
      <c r="N2480">
        <v>72171927</v>
      </c>
    </row>
    <row r="2481" spans="1:14" x14ac:dyDescent="0.25">
      <c r="A2481">
        <v>58276520</v>
      </c>
      <c r="B2481" t="s">
        <v>445</v>
      </c>
      <c r="C2481" t="s">
        <v>6131</v>
      </c>
      <c r="D2481" t="s">
        <v>6132</v>
      </c>
      <c r="E2481">
        <v>4807965039</v>
      </c>
      <c r="F2481" t="s">
        <v>416</v>
      </c>
      <c r="G2481" t="s">
        <v>417</v>
      </c>
      <c r="I2481" t="s">
        <v>26</v>
      </c>
      <c r="J2481" s="13">
        <v>45982</v>
      </c>
      <c r="K2481" s="13">
        <v>46023</v>
      </c>
      <c r="L2481" t="s">
        <v>1179</v>
      </c>
      <c r="M2481" t="s">
        <v>54</v>
      </c>
      <c r="N2481">
        <v>72173367</v>
      </c>
    </row>
    <row r="2482" spans="1:14" x14ac:dyDescent="0.25">
      <c r="A2482">
        <v>58276510</v>
      </c>
      <c r="B2482" t="s">
        <v>6133</v>
      </c>
      <c r="C2482" t="s">
        <v>6134</v>
      </c>
      <c r="D2482" t="s">
        <v>6135</v>
      </c>
      <c r="E2482">
        <v>6813446317</v>
      </c>
      <c r="F2482" t="s">
        <v>1013</v>
      </c>
      <c r="G2482" t="s">
        <v>1014</v>
      </c>
      <c r="I2482" t="s">
        <v>43</v>
      </c>
      <c r="J2482" s="13">
        <v>45982</v>
      </c>
      <c r="K2482" s="13">
        <v>46023</v>
      </c>
      <c r="L2482" t="s">
        <v>1188</v>
      </c>
      <c r="M2482" t="s">
        <v>56</v>
      </c>
      <c r="N2482">
        <v>72173376</v>
      </c>
    </row>
    <row r="2483" spans="1:14" x14ac:dyDescent="0.25">
      <c r="A2483">
        <v>58276680</v>
      </c>
      <c r="B2483" t="s">
        <v>6136</v>
      </c>
      <c r="C2483" t="s">
        <v>5484</v>
      </c>
      <c r="D2483" t="s">
        <v>6137</v>
      </c>
      <c r="E2483">
        <v>9044501794</v>
      </c>
      <c r="F2483" t="s">
        <v>775</v>
      </c>
      <c r="G2483" t="s">
        <v>776</v>
      </c>
      <c r="I2483" t="s">
        <v>22</v>
      </c>
      <c r="J2483" s="13">
        <v>45982</v>
      </c>
      <c r="K2483" s="13">
        <v>46023</v>
      </c>
      <c r="L2483" t="s">
        <v>497</v>
      </c>
      <c r="M2483" t="s">
        <v>54</v>
      </c>
      <c r="N2483">
        <v>72173495</v>
      </c>
    </row>
    <row r="2484" spans="1:14" x14ac:dyDescent="0.25">
      <c r="A2484">
        <v>58276970</v>
      </c>
      <c r="B2484" t="s">
        <v>6138</v>
      </c>
      <c r="C2484" t="s">
        <v>1366</v>
      </c>
      <c r="D2484" t="s">
        <v>6139</v>
      </c>
      <c r="E2484" t="s">
        <v>6140</v>
      </c>
      <c r="F2484" t="s">
        <v>474</v>
      </c>
      <c r="G2484" t="s">
        <v>475</v>
      </c>
      <c r="I2484" t="s">
        <v>132</v>
      </c>
      <c r="J2484" s="13">
        <v>45982</v>
      </c>
      <c r="K2484" s="13">
        <v>46023</v>
      </c>
      <c r="L2484" t="s">
        <v>533</v>
      </c>
      <c r="M2484" t="s">
        <v>56</v>
      </c>
      <c r="N2484">
        <v>72173683</v>
      </c>
    </row>
    <row r="2485" spans="1:14" x14ac:dyDescent="0.25">
      <c r="A2485">
        <v>58278974</v>
      </c>
      <c r="B2485" t="s">
        <v>6141</v>
      </c>
      <c r="C2485" t="s">
        <v>2258</v>
      </c>
      <c r="D2485" t="s">
        <v>6142</v>
      </c>
      <c r="E2485">
        <v>6893154242</v>
      </c>
      <c r="F2485" t="s">
        <v>780</v>
      </c>
      <c r="G2485" t="s">
        <v>781</v>
      </c>
      <c r="I2485" t="s">
        <v>20</v>
      </c>
      <c r="J2485" s="13">
        <v>45982</v>
      </c>
      <c r="K2485" s="13">
        <v>46023</v>
      </c>
      <c r="L2485" t="s">
        <v>497</v>
      </c>
      <c r="M2485" t="s">
        <v>56</v>
      </c>
      <c r="N2485">
        <v>72174739</v>
      </c>
    </row>
    <row r="2486" spans="1:14" x14ac:dyDescent="0.25">
      <c r="A2486">
        <v>58278450</v>
      </c>
      <c r="B2486" t="s">
        <v>4133</v>
      </c>
      <c r="C2486" t="s">
        <v>2939</v>
      </c>
      <c r="D2486" t="s">
        <v>6143</v>
      </c>
      <c r="E2486">
        <v>9042350062</v>
      </c>
      <c r="F2486" t="s">
        <v>423</v>
      </c>
      <c r="G2486" t="s">
        <v>424</v>
      </c>
      <c r="I2486" t="s">
        <v>46</v>
      </c>
      <c r="J2486" s="13">
        <v>45982</v>
      </c>
      <c r="K2486" s="13">
        <v>46023</v>
      </c>
      <c r="L2486" t="s">
        <v>497</v>
      </c>
      <c r="M2486" t="s">
        <v>54</v>
      </c>
      <c r="N2486">
        <v>72174780</v>
      </c>
    </row>
    <row r="2487" spans="1:14" x14ac:dyDescent="0.25">
      <c r="A2487">
        <v>58284187</v>
      </c>
      <c r="B2487" t="s">
        <v>1547</v>
      </c>
      <c r="C2487" t="s">
        <v>2020</v>
      </c>
      <c r="D2487" t="s">
        <v>6144</v>
      </c>
      <c r="E2487">
        <v>7722006184</v>
      </c>
      <c r="F2487" t="s">
        <v>474</v>
      </c>
      <c r="G2487" t="s">
        <v>475</v>
      </c>
      <c r="I2487" t="s">
        <v>132</v>
      </c>
      <c r="J2487" s="13">
        <v>45982</v>
      </c>
      <c r="K2487" s="13">
        <v>46023</v>
      </c>
      <c r="L2487" t="s">
        <v>497</v>
      </c>
      <c r="M2487" t="s">
        <v>56</v>
      </c>
      <c r="N2487">
        <v>72179555</v>
      </c>
    </row>
    <row r="2488" spans="1:14" x14ac:dyDescent="0.25">
      <c r="A2488">
        <v>58284313</v>
      </c>
      <c r="B2488" t="s">
        <v>622</v>
      </c>
      <c r="C2488" t="s">
        <v>2544</v>
      </c>
      <c r="D2488" t="s">
        <v>6145</v>
      </c>
      <c r="E2488">
        <v>9407997714</v>
      </c>
      <c r="F2488" t="s">
        <v>448</v>
      </c>
      <c r="G2488" t="s">
        <v>449</v>
      </c>
      <c r="I2488" t="s">
        <v>31</v>
      </c>
      <c r="J2488" s="13">
        <v>45982</v>
      </c>
      <c r="K2488" s="13">
        <v>46023</v>
      </c>
      <c r="L2488" t="s">
        <v>444</v>
      </c>
      <c r="M2488" t="s">
        <v>55</v>
      </c>
      <c r="N2488">
        <v>72179629</v>
      </c>
    </row>
    <row r="2489" spans="1:14" x14ac:dyDescent="0.25">
      <c r="A2489">
        <v>58284693</v>
      </c>
      <c r="B2489" t="s">
        <v>2269</v>
      </c>
      <c r="C2489" t="s">
        <v>957</v>
      </c>
      <c r="D2489" t="s">
        <v>6146</v>
      </c>
      <c r="E2489">
        <v>4792879973</v>
      </c>
      <c r="F2489" t="s">
        <v>1013</v>
      </c>
      <c r="G2489" t="s">
        <v>1014</v>
      </c>
      <c r="I2489" t="s">
        <v>43</v>
      </c>
      <c r="J2489" s="13">
        <v>45982</v>
      </c>
      <c r="K2489" s="13">
        <v>46023</v>
      </c>
      <c r="L2489" t="s">
        <v>553</v>
      </c>
      <c r="M2489" t="s">
        <v>56</v>
      </c>
      <c r="N2489">
        <v>72179868</v>
      </c>
    </row>
    <row r="2490" spans="1:14" x14ac:dyDescent="0.25">
      <c r="A2490">
        <v>58285533</v>
      </c>
      <c r="B2490" t="s">
        <v>2323</v>
      </c>
      <c r="C2490" t="s">
        <v>766</v>
      </c>
      <c r="D2490" t="s">
        <v>6147</v>
      </c>
      <c r="E2490">
        <v>7706896195</v>
      </c>
      <c r="F2490" t="s">
        <v>770</v>
      </c>
      <c r="G2490" t="s">
        <v>771</v>
      </c>
      <c r="I2490" t="s">
        <v>25</v>
      </c>
      <c r="J2490" s="13">
        <v>45982</v>
      </c>
      <c r="K2490" s="13">
        <v>46023</v>
      </c>
      <c r="L2490" t="s">
        <v>621</v>
      </c>
      <c r="M2490" t="s">
        <v>61</v>
      </c>
      <c r="N2490">
        <v>72180497</v>
      </c>
    </row>
    <row r="2491" spans="1:14" x14ac:dyDescent="0.25">
      <c r="A2491">
        <v>58287681</v>
      </c>
      <c r="B2491" t="s">
        <v>6148</v>
      </c>
      <c r="C2491" t="s">
        <v>2678</v>
      </c>
      <c r="D2491" t="s">
        <v>6149</v>
      </c>
      <c r="E2491">
        <v>9108496316</v>
      </c>
      <c r="F2491" t="s">
        <v>957</v>
      </c>
      <c r="G2491" t="s">
        <v>958</v>
      </c>
      <c r="H2491" t="s">
        <v>959</v>
      </c>
      <c r="I2491" t="s">
        <v>960</v>
      </c>
      <c r="J2491" s="13">
        <v>45982</v>
      </c>
      <c r="K2491" s="13">
        <v>46023</v>
      </c>
      <c r="L2491" t="s">
        <v>603</v>
      </c>
      <c r="M2491" t="s">
        <v>58</v>
      </c>
      <c r="N2491">
        <v>72180586</v>
      </c>
    </row>
    <row r="2492" spans="1:14" x14ac:dyDescent="0.25">
      <c r="A2492">
        <v>58285754</v>
      </c>
      <c r="B2492" t="s">
        <v>6150</v>
      </c>
      <c r="C2492" t="s">
        <v>6151</v>
      </c>
      <c r="D2492" t="s">
        <v>6152</v>
      </c>
      <c r="E2492">
        <v>9417261630</v>
      </c>
      <c r="F2492" t="s">
        <v>628</v>
      </c>
      <c r="G2492" t="s">
        <v>629</v>
      </c>
      <c r="I2492" t="s">
        <v>24</v>
      </c>
      <c r="J2492" s="13">
        <v>45982</v>
      </c>
      <c r="K2492" s="13">
        <v>46023</v>
      </c>
      <c r="L2492" t="s">
        <v>497</v>
      </c>
      <c r="M2492" t="s">
        <v>58</v>
      </c>
      <c r="N2492">
        <v>72180676</v>
      </c>
    </row>
    <row r="2493" spans="1:14" x14ac:dyDescent="0.25">
      <c r="A2493">
        <v>58286340</v>
      </c>
      <c r="B2493" t="s">
        <v>6153</v>
      </c>
      <c r="C2493" t="s">
        <v>6154</v>
      </c>
      <c r="D2493" t="s">
        <v>6155</v>
      </c>
      <c r="E2493">
        <v>2145381146</v>
      </c>
      <c r="F2493" t="s">
        <v>798</v>
      </c>
      <c r="G2493" t="s">
        <v>799</v>
      </c>
      <c r="I2493" t="s">
        <v>800</v>
      </c>
      <c r="J2493" s="13">
        <v>45982</v>
      </c>
      <c r="K2493" s="13">
        <v>46023</v>
      </c>
      <c r="L2493" t="s">
        <v>444</v>
      </c>
      <c r="M2493" t="s">
        <v>55</v>
      </c>
      <c r="N2493">
        <v>72181180</v>
      </c>
    </row>
    <row r="2494" spans="1:14" x14ac:dyDescent="0.25">
      <c r="A2494">
        <v>58287053</v>
      </c>
      <c r="B2494" t="s">
        <v>951</v>
      </c>
      <c r="C2494" t="s">
        <v>3440</v>
      </c>
      <c r="D2494" t="s">
        <v>6156</v>
      </c>
      <c r="E2494" t="s">
        <v>6157</v>
      </c>
      <c r="F2494" t="s">
        <v>842</v>
      </c>
      <c r="G2494" t="s">
        <v>1213</v>
      </c>
      <c r="I2494" t="s">
        <v>1214</v>
      </c>
      <c r="J2494" s="13">
        <v>45982</v>
      </c>
      <c r="K2494" s="13">
        <v>46023</v>
      </c>
      <c r="L2494" t="s">
        <v>1179</v>
      </c>
      <c r="M2494" t="s">
        <v>54</v>
      </c>
      <c r="N2494">
        <v>72181801</v>
      </c>
    </row>
    <row r="2495" spans="1:14" x14ac:dyDescent="0.25">
      <c r="A2495">
        <v>58287741</v>
      </c>
      <c r="B2495" t="s">
        <v>6158</v>
      </c>
      <c r="C2495" t="s">
        <v>2513</v>
      </c>
      <c r="D2495" t="s">
        <v>6159</v>
      </c>
      <c r="E2495">
        <v>5619063406</v>
      </c>
      <c r="F2495" t="s">
        <v>416</v>
      </c>
      <c r="G2495" t="s">
        <v>417</v>
      </c>
      <c r="I2495" t="s">
        <v>26</v>
      </c>
      <c r="J2495" s="13">
        <v>45982</v>
      </c>
      <c r="K2495" s="13">
        <v>46023</v>
      </c>
      <c r="L2495" t="s">
        <v>497</v>
      </c>
      <c r="M2495" t="s">
        <v>56</v>
      </c>
      <c r="N2495">
        <v>72182144</v>
      </c>
    </row>
    <row r="2496" spans="1:14" x14ac:dyDescent="0.25">
      <c r="A2496">
        <v>58287537</v>
      </c>
      <c r="B2496" t="s">
        <v>6160</v>
      </c>
      <c r="C2496" t="s">
        <v>515</v>
      </c>
      <c r="D2496" t="s">
        <v>6161</v>
      </c>
      <c r="E2496">
        <v>3369205147</v>
      </c>
      <c r="F2496" t="s">
        <v>1067</v>
      </c>
      <c r="G2496" t="s">
        <v>1068</v>
      </c>
      <c r="I2496" t="s">
        <v>35</v>
      </c>
      <c r="J2496" s="13">
        <v>45982</v>
      </c>
      <c r="K2496" s="13">
        <v>46023</v>
      </c>
      <c r="L2496" t="s">
        <v>603</v>
      </c>
      <c r="M2496" t="s">
        <v>59</v>
      </c>
      <c r="N2496">
        <v>72182221</v>
      </c>
    </row>
    <row r="2497" spans="1:14" x14ac:dyDescent="0.25">
      <c r="A2497">
        <v>58287870</v>
      </c>
      <c r="B2497" t="s">
        <v>702</v>
      </c>
      <c r="C2497" t="s">
        <v>4840</v>
      </c>
      <c r="D2497" t="s">
        <v>6162</v>
      </c>
      <c r="E2497">
        <v>7275640957</v>
      </c>
      <c r="F2497" t="s">
        <v>775</v>
      </c>
      <c r="G2497" t="s">
        <v>776</v>
      </c>
      <c r="I2497" t="s">
        <v>22</v>
      </c>
      <c r="J2497" s="13">
        <v>45982</v>
      </c>
      <c r="K2497" s="13">
        <v>46023</v>
      </c>
      <c r="L2497" t="s">
        <v>497</v>
      </c>
      <c r="M2497" t="s">
        <v>54</v>
      </c>
      <c r="N2497">
        <v>72182491</v>
      </c>
    </row>
    <row r="2498" spans="1:14" x14ac:dyDescent="0.25">
      <c r="A2498">
        <v>58288445</v>
      </c>
      <c r="B2498" t="s">
        <v>4128</v>
      </c>
      <c r="C2498" t="s">
        <v>2631</v>
      </c>
      <c r="D2498" t="s">
        <v>6163</v>
      </c>
      <c r="E2498">
        <v>6024631231</v>
      </c>
      <c r="F2498" t="s">
        <v>4853</v>
      </c>
      <c r="G2498" t="s">
        <v>5017</v>
      </c>
      <c r="I2498" t="s">
        <v>5018</v>
      </c>
      <c r="J2498" s="13">
        <v>45982</v>
      </c>
      <c r="K2498" s="13">
        <v>46023</v>
      </c>
      <c r="L2498" t="s">
        <v>1179</v>
      </c>
      <c r="M2498" t="s">
        <v>54</v>
      </c>
      <c r="N2498">
        <v>72182927</v>
      </c>
    </row>
    <row r="2499" spans="1:14" x14ac:dyDescent="0.25">
      <c r="A2499">
        <v>58291625</v>
      </c>
      <c r="B2499" t="s">
        <v>2920</v>
      </c>
      <c r="C2499" t="s">
        <v>6164</v>
      </c>
      <c r="D2499" t="s">
        <v>6165</v>
      </c>
      <c r="E2499">
        <v>9047044661</v>
      </c>
      <c r="F2499" t="s">
        <v>423</v>
      </c>
      <c r="G2499" t="s">
        <v>424</v>
      </c>
      <c r="I2499" t="s">
        <v>46</v>
      </c>
      <c r="J2499" s="13">
        <v>45982</v>
      </c>
      <c r="K2499" s="13">
        <v>46023</v>
      </c>
      <c r="L2499" t="s">
        <v>497</v>
      </c>
      <c r="M2499" t="s">
        <v>58</v>
      </c>
      <c r="N2499">
        <v>72184725</v>
      </c>
    </row>
    <row r="2500" spans="1:14" x14ac:dyDescent="0.25">
      <c r="A2500">
        <v>58291326</v>
      </c>
      <c r="B2500" t="s">
        <v>1370</v>
      </c>
      <c r="C2500" t="s">
        <v>6166</v>
      </c>
      <c r="D2500" t="s">
        <v>6167</v>
      </c>
      <c r="E2500">
        <v>9017243249</v>
      </c>
      <c r="F2500" t="s">
        <v>815</v>
      </c>
      <c r="G2500" t="s">
        <v>816</v>
      </c>
      <c r="I2500" t="s">
        <v>23</v>
      </c>
      <c r="J2500" s="13">
        <v>45982</v>
      </c>
      <c r="K2500" s="13">
        <v>46023</v>
      </c>
      <c r="L2500" t="s">
        <v>450</v>
      </c>
      <c r="M2500" t="s">
        <v>60</v>
      </c>
      <c r="N2500">
        <v>72185028</v>
      </c>
    </row>
    <row r="2501" spans="1:14" x14ac:dyDescent="0.25">
      <c r="A2501">
        <v>58293693</v>
      </c>
      <c r="B2501" t="s">
        <v>1118</v>
      </c>
      <c r="C2501" t="s">
        <v>6168</v>
      </c>
      <c r="D2501" t="s">
        <v>6169</v>
      </c>
      <c r="E2501">
        <v>8634442969</v>
      </c>
      <c r="F2501" t="s">
        <v>1142</v>
      </c>
      <c r="G2501" t="s">
        <v>1143</v>
      </c>
      <c r="I2501" t="s">
        <v>124</v>
      </c>
      <c r="J2501" s="13">
        <v>45982</v>
      </c>
      <c r="K2501" s="13">
        <v>46023</v>
      </c>
      <c r="L2501" t="s">
        <v>497</v>
      </c>
      <c r="M2501" t="s">
        <v>58</v>
      </c>
      <c r="N2501">
        <v>72186872</v>
      </c>
    </row>
    <row r="2502" spans="1:14" x14ac:dyDescent="0.25">
      <c r="A2502">
        <v>58295971</v>
      </c>
      <c r="B2502" t="s">
        <v>6170</v>
      </c>
      <c r="C2502" t="s">
        <v>6171</v>
      </c>
      <c r="D2502" t="s">
        <v>6172</v>
      </c>
      <c r="E2502">
        <v>9417923065</v>
      </c>
      <c r="F2502" t="s">
        <v>423</v>
      </c>
      <c r="G2502" t="s">
        <v>424</v>
      </c>
      <c r="I2502" t="s">
        <v>46</v>
      </c>
      <c r="J2502" s="13">
        <v>45982</v>
      </c>
      <c r="K2502" s="13">
        <v>46023</v>
      </c>
      <c r="L2502" t="s">
        <v>497</v>
      </c>
      <c r="M2502" t="s">
        <v>54</v>
      </c>
      <c r="N2502">
        <v>72188469</v>
      </c>
    </row>
    <row r="2503" spans="1:14" x14ac:dyDescent="0.25">
      <c r="A2503">
        <v>58296134</v>
      </c>
      <c r="B2503" t="s">
        <v>6173</v>
      </c>
      <c r="C2503" t="s">
        <v>1950</v>
      </c>
      <c r="D2503" t="s">
        <v>6174</v>
      </c>
      <c r="E2503">
        <v>8648263826</v>
      </c>
      <c r="F2503" t="s">
        <v>1013</v>
      </c>
      <c r="G2503" t="s">
        <v>1014</v>
      </c>
      <c r="I2503" t="s">
        <v>43</v>
      </c>
      <c r="J2503" s="13">
        <v>45982</v>
      </c>
      <c r="K2503" s="13">
        <v>46023</v>
      </c>
      <c r="L2503" t="s">
        <v>533</v>
      </c>
      <c r="M2503" t="s">
        <v>61</v>
      </c>
      <c r="N2503">
        <v>72188710</v>
      </c>
    </row>
    <row r="2504" spans="1:14" x14ac:dyDescent="0.25">
      <c r="A2504">
        <v>58298255</v>
      </c>
      <c r="B2504" t="s">
        <v>6175</v>
      </c>
      <c r="C2504" t="s">
        <v>4669</v>
      </c>
      <c r="D2504" t="s">
        <v>6176</v>
      </c>
      <c r="E2504" t="s">
        <v>6177</v>
      </c>
      <c r="F2504" t="s">
        <v>416</v>
      </c>
      <c r="G2504" t="s">
        <v>417</v>
      </c>
      <c r="I2504" t="s">
        <v>26</v>
      </c>
      <c r="J2504" s="13">
        <v>45982</v>
      </c>
      <c r="K2504" s="13">
        <v>46023</v>
      </c>
      <c r="L2504" t="s">
        <v>497</v>
      </c>
      <c r="M2504" t="s">
        <v>58</v>
      </c>
      <c r="N2504">
        <v>72189849</v>
      </c>
    </row>
    <row r="2505" spans="1:14" x14ac:dyDescent="0.25">
      <c r="A2505">
        <v>58298557</v>
      </c>
      <c r="B2505" t="s">
        <v>2238</v>
      </c>
      <c r="C2505" t="s">
        <v>2712</v>
      </c>
      <c r="D2505" t="s">
        <v>6178</v>
      </c>
      <c r="E2505">
        <v>8133569492</v>
      </c>
      <c r="F2505" t="s">
        <v>448</v>
      </c>
      <c r="G2505" t="s">
        <v>449</v>
      </c>
      <c r="I2505" t="s">
        <v>31</v>
      </c>
      <c r="J2505" s="13">
        <v>45982</v>
      </c>
      <c r="K2505" s="13">
        <v>46023</v>
      </c>
      <c r="L2505" t="s">
        <v>497</v>
      </c>
      <c r="M2505" t="s">
        <v>54</v>
      </c>
      <c r="N2505">
        <v>72190296</v>
      </c>
    </row>
    <row r="2506" spans="1:14" x14ac:dyDescent="0.25">
      <c r="A2506">
        <v>58298641</v>
      </c>
      <c r="B2506" t="s">
        <v>431</v>
      </c>
      <c r="C2506" t="s">
        <v>1292</v>
      </c>
      <c r="D2506" t="s">
        <v>6179</v>
      </c>
      <c r="E2506">
        <v>3526476642</v>
      </c>
      <c r="F2506" t="s">
        <v>1067</v>
      </c>
      <c r="G2506" t="s">
        <v>1068</v>
      </c>
      <c r="I2506" t="s">
        <v>35</v>
      </c>
      <c r="J2506" s="13">
        <v>45982</v>
      </c>
      <c r="K2506" s="13">
        <v>46023</v>
      </c>
      <c r="L2506" t="s">
        <v>497</v>
      </c>
      <c r="M2506" t="s">
        <v>58</v>
      </c>
      <c r="N2506">
        <v>72190330</v>
      </c>
    </row>
    <row r="2507" spans="1:14" x14ac:dyDescent="0.25">
      <c r="A2507">
        <v>58298730</v>
      </c>
      <c r="B2507" t="s">
        <v>1316</v>
      </c>
      <c r="C2507" t="s">
        <v>6180</v>
      </c>
      <c r="D2507" t="s">
        <v>6181</v>
      </c>
      <c r="E2507">
        <v>5015045782</v>
      </c>
      <c r="F2507" t="s">
        <v>649</v>
      </c>
      <c r="G2507" t="s">
        <v>650</v>
      </c>
      <c r="I2507" t="s">
        <v>28</v>
      </c>
      <c r="J2507" s="13">
        <v>45982</v>
      </c>
      <c r="K2507" s="13">
        <v>46023</v>
      </c>
      <c r="L2507" t="s">
        <v>553</v>
      </c>
      <c r="M2507" t="s">
        <v>56</v>
      </c>
      <c r="N2507">
        <v>72190370</v>
      </c>
    </row>
    <row r="2508" spans="1:14" x14ac:dyDescent="0.25">
      <c r="A2508">
        <v>58299070</v>
      </c>
      <c r="B2508" t="s">
        <v>6182</v>
      </c>
      <c r="C2508" t="s">
        <v>6183</v>
      </c>
      <c r="D2508" t="s">
        <v>6184</v>
      </c>
      <c r="E2508">
        <v>3348938451</v>
      </c>
      <c r="F2508" t="s">
        <v>790</v>
      </c>
      <c r="G2508" t="s">
        <v>791</v>
      </c>
      <c r="I2508" t="s">
        <v>119</v>
      </c>
      <c r="J2508" s="13">
        <v>45982</v>
      </c>
      <c r="K2508" s="13">
        <v>46023</v>
      </c>
      <c r="L2508" t="s">
        <v>450</v>
      </c>
      <c r="M2508" t="s">
        <v>58</v>
      </c>
      <c r="N2508">
        <v>72190475</v>
      </c>
    </row>
    <row r="2509" spans="1:14" x14ac:dyDescent="0.25">
      <c r="A2509">
        <v>58299217</v>
      </c>
      <c r="B2509" t="s">
        <v>4139</v>
      </c>
      <c r="C2509" t="s">
        <v>6185</v>
      </c>
      <c r="D2509" t="s">
        <v>6186</v>
      </c>
      <c r="E2509">
        <v>8706373361</v>
      </c>
      <c r="F2509" t="s">
        <v>628</v>
      </c>
      <c r="G2509" t="s">
        <v>629</v>
      </c>
      <c r="I2509" t="s">
        <v>24</v>
      </c>
      <c r="J2509" s="13">
        <v>45982</v>
      </c>
      <c r="K2509" s="13">
        <v>46023</v>
      </c>
      <c r="L2509" t="s">
        <v>553</v>
      </c>
      <c r="M2509" t="s">
        <v>58</v>
      </c>
      <c r="N2509">
        <v>72190545</v>
      </c>
    </row>
    <row r="2510" spans="1:14" x14ac:dyDescent="0.25">
      <c r="A2510">
        <v>58300831</v>
      </c>
      <c r="B2510" t="s">
        <v>6187</v>
      </c>
      <c r="C2510" t="s">
        <v>2978</v>
      </c>
      <c r="D2510" t="s">
        <v>6188</v>
      </c>
      <c r="E2510">
        <v>2058109777</v>
      </c>
      <c r="F2510" t="s">
        <v>615</v>
      </c>
      <c r="G2510" t="s">
        <v>616</v>
      </c>
      <c r="I2510" t="s">
        <v>617</v>
      </c>
      <c r="J2510" s="13">
        <v>45982</v>
      </c>
      <c r="K2510" s="13">
        <v>46023</v>
      </c>
      <c r="L2510" t="s">
        <v>450</v>
      </c>
      <c r="M2510" t="s">
        <v>59</v>
      </c>
      <c r="N2510">
        <v>72191539</v>
      </c>
    </row>
    <row r="2511" spans="1:14" x14ac:dyDescent="0.25">
      <c r="A2511">
        <v>58300871</v>
      </c>
      <c r="B2511" t="s">
        <v>1089</v>
      </c>
      <c r="C2511" t="s">
        <v>564</v>
      </c>
      <c r="D2511" t="s">
        <v>6189</v>
      </c>
      <c r="E2511">
        <v>2562801055</v>
      </c>
      <c r="F2511" t="s">
        <v>1013</v>
      </c>
      <c r="G2511" t="s">
        <v>1014</v>
      </c>
      <c r="I2511" t="s">
        <v>43</v>
      </c>
      <c r="J2511" s="13">
        <v>45982</v>
      </c>
      <c r="K2511" s="13">
        <v>46023</v>
      </c>
      <c r="L2511" t="s">
        <v>450</v>
      </c>
      <c r="M2511" t="s">
        <v>59</v>
      </c>
      <c r="N2511">
        <v>72191573</v>
      </c>
    </row>
    <row r="2512" spans="1:14" x14ac:dyDescent="0.25">
      <c r="A2512">
        <v>58305581</v>
      </c>
      <c r="B2512" t="s">
        <v>2036</v>
      </c>
      <c r="C2512" t="s">
        <v>6190</v>
      </c>
      <c r="D2512" t="s">
        <v>6191</v>
      </c>
      <c r="E2512">
        <v>7272884828</v>
      </c>
      <c r="F2512" t="s">
        <v>448</v>
      </c>
      <c r="G2512" t="s">
        <v>449</v>
      </c>
      <c r="I2512" t="s">
        <v>31</v>
      </c>
      <c r="J2512" s="13">
        <v>45982</v>
      </c>
      <c r="K2512" s="13">
        <v>46023</v>
      </c>
      <c r="L2512" t="s">
        <v>497</v>
      </c>
      <c r="M2512" t="s">
        <v>56</v>
      </c>
      <c r="N2512">
        <v>72194310</v>
      </c>
    </row>
    <row r="2513" spans="1:14" x14ac:dyDescent="0.25">
      <c r="A2513">
        <v>58305648</v>
      </c>
      <c r="B2513" t="s">
        <v>2341</v>
      </c>
      <c r="C2513" t="s">
        <v>6192</v>
      </c>
      <c r="D2513" t="s">
        <v>6193</v>
      </c>
      <c r="E2513">
        <v>4233674901</v>
      </c>
      <c r="F2513" t="s">
        <v>770</v>
      </c>
      <c r="G2513" t="s">
        <v>771</v>
      </c>
      <c r="I2513" t="s">
        <v>25</v>
      </c>
      <c r="J2513" s="13">
        <v>45982</v>
      </c>
      <c r="K2513" s="13">
        <v>46023</v>
      </c>
      <c r="L2513" t="s">
        <v>479</v>
      </c>
      <c r="M2513" t="s">
        <v>59</v>
      </c>
      <c r="N2513">
        <v>72194341</v>
      </c>
    </row>
    <row r="2514" spans="1:14" x14ac:dyDescent="0.25">
      <c r="A2514">
        <v>58306435</v>
      </c>
      <c r="B2514" t="s">
        <v>458</v>
      </c>
      <c r="C2514" t="s">
        <v>1917</v>
      </c>
      <c r="D2514" t="s">
        <v>6194</v>
      </c>
      <c r="E2514">
        <v>4789541820</v>
      </c>
      <c r="F2514" t="s">
        <v>1003</v>
      </c>
      <c r="G2514" t="s">
        <v>1004</v>
      </c>
      <c r="I2514" t="s">
        <v>89</v>
      </c>
      <c r="J2514" s="13">
        <v>45982</v>
      </c>
      <c r="K2514" s="13">
        <v>46023</v>
      </c>
      <c r="L2514" t="s">
        <v>621</v>
      </c>
      <c r="M2514" t="s">
        <v>59</v>
      </c>
      <c r="N2514">
        <v>72195341</v>
      </c>
    </row>
    <row r="2515" spans="1:14" x14ac:dyDescent="0.25">
      <c r="A2515">
        <v>58307569</v>
      </c>
      <c r="B2515" t="s">
        <v>1663</v>
      </c>
      <c r="C2515" t="s">
        <v>2697</v>
      </c>
      <c r="D2515" t="s">
        <v>6195</v>
      </c>
      <c r="E2515">
        <v>5206758725</v>
      </c>
      <c r="F2515" t="s">
        <v>4853</v>
      </c>
      <c r="G2515" t="s">
        <v>5017</v>
      </c>
      <c r="I2515" t="s">
        <v>5018</v>
      </c>
      <c r="J2515" s="13">
        <v>45982</v>
      </c>
      <c r="K2515" s="13">
        <v>46023</v>
      </c>
      <c r="L2515" t="s">
        <v>1179</v>
      </c>
      <c r="M2515" t="s">
        <v>54</v>
      </c>
      <c r="N2515">
        <v>72196823</v>
      </c>
    </row>
    <row r="2516" spans="1:14" x14ac:dyDescent="0.25">
      <c r="A2516">
        <v>58309649</v>
      </c>
      <c r="B2516" t="s">
        <v>1789</v>
      </c>
      <c r="C2516" t="s">
        <v>6196</v>
      </c>
      <c r="D2516" t="s">
        <v>6197</v>
      </c>
      <c r="E2516">
        <v>6027310324</v>
      </c>
      <c r="F2516" t="s">
        <v>821</v>
      </c>
      <c r="G2516" t="s">
        <v>822</v>
      </c>
      <c r="I2516" t="s">
        <v>823</v>
      </c>
      <c r="J2516" s="13">
        <v>45982</v>
      </c>
      <c r="K2516" s="13">
        <v>46023</v>
      </c>
      <c r="L2516" t="s">
        <v>1179</v>
      </c>
      <c r="M2516" t="s">
        <v>58</v>
      </c>
      <c r="N2516">
        <v>72198193</v>
      </c>
    </row>
    <row r="2517" spans="1:14" x14ac:dyDescent="0.25">
      <c r="A2517">
        <v>58310152</v>
      </c>
      <c r="B2517" t="s">
        <v>1041</v>
      </c>
      <c r="C2517" t="s">
        <v>6198</v>
      </c>
      <c r="D2517" t="s">
        <v>6199</v>
      </c>
      <c r="E2517">
        <v>9542189116</v>
      </c>
      <c r="F2517" t="s">
        <v>423</v>
      </c>
      <c r="G2517" t="s">
        <v>424</v>
      </c>
      <c r="I2517" t="s">
        <v>46</v>
      </c>
      <c r="J2517" s="13">
        <v>45982</v>
      </c>
      <c r="K2517" s="13">
        <v>46023</v>
      </c>
      <c r="L2517" t="s">
        <v>497</v>
      </c>
      <c r="M2517" t="s">
        <v>54</v>
      </c>
      <c r="N2517">
        <v>72198379</v>
      </c>
    </row>
    <row r="2518" spans="1:14" x14ac:dyDescent="0.25">
      <c r="A2518">
        <v>58310472</v>
      </c>
      <c r="B2518" t="s">
        <v>6200</v>
      </c>
      <c r="C2518" t="s">
        <v>1585</v>
      </c>
      <c r="D2518" t="s">
        <v>6201</v>
      </c>
      <c r="E2518">
        <v>9546825308</v>
      </c>
      <c r="F2518" t="s">
        <v>569</v>
      </c>
      <c r="G2518" t="s">
        <v>570</v>
      </c>
      <c r="I2518" t="s">
        <v>34</v>
      </c>
      <c r="J2518" s="13">
        <v>45982</v>
      </c>
      <c r="K2518" s="13">
        <v>46023</v>
      </c>
      <c r="L2518" t="s">
        <v>497</v>
      </c>
      <c r="M2518" t="s">
        <v>54</v>
      </c>
      <c r="N2518">
        <v>72198549</v>
      </c>
    </row>
    <row r="2519" spans="1:14" x14ac:dyDescent="0.25">
      <c r="A2519">
        <v>58310480</v>
      </c>
      <c r="B2519" t="s">
        <v>431</v>
      </c>
      <c r="C2519" t="s">
        <v>6202</v>
      </c>
      <c r="D2519" t="s">
        <v>6203</v>
      </c>
      <c r="E2519">
        <v>8158716737</v>
      </c>
      <c r="F2519" t="s">
        <v>574</v>
      </c>
      <c r="G2519" t="s">
        <v>575</v>
      </c>
      <c r="I2519" t="s">
        <v>14</v>
      </c>
      <c r="J2519" s="13">
        <v>45982</v>
      </c>
      <c r="K2519" s="13">
        <v>46023</v>
      </c>
      <c r="L2519" t="s">
        <v>470</v>
      </c>
      <c r="M2519" t="s">
        <v>62</v>
      </c>
      <c r="N2519">
        <v>72198558</v>
      </c>
    </row>
    <row r="2520" spans="1:14" x14ac:dyDescent="0.25">
      <c r="A2520">
        <v>58310734</v>
      </c>
      <c r="B2520" t="s">
        <v>748</v>
      </c>
      <c r="C2520" t="s">
        <v>6204</v>
      </c>
      <c r="D2520" t="s">
        <v>6205</v>
      </c>
      <c r="E2520">
        <v>3043121491</v>
      </c>
      <c r="F2520" t="s">
        <v>790</v>
      </c>
      <c r="G2520" t="s">
        <v>791</v>
      </c>
      <c r="I2520" t="s">
        <v>119</v>
      </c>
      <c r="J2520" s="13">
        <v>45982</v>
      </c>
      <c r="K2520" s="13">
        <v>46023</v>
      </c>
      <c r="L2520" t="s">
        <v>1188</v>
      </c>
      <c r="M2520" t="s">
        <v>56</v>
      </c>
      <c r="N2520">
        <v>72198704</v>
      </c>
    </row>
    <row r="2521" spans="1:14" x14ac:dyDescent="0.25">
      <c r="A2521">
        <v>58310905</v>
      </c>
      <c r="B2521" t="s">
        <v>1991</v>
      </c>
      <c r="C2521" t="s">
        <v>6206</v>
      </c>
      <c r="D2521" t="s">
        <v>6207</v>
      </c>
      <c r="E2521">
        <v>8134414926</v>
      </c>
      <c r="F2521" t="s">
        <v>448</v>
      </c>
      <c r="G2521" t="s">
        <v>449</v>
      </c>
      <c r="I2521" t="s">
        <v>31</v>
      </c>
      <c r="J2521" s="13">
        <v>45982</v>
      </c>
      <c r="K2521" s="13">
        <v>46023</v>
      </c>
      <c r="L2521" t="s">
        <v>497</v>
      </c>
      <c r="M2521" t="s">
        <v>56</v>
      </c>
      <c r="N2521">
        <v>72198833</v>
      </c>
    </row>
    <row r="2522" spans="1:14" x14ac:dyDescent="0.25">
      <c r="A2522">
        <v>58311209</v>
      </c>
      <c r="B2522" t="s">
        <v>1041</v>
      </c>
      <c r="C2522" t="s">
        <v>3177</v>
      </c>
      <c r="D2522" t="s">
        <v>6208</v>
      </c>
      <c r="E2522">
        <v>7062449044</v>
      </c>
      <c r="F2522" t="s">
        <v>1142</v>
      </c>
      <c r="G2522" t="s">
        <v>1143</v>
      </c>
      <c r="I2522" t="s">
        <v>124</v>
      </c>
      <c r="J2522" s="13">
        <v>45982</v>
      </c>
      <c r="K2522" s="13">
        <v>46023</v>
      </c>
      <c r="L2522" t="s">
        <v>621</v>
      </c>
      <c r="M2522" t="s">
        <v>59</v>
      </c>
      <c r="N2522">
        <v>72199021</v>
      </c>
    </row>
    <row r="2523" spans="1:14" x14ac:dyDescent="0.25">
      <c r="A2523">
        <v>58311829</v>
      </c>
      <c r="B2523" t="s">
        <v>2263</v>
      </c>
      <c r="C2523" t="s">
        <v>6126</v>
      </c>
      <c r="D2523" t="s">
        <v>6209</v>
      </c>
      <c r="E2523">
        <v>8653867055</v>
      </c>
      <c r="F2523" t="s">
        <v>628</v>
      </c>
      <c r="G2523" t="s">
        <v>629</v>
      </c>
      <c r="I2523" t="s">
        <v>24</v>
      </c>
      <c r="J2523" s="13">
        <v>45982</v>
      </c>
      <c r="K2523" s="13">
        <v>46023</v>
      </c>
      <c r="L2523" t="s">
        <v>479</v>
      </c>
      <c r="M2523" t="s">
        <v>58</v>
      </c>
      <c r="N2523">
        <v>72199377</v>
      </c>
    </row>
    <row r="2524" spans="1:14" x14ac:dyDescent="0.25">
      <c r="A2524">
        <v>58312609</v>
      </c>
      <c r="B2524" t="s">
        <v>1024</v>
      </c>
      <c r="C2524" t="s">
        <v>903</v>
      </c>
      <c r="D2524" t="s">
        <v>6210</v>
      </c>
      <c r="E2524">
        <v>2563430247</v>
      </c>
      <c r="F2524" t="s">
        <v>705</v>
      </c>
      <c r="G2524" t="s">
        <v>706</v>
      </c>
      <c r="I2524" t="s">
        <v>12</v>
      </c>
      <c r="J2524" s="13">
        <v>45982</v>
      </c>
      <c r="K2524" s="13">
        <v>46023</v>
      </c>
      <c r="L2524" t="s">
        <v>450</v>
      </c>
      <c r="M2524" t="s">
        <v>56</v>
      </c>
      <c r="N2524">
        <v>72199896</v>
      </c>
    </row>
    <row r="2525" spans="1:14" x14ac:dyDescent="0.25">
      <c r="A2525">
        <v>58312887</v>
      </c>
      <c r="B2525" t="s">
        <v>799</v>
      </c>
      <c r="C2525" t="s">
        <v>3002</v>
      </c>
      <c r="D2525" t="s">
        <v>6211</v>
      </c>
      <c r="E2525">
        <v>7732189749</v>
      </c>
      <c r="F2525" t="s">
        <v>842</v>
      </c>
      <c r="G2525" t="s">
        <v>1213</v>
      </c>
      <c r="I2525" t="s">
        <v>1214</v>
      </c>
      <c r="J2525" s="13">
        <v>45982</v>
      </c>
      <c r="K2525" s="13">
        <v>46023</v>
      </c>
      <c r="L2525" t="s">
        <v>1179</v>
      </c>
      <c r="M2525" t="s">
        <v>54</v>
      </c>
      <c r="N2525">
        <v>72200099</v>
      </c>
    </row>
    <row r="2526" spans="1:14" x14ac:dyDescent="0.25">
      <c r="A2526">
        <v>58313243</v>
      </c>
      <c r="B2526" t="s">
        <v>2771</v>
      </c>
      <c r="C2526" t="s">
        <v>6212</v>
      </c>
      <c r="D2526" t="s">
        <v>6213</v>
      </c>
      <c r="E2526">
        <v>9545583875</v>
      </c>
      <c r="F2526" t="s">
        <v>462</v>
      </c>
      <c r="G2526" t="s">
        <v>463</v>
      </c>
      <c r="I2526" t="s">
        <v>39</v>
      </c>
      <c r="J2526" s="13">
        <v>45982</v>
      </c>
      <c r="K2526" s="13">
        <v>46023</v>
      </c>
      <c r="L2526" t="s">
        <v>497</v>
      </c>
      <c r="M2526" t="s">
        <v>59</v>
      </c>
      <c r="N2526">
        <v>72200321</v>
      </c>
    </row>
    <row r="2527" spans="1:14" x14ac:dyDescent="0.25">
      <c r="A2527">
        <v>58313953</v>
      </c>
      <c r="B2527" t="s">
        <v>2607</v>
      </c>
      <c r="C2527" t="s">
        <v>4717</v>
      </c>
      <c r="D2527" t="s">
        <v>6214</v>
      </c>
      <c r="E2527">
        <v>5207208004</v>
      </c>
      <c r="F2527" t="s">
        <v>423</v>
      </c>
      <c r="G2527" t="s">
        <v>424</v>
      </c>
      <c r="I2527" t="s">
        <v>46</v>
      </c>
      <c r="J2527" s="13">
        <v>45982</v>
      </c>
      <c r="K2527" s="13">
        <v>46023</v>
      </c>
      <c r="L2527" t="s">
        <v>1179</v>
      </c>
      <c r="M2527" t="s">
        <v>59</v>
      </c>
      <c r="N2527">
        <v>72200523</v>
      </c>
    </row>
    <row r="2528" spans="1:14" x14ac:dyDescent="0.25">
      <c r="A2528">
        <v>58313611</v>
      </c>
      <c r="B2528" t="s">
        <v>6215</v>
      </c>
      <c r="C2528" t="s">
        <v>6216</v>
      </c>
      <c r="D2528" t="s">
        <v>6217</v>
      </c>
      <c r="E2528">
        <v>8707169526</v>
      </c>
      <c r="F2528" t="s">
        <v>1003</v>
      </c>
      <c r="G2528" t="s">
        <v>1004</v>
      </c>
      <c r="I2528" t="s">
        <v>89</v>
      </c>
      <c r="J2528" s="13">
        <v>45982</v>
      </c>
      <c r="K2528" s="13">
        <v>46023</v>
      </c>
      <c r="L2528" t="s">
        <v>553</v>
      </c>
      <c r="M2528" t="s">
        <v>58</v>
      </c>
      <c r="N2528">
        <v>72200566</v>
      </c>
    </row>
    <row r="2529" spans="1:14" x14ac:dyDescent="0.25">
      <c r="A2529">
        <v>58314658</v>
      </c>
      <c r="B2529" t="s">
        <v>1934</v>
      </c>
      <c r="C2529" t="s">
        <v>6218</v>
      </c>
      <c r="D2529" t="s">
        <v>6219</v>
      </c>
      <c r="E2529">
        <v>6023672671</v>
      </c>
      <c r="F2529" t="s">
        <v>416</v>
      </c>
      <c r="G2529" t="s">
        <v>417</v>
      </c>
      <c r="I2529" t="s">
        <v>26</v>
      </c>
      <c r="J2529" s="13">
        <v>45982</v>
      </c>
      <c r="K2529" s="13">
        <v>46023</v>
      </c>
      <c r="L2529" t="s">
        <v>1179</v>
      </c>
      <c r="M2529" t="s">
        <v>55</v>
      </c>
      <c r="N2529">
        <v>72201233</v>
      </c>
    </row>
    <row r="2530" spans="1:14" x14ac:dyDescent="0.25">
      <c r="A2530">
        <v>58314713</v>
      </c>
      <c r="B2530" t="s">
        <v>5002</v>
      </c>
      <c r="C2530" t="s">
        <v>6220</v>
      </c>
      <c r="D2530" t="s">
        <v>6221</v>
      </c>
      <c r="E2530">
        <v>3038288804</v>
      </c>
      <c r="F2530" t="s">
        <v>1142</v>
      </c>
      <c r="G2530" t="s">
        <v>1143</v>
      </c>
      <c r="I2530" t="s">
        <v>124</v>
      </c>
      <c r="J2530" s="13">
        <v>45982</v>
      </c>
      <c r="K2530" s="13">
        <v>46023</v>
      </c>
      <c r="L2530" t="s">
        <v>434</v>
      </c>
      <c r="M2530" t="s">
        <v>56</v>
      </c>
      <c r="N2530">
        <v>72201293</v>
      </c>
    </row>
    <row r="2531" spans="1:14" x14ac:dyDescent="0.25">
      <c r="A2531">
        <v>58314776</v>
      </c>
      <c r="B2531" t="s">
        <v>6222</v>
      </c>
      <c r="C2531" t="s">
        <v>3746</v>
      </c>
      <c r="D2531" t="s">
        <v>6223</v>
      </c>
      <c r="E2531" t="s">
        <v>6224</v>
      </c>
      <c r="F2531" t="s">
        <v>537</v>
      </c>
      <c r="G2531" t="s">
        <v>538</v>
      </c>
      <c r="I2531" t="s">
        <v>49</v>
      </c>
      <c r="J2531" s="13">
        <v>45982</v>
      </c>
      <c r="K2531" s="13">
        <v>46023</v>
      </c>
      <c r="L2531" t="s">
        <v>454</v>
      </c>
      <c r="M2531" t="s">
        <v>58</v>
      </c>
      <c r="N2531">
        <v>72201331</v>
      </c>
    </row>
    <row r="2532" spans="1:14" x14ac:dyDescent="0.25">
      <c r="A2532">
        <v>58315980</v>
      </c>
      <c r="B2532" t="s">
        <v>882</v>
      </c>
      <c r="C2532" t="s">
        <v>2866</v>
      </c>
      <c r="D2532" t="s">
        <v>6225</v>
      </c>
      <c r="E2532">
        <v>3527416178</v>
      </c>
      <c r="F2532" t="s">
        <v>448</v>
      </c>
      <c r="G2532" t="s">
        <v>449</v>
      </c>
      <c r="I2532" t="s">
        <v>31</v>
      </c>
      <c r="J2532" s="13">
        <v>45982</v>
      </c>
      <c r="K2532" s="13">
        <v>46023</v>
      </c>
      <c r="L2532" t="s">
        <v>497</v>
      </c>
      <c r="M2532" t="s">
        <v>58</v>
      </c>
      <c r="N2532">
        <v>72202135</v>
      </c>
    </row>
    <row r="2533" spans="1:14" x14ac:dyDescent="0.25">
      <c r="A2533">
        <v>58316010</v>
      </c>
      <c r="B2533" t="s">
        <v>2418</v>
      </c>
      <c r="C2533" t="s">
        <v>2762</v>
      </c>
      <c r="D2533" t="s">
        <v>6226</v>
      </c>
      <c r="E2533">
        <v>7758437119</v>
      </c>
      <c r="F2533" t="s">
        <v>1013</v>
      </c>
      <c r="G2533" t="s">
        <v>1014</v>
      </c>
      <c r="I2533" t="s">
        <v>43</v>
      </c>
      <c r="J2533" s="13">
        <v>45982</v>
      </c>
      <c r="K2533" s="13">
        <v>46023</v>
      </c>
      <c r="L2533" t="s">
        <v>1179</v>
      </c>
      <c r="M2533" t="s">
        <v>56</v>
      </c>
      <c r="N2533">
        <v>72202167</v>
      </c>
    </row>
    <row r="2534" spans="1:14" x14ac:dyDescent="0.25">
      <c r="A2534">
        <v>58316048</v>
      </c>
      <c r="B2534" t="s">
        <v>1316</v>
      </c>
      <c r="C2534" t="s">
        <v>2762</v>
      </c>
      <c r="D2534" t="s">
        <v>6227</v>
      </c>
      <c r="E2534">
        <v>7758437119</v>
      </c>
      <c r="F2534" t="s">
        <v>1013</v>
      </c>
      <c r="G2534" t="s">
        <v>1014</v>
      </c>
      <c r="I2534" t="s">
        <v>43</v>
      </c>
      <c r="J2534" s="13">
        <v>45982</v>
      </c>
      <c r="K2534" s="13">
        <v>46023</v>
      </c>
      <c r="L2534" t="s">
        <v>1179</v>
      </c>
      <c r="M2534" t="s">
        <v>56</v>
      </c>
      <c r="N2534">
        <v>72202194</v>
      </c>
    </row>
    <row r="2535" spans="1:14" x14ac:dyDescent="0.25">
      <c r="A2535">
        <v>58316461</v>
      </c>
      <c r="B2535" t="s">
        <v>449</v>
      </c>
      <c r="C2535" t="s">
        <v>1702</v>
      </c>
      <c r="D2535" t="s">
        <v>6228</v>
      </c>
      <c r="E2535">
        <v>7738778023</v>
      </c>
      <c r="F2535" t="s">
        <v>551</v>
      </c>
      <c r="G2535" t="s">
        <v>552</v>
      </c>
      <c r="I2535" t="s">
        <v>42</v>
      </c>
      <c r="J2535" s="13">
        <v>45982</v>
      </c>
      <c r="K2535" s="13">
        <v>46023</v>
      </c>
      <c r="L2535" t="s">
        <v>470</v>
      </c>
      <c r="M2535" t="s">
        <v>55</v>
      </c>
      <c r="N2535">
        <v>72202318</v>
      </c>
    </row>
    <row r="2536" spans="1:14" x14ac:dyDescent="0.25">
      <c r="A2536">
        <v>58316316</v>
      </c>
      <c r="B2536" t="s">
        <v>6229</v>
      </c>
      <c r="C2536" t="s">
        <v>512</v>
      </c>
      <c r="D2536" t="s">
        <v>6230</v>
      </c>
      <c r="E2536">
        <v>6202179345</v>
      </c>
      <c r="F2536" t="s">
        <v>474</v>
      </c>
      <c r="G2536" t="s">
        <v>475</v>
      </c>
      <c r="I2536" t="s">
        <v>132</v>
      </c>
      <c r="J2536" s="13">
        <v>45982</v>
      </c>
      <c r="K2536" s="13">
        <v>46023</v>
      </c>
      <c r="L2536" t="s">
        <v>520</v>
      </c>
      <c r="M2536" t="s">
        <v>56</v>
      </c>
      <c r="N2536">
        <v>72202375</v>
      </c>
    </row>
    <row r="2537" spans="1:14" x14ac:dyDescent="0.25">
      <c r="A2537">
        <v>58316536</v>
      </c>
      <c r="B2537" t="s">
        <v>3607</v>
      </c>
      <c r="C2537" t="s">
        <v>1203</v>
      </c>
      <c r="D2537" t="s">
        <v>6231</v>
      </c>
      <c r="E2537">
        <v>5012061887</v>
      </c>
      <c r="F2537" t="s">
        <v>1003</v>
      </c>
      <c r="G2537" t="s">
        <v>1004</v>
      </c>
      <c r="I2537" t="s">
        <v>89</v>
      </c>
      <c r="J2537" s="13">
        <v>45982</v>
      </c>
      <c r="K2537" s="13">
        <v>46023</v>
      </c>
      <c r="L2537" t="s">
        <v>553</v>
      </c>
      <c r="M2537" t="s">
        <v>56</v>
      </c>
      <c r="N2537">
        <v>72202546</v>
      </c>
    </row>
    <row r="2538" spans="1:14" x14ac:dyDescent="0.25">
      <c r="A2538">
        <v>58316786</v>
      </c>
      <c r="B2538" t="s">
        <v>3607</v>
      </c>
      <c r="C2538" t="s">
        <v>1381</v>
      </c>
      <c r="D2538" t="s">
        <v>6232</v>
      </c>
      <c r="E2538">
        <v>6025264327</v>
      </c>
      <c r="F2538" t="s">
        <v>798</v>
      </c>
      <c r="G2538" t="s">
        <v>799</v>
      </c>
      <c r="I2538" t="s">
        <v>800</v>
      </c>
      <c r="J2538" s="13">
        <v>45982</v>
      </c>
      <c r="K2538" s="13">
        <v>46023</v>
      </c>
      <c r="L2538" t="s">
        <v>1179</v>
      </c>
      <c r="M2538" t="s">
        <v>55</v>
      </c>
      <c r="N2538">
        <v>72202715</v>
      </c>
    </row>
    <row r="2539" spans="1:14" x14ac:dyDescent="0.25">
      <c r="A2539">
        <v>58316905</v>
      </c>
      <c r="B2539" t="s">
        <v>5025</v>
      </c>
      <c r="C2539" t="s">
        <v>6233</v>
      </c>
      <c r="D2539" t="s">
        <v>6234</v>
      </c>
      <c r="E2539">
        <v>8133349256</v>
      </c>
      <c r="F2539" t="s">
        <v>423</v>
      </c>
      <c r="G2539" t="s">
        <v>424</v>
      </c>
      <c r="I2539" t="s">
        <v>46</v>
      </c>
      <c r="J2539" s="13">
        <v>45982</v>
      </c>
      <c r="K2539" s="13">
        <v>46023</v>
      </c>
      <c r="L2539" t="s">
        <v>497</v>
      </c>
      <c r="M2539" t="s">
        <v>56</v>
      </c>
      <c r="N2539">
        <v>72202737</v>
      </c>
    </row>
    <row r="2540" spans="1:14" x14ac:dyDescent="0.25">
      <c r="A2540">
        <v>58317020</v>
      </c>
      <c r="B2540" t="s">
        <v>2523</v>
      </c>
      <c r="C2540" t="s">
        <v>6235</v>
      </c>
      <c r="D2540" t="s">
        <v>6236</v>
      </c>
      <c r="E2540">
        <v>6158306436</v>
      </c>
      <c r="F2540" t="s">
        <v>628</v>
      </c>
      <c r="G2540" t="s">
        <v>629</v>
      </c>
      <c r="I2540" t="s">
        <v>24</v>
      </c>
      <c r="J2540" s="13">
        <v>45982</v>
      </c>
      <c r="K2540" s="13">
        <v>46023</v>
      </c>
      <c r="L2540" t="s">
        <v>479</v>
      </c>
      <c r="M2540" t="s">
        <v>55</v>
      </c>
      <c r="N2540">
        <v>72202877</v>
      </c>
    </row>
    <row r="2541" spans="1:14" x14ac:dyDescent="0.25">
      <c r="A2541">
        <v>58317258</v>
      </c>
      <c r="B2541" t="s">
        <v>672</v>
      </c>
      <c r="C2541" t="s">
        <v>506</v>
      </c>
      <c r="D2541" t="s">
        <v>6237</v>
      </c>
      <c r="E2541">
        <v>4706965636</v>
      </c>
      <c r="F2541" t="s">
        <v>1003</v>
      </c>
      <c r="G2541" t="s">
        <v>1004</v>
      </c>
      <c r="I2541" t="s">
        <v>89</v>
      </c>
      <c r="J2541" s="13">
        <v>45980</v>
      </c>
      <c r="K2541" s="13">
        <v>46023</v>
      </c>
      <c r="L2541" t="s">
        <v>621</v>
      </c>
      <c r="M2541" t="s">
        <v>58</v>
      </c>
      <c r="N2541">
        <v>72203042</v>
      </c>
    </row>
    <row r="2542" spans="1:14" x14ac:dyDescent="0.25">
      <c r="A2542">
        <v>58317531</v>
      </c>
      <c r="B2542" t="s">
        <v>6238</v>
      </c>
      <c r="C2542" t="s">
        <v>1078</v>
      </c>
      <c r="D2542" t="s">
        <v>6239</v>
      </c>
      <c r="E2542">
        <v>9046127346</v>
      </c>
      <c r="F2542" t="s">
        <v>815</v>
      </c>
      <c r="G2542" t="s">
        <v>816</v>
      </c>
      <c r="I2542" t="s">
        <v>23</v>
      </c>
      <c r="J2542" s="13">
        <v>45982</v>
      </c>
      <c r="K2542" s="13">
        <v>46023</v>
      </c>
      <c r="L2542" t="s">
        <v>497</v>
      </c>
      <c r="M2542" t="s">
        <v>60</v>
      </c>
      <c r="N2542">
        <v>72203239</v>
      </c>
    </row>
    <row r="2543" spans="1:14" x14ac:dyDescent="0.25">
      <c r="A2543">
        <v>58318048</v>
      </c>
      <c r="B2543" t="s">
        <v>1167</v>
      </c>
      <c r="C2543" t="s">
        <v>6240</v>
      </c>
      <c r="D2543" t="s">
        <v>6241</v>
      </c>
      <c r="E2543">
        <v>5203662930</v>
      </c>
      <c r="F2543" t="s">
        <v>842</v>
      </c>
      <c r="G2543" t="s">
        <v>1213</v>
      </c>
      <c r="I2543" t="s">
        <v>1214</v>
      </c>
      <c r="J2543" s="13">
        <v>45982</v>
      </c>
      <c r="K2543" s="13">
        <v>46023</v>
      </c>
      <c r="L2543" t="s">
        <v>1179</v>
      </c>
      <c r="M2543" t="s">
        <v>54</v>
      </c>
      <c r="N2543">
        <v>72203628</v>
      </c>
    </row>
    <row r="2544" spans="1:14" x14ac:dyDescent="0.25">
      <c r="A2544">
        <v>58318200</v>
      </c>
      <c r="B2544" t="s">
        <v>6242</v>
      </c>
      <c r="C2544" t="s">
        <v>2488</v>
      </c>
      <c r="D2544" t="s">
        <v>6243</v>
      </c>
      <c r="E2544">
        <v>6592152357</v>
      </c>
      <c r="F2544" t="s">
        <v>1142</v>
      </c>
      <c r="G2544" t="s">
        <v>1143</v>
      </c>
      <c r="I2544" t="s">
        <v>124</v>
      </c>
      <c r="J2544" s="13">
        <v>45982</v>
      </c>
      <c r="K2544" s="13">
        <v>46023</v>
      </c>
      <c r="L2544" t="s">
        <v>450</v>
      </c>
      <c r="M2544" t="s">
        <v>60</v>
      </c>
      <c r="N2544">
        <v>72203752</v>
      </c>
    </row>
    <row r="2545" spans="1:14" x14ac:dyDescent="0.25">
      <c r="A2545">
        <v>58319261</v>
      </c>
      <c r="B2545" t="s">
        <v>1784</v>
      </c>
      <c r="C2545" t="s">
        <v>840</v>
      </c>
      <c r="D2545" t="s">
        <v>6244</v>
      </c>
      <c r="E2545">
        <v>4708836563</v>
      </c>
      <c r="F2545" t="s">
        <v>416</v>
      </c>
      <c r="G2545" t="s">
        <v>417</v>
      </c>
      <c r="I2545" t="s">
        <v>26</v>
      </c>
      <c r="J2545" s="13">
        <v>45982</v>
      </c>
      <c r="K2545" s="13">
        <v>46023</v>
      </c>
      <c r="L2545" t="s">
        <v>621</v>
      </c>
      <c r="M2545" t="s">
        <v>60</v>
      </c>
      <c r="N2545">
        <v>72204541</v>
      </c>
    </row>
    <row r="2546" spans="1:14" x14ac:dyDescent="0.25">
      <c r="A2546">
        <v>58329097</v>
      </c>
      <c r="B2546" t="s">
        <v>6245</v>
      </c>
      <c r="C2546" t="s">
        <v>6246</v>
      </c>
      <c r="D2546" t="s">
        <v>6247</v>
      </c>
      <c r="E2546">
        <v>4807939453</v>
      </c>
      <c r="F2546" t="s">
        <v>1013</v>
      </c>
      <c r="G2546" t="s">
        <v>1014</v>
      </c>
      <c r="I2546" t="s">
        <v>43</v>
      </c>
      <c r="J2546" s="13">
        <v>45983</v>
      </c>
      <c r="K2546" s="13">
        <v>46023</v>
      </c>
      <c r="L2546" t="s">
        <v>1179</v>
      </c>
      <c r="M2546" t="s">
        <v>55</v>
      </c>
      <c r="N2546">
        <v>72212677</v>
      </c>
    </row>
    <row r="2547" spans="1:14" x14ac:dyDescent="0.25">
      <c r="A2547">
        <v>58329344</v>
      </c>
      <c r="B2547" t="s">
        <v>2275</v>
      </c>
      <c r="C2547" t="s">
        <v>5119</v>
      </c>
      <c r="D2547" t="s">
        <v>6248</v>
      </c>
      <c r="E2547">
        <v>8634454624</v>
      </c>
      <c r="F2547" t="s">
        <v>423</v>
      </c>
      <c r="G2547" t="s">
        <v>424</v>
      </c>
      <c r="I2547" t="s">
        <v>46</v>
      </c>
      <c r="J2547" s="13">
        <v>45983</v>
      </c>
      <c r="K2547" s="13">
        <v>46023</v>
      </c>
      <c r="L2547" t="s">
        <v>497</v>
      </c>
      <c r="M2547" t="s">
        <v>54</v>
      </c>
      <c r="N2547">
        <v>72212865</v>
      </c>
    </row>
    <row r="2548" spans="1:14" x14ac:dyDescent="0.25">
      <c r="A2548">
        <v>58330006</v>
      </c>
      <c r="B2548" t="s">
        <v>1797</v>
      </c>
      <c r="C2548" t="s">
        <v>6249</v>
      </c>
      <c r="D2548" t="s">
        <v>6250</v>
      </c>
      <c r="E2548">
        <v>4072040137</v>
      </c>
      <c r="F2548" t="s">
        <v>574</v>
      </c>
      <c r="G2548" t="s">
        <v>575</v>
      </c>
      <c r="I2548" t="s">
        <v>14</v>
      </c>
      <c r="J2548" s="13">
        <v>45983</v>
      </c>
      <c r="K2548" s="13">
        <v>46023</v>
      </c>
      <c r="L2548" t="s">
        <v>497</v>
      </c>
      <c r="M2548" t="s">
        <v>56</v>
      </c>
      <c r="N2548">
        <v>72213328</v>
      </c>
    </row>
    <row r="2549" spans="1:14" x14ac:dyDescent="0.25">
      <c r="A2549">
        <v>58331545</v>
      </c>
      <c r="B2549" t="s">
        <v>799</v>
      </c>
      <c r="C2549" t="s">
        <v>1220</v>
      </c>
      <c r="D2549" t="s">
        <v>6251</v>
      </c>
      <c r="E2549">
        <v>9365373524</v>
      </c>
      <c r="F2549" t="s">
        <v>649</v>
      </c>
      <c r="G2549" t="s">
        <v>650</v>
      </c>
      <c r="I2549" t="s">
        <v>28</v>
      </c>
      <c r="J2549" s="13">
        <v>45983</v>
      </c>
      <c r="K2549" s="13">
        <v>46023</v>
      </c>
      <c r="L2549" t="s">
        <v>444</v>
      </c>
      <c r="M2549" t="s">
        <v>55</v>
      </c>
      <c r="N2549">
        <v>72214388</v>
      </c>
    </row>
    <row r="2550" spans="1:14" x14ac:dyDescent="0.25">
      <c r="A2550">
        <v>58332100</v>
      </c>
      <c r="B2550" t="s">
        <v>3459</v>
      </c>
      <c r="C2550" t="s">
        <v>6252</v>
      </c>
      <c r="D2550" t="s">
        <v>6253</v>
      </c>
      <c r="E2550">
        <v>5617207175</v>
      </c>
      <c r="F2550" t="s">
        <v>569</v>
      </c>
      <c r="G2550" t="s">
        <v>570</v>
      </c>
      <c r="I2550" t="s">
        <v>34</v>
      </c>
      <c r="J2550" s="13">
        <v>45983</v>
      </c>
      <c r="K2550" s="13">
        <v>46023</v>
      </c>
      <c r="L2550" t="s">
        <v>497</v>
      </c>
      <c r="M2550" t="s">
        <v>56</v>
      </c>
      <c r="N2550">
        <v>72214755</v>
      </c>
    </row>
    <row r="2551" spans="1:14" x14ac:dyDescent="0.25">
      <c r="A2551">
        <v>58332280</v>
      </c>
      <c r="B2551" t="s">
        <v>2839</v>
      </c>
      <c r="C2551" t="s">
        <v>6254</v>
      </c>
      <c r="D2551" t="s">
        <v>6255</v>
      </c>
      <c r="E2551">
        <v>7734100258</v>
      </c>
      <c r="F2551" t="s">
        <v>574</v>
      </c>
      <c r="G2551" t="s">
        <v>575</v>
      </c>
      <c r="I2551" t="s">
        <v>14</v>
      </c>
      <c r="J2551" s="13">
        <v>45983</v>
      </c>
      <c r="K2551" s="13">
        <v>46023</v>
      </c>
      <c r="L2551" t="s">
        <v>470</v>
      </c>
      <c r="M2551" t="s">
        <v>62</v>
      </c>
      <c r="N2551">
        <v>72214957</v>
      </c>
    </row>
    <row r="2552" spans="1:14" x14ac:dyDescent="0.25">
      <c r="A2552">
        <v>58333847</v>
      </c>
      <c r="B2552" t="s">
        <v>2771</v>
      </c>
      <c r="C2552" t="s">
        <v>6256</v>
      </c>
      <c r="D2552" t="s">
        <v>6257</v>
      </c>
      <c r="E2552">
        <v>8138940669</v>
      </c>
      <c r="F2552" t="s">
        <v>416</v>
      </c>
      <c r="G2552" t="s">
        <v>417</v>
      </c>
      <c r="I2552" t="s">
        <v>26</v>
      </c>
      <c r="J2552" s="13">
        <v>45983</v>
      </c>
      <c r="K2552" s="13">
        <v>46023</v>
      </c>
      <c r="L2552" t="s">
        <v>497</v>
      </c>
      <c r="M2552" t="s">
        <v>56</v>
      </c>
      <c r="N2552">
        <v>72216067</v>
      </c>
    </row>
    <row r="2553" spans="1:14" x14ac:dyDescent="0.25">
      <c r="A2553">
        <v>58334421</v>
      </c>
      <c r="B2553" t="s">
        <v>6258</v>
      </c>
      <c r="C2553" t="s">
        <v>6259</v>
      </c>
      <c r="D2553" t="s">
        <v>6260</v>
      </c>
      <c r="E2553">
        <v>3048510768</v>
      </c>
      <c r="F2553" t="s">
        <v>1142</v>
      </c>
      <c r="G2553" t="s">
        <v>1143</v>
      </c>
      <c r="I2553" t="s">
        <v>124</v>
      </c>
      <c r="J2553" s="13">
        <v>45983</v>
      </c>
      <c r="K2553" s="13">
        <v>46023</v>
      </c>
      <c r="L2553" t="s">
        <v>1188</v>
      </c>
      <c r="M2553" t="s">
        <v>56</v>
      </c>
      <c r="N2553">
        <v>72216482</v>
      </c>
    </row>
    <row r="2554" spans="1:14" x14ac:dyDescent="0.25">
      <c r="A2554">
        <v>58334534</v>
      </c>
      <c r="B2554" t="s">
        <v>1038</v>
      </c>
      <c r="C2554" t="s">
        <v>6261</v>
      </c>
      <c r="D2554" t="s">
        <v>6262</v>
      </c>
      <c r="E2554">
        <v>9047767045</v>
      </c>
      <c r="F2554" t="s">
        <v>1345</v>
      </c>
      <c r="G2554" t="s">
        <v>799</v>
      </c>
      <c r="I2554" t="s">
        <v>47</v>
      </c>
      <c r="J2554" s="13">
        <v>45983</v>
      </c>
      <c r="K2554" s="13">
        <v>46023</v>
      </c>
      <c r="L2554" t="s">
        <v>497</v>
      </c>
      <c r="M2554" t="s">
        <v>54</v>
      </c>
      <c r="N2554">
        <v>72216566</v>
      </c>
    </row>
    <row r="2555" spans="1:14" x14ac:dyDescent="0.25">
      <c r="A2555">
        <v>58335088</v>
      </c>
      <c r="B2555" t="s">
        <v>521</v>
      </c>
      <c r="C2555" t="s">
        <v>6263</v>
      </c>
      <c r="D2555" t="s">
        <v>6264</v>
      </c>
      <c r="E2555">
        <v>9012580301</v>
      </c>
      <c r="F2555" t="s">
        <v>569</v>
      </c>
      <c r="G2555" t="s">
        <v>570</v>
      </c>
      <c r="I2555" t="s">
        <v>34</v>
      </c>
      <c r="J2555" s="13">
        <v>45983</v>
      </c>
      <c r="K2555" s="13">
        <v>46023</v>
      </c>
      <c r="L2555" t="s">
        <v>479</v>
      </c>
      <c r="M2555" t="s">
        <v>58</v>
      </c>
      <c r="N2555">
        <v>72216967</v>
      </c>
    </row>
    <row r="2556" spans="1:14" x14ac:dyDescent="0.25">
      <c r="A2556">
        <v>58335692</v>
      </c>
      <c r="B2556" t="s">
        <v>2019</v>
      </c>
      <c r="C2556" t="s">
        <v>6265</v>
      </c>
      <c r="D2556" t="s">
        <v>6266</v>
      </c>
      <c r="E2556">
        <v>4805771939</v>
      </c>
      <c r="F2556" t="s">
        <v>416</v>
      </c>
      <c r="G2556" t="s">
        <v>417</v>
      </c>
      <c r="I2556" t="s">
        <v>26</v>
      </c>
      <c r="J2556" s="13">
        <v>45983</v>
      </c>
      <c r="K2556" s="13">
        <v>46023</v>
      </c>
      <c r="L2556" t="s">
        <v>1179</v>
      </c>
      <c r="M2556" t="s">
        <v>55</v>
      </c>
      <c r="N2556">
        <v>72217398</v>
      </c>
    </row>
    <row r="2557" spans="1:14" x14ac:dyDescent="0.25">
      <c r="A2557">
        <v>58335715</v>
      </c>
      <c r="B2557" t="s">
        <v>672</v>
      </c>
      <c r="C2557" t="s">
        <v>6267</v>
      </c>
      <c r="D2557" t="s">
        <v>6268</v>
      </c>
      <c r="E2557">
        <v>9047767577</v>
      </c>
      <c r="F2557" t="s">
        <v>1345</v>
      </c>
      <c r="G2557" t="s">
        <v>799</v>
      </c>
      <c r="I2557" t="s">
        <v>47</v>
      </c>
      <c r="J2557" s="13">
        <v>45983</v>
      </c>
      <c r="K2557" s="13">
        <v>46023</v>
      </c>
      <c r="L2557" t="s">
        <v>497</v>
      </c>
      <c r="M2557" t="s">
        <v>54</v>
      </c>
      <c r="N2557">
        <v>72217426</v>
      </c>
    </row>
    <row r="2558" spans="1:14" x14ac:dyDescent="0.25">
      <c r="A2558">
        <v>58338234</v>
      </c>
      <c r="B2558" t="s">
        <v>6269</v>
      </c>
      <c r="C2558" t="s">
        <v>1258</v>
      </c>
      <c r="D2558" t="s">
        <v>6270</v>
      </c>
      <c r="E2558">
        <v>5203957573</v>
      </c>
      <c r="F2558" t="s">
        <v>416</v>
      </c>
      <c r="G2558" t="s">
        <v>417</v>
      </c>
      <c r="I2558" t="s">
        <v>26</v>
      </c>
      <c r="J2558" s="13">
        <v>45983</v>
      </c>
      <c r="K2558" s="13">
        <v>46023</v>
      </c>
      <c r="L2558" t="s">
        <v>1179</v>
      </c>
      <c r="M2558" t="s">
        <v>55</v>
      </c>
      <c r="N2558">
        <v>72219275</v>
      </c>
    </row>
    <row r="2559" spans="1:14" x14ac:dyDescent="0.25">
      <c r="A2559">
        <v>58370495</v>
      </c>
      <c r="B2559" t="s">
        <v>1228</v>
      </c>
      <c r="C2559" t="s">
        <v>964</v>
      </c>
      <c r="D2559" t="s">
        <v>6271</v>
      </c>
      <c r="E2559">
        <v>5407982987</v>
      </c>
      <c r="F2559" t="s">
        <v>474</v>
      </c>
      <c r="G2559" t="s">
        <v>475</v>
      </c>
      <c r="I2559" t="s">
        <v>132</v>
      </c>
      <c r="J2559" s="13">
        <v>45985</v>
      </c>
      <c r="K2559" s="13">
        <v>46023</v>
      </c>
      <c r="L2559" t="s">
        <v>454</v>
      </c>
      <c r="M2559" t="s">
        <v>56</v>
      </c>
      <c r="N2559">
        <v>72235622</v>
      </c>
    </row>
    <row r="2560" spans="1:14" x14ac:dyDescent="0.25">
      <c r="A2560">
        <v>58371525</v>
      </c>
      <c r="B2560" t="s">
        <v>1401</v>
      </c>
      <c r="C2560" t="s">
        <v>6272</v>
      </c>
      <c r="D2560" t="s">
        <v>6273</v>
      </c>
      <c r="E2560">
        <v>9037483736</v>
      </c>
      <c r="F2560" t="s">
        <v>551</v>
      </c>
      <c r="G2560" t="s">
        <v>552</v>
      </c>
      <c r="I2560" t="s">
        <v>42</v>
      </c>
      <c r="J2560" s="13">
        <v>45985</v>
      </c>
      <c r="K2560" s="13">
        <v>46023</v>
      </c>
      <c r="L2560" t="s">
        <v>444</v>
      </c>
      <c r="M2560" t="s">
        <v>56</v>
      </c>
      <c r="N2560">
        <v>72236260</v>
      </c>
    </row>
    <row r="2561" spans="1:14" x14ac:dyDescent="0.25">
      <c r="A2561">
        <v>58372656</v>
      </c>
      <c r="B2561" t="s">
        <v>3094</v>
      </c>
      <c r="C2561" t="s">
        <v>753</v>
      </c>
      <c r="D2561" t="s">
        <v>6274</v>
      </c>
      <c r="E2561">
        <v>3214233929</v>
      </c>
      <c r="F2561" t="s">
        <v>423</v>
      </c>
      <c r="G2561" t="s">
        <v>424</v>
      </c>
      <c r="I2561" t="s">
        <v>46</v>
      </c>
      <c r="J2561" s="13">
        <v>45985</v>
      </c>
      <c r="K2561" s="13">
        <v>46023</v>
      </c>
      <c r="L2561" t="s">
        <v>497</v>
      </c>
      <c r="M2561" t="s">
        <v>58</v>
      </c>
      <c r="N2561">
        <v>72237080</v>
      </c>
    </row>
    <row r="2562" spans="1:14" x14ac:dyDescent="0.25">
      <c r="A2562">
        <v>58372488</v>
      </c>
      <c r="B2562" t="s">
        <v>4133</v>
      </c>
      <c r="C2562" t="s">
        <v>6275</v>
      </c>
      <c r="D2562" t="s">
        <v>6276</v>
      </c>
      <c r="E2562">
        <v>3212131926</v>
      </c>
      <c r="F2562" t="s">
        <v>1003</v>
      </c>
      <c r="G2562" t="s">
        <v>1004</v>
      </c>
      <c r="I2562" t="s">
        <v>89</v>
      </c>
      <c r="J2562" s="13">
        <v>45985</v>
      </c>
      <c r="K2562" s="13">
        <v>46023</v>
      </c>
      <c r="L2562" t="s">
        <v>497</v>
      </c>
      <c r="M2562" t="s">
        <v>58</v>
      </c>
      <c r="N2562">
        <v>72237115</v>
      </c>
    </row>
    <row r="2563" spans="1:14" x14ac:dyDescent="0.25">
      <c r="A2563">
        <v>58373065</v>
      </c>
      <c r="B2563" t="s">
        <v>6277</v>
      </c>
      <c r="C2563" t="s">
        <v>6278</v>
      </c>
      <c r="D2563" t="s">
        <v>6279</v>
      </c>
      <c r="E2563">
        <v>5025724877</v>
      </c>
      <c r="F2563" t="s">
        <v>815</v>
      </c>
      <c r="G2563" t="s">
        <v>816</v>
      </c>
      <c r="I2563" t="s">
        <v>23</v>
      </c>
      <c r="J2563" s="13">
        <v>45985</v>
      </c>
      <c r="K2563" s="13">
        <v>46023</v>
      </c>
      <c r="L2563" t="s">
        <v>490</v>
      </c>
      <c r="M2563" t="s">
        <v>59</v>
      </c>
      <c r="N2563">
        <v>72237532</v>
      </c>
    </row>
    <row r="2564" spans="1:14" x14ac:dyDescent="0.25">
      <c r="A2564">
        <v>58373250</v>
      </c>
      <c r="B2564" t="s">
        <v>2418</v>
      </c>
      <c r="C2564" t="s">
        <v>2249</v>
      </c>
      <c r="D2564" t="s">
        <v>6280</v>
      </c>
      <c r="E2564">
        <v>2053531885</v>
      </c>
      <c r="F2564" t="s">
        <v>790</v>
      </c>
      <c r="G2564" t="s">
        <v>791</v>
      </c>
      <c r="I2564" t="s">
        <v>119</v>
      </c>
      <c r="J2564" s="13">
        <v>45985</v>
      </c>
      <c r="K2564" s="13">
        <v>46023</v>
      </c>
      <c r="L2564" t="s">
        <v>450</v>
      </c>
      <c r="M2564" t="s">
        <v>56</v>
      </c>
      <c r="N2564">
        <v>72237658</v>
      </c>
    </row>
    <row r="2565" spans="1:14" x14ac:dyDescent="0.25">
      <c r="A2565">
        <v>58373893</v>
      </c>
      <c r="B2565" t="s">
        <v>6281</v>
      </c>
      <c r="C2565" t="s">
        <v>1098</v>
      </c>
      <c r="D2565" t="s">
        <v>6282</v>
      </c>
      <c r="E2565">
        <v>2057056935</v>
      </c>
      <c r="F2565" t="s">
        <v>628</v>
      </c>
      <c r="G2565" t="s">
        <v>629</v>
      </c>
      <c r="I2565" t="s">
        <v>24</v>
      </c>
      <c r="J2565" s="13">
        <v>45985</v>
      </c>
      <c r="K2565" s="13">
        <v>46023</v>
      </c>
      <c r="L2565" t="s">
        <v>450</v>
      </c>
      <c r="M2565" t="s">
        <v>58</v>
      </c>
      <c r="N2565">
        <v>72238102</v>
      </c>
    </row>
    <row r="2566" spans="1:14" x14ac:dyDescent="0.25">
      <c r="A2566">
        <v>58373910</v>
      </c>
      <c r="B2566" t="s">
        <v>867</v>
      </c>
      <c r="C2566" t="s">
        <v>6283</v>
      </c>
      <c r="D2566" t="s">
        <v>6284</v>
      </c>
      <c r="E2566">
        <v>5129152745</v>
      </c>
      <c r="F2566" t="s">
        <v>649</v>
      </c>
      <c r="G2566" t="s">
        <v>650</v>
      </c>
      <c r="I2566" t="s">
        <v>28</v>
      </c>
      <c r="J2566" s="13">
        <v>45985</v>
      </c>
      <c r="K2566" s="13">
        <v>46054</v>
      </c>
      <c r="L2566" t="s">
        <v>444</v>
      </c>
      <c r="M2566" t="s">
        <v>419</v>
      </c>
      <c r="N2566">
        <v>72238115</v>
      </c>
    </row>
    <row r="2567" spans="1:14" x14ac:dyDescent="0.25">
      <c r="A2567">
        <v>58373977</v>
      </c>
      <c r="B2567" t="s">
        <v>839</v>
      </c>
      <c r="C2567" t="s">
        <v>6285</v>
      </c>
      <c r="D2567" t="s">
        <v>6286</v>
      </c>
      <c r="E2567">
        <v>2392465783</v>
      </c>
      <c r="F2567" t="s">
        <v>780</v>
      </c>
      <c r="G2567" t="s">
        <v>781</v>
      </c>
      <c r="I2567" t="s">
        <v>20</v>
      </c>
      <c r="J2567" s="13">
        <v>45985</v>
      </c>
      <c r="K2567" s="13">
        <v>46023</v>
      </c>
      <c r="L2567" t="s">
        <v>497</v>
      </c>
      <c r="M2567" t="s">
        <v>58</v>
      </c>
      <c r="N2567">
        <v>72238165</v>
      </c>
    </row>
    <row r="2568" spans="1:14" x14ac:dyDescent="0.25">
      <c r="A2568">
        <v>58374011</v>
      </c>
      <c r="B2568" t="s">
        <v>6287</v>
      </c>
      <c r="C2568" t="s">
        <v>6288</v>
      </c>
      <c r="D2568" t="s">
        <v>6289</v>
      </c>
      <c r="E2568">
        <v>6232856040</v>
      </c>
      <c r="F2568" t="s">
        <v>4853</v>
      </c>
      <c r="G2568" t="s">
        <v>5017</v>
      </c>
      <c r="I2568" t="s">
        <v>5018</v>
      </c>
      <c r="J2568" s="13">
        <v>45985</v>
      </c>
      <c r="K2568" s="13">
        <v>46023</v>
      </c>
      <c r="L2568" t="s">
        <v>1179</v>
      </c>
      <c r="M2568" t="s">
        <v>55</v>
      </c>
      <c r="N2568">
        <v>72238196</v>
      </c>
    </row>
    <row r="2569" spans="1:14" x14ac:dyDescent="0.25">
      <c r="A2569">
        <v>58374012</v>
      </c>
      <c r="B2569" t="s">
        <v>1033</v>
      </c>
      <c r="C2569" t="s">
        <v>522</v>
      </c>
      <c r="D2569" t="s">
        <v>6290</v>
      </c>
      <c r="E2569">
        <v>7708456876</v>
      </c>
      <c r="F2569" t="s">
        <v>842</v>
      </c>
      <c r="G2569" t="s">
        <v>843</v>
      </c>
      <c r="I2569" t="s">
        <v>98</v>
      </c>
      <c r="J2569" s="13">
        <v>45985</v>
      </c>
      <c r="K2569" s="13">
        <v>46023</v>
      </c>
      <c r="L2569" t="s">
        <v>479</v>
      </c>
      <c r="M2569" t="s">
        <v>56</v>
      </c>
      <c r="N2569">
        <v>72238197</v>
      </c>
    </row>
    <row r="2570" spans="1:14" x14ac:dyDescent="0.25">
      <c r="A2570">
        <v>58374082</v>
      </c>
      <c r="B2570" t="s">
        <v>6291</v>
      </c>
      <c r="C2570" t="s">
        <v>6292</v>
      </c>
      <c r="D2570" t="s">
        <v>6293</v>
      </c>
      <c r="E2570">
        <v>9312640773</v>
      </c>
      <c r="F2570" t="s">
        <v>705</v>
      </c>
      <c r="G2570" t="s">
        <v>706</v>
      </c>
      <c r="I2570" t="s">
        <v>12</v>
      </c>
      <c r="J2570" s="13">
        <v>45985</v>
      </c>
      <c r="K2570" s="13">
        <v>46023</v>
      </c>
      <c r="L2570" t="s">
        <v>479</v>
      </c>
      <c r="M2570" t="s">
        <v>419</v>
      </c>
      <c r="N2570">
        <v>72238241</v>
      </c>
    </row>
    <row r="2571" spans="1:14" x14ac:dyDescent="0.25">
      <c r="A2571">
        <v>58374684</v>
      </c>
      <c r="B2571" t="s">
        <v>6294</v>
      </c>
      <c r="C2571" t="s">
        <v>3364</v>
      </c>
      <c r="D2571" t="s">
        <v>6295</v>
      </c>
      <c r="E2571">
        <v>4696398395</v>
      </c>
      <c r="F2571" t="s">
        <v>828</v>
      </c>
      <c r="G2571" t="s">
        <v>1148</v>
      </c>
      <c r="I2571" t="s">
        <v>17</v>
      </c>
      <c r="J2571" s="13">
        <v>45985</v>
      </c>
      <c r="K2571" s="13">
        <v>46023</v>
      </c>
      <c r="L2571" t="s">
        <v>444</v>
      </c>
      <c r="M2571" t="s">
        <v>55</v>
      </c>
      <c r="N2571">
        <v>72238654</v>
      </c>
    </row>
    <row r="2572" spans="1:14" x14ac:dyDescent="0.25">
      <c r="A2572">
        <v>58375193</v>
      </c>
      <c r="B2572" t="s">
        <v>636</v>
      </c>
      <c r="C2572" t="s">
        <v>6296</v>
      </c>
      <c r="D2572" t="s">
        <v>6297</v>
      </c>
      <c r="E2572">
        <v>7209092853</v>
      </c>
      <c r="F2572" t="s">
        <v>957</v>
      </c>
      <c r="G2572" t="s">
        <v>958</v>
      </c>
      <c r="H2572" t="s">
        <v>959</v>
      </c>
      <c r="I2572" t="s">
        <v>960</v>
      </c>
      <c r="J2572" s="13">
        <v>45985</v>
      </c>
      <c r="K2572" s="13">
        <v>46023</v>
      </c>
      <c r="L2572" t="s">
        <v>539</v>
      </c>
      <c r="M2572" t="s">
        <v>56</v>
      </c>
      <c r="N2572">
        <v>72238976</v>
      </c>
    </row>
    <row r="2573" spans="1:14" x14ac:dyDescent="0.25">
      <c r="A2573">
        <v>58375522</v>
      </c>
      <c r="B2573" t="s">
        <v>2214</v>
      </c>
      <c r="C2573" t="s">
        <v>6298</v>
      </c>
      <c r="D2573" t="s">
        <v>6299</v>
      </c>
      <c r="E2573">
        <v>9046618123</v>
      </c>
      <c r="F2573" t="s">
        <v>615</v>
      </c>
      <c r="G2573" t="s">
        <v>616</v>
      </c>
      <c r="I2573" t="s">
        <v>617</v>
      </c>
      <c r="J2573" s="13">
        <v>45985</v>
      </c>
      <c r="K2573" s="13">
        <v>46023</v>
      </c>
      <c r="L2573" t="s">
        <v>497</v>
      </c>
      <c r="M2573" t="s">
        <v>58</v>
      </c>
      <c r="N2573">
        <v>72239215</v>
      </c>
    </row>
    <row r="2574" spans="1:14" x14ac:dyDescent="0.25">
      <c r="A2574">
        <v>58375830</v>
      </c>
      <c r="B2574" t="s">
        <v>3833</v>
      </c>
      <c r="C2574" t="s">
        <v>6300</v>
      </c>
      <c r="D2574" t="s">
        <v>6301</v>
      </c>
      <c r="E2574">
        <v>3133198181</v>
      </c>
      <c r="F2574" t="s">
        <v>775</v>
      </c>
      <c r="G2574" t="s">
        <v>776</v>
      </c>
      <c r="I2574" t="s">
        <v>22</v>
      </c>
      <c r="J2574" s="13">
        <v>45985</v>
      </c>
      <c r="K2574" s="13">
        <v>46023</v>
      </c>
      <c r="L2574" t="s">
        <v>497</v>
      </c>
      <c r="M2574" t="s">
        <v>54</v>
      </c>
      <c r="N2574">
        <v>72239444</v>
      </c>
    </row>
    <row r="2575" spans="1:14" x14ac:dyDescent="0.25">
      <c r="A2575">
        <v>58376328</v>
      </c>
      <c r="B2575" t="s">
        <v>6302</v>
      </c>
      <c r="C2575" t="s">
        <v>6303</v>
      </c>
      <c r="D2575" t="s">
        <v>6304</v>
      </c>
      <c r="E2575">
        <v>4802959196</v>
      </c>
      <c r="F2575" t="s">
        <v>423</v>
      </c>
      <c r="G2575" t="s">
        <v>424</v>
      </c>
      <c r="I2575" t="s">
        <v>46</v>
      </c>
      <c r="J2575" s="13">
        <v>45985</v>
      </c>
      <c r="K2575" s="13">
        <v>46023</v>
      </c>
      <c r="L2575" t="s">
        <v>1179</v>
      </c>
      <c r="M2575" t="s">
        <v>54</v>
      </c>
      <c r="N2575">
        <v>72239666</v>
      </c>
    </row>
    <row r="2576" spans="1:14" x14ac:dyDescent="0.25">
      <c r="A2576">
        <v>58376442</v>
      </c>
      <c r="B2576" t="s">
        <v>2329</v>
      </c>
      <c r="C2576" t="s">
        <v>6305</v>
      </c>
      <c r="D2576" t="s">
        <v>6306</v>
      </c>
      <c r="E2576">
        <v>7543068574</v>
      </c>
      <c r="F2576" t="s">
        <v>462</v>
      </c>
      <c r="G2576" t="s">
        <v>463</v>
      </c>
      <c r="I2576" t="s">
        <v>39</v>
      </c>
      <c r="J2576" s="13">
        <v>45985</v>
      </c>
      <c r="K2576" s="13">
        <v>46023</v>
      </c>
      <c r="L2576" t="s">
        <v>497</v>
      </c>
      <c r="M2576" t="s">
        <v>59</v>
      </c>
      <c r="N2576">
        <v>72239834</v>
      </c>
    </row>
    <row r="2577" spans="1:14" x14ac:dyDescent="0.25">
      <c r="A2577">
        <v>58376448</v>
      </c>
      <c r="B2577" t="s">
        <v>5267</v>
      </c>
      <c r="C2577" t="s">
        <v>6307</v>
      </c>
      <c r="D2577" t="s">
        <v>6308</v>
      </c>
      <c r="E2577">
        <v>8594202177</v>
      </c>
      <c r="F2577" t="s">
        <v>474</v>
      </c>
      <c r="G2577" t="s">
        <v>475</v>
      </c>
      <c r="I2577" t="s">
        <v>132</v>
      </c>
      <c r="J2577" s="13">
        <v>45985</v>
      </c>
      <c r="K2577" s="13">
        <v>46023</v>
      </c>
      <c r="L2577" t="s">
        <v>490</v>
      </c>
      <c r="M2577" t="s">
        <v>56</v>
      </c>
      <c r="N2577">
        <v>72239843</v>
      </c>
    </row>
    <row r="2578" spans="1:14" x14ac:dyDescent="0.25">
      <c r="A2578">
        <v>58377395</v>
      </c>
      <c r="B2578" t="s">
        <v>879</v>
      </c>
      <c r="C2578" t="s">
        <v>6309</v>
      </c>
      <c r="D2578" t="s">
        <v>6310</v>
      </c>
      <c r="E2578">
        <v>7065756366</v>
      </c>
      <c r="F2578" t="s">
        <v>790</v>
      </c>
      <c r="G2578" t="s">
        <v>791</v>
      </c>
      <c r="I2578" t="s">
        <v>119</v>
      </c>
      <c r="J2578" s="13">
        <v>45985</v>
      </c>
      <c r="K2578" s="13">
        <v>46023</v>
      </c>
      <c r="L2578" t="s">
        <v>450</v>
      </c>
      <c r="M2578" t="s">
        <v>56</v>
      </c>
      <c r="N2578">
        <v>72240425</v>
      </c>
    </row>
    <row r="2579" spans="1:14" x14ac:dyDescent="0.25">
      <c r="A2579">
        <v>58377675</v>
      </c>
      <c r="B2579" t="s">
        <v>6311</v>
      </c>
      <c r="C2579" t="s">
        <v>6312</v>
      </c>
      <c r="D2579" t="s">
        <v>6313</v>
      </c>
      <c r="E2579">
        <v>6186048431</v>
      </c>
      <c r="F2579" t="s">
        <v>551</v>
      </c>
      <c r="G2579" t="s">
        <v>552</v>
      </c>
      <c r="I2579" t="s">
        <v>42</v>
      </c>
      <c r="J2579" s="13">
        <v>45985</v>
      </c>
      <c r="K2579" s="13">
        <v>46023</v>
      </c>
      <c r="L2579" t="s">
        <v>470</v>
      </c>
      <c r="M2579" t="s">
        <v>60</v>
      </c>
      <c r="N2579">
        <v>72240546</v>
      </c>
    </row>
    <row r="2580" spans="1:14" x14ac:dyDescent="0.25">
      <c r="A2580">
        <v>58377668</v>
      </c>
      <c r="B2580" t="s">
        <v>2600</v>
      </c>
      <c r="C2580" t="s">
        <v>6314</v>
      </c>
      <c r="D2580" t="s">
        <v>6315</v>
      </c>
      <c r="E2580">
        <v>9844395817</v>
      </c>
      <c r="F2580" t="s">
        <v>842</v>
      </c>
      <c r="G2580" t="s">
        <v>843</v>
      </c>
      <c r="I2580" t="s">
        <v>98</v>
      </c>
      <c r="J2580" s="13">
        <v>45985</v>
      </c>
      <c r="K2580" s="13">
        <v>46023</v>
      </c>
      <c r="L2580" t="s">
        <v>603</v>
      </c>
      <c r="M2580" t="s">
        <v>56</v>
      </c>
      <c r="N2580">
        <v>72240627</v>
      </c>
    </row>
    <row r="2581" spans="1:14" x14ac:dyDescent="0.25">
      <c r="A2581">
        <v>58379263</v>
      </c>
      <c r="B2581" t="s">
        <v>6316</v>
      </c>
      <c r="C2581" t="s">
        <v>549</v>
      </c>
      <c r="D2581" t="s">
        <v>6317</v>
      </c>
      <c r="E2581">
        <v>9413502884</v>
      </c>
      <c r="F2581" t="s">
        <v>416</v>
      </c>
      <c r="G2581" t="s">
        <v>417</v>
      </c>
      <c r="I2581" t="s">
        <v>26</v>
      </c>
      <c r="J2581" s="13">
        <v>45985</v>
      </c>
      <c r="K2581" s="13">
        <v>46023</v>
      </c>
      <c r="L2581" t="s">
        <v>497</v>
      </c>
      <c r="M2581" t="s">
        <v>56</v>
      </c>
      <c r="N2581">
        <v>72240890</v>
      </c>
    </row>
    <row r="2582" spans="1:14" x14ac:dyDescent="0.25">
      <c r="A2582">
        <v>58379940</v>
      </c>
      <c r="B2582" t="s">
        <v>2994</v>
      </c>
      <c r="C2582" t="s">
        <v>6318</v>
      </c>
      <c r="D2582" t="s">
        <v>6319</v>
      </c>
      <c r="E2582">
        <v>5209079434</v>
      </c>
      <c r="F2582" t="s">
        <v>4853</v>
      </c>
      <c r="G2582" t="s">
        <v>5017</v>
      </c>
      <c r="I2582" t="s">
        <v>5018</v>
      </c>
      <c r="J2582" s="13">
        <v>45985</v>
      </c>
      <c r="K2582" s="13">
        <v>46023</v>
      </c>
      <c r="L2582" t="s">
        <v>1179</v>
      </c>
      <c r="M2582" t="s">
        <v>61</v>
      </c>
      <c r="N2582">
        <v>72242216</v>
      </c>
    </row>
    <row r="2583" spans="1:14" x14ac:dyDescent="0.25">
      <c r="A2583">
        <v>58380328</v>
      </c>
      <c r="B2583" t="s">
        <v>6320</v>
      </c>
      <c r="C2583" t="s">
        <v>6321</v>
      </c>
      <c r="D2583" t="s">
        <v>6322</v>
      </c>
      <c r="E2583" t="s">
        <v>6323</v>
      </c>
      <c r="F2583" t="s">
        <v>705</v>
      </c>
      <c r="G2583" t="s">
        <v>706</v>
      </c>
      <c r="I2583" t="s">
        <v>12</v>
      </c>
      <c r="J2583" s="13">
        <v>45985</v>
      </c>
      <c r="K2583" s="13">
        <v>46023</v>
      </c>
      <c r="L2583" t="s">
        <v>479</v>
      </c>
      <c r="M2583" t="s">
        <v>59</v>
      </c>
      <c r="N2583">
        <v>72242501</v>
      </c>
    </row>
    <row r="2584" spans="1:14" x14ac:dyDescent="0.25">
      <c r="A2584">
        <v>58380436</v>
      </c>
      <c r="B2584" t="s">
        <v>1226</v>
      </c>
      <c r="C2584" t="s">
        <v>2482</v>
      </c>
      <c r="D2584" t="s">
        <v>6324</v>
      </c>
      <c r="E2584">
        <v>9546830489</v>
      </c>
      <c r="F2584" t="s">
        <v>1345</v>
      </c>
      <c r="G2584" t="s">
        <v>799</v>
      </c>
      <c r="I2584" t="s">
        <v>47</v>
      </c>
      <c r="J2584" s="13">
        <v>45985</v>
      </c>
      <c r="K2584" s="13">
        <v>46023</v>
      </c>
      <c r="L2584" t="s">
        <v>497</v>
      </c>
      <c r="M2584" t="s">
        <v>56</v>
      </c>
      <c r="N2584">
        <v>72242580</v>
      </c>
    </row>
    <row r="2585" spans="1:14" x14ac:dyDescent="0.25">
      <c r="A2585">
        <v>58382473</v>
      </c>
      <c r="B2585" t="s">
        <v>672</v>
      </c>
      <c r="C2585" t="s">
        <v>6325</v>
      </c>
      <c r="D2585" t="s">
        <v>6326</v>
      </c>
      <c r="E2585">
        <v>8706135686</v>
      </c>
      <c r="F2585" t="s">
        <v>1003</v>
      </c>
      <c r="G2585" t="s">
        <v>1004</v>
      </c>
      <c r="I2585" t="s">
        <v>89</v>
      </c>
      <c r="J2585" s="13">
        <v>45985</v>
      </c>
      <c r="K2585" s="13">
        <v>46023</v>
      </c>
      <c r="L2585" t="s">
        <v>553</v>
      </c>
      <c r="M2585" t="s">
        <v>58</v>
      </c>
      <c r="N2585">
        <v>72244025</v>
      </c>
    </row>
    <row r="2586" spans="1:14" x14ac:dyDescent="0.25">
      <c r="A2586">
        <v>58382642</v>
      </c>
      <c r="B2586" t="s">
        <v>431</v>
      </c>
      <c r="C2586" t="s">
        <v>6327</v>
      </c>
      <c r="D2586" t="s">
        <v>6328</v>
      </c>
      <c r="E2586">
        <v>6233082666</v>
      </c>
      <c r="F2586" t="s">
        <v>423</v>
      </c>
      <c r="G2586" t="s">
        <v>424</v>
      </c>
      <c r="I2586" t="s">
        <v>46</v>
      </c>
      <c r="J2586" s="13">
        <v>45985</v>
      </c>
      <c r="K2586" s="13">
        <v>46023</v>
      </c>
      <c r="L2586" t="s">
        <v>1179</v>
      </c>
      <c r="M2586" t="s">
        <v>54</v>
      </c>
      <c r="N2586">
        <v>72244116</v>
      </c>
    </row>
    <row r="2587" spans="1:14" x14ac:dyDescent="0.25">
      <c r="A2587">
        <v>58382713</v>
      </c>
      <c r="B2587" t="s">
        <v>1518</v>
      </c>
      <c r="C2587" t="s">
        <v>6329</v>
      </c>
      <c r="D2587" t="s">
        <v>6330</v>
      </c>
      <c r="E2587">
        <v>7313344510</v>
      </c>
      <c r="F2587" t="s">
        <v>628</v>
      </c>
      <c r="G2587" t="s">
        <v>629</v>
      </c>
      <c r="I2587" t="s">
        <v>24</v>
      </c>
      <c r="J2587" s="13">
        <v>45985</v>
      </c>
      <c r="K2587" s="13">
        <v>46023</v>
      </c>
      <c r="L2587" t="s">
        <v>479</v>
      </c>
      <c r="M2587" t="s">
        <v>58</v>
      </c>
      <c r="N2587">
        <v>72244178</v>
      </c>
    </row>
    <row r="2588" spans="1:14" x14ac:dyDescent="0.25">
      <c r="A2588">
        <v>58383272</v>
      </c>
      <c r="B2588" t="s">
        <v>431</v>
      </c>
      <c r="C2588" t="s">
        <v>2188</v>
      </c>
      <c r="D2588" t="s">
        <v>6331</v>
      </c>
      <c r="E2588">
        <v>7086317368</v>
      </c>
      <c r="F2588" t="s">
        <v>574</v>
      </c>
      <c r="G2588" t="s">
        <v>575</v>
      </c>
      <c r="I2588" t="s">
        <v>14</v>
      </c>
      <c r="J2588" s="13">
        <v>45985</v>
      </c>
      <c r="K2588" s="13">
        <v>46023</v>
      </c>
      <c r="L2588" t="s">
        <v>470</v>
      </c>
      <c r="M2588" t="s">
        <v>56</v>
      </c>
      <c r="N2588">
        <v>72244530</v>
      </c>
    </row>
    <row r="2589" spans="1:14" x14ac:dyDescent="0.25">
      <c r="A2589">
        <v>58383728</v>
      </c>
      <c r="B2589" t="s">
        <v>431</v>
      </c>
      <c r="C2589" t="s">
        <v>6332</v>
      </c>
      <c r="D2589" t="s">
        <v>6333</v>
      </c>
      <c r="E2589">
        <v>2109265128</v>
      </c>
      <c r="F2589" t="s">
        <v>649</v>
      </c>
      <c r="G2589" t="s">
        <v>650</v>
      </c>
      <c r="I2589" t="s">
        <v>28</v>
      </c>
      <c r="J2589" s="13">
        <v>45985</v>
      </c>
      <c r="K2589" s="13">
        <v>46023</v>
      </c>
      <c r="L2589" t="s">
        <v>444</v>
      </c>
      <c r="M2589" t="s">
        <v>55</v>
      </c>
      <c r="N2589">
        <v>72244810</v>
      </c>
    </row>
    <row r="2590" spans="1:14" x14ac:dyDescent="0.25">
      <c r="A2590">
        <v>58384095</v>
      </c>
      <c r="B2590" t="s">
        <v>2036</v>
      </c>
      <c r="C2590" t="s">
        <v>3384</v>
      </c>
      <c r="D2590" t="s">
        <v>6334</v>
      </c>
      <c r="E2590">
        <v>2568452802</v>
      </c>
      <c r="F2590" t="s">
        <v>1013</v>
      </c>
      <c r="G2590" t="s">
        <v>1014</v>
      </c>
      <c r="I2590" t="s">
        <v>43</v>
      </c>
      <c r="J2590" s="13">
        <v>45985</v>
      </c>
      <c r="K2590" s="13">
        <v>46023</v>
      </c>
      <c r="L2590" t="s">
        <v>450</v>
      </c>
      <c r="M2590" t="s">
        <v>59</v>
      </c>
      <c r="N2590">
        <v>72245010</v>
      </c>
    </row>
    <row r="2591" spans="1:14" x14ac:dyDescent="0.25">
      <c r="A2591">
        <v>58384893</v>
      </c>
      <c r="B2591" t="s">
        <v>6335</v>
      </c>
      <c r="C2591" t="s">
        <v>1073</v>
      </c>
      <c r="D2591" t="s">
        <v>6336</v>
      </c>
      <c r="E2591">
        <v>4808267676</v>
      </c>
      <c r="F2591" t="s">
        <v>423</v>
      </c>
      <c r="G2591" t="s">
        <v>424</v>
      </c>
      <c r="I2591" t="s">
        <v>46</v>
      </c>
      <c r="J2591" s="13">
        <v>45985</v>
      </c>
      <c r="K2591" s="13">
        <v>46023</v>
      </c>
      <c r="L2591" t="s">
        <v>1179</v>
      </c>
      <c r="M2591" t="s">
        <v>55</v>
      </c>
      <c r="N2591">
        <v>72245281</v>
      </c>
    </row>
    <row r="2592" spans="1:14" x14ac:dyDescent="0.25">
      <c r="A2592">
        <v>58384979</v>
      </c>
      <c r="B2592" t="s">
        <v>865</v>
      </c>
      <c r="C2592" t="s">
        <v>1448</v>
      </c>
      <c r="D2592" t="s">
        <v>6337</v>
      </c>
      <c r="E2592">
        <v>3369992245</v>
      </c>
      <c r="F2592" t="s">
        <v>615</v>
      </c>
      <c r="G2592" t="s">
        <v>616</v>
      </c>
      <c r="I2592" t="s">
        <v>617</v>
      </c>
      <c r="J2592" s="13">
        <v>45985</v>
      </c>
      <c r="K2592" s="13">
        <v>46023</v>
      </c>
      <c r="L2592" t="s">
        <v>497</v>
      </c>
      <c r="M2592" t="s">
        <v>56</v>
      </c>
      <c r="N2592">
        <v>72245630</v>
      </c>
    </row>
    <row r="2593" spans="1:14" x14ac:dyDescent="0.25">
      <c r="A2593">
        <v>58384980</v>
      </c>
      <c r="B2593" t="s">
        <v>517</v>
      </c>
      <c r="C2593" t="s">
        <v>1053</v>
      </c>
      <c r="D2593" t="s">
        <v>6338</v>
      </c>
      <c r="E2593" t="s">
        <v>6339</v>
      </c>
      <c r="F2593" t="s">
        <v>569</v>
      </c>
      <c r="G2593" t="s">
        <v>570</v>
      </c>
      <c r="I2593" t="s">
        <v>34</v>
      </c>
      <c r="J2593" s="13">
        <v>45985</v>
      </c>
      <c r="K2593" s="13">
        <v>46023</v>
      </c>
      <c r="L2593" t="s">
        <v>479</v>
      </c>
      <c r="M2593" t="s">
        <v>61</v>
      </c>
      <c r="N2593">
        <v>72245631</v>
      </c>
    </row>
    <row r="2594" spans="1:14" x14ac:dyDescent="0.25">
      <c r="A2594">
        <v>58385189</v>
      </c>
      <c r="B2594" t="s">
        <v>3407</v>
      </c>
      <c r="C2594" t="s">
        <v>6340</v>
      </c>
      <c r="D2594" t="s">
        <v>6341</v>
      </c>
      <c r="E2594">
        <v>9048023756</v>
      </c>
      <c r="F2594" t="s">
        <v>416</v>
      </c>
      <c r="G2594" t="s">
        <v>417</v>
      </c>
      <c r="I2594" t="s">
        <v>26</v>
      </c>
      <c r="J2594" s="13">
        <v>45985</v>
      </c>
      <c r="K2594" s="13">
        <v>46023</v>
      </c>
      <c r="L2594" t="s">
        <v>497</v>
      </c>
      <c r="M2594" t="s">
        <v>60</v>
      </c>
      <c r="N2594">
        <v>72245640</v>
      </c>
    </row>
    <row r="2595" spans="1:14" x14ac:dyDescent="0.25">
      <c r="A2595">
        <v>58385360</v>
      </c>
      <c r="B2595" t="s">
        <v>3995</v>
      </c>
      <c r="C2595" t="s">
        <v>3528</v>
      </c>
      <c r="D2595" t="s">
        <v>6342</v>
      </c>
      <c r="E2595">
        <v>6238824317</v>
      </c>
      <c r="F2595" t="s">
        <v>1142</v>
      </c>
      <c r="G2595" t="s">
        <v>1143</v>
      </c>
      <c r="I2595" t="s">
        <v>124</v>
      </c>
      <c r="J2595" s="13">
        <v>45985</v>
      </c>
      <c r="K2595" s="13">
        <v>46023</v>
      </c>
      <c r="L2595" t="s">
        <v>1179</v>
      </c>
      <c r="M2595" t="s">
        <v>59</v>
      </c>
      <c r="N2595">
        <v>72245853</v>
      </c>
    </row>
    <row r="2596" spans="1:14" x14ac:dyDescent="0.25">
      <c r="A2596">
        <v>58385423</v>
      </c>
      <c r="B2596" t="s">
        <v>1316</v>
      </c>
      <c r="C2596" t="s">
        <v>6343</v>
      </c>
      <c r="D2596" t="s">
        <v>6344</v>
      </c>
      <c r="E2596">
        <v>6233295833</v>
      </c>
      <c r="F2596" t="s">
        <v>4853</v>
      </c>
      <c r="G2596" t="s">
        <v>5017</v>
      </c>
      <c r="I2596" t="s">
        <v>5018</v>
      </c>
      <c r="J2596" s="13">
        <v>45985</v>
      </c>
      <c r="K2596" s="13">
        <v>46023</v>
      </c>
      <c r="L2596" t="s">
        <v>1179</v>
      </c>
      <c r="M2596" t="s">
        <v>54</v>
      </c>
      <c r="N2596">
        <v>72245893</v>
      </c>
    </row>
    <row r="2597" spans="1:14" x14ac:dyDescent="0.25">
      <c r="A2597">
        <v>58386060</v>
      </c>
      <c r="B2597" t="s">
        <v>909</v>
      </c>
      <c r="C2597" t="s">
        <v>6345</v>
      </c>
      <c r="D2597" t="s">
        <v>6346</v>
      </c>
      <c r="E2597" t="s">
        <v>6347</v>
      </c>
      <c r="F2597" t="s">
        <v>775</v>
      </c>
      <c r="G2597" t="s">
        <v>776</v>
      </c>
      <c r="I2597" t="s">
        <v>22</v>
      </c>
      <c r="J2597" s="13">
        <v>45985</v>
      </c>
      <c r="K2597" s="13">
        <v>46023</v>
      </c>
      <c r="L2597" t="s">
        <v>603</v>
      </c>
      <c r="M2597" t="s">
        <v>58</v>
      </c>
      <c r="N2597">
        <v>72246252</v>
      </c>
    </row>
    <row r="2598" spans="1:14" x14ac:dyDescent="0.25">
      <c r="A2598">
        <v>58386891</v>
      </c>
      <c r="B2598" t="s">
        <v>439</v>
      </c>
      <c r="C2598" t="s">
        <v>6348</v>
      </c>
      <c r="D2598" t="s">
        <v>6349</v>
      </c>
      <c r="E2598">
        <v>6148046235</v>
      </c>
      <c r="F2598" t="s">
        <v>1764</v>
      </c>
      <c r="G2598" t="s">
        <v>1765</v>
      </c>
      <c r="I2598" t="s">
        <v>44</v>
      </c>
      <c r="J2598" s="13">
        <v>45985</v>
      </c>
      <c r="K2598" s="13">
        <v>46023</v>
      </c>
      <c r="L2598" t="s">
        <v>418</v>
      </c>
      <c r="M2598" t="s">
        <v>58</v>
      </c>
      <c r="N2598">
        <v>72246620</v>
      </c>
    </row>
    <row r="2599" spans="1:14" x14ac:dyDescent="0.25">
      <c r="A2599">
        <v>58386845</v>
      </c>
      <c r="B2599" t="s">
        <v>6350</v>
      </c>
      <c r="C2599" t="s">
        <v>6351</v>
      </c>
      <c r="D2599" t="s">
        <v>6352</v>
      </c>
      <c r="E2599">
        <v>5204657822</v>
      </c>
      <c r="F2599" t="s">
        <v>474</v>
      </c>
      <c r="G2599" t="s">
        <v>475</v>
      </c>
      <c r="I2599" t="s">
        <v>132</v>
      </c>
      <c r="J2599" s="13">
        <v>45985</v>
      </c>
      <c r="K2599" s="13">
        <v>46023</v>
      </c>
      <c r="L2599" t="s">
        <v>1179</v>
      </c>
      <c r="M2599" t="s">
        <v>54</v>
      </c>
      <c r="N2599">
        <v>72246722</v>
      </c>
    </row>
    <row r="2600" spans="1:14" x14ac:dyDescent="0.25">
      <c r="A2600">
        <v>58386899</v>
      </c>
      <c r="B2600" t="s">
        <v>1035</v>
      </c>
      <c r="C2600" t="s">
        <v>6353</v>
      </c>
      <c r="D2600" t="s">
        <v>6354</v>
      </c>
      <c r="E2600">
        <v>6022280009</v>
      </c>
      <c r="F2600" t="s">
        <v>842</v>
      </c>
      <c r="G2600" t="s">
        <v>1213</v>
      </c>
      <c r="I2600" t="s">
        <v>1214</v>
      </c>
      <c r="J2600" s="13">
        <v>45985</v>
      </c>
      <c r="K2600" s="13">
        <v>46023</v>
      </c>
      <c r="L2600" t="s">
        <v>1179</v>
      </c>
      <c r="M2600" t="s">
        <v>55</v>
      </c>
      <c r="N2600">
        <v>72246747</v>
      </c>
    </row>
    <row r="2601" spans="1:14" x14ac:dyDescent="0.25">
      <c r="A2601">
        <v>58387361</v>
      </c>
      <c r="B2601" t="s">
        <v>6355</v>
      </c>
      <c r="C2601" t="s">
        <v>6356</v>
      </c>
      <c r="D2601" t="s">
        <v>6357</v>
      </c>
      <c r="E2601">
        <v>9707733489</v>
      </c>
      <c r="F2601" t="s">
        <v>957</v>
      </c>
      <c r="G2601" t="s">
        <v>958</v>
      </c>
      <c r="H2601" t="s">
        <v>959</v>
      </c>
      <c r="I2601" t="s">
        <v>960</v>
      </c>
      <c r="J2601" s="13">
        <v>45985</v>
      </c>
      <c r="K2601" s="13">
        <v>46023</v>
      </c>
      <c r="L2601" t="s">
        <v>539</v>
      </c>
      <c r="M2601" t="s">
        <v>56</v>
      </c>
      <c r="N2601">
        <v>72246976</v>
      </c>
    </row>
    <row r="2602" spans="1:14" x14ac:dyDescent="0.25">
      <c r="A2602">
        <v>58388134</v>
      </c>
      <c r="B2602" t="s">
        <v>476</v>
      </c>
      <c r="C2602" t="s">
        <v>6358</v>
      </c>
      <c r="D2602" t="s">
        <v>6359</v>
      </c>
      <c r="E2602">
        <v>5209121145</v>
      </c>
      <c r="F2602" t="s">
        <v>574</v>
      </c>
      <c r="G2602" t="s">
        <v>575</v>
      </c>
      <c r="I2602" t="s">
        <v>14</v>
      </c>
      <c r="J2602" s="13">
        <v>45985</v>
      </c>
      <c r="K2602" s="13">
        <v>46023</v>
      </c>
      <c r="L2602" t="s">
        <v>1179</v>
      </c>
      <c r="M2602" t="s">
        <v>55</v>
      </c>
      <c r="N2602">
        <v>72247543</v>
      </c>
    </row>
    <row r="2603" spans="1:14" x14ac:dyDescent="0.25">
      <c r="A2603">
        <v>58388795</v>
      </c>
      <c r="B2603" t="s">
        <v>6360</v>
      </c>
      <c r="C2603" t="s">
        <v>6361</v>
      </c>
      <c r="D2603" t="s">
        <v>6362</v>
      </c>
      <c r="E2603">
        <v>6233492385</v>
      </c>
      <c r="F2603" t="s">
        <v>462</v>
      </c>
      <c r="G2603" t="s">
        <v>463</v>
      </c>
      <c r="I2603" t="s">
        <v>39</v>
      </c>
      <c r="J2603" s="13">
        <v>45985</v>
      </c>
      <c r="K2603" s="13">
        <v>46023</v>
      </c>
      <c r="L2603" t="s">
        <v>1179</v>
      </c>
      <c r="M2603" t="s">
        <v>54</v>
      </c>
      <c r="N2603">
        <v>72247940</v>
      </c>
    </row>
    <row r="2604" spans="1:14" x14ac:dyDescent="0.25">
      <c r="A2604">
        <v>58389038</v>
      </c>
      <c r="B2604" t="s">
        <v>1232</v>
      </c>
      <c r="C2604" t="s">
        <v>5773</v>
      </c>
      <c r="D2604" t="s">
        <v>6363</v>
      </c>
      <c r="E2604">
        <v>3363503981</v>
      </c>
      <c r="F2604" t="s">
        <v>4853</v>
      </c>
      <c r="G2604" t="s">
        <v>5017</v>
      </c>
      <c r="I2604" t="s">
        <v>5018</v>
      </c>
      <c r="J2604" s="13">
        <v>45985</v>
      </c>
      <c r="K2604" s="13">
        <v>46023</v>
      </c>
      <c r="L2604" t="s">
        <v>603</v>
      </c>
      <c r="M2604" t="s">
        <v>61</v>
      </c>
      <c r="N2604">
        <v>72248104</v>
      </c>
    </row>
    <row r="2605" spans="1:14" x14ac:dyDescent="0.25">
      <c r="A2605">
        <v>58389095</v>
      </c>
      <c r="B2605" t="s">
        <v>909</v>
      </c>
      <c r="C2605" t="s">
        <v>999</v>
      </c>
      <c r="D2605" t="s">
        <v>6364</v>
      </c>
      <c r="E2605">
        <v>5204147433</v>
      </c>
      <c r="F2605" t="s">
        <v>423</v>
      </c>
      <c r="G2605" t="s">
        <v>424</v>
      </c>
      <c r="I2605" t="s">
        <v>46</v>
      </c>
      <c r="J2605" s="13">
        <v>45985</v>
      </c>
      <c r="K2605" s="13">
        <v>46023</v>
      </c>
      <c r="L2605" t="s">
        <v>1179</v>
      </c>
      <c r="M2605" t="s">
        <v>54</v>
      </c>
      <c r="N2605">
        <v>72248109</v>
      </c>
    </row>
    <row r="2606" spans="1:14" x14ac:dyDescent="0.25">
      <c r="A2606">
        <v>58389226</v>
      </c>
      <c r="B2606" t="s">
        <v>1515</v>
      </c>
      <c r="C2606" t="s">
        <v>6365</v>
      </c>
      <c r="D2606" t="s">
        <v>6366</v>
      </c>
      <c r="E2606">
        <v>5202882504</v>
      </c>
      <c r="F2606" t="s">
        <v>780</v>
      </c>
      <c r="G2606" t="s">
        <v>781</v>
      </c>
      <c r="I2606" t="s">
        <v>20</v>
      </c>
      <c r="J2606" s="13">
        <v>45985</v>
      </c>
      <c r="K2606" s="13">
        <v>46023</v>
      </c>
      <c r="L2606" t="s">
        <v>1179</v>
      </c>
      <c r="M2606" t="s">
        <v>59</v>
      </c>
      <c r="N2606">
        <v>72248208</v>
      </c>
    </row>
    <row r="2607" spans="1:14" x14ac:dyDescent="0.25">
      <c r="A2607">
        <v>58389586</v>
      </c>
      <c r="B2607" t="s">
        <v>1527</v>
      </c>
      <c r="C2607" t="s">
        <v>6367</v>
      </c>
      <c r="D2607" t="s">
        <v>6368</v>
      </c>
      <c r="E2607">
        <v>6232996360</v>
      </c>
      <c r="F2607" t="s">
        <v>1345</v>
      </c>
      <c r="G2607" t="s">
        <v>799</v>
      </c>
      <c r="I2607" t="s">
        <v>47</v>
      </c>
      <c r="J2607" s="13">
        <v>45985</v>
      </c>
      <c r="K2607" s="13">
        <v>46023</v>
      </c>
      <c r="L2607" t="s">
        <v>1179</v>
      </c>
      <c r="M2607" t="s">
        <v>59</v>
      </c>
      <c r="N2607">
        <v>72248410</v>
      </c>
    </row>
    <row r="2608" spans="1:14" x14ac:dyDescent="0.25">
      <c r="A2608">
        <v>58391614</v>
      </c>
      <c r="B2608" t="s">
        <v>6369</v>
      </c>
      <c r="C2608" t="s">
        <v>2068</v>
      </c>
      <c r="D2608" t="s">
        <v>6370</v>
      </c>
      <c r="E2608">
        <v>6233269225</v>
      </c>
      <c r="F2608" t="s">
        <v>770</v>
      </c>
      <c r="G2608" t="s">
        <v>771</v>
      </c>
      <c r="I2608" t="s">
        <v>25</v>
      </c>
      <c r="J2608" s="13">
        <v>45985</v>
      </c>
      <c r="K2608" s="13">
        <v>46023</v>
      </c>
      <c r="L2608" t="s">
        <v>1179</v>
      </c>
      <c r="M2608" t="s">
        <v>59</v>
      </c>
      <c r="N2608">
        <v>72249786</v>
      </c>
    </row>
    <row r="2609" spans="1:14" x14ac:dyDescent="0.25">
      <c r="A2609">
        <v>58391971</v>
      </c>
      <c r="B2609" t="s">
        <v>521</v>
      </c>
      <c r="C2609" t="s">
        <v>6371</v>
      </c>
      <c r="D2609" t="s">
        <v>6372</v>
      </c>
      <c r="E2609">
        <v>4802286915</v>
      </c>
      <c r="F2609" t="s">
        <v>775</v>
      </c>
      <c r="G2609" t="s">
        <v>776</v>
      </c>
      <c r="I2609" t="s">
        <v>22</v>
      </c>
      <c r="J2609" s="13">
        <v>45985</v>
      </c>
      <c r="K2609" s="13">
        <v>46023</v>
      </c>
      <c r="L2609" t="s">
        <v>1179</v>
      </c>
      <c r="M2609" t="s">
        <v>54</v>
      </c>
      <c r="N2609">
        <v>72249988</v>
      </c>
    </row>
    <row r="2610" spans="1:14" x14ac:dyDescent="0.25">
      <c r="A2610">
        <v>58392144</v>
      </c>
      <c r="B2610" t="s">
        <v>2721</v>
      </c>
      <c r="C2610" t="s">
        <v>6373</v>
      </c>
      <c r="D2610" t="s">
        <v>6374</v>
      </c>
      <c r="E2610">
        <v>8473638053</v>
      </c>
      <c r="F2610" t="s">
        <v>615</v>
      </c>
      <c r="G2610" t="s">
        <v>616</v>
      </c>
      <c r="I2610" t="s">
        <v>617</v>
      </c>
      <c r="J2610" s="13">
        <v>45985</v>
      </c>
      <c r="K2610" s="13">
        <v>46023</v>
      </c>
      <c r="L2610" t="s">
        <v>470</v>
      </c>
      <c r="M2610" t="s">
        <v>56</v>
      </c>
      <c r="N2610">
        <v>72250084</v>
      </c>
    </row>
    <row r="2611" spans="1:14" x14ac:dyDescent="0.25">
      <c r="A2611">
        <v>58392906</v>
      </c>
      <c r="B2611" t="s">
        <v>622</v>
      </c>
      <c r="C2611" t="s">
        <v>1145</v>
      </c>
      <c r="D2611" t="s">
        <v>6375</v>
      </c>
      <c r="E2611">
        <v>9045045667</v>
      </c>
      <c r="F2611" t="s">
        <v>1003</v>
      </c>
      <c r="G2611" t="s">
        <v>1004</v>
      </c>
      <c r="I2611" t="s">
        <v>89</v>
      </c>
      <c r="J2611" s="13">
        <v>45985</v>
      </c>
      <c r="K2611" s="13">
        <v>46023</v>
      </c>
      <c r="L2611" t="s">
        <v>497</v>
      </c>
      <c r="M2611" t="s">
        <v>59</v>
      </c>
      <c r="N2611">
        <v>72250540</v>
      </c>
    </row>
    <row r="2612" spans="1:14" x14ac:dyDescent="0.25">
      <c r="A2612">
        <v>58394336</v>
      </c>
      <c r="B2612" t="s">
        <v>476</v>
      </c>
      <c r="C2612" t="s">
        <v>6376</v>
      </c>
      <c r="D2612" t="s">
        <v>6377</v>
      </c>
      <c r="E2612">
        <v>5204317432</v>
      </c>
      <c r="F2612" t="s">
        <v>423</v>
      </c>
      <c r="G2612" t="s">
        <v>424</v>
      </c>
      <c r="I2612" t="s">
        <v>46</v>
      </c>
      <c r="J2612" s="13">
        <v>45985</v>
      </c>
      <c r="K2612" s="13">
        <v>46023</v>
      </c>
      <c r="L2612" t="s">
        <v>1179</v>
      </c>
      <c r="M2612" t="s">
        <v>54</v>
      </c>
      <c r="N2612">
        <v>72251184</v>
      </c>
    </row>
    <row r="2613" spans="1:14" x14ac:dyDescent="0.25">
      <c r="A2613">
        <v>58394962</v>
      </c>
      <c r="B2613" t="s">
        <v>6378</v>
      </c>
      <c r="C2613" t="s">
        <v>6379</v>
      </c>
      <c r="D2613" t="s">
        <v>6380</v>
      </c>
      <c r="E2613">
        <v>7655098690</v>
      </c>
      <c r="F2613" t="s">
        <v>842</v>
      </c>
      <c r="G2613" t="s">
        <v>843</v>
      </c>
      <c r="I2613" t="s">
        <v>98</v>
      </c>
      <c r="J2613" s="13">
        <v>45985</v>
      </c>
      <c r="K2613" s="13">
        <v>46023</v>
      </c>
      <c r="L2613" t="s">
        <v>444</v>
      </c>
      <c r="M2613" t="s">
        <v>59</v>
      </c>
      <c r="N2613">
        <v>72251597</v>
      </c>
    </row>
    <row r="2614" spans="1:14" x14ac:dyDescent="0.25">
      <c r="A2614">
        <v>58395203</v>
      </c>
      <c r="B2614" t="s">
        <v>1033</v>
      </c>
      <c r="C2614" t="s">
        <v>6381</v>
      </c>
      <c r="D2614" t="s">
        <v>6382</v>
      </c>
      <c r="E2614">
        <v>8705179069</v>
      </c>
      <c r="F2614" t="s">
        <v>649</v>
      </c>
      <c r="G2614" t="s">
        <v>650</v>
      </c>
      <c r="I2614" t="s">
        <v>28</v>
      </c>
      <c r="J2614" s="13">
        <v>45985</v>
      </c>
      <c r="K2614" s="13">
        <v>46023</v>
      </c>
      <c r="L2614" t="s">
        <v>553</v>
      </c>
      <c r="M2614" t="s">
        <v>56</v>
      </c>
      <c r="N2614">
        <v>72251688</v>
      </c>
    </row>
    <row r="2615" spans="1:14" x14ac:dyDescent="0.25">
      <c r="A2615">
        <v>58396971</v>
      </c>
      <c r="B2615" t="s">
        <v>6383</v>
      </c>
      <c r="C2615" t="s">
        <v>6384</v>
      </c>
      <c r="D2615" t="s">
        <v>6385</v>
      </c>
      <c r="E2615">
        <v>2055679061</v>
      </c>
      <c r="F2615" t="s">
        <v>1013</v>
      </c>
      <c r="G2615" t="s">
        <v>1014</v>
      </c>
      <c r="I2615" t="s">
        <v>43</v>
      </c>
      <c r="J2615" s="13">
        <v>45985</v>
      </c>
      <c r="K2615" s="13">
        <v>46023</v>
      </c>
      <c r="L2615" t="s">
        <v>450</v>
      </c>
      <c r="M2615" t="s">
        <v>59</v>
      </c>
      <c r="N2615">
        <v>72252605</v>
      </c>
    </row>
    <row r="2616" spans="1:14" x14ac:dyDescent="0.25">
      <c r="A2616">
        <v>58397080</v>
      </c>
      <c r="B2616" t="s">
        <v>6386</v>
      </c>
      <c r="C2616" t="s">
        <v>6387</v>
      </c>
      <c r="D2616" t="s">
        <v>6388</v>
      </c>
      <c r="E2616">
        <v>7039807410</v>
      </c>
      <c r="F2616" t="s">
        <v>790</v>
      </c>
      <c r="G2616" t="s">
        <v>791</v>
      </c>
      <c r="I2616" t="s">
        <v>119</v>
      </c>
      <c r="J2616" s="13">
        <v>45985</v>
      </c>
      <c r="K2616" s="13">
        <v>46023</v>
      </c>
      <c r="L2616" t="s">
        <v>454</v>
      </c>
      <c r="M2616" t="s">
        <v>56</v>
      </c>
      <c r="N2616">
        <v>72252645</v>
      </c>
    </row>
    <row r="2617" spans="1:14" x14ac:dyDescent="0.25">
      <c r="A2617">
        <v>58397472</v>
      </c>
      <c r="B2617" t="s">
        <v>5685</v>
      </c>
      <c r="C2617" t="s">
        <v>6389</v>
      </c>
      <c r="D2617" t="s">
        <v>6390</v>
      </c>
      <c r="E2617">
        <v>6024872758</v>
      </c>
      <c r="F2617" t="s">
        <v>423</v>
      </c>
      <c r="G2617" t="s">
        <v>424</v>
      </c>
      <c r="I2617" t="s">
        <v>46</v>
      </c>
      <c r="J2617" s="13">
        <v>45985</v>
      </c>
      <c r="K2617" s="13">
        <v>46023</v>
      </c>
      <c r="L2617" t="s">
        <v>1179</v>
      </c>
      <c r="M2617" t="s">
        <v>59</v>
      </c>
      <c r="N2617">
        <v>72252693</v>
      </c>
    </row>
    <row r="2618" spans="1:14" x14ac:dyDescent="0.25">
      <c r="A2618">
        <v>58397096</v>
      </c>
      <c r="B2618" t="s">
        <v>498</v>
      </c>
      <c r="C2618" t="s">
        <v>6391</v>
      </c>
      <c r="D2618" t="s">
        <v>6392</v>
      </c>
      <c r="E2618">
        <v>3522224487</v>
      </c>
      <c r="F2618" t="s">
        <v>462</v>
      </c>
      <c r="G2618" t="s">
        <v>463</v>
      </c>
      <c r="I2618" t="s">
        <v>39</v>
      </c>
      <c r="J2618" s="13">
        <v>45985</v>
      </c>
      <c r="K2618" s="13">
        <v>46023</v>
      </c>
      <c r="L2618" t="s">
        <v>497</v>
      </c>
      <c r="M2618" t="s">
        <v>54</v>
      </c>
      <c r="N2618">
        <v>72252694</v>
      </c>
    </row>
    <row r="2619" spans="1:14" x14ac:dyDescent="0.25">
      <c r="A2619">
        <v>58398122</v>
      </c>
      <c r="B2619" t="s">
        <v>1148</v>
      </c>
      <c r="C2619" t="s">
        <v>6393</v>
      </c>
      <c r="D2619" t="s">
        <v>6394</v>
      </c>
      <c r="E2619">
        <v>9794220950</v>
      </c>
      <c r="F2619" t="s">
        <v>780</v>
      </c>
      <c r="G2619" t="s">
        <v>781</v>
      </c>
      <c r="I2619" t="s">
        <v>20</v>
      </c>
      <c r="J2619" s="13">
        <v>45985</v>
      </c>
      <c r="K2619" s="13">
        <v>46023</v>
      </c>
      <c r="L2619" t="s">
        <v>444</v>
      </c>
      <c r="M2619" t="s">
        <v>56</v>
      </c>
      <c r="N2619">
        <v>72253320</v>
      </c>
    </row>
    <row r="2620" spans="1:14" x14ac:dyDescent="0.25">
      <c r="A2620">
        <v>58398141</v>
      </c>
      <c r="B2620" t="s">
        <v>6395</v>
      </c>
      <c r="C2620" t="s">
        <v>6396</v>
      </c>
      <c r="D2620" t="s">
        <v>6397</v>
      </c>
      <c r="E2620">
        <v>9284616204</v>
      </c>
      <c r="F2620" t="s">
        <v>615</v>
      </c>
      <c r="G2620" t="s">
        <v>616</v>
      </c>
      <c r="I2620" t="s">
        <v>617</v>
      </c>
      <c r="J2620" s="13">
        <v>45985</v>
      </c>
      <c r="K2620" s="13">
        <v>46023</v>
      </c>
      <c r="L2620" t="s">
        <v>1179</v>
      </c>
      <c r="M2620" t="s">
        <v>54</v>
      </c>
      <c r="N2620">
        <v>72253331</v>
      </c>
    </row>
    <row r="2621" spans="1:14" x14ac:dyDescent="0.25">
      <c r="A2621">
        <v>58398162</v>
      </c>
      <c r="B2621" t="s">
        <v>521</v>
      </c>
      <c r="C2621" t="s">
        <v>6398</v>
      </c>
      <c r="D2621" t="s">
        <v>6399</v>
      </c>
      <c r="E2621">
        <v>3863493299</v>
      </c>
      <c r="F2621" t="s">
        <v>448</v>
      </c>
      <c r="G2621" t="s">
        <v>449</v>
      </c>
      <c r="I2621" t="s">
        <v>31</v>
      </c>
      <c r="J2621" s="13">
        <v>45985</v>
      </c>
      <c r="K2621" s="13">
        <v>46023</v>
      </c>
      <c r="L2621" t="s">
        <v>497</v>
      </c>
      <c r="M2621" t="s">
        <v>58</v>
      </c>
      <c r="N2621">
        <v>72253343</v>
      </c>
    </row>
    <row r="2622" spans="1:14" x14ac:dyDescent="0.25">
      <c r="A2622">
        <v>58398308</v>
      </c>
      <c r="B2622" t="s">
        <v>669</v>
      </c>
      <c r="C2622" t="s">
        <v>6400</v>
      </c>
      <c r="D2622" t="s">
        <v>6401</v>
      </c>
      <c r="E2622">
        <v>6823935344</v>
      </c>
      <c r="F2622" t="s">
        <v>1142</v>
      </c>
      <c r="G2622" t="s">
        <v>1143</v>
      </c>
      <c r="I2622" t="s">
        <v>124</v>
      </c>
      <c r="J2622" s="13">
        <v>45985</v>
      </c>
      <c r="K2622" s="13">
        <v>46023</v>
      </c>
      <c r="L2622" t="s">
        <v>444</v>
      </c>
      <c r="M2622" t="s">
        <v>55</v>
      </c>
      <c r="N2622">
        <v>72253438</v>
      </c>
    </row>
    <row r="2623" spans="1:14" x14ac:dyDescent="0.25">
      <c r="A2623">
        <v>58398892</v>
      </c>
      <c r="B2623" t="s">
        <v>6402</v>
      </c>
      <c r="C2623" t="s">
        <v>4294</v>
      </c>
      <c r="D2623" t="s">
        <v>6403</v>
      </c>
      <c r="E2623">
        <v>3364082872</v>
      </c>
      <c r="F2623" t="s">
        <v>551</v>
      </c>
      <c r="G2623" t="s">
        <v>552</v>
      </c>
      <c r="I2623" t="s">
        <v>42</v>
      </c>
      <c r="J2623" s="13">
        <v>45985</v>
      </c>
      <c r="K2623" s="13">
        <v>46023</v>
      </c>
      <c r="L2623" t="s">
        <v>603</v>
      </c>
      <c r="M2623" t="s">
        <v>58</v>
      </c>
      <c r="N2623">
        <v>72253549</v>
      </c>
    </row>
    <row r="2624" spans="1:14" x14ac:dyDescent="0.25">
      <c r="A2624">
        <v>58398615</v>
      </c>
      <c r="B2624" t="s">
        <v>6404</v>
      </c>
      <c r="C2624" t="s">
        <v>6405</v>
      </c>
      <c r="D2624" t="s">
        <v>6406</v>
      </c>
      <c r="E2624">
        <v>4804997568</v>
      </c>
      <c r="F2624" t="s">
        <v>649</v>
      </c>
      <c r="G2624" t="s">
        <v>650</v>
      </c>
      <c r="I2624" t="s">
        <v>28</v>
      </c>
      <c r="J2624" s="13">
        <v>45985</v>
      </c>
      <c r="K2624" s="13">
        <v>46023</v>
      </c>
      <c r="L2624" t="s">
        <v>1179</v>
      </c>
      <c r="M2624" t="s">
        <v>59</v>
      </c>
      <c r="N2624">
        <v>72253652</v>
      </c>
    </row>
    <row r="2625" spans="1:14" x14ac:dyDescent="0.25">
      <c r="A2625">
        <v>58398920</v>
      </c>
      <c r="B2625" t="s">
        <v>5767</v>
      </c>
      <c r="C2625" t="s">
        <v>6407</v>
      </c>
      <c r="D2625" t="s">
        <v>6408</v>
      </c>
      <c r="E2625">
        <v>5203609106</v>
      </c>
      <c r="F2625" t="s">
        <v>416</v>
      </c>
      <c r="G2625" t="s">
        <v>417</v>
      </c>
      <c r="I2625" t="s">
        <v>26</v>
      </c>
      <c r="J2625" s="13">
        <v>45985</v>
      </c>
      <c r="K2625" s="13">
        <v>46023</v>
      </c>
      <c r="L2625" t="s">
        <v>1179</v>
      </c>
      <c r="M2625" t="s">
        <v>54</v>
      </c>
      <c r="N2625">
        <v>72253773</v>
      </c>
    </row>
    <row r="2626" spans="1:14" x14ac:dyDescent="0.25">
      <c r="A2626">
        <v>58398811</v>
      </c>
      <c r="B2626" t="s">
        <v>6409</v>
      </c>
      <c r="C2626" t="s">
        <v>6410</v>
      </c>
      <c r="D2626" t="s">
        <v>6411</v>
      </c>
      <c r="E2626" t="s">
        <v>6412</v>
      </c>
      <c r="F2626" t="s">
        <v>1013</v>
      </c>
      <c r="G2626" t="s">
        <v>1014</v>
      </c>
      <c r="I2626" t="s">
        <v>43</v>
      </c>
      <c r="J2626" s="13">
        <v>45985</v>
      </c>
      <c r="K2626" s="13">
        <v>46023</v>
      </c>
      <c r="L2626" t="s">
        <v>450</v>
      </c>
      <c r="M2626" t="s">
        <v>59</v>
      </c>
      <c r="N2626">
        <v>72253794</v>
      </c>
    </row>
    <row r="2627" spans="1:14" x14ac:dyDescent="0.25">
      <c r="A2627">
        <v>58398816</v>
      </c>
      <c r="B2627" t="s">
        <v>6413</v>
      </c>
      <c r="C2627" t="s">
        <v>6414</v>
      </c>
      <c r="D2627" t="s">
        <v>6415</v>
      </c>
      <c r="E2627" t="s">
        <v>6416</v>
      </c>
      <c r="F2627" t="s">
        <v>842</v>
      </c>
      <c r="G2627" t="s">
        <v>1213</v>
      </c>
      <c r="I2627" t="s">
        <v>1214</v>
      </c>
      <c r="J2627" s="13">
        <v>45985</v>
      </c>
      <c r="K2627" s="13">
        <v>46023</v>
      </c>
      <c r="L2627" t="s">
        <v>1179</v>
      </c>
      <c r="M2627" t="s">
        <v>54</v>
      </c>
      <c r="N2627">
        <v>72253797</v>
      </c>
    </row>
    <row r="2628" spans="1:14" x14ac:dyDescent="0.25">
      <c r="A2628">
        <v>58399169</v>
      </c>
      <c r="B2628" t="s">
        <v>712</v>
      </c>
      <c r="C2628" t="s">
        <v>6417</v>
      </c>
      <c r="D2628" t="s">
        <v>6418</v>
      </c>
      <c r="E2628">
        <v>5612129552</v>
      </c>
      <c r="F2628" t="s">
        <v>423</v>
      </c>
      <c r="G2628" t="s">
        <v>424</v>
      </c>
      <c r="I2628" t="s">
        <v>46</v>
      </c>
      <c r="J2628" s="13">
        <v>45985</v>
      </c>
      <c r="K2628" s="13">
        <v>46023</v>
      </c>
      <c r="L2628" t="s">
        <v>497</v>
      </c>
      <c r="M2628" t="s">
        <v>54</v>
      </c>
      <c r="N2628">
        <v>72253997</v>
      </c>
    </row>
    <row r="2629" spans="1:14" x14ac:dyDescent="0.25">
      <c r="A2629">
        <v>58400115</v>
      </c>
      <c r="B2629" t="s">
        <v>1772</v>
      </c>
      <c r="C2629" t="s">
        <v>6419</v>
      </c>
      <c r="D2629" t="s">
        <v>6420</v>
      </c>
      <c r="E2629">
        <v>8137578622</v>
      </c>
      <c r="F2629" t="s">
        <v>775</v>
      </c>
      <c r="G2629" t="s">
        <v>776</v>
      </c>
      <c r="I2629" t="s">
        <v>22</v>
      </c>
      <c r="J2629" s="13">
        <v>45985</v>
      </c>
      <c r="K2629" s="13">
        <v>46023</v>
      </c>
      <c r="L2629" t="s">
        <v>497</v>
      </c>
      <c r="M2629" t="s">
        <v>56</v>
      </c>
      <c r="N2629">
        <v>72254657</v>
      </c>
    </row>
    <row r="2630" spans="1:14" x14ac:dyDescent="0.25">
      <c r="A2630">
        <v>58400220</v>
      </c>
      <c r="B2630" t="s">
        <v>672</v>
      </c>
      <c r="C2630" t="s">
        <v>6421</v>
      </c>
      <c r="D2630" t="s">
        <v>6422</v>
      </c>
      <c r="E2630">
        <v>6026962069</v>
      </c>
      <c r="F2630" t="s">
        <v>462</v>
      </c>
      <c r="G2630" t="s">
        <v>463</v>
      </c>
      <c r="I2630" t="s">
        <v>39</v>
      </c>
      <c r="J2630" s="13">
        <v>45985</v>
      </c>
      <c r="K2630" s="13">
        <v>46023</v>
      </c>
      <c r="L2630" t="s">
        <v>1179</v>
      </c>
      <c r="M2630" t="s">
        <v>58</v>
      </c>
      <c r="N2630">
        <v>72254714</v>
      </c>
    </row>
    <row r="2631" spans="1:14" x14ac:dyDescent="0.25">
      <c r="A2631">
        <v>58400271</v>
      </c>
      <c r="B2631" t="s">
        <v>609</v>
      </c>
      <c r="C2631" t="s">
        <v>6423</v>
      </c>
      <c r="D2631" t="s">
        <v>6424</v>
      </c>
      <c r="E2631">
        <v>6893422393</v>
      </c>
      <c r="F2631" t="s">
        <v>1067</v>
      </c>
      <c r="G2631" t="s">
        <v>1068</v>
      </c>
      <c r="I2631" t="s">
        <v>35</v>
      </c>
      <c r="J2631" s="13">
        <v>45985</v>
      </c>
      <c r="K2631" s="13">
        <v>46023</v>
      </c>
      <c r="L2631" t="s">
        <v>497</v>
      </c>
      <c r="M2631" t="s">
        <v>58</v>
      </c>
      <c r="N2631">
        <v>72254745</v>
      </c>
    </row>
    <row r="2632" spans="1:14" x14ac:dyDescent="0.25">
      <c r="A2632">
        <v>58400556</v>
      </c>
      <c r="B2632" t="s">
        <v>2910</v>
      </c>
      <c r="C2632" t="s">
        <v>6425</v>
      </c>
      <c r="D2632" t="s">
        <v>6426</v>
      </c>
      <c r="E2632">
        <v>7274378413</v>
      </c>
      <c r="F2632" t="s">
        <v>569</v>
      </c>
      <c r="G2632" t="s">
        <v>570</v>
      </c>
      <c r="I2632" t="s">
        <v>34</v>
      </c>
      <c r="J2632" s="13">
        <v>45985</v>
      </c>
      <c r="K2632" s="13">
        <v>46023</v>
      </c>
      <c r="L2632" t="s">
        <v>497</v>
      </c>
      <c r="M2632" t="s">
        <v>54</v>
      </c>
      <c r="N2632">
        <v>72254903</v>
      </c>
    </row>
    <row r="2633" spans="1:14" x14ac:dyDescent="0.25">
      <c r="A2633">
        <v>58400889</v>
      </c>
      <c r="B2633" t="s">
        <v>1515</v>
      </c>
      <c r="C2633" t="s">
        <v>1435</v>
      </c>
      <c r="D2633" t="s">
        <v>6427</v>
      </c>
      <c r="E2633">
        <v>7865264997</v>
      </c>
      <c r="F2633" t="s">
        <v>416</v>
      </c>
      <c r="G2633" t="s">
        <v>417</v>
      </c>
      <c r="I2633" t="s">
        <v>26</v>
      </c>
      <c r="J2633" s="13">
        <v>45985</v>
      </c>
      <c r="K2633" s="13">
        <v>46023</v>
      </c>
      <c r="L2633" t="s">
        <v>1179</v>
      </c>
      <c r="M2633" t="s">
        <v>56</v>
      </c>
      <c r="N2633">
        <v>72255101</v>
      </c>
    </row>
    <row r="2634" spans="1:14" x14ac:dyDescent="0.25">
      <c r="A2634">
        <v>58402700</v>
      </c>
      <c r="B2634" t="s">
        <v>1554</v>
      </c>
      <c r="C2634" t="s">
        <v>3298</v>
      </c>
      <c r="D2634" t="s">
        <v>6428</v>
      </c>
      <c r="E2634">
        <v>4803817242</v>
      </c>
      <c r="F2634" t="s">
        <v>1345</v>
      </c>
      <c r="G2634" t="s">
        <v>799</v>
      </c>
      <c r="I2634" t="s">
        <v>47</v>
      </c>
      <c r="J2634" s="13">
        <v>45985</v>
      </c>
      <c r="K2634" s="13">
        <v>46023</v>
      </c>
      <c r="L2634" t="s">
        <v>1179</v>
      </c>
      <c r="M2634" t="s">
        <v>54</v>
      </c>
      <c r="N2634">
        <v>72256728</v>
      </c>
    </row>
    <row r="2635" spans="1:14" x14ac:dyDescent="0.25">
      <c r="A2635">
        <v>58402834</v>
      </c>
      <c r="B2635" t="s">
        <v>1931</v>
      </c>
      <c r="C2635" t="s">
        <v>3807</v>
      </c>
      <c r="D2635" t="s">
        <v>6429</v>
      </c>
      <c r="E2635">
        <v>5735289858</v>
      </c>
      <c r="F2635" t="s">
        <v>649</v>
      </c>
      <c r="G2635" t="s">
        <v>650</v>
      </c>
      <c r="I2635" t="s">
        <v>28</v>
      </c>
      <c r="J2635" s="13">
        <v>45985</v>
      </c>
      <c r="K2635" s="13">
        <v>46023</v>
      </c>
      <c r="L2635" t="s">
        <v>434</v>
      </c>
      <c r="M2635" t="s">
        <v>58</v>
      </c>
      <c r="N2635">
        <v>72256801</v>
      </c>
    </row>
    <row r="2636" spans="1:14" x14ac:dyDescent="0.25">
      <c r="A2636">
        <v>58402995</v>
      </c>
      <c r="B2636" t="s">
        <v>1226</v>
      </c>
      <c r="C2636" t="s">
        <v>2795</v>
      </c>
      <c r="D2636" t="s">
        <v>6430</v>
      </c>
      <c r="E2636">
        <v>3344738058</v>
      </c>
      <c r="F2636" t="s">
        <v>790</v>
      </c>
      <c r="G2636" t="s">
        <v>791</v>
      </c>
      <c r="I2636" t="s">
        <v>119</v>
      </c>
      <c r="J2636" s="13">
        <v>45985</v>
      </c>
      <c r="K2636" s="13">
        <v>46023</v>
      </c>
      <c r="L2636" t="s">
        <v>450</v>
      </c>
      <c r="M2636" t="s">
        <v>58</v>
      </c>
      <c r="N2636">
        <v>72256887</v>
      </c>
    </row>
    <row r="2637" spans="1:14" x14ac:dyDescent="0.25">
      <c r="A2637">
        <v>58403887</v>
      </c>
      <c r="B2637" t="s">
        <v>431</v>
      </c>
      <c r="C2637" t="s">
        <v>6431</v>
      </c>
      <c r="D2637" t="s">
        <v>6432</v>
      </c>
      <c r="E2637">
        <v>7737718363</v>
      </c>
      <c r="F2637" t="s">
        <v>790</v>
      </c>
      <c r="G2637" t="s">
        <v>791</v>
      </c>
      <c r="I2637" t="s">
        <v>119</v>
      </c>
      <c r="J2637" s="13">
        <v>45985</v>
      </c>
      <c r="K2637" s="13">
        <v>46023</v>
      </c>
      <c r="L2637" t="s">
        <v>470</v>
      </c>
      <c r="M2637" t="s">
        <v>59</v>
      </c>
      <c r="N2637">
        <v>72257423</v>
      </c>
    </row>
    <row r="2638" spans="1:14" x14ac:dyDescent="0.25">
      <c r="A2638">
        <v>58411213</v>
      </c>
      <c r="B2638" t="s">
        <v>6433</v>
      </c>
      <c r="C2638" t="s">
        <v>6434</v>
      </c>
      <c r="D2638" t="s">
        <v>6435</v>
      </c>
      <c r="E2638">
        <v>2769686516</v>
      </c>
      <c r="F2638" t="s">
        <v>551</v>
      </c>
      <c r="G2638" t="s">
        <v>552</v>
      </c>
      <c r="I2638" t="s">
        <v>42</v>
      </c>
      <c r="J2638" s="13">
        <v>45986</v>
      </c>
      <c r="K2638" s="13">
        <v>46023</v>
      </c>
      <c r="L2638" t="s">
        <v>454</v>
      </c>
      <c r="M2638" t="s">
        <v>419</v>
      </c>
      <c r="N2638">
        <v>72263245</v>
      </c>
    </row>
    <row r="2639" spans="1:14" x14ac:dyDescent="0.25">
      <c r="A2639">
        <v>58411872</v>
      </c>
      <c r="B2639" t="s">
        <v>2399</v>
      </c>
      <c r="C2639" t="s">
        <v>6436</v>
      </c>
      <c r="D2639" t="s">
        <v>6437</v>
      </c>
      <c r="E2639">
        <v>3364519234</v>
      </c>
      <c r="F2639" t="s">
        <v>448</v>
      </c>
      <c r="G2639" t="s">
        <v>449</v>
      </c>
      <c r="I2639" t="s">
        <v>31</v>
      </c>
      <c r="J2639" s="13">
        <v>45986</v>
      </c>
      <c r="K2639" s="13">
        <v>46023</v>
      </c>
      <c r="L2639" t="s">
        <v>603</v>
      </c>
      <c r="M2639" t="s">
        <v>56</v>
      </c>
      <c r="N2639">
        <v>72263626</v>
      </c>
    </row>
    <row r="2640" spans="1:14" x14ac:dyDescent="0.25">
      <c r="A2640">
        <v>58412445</v>
      </c>
      <c r="B2640" t="s">
        <v>760</v>
      </c>
      <c r="C2640" t="s">
        <v>6438</v>
      </c>
      <c r="D2640" t="s">
        <v>6439</v>
      </c>
      <c r="E2640">
        <v>6163020155</v>
      </c>
      <c r="F2640" t="s">
        <v>1345</v>
      </c>
      <c r="G2640" t="s">
        <v>799</v>
      </c>
      <c r="I2640" t="s">
        <v>47</v>
      </c>
      <c r="J2640" s="13">
        <v>45986</v>
      </c>
      <c r="K2640" s="13">
        <v>46023</v>
      </c>
      <c r="L2640" t="s">
        <v>497</v>
      </c>
      <c r="M2640" t="s">
        <v>56</v>
      </c>
      <c r="N2640">
        <v>72264185</v>
      </c>
    </row>
    <row r="2641" spans="1:14" x14ac:dyDescent="0.25">
      <c r="A2641">
        <v>58412507</v>
      </c>
      <c r="B2641" t="s">
        <v>2335</v>
      </c>
      <c r="C2641" t="s">
        <v>6440</v>
      </c>
      <c r="D2641" t="s">
        <v>6441</v>
      </c>
      <c r="E2641">
        <v>7274922654</v>
      </c>
      <c r="F2641" t="s">
        <v>423</v>
      </c>
      <c r="G2641" t="s">
        <v>424</v>
      </c>
      <c r="I2641" t="s">
        <v>46</v>
      </c>
      <c r="J2641" s="13">
        <v>45986</v>
      </c>
      <c r="K2641" s="13">
        <v>46023</v>
      </c>
      <c r="L2641" t="s">
        <v>434</v>
      </c>
      <c r="M2641" t="s">
        <v>56</v>
      </c>
      <c r="N2641">
        <v>72264194</v>
      </c>
    </row>
    <row r="2642" spans="1:14" x14ac:dyDescent="0.25">
      <c r="A2642">
        <v>58412509</v>
      </c>
      <c r="B2642" t="s">
        <v>812</v>
      </c>
      <c r="C2642" t="s">
        <v>923</v>
      </c>
      <c r="D2642" t="s">
        <v>6442</v>
      </c>
      <c r="E2642">
        <v>8153337092</v>
      </c>
      <c r="F2642" t="s">
        <v>705</v>
      </c>
      <c r="G2642" t="s">
        <v>706</v>
      </c>
      <c r="I2642" t="s">
        <v>12</v>
      </c>
      <c r="J2642" s="13">
        <v>45986</v>
      </c>
      <c r="K2642" s="13">
        <v>46023</v>
      </c>
      <c r="L2642" t="s">
        <v>470</v>
      </c>
      <c r="M2642" t="s">
        <v>59</v>
      </c>
      <c r="N2642">
        <v>72264226</v>
      </c>
    </row>
    <row r="2643" spans="1:14" x14ac:dyDescent="0.25">
      <c r="A2643">
        <v>58412582</v>
      </c>
      <c r="B2643" t="s">
        <v>6443</v>
      </c>
      <c r="C2643" t="s">
        <v>6444</v>
      </c>
      <c r="D2643" t="s">
        <v>6445</v>
      </c>
      <c r="E2643">
        <v>8509600787</v>
      </c>
      <c r="F2643" t="s">
        <v>780</v>
      </c>
      <c r="G2643" t="s">
        <v>781</v>
      </c>
      <c r="I2643" t="s">
        <v>20</v>
      </c>
      <c r="J2643" s="13">
        <v>45986</v>
      </c>
      <c r="K2643" s="13">
        <v>46023</v>
      </c>
      <c r="L2643" t="s">
        <v>497</v>
      </c>
      <c r="M2643" t="s">
        <v>56</v>
      </c>
      <c r="N2643">
        <v>72264273</v>
      </c>
    </row>
    <row r="2644" spans="1:14" x14ac:dyDescent="0.25">
      <c r="A2644">
        <v>58412661</v>
      </c>
      <c r="B2644" t="s">
        <v>3563</v>
      </c>
      <c r="C2644" t="s">
        <v>6446</v>
      </c>
      <c r="D2644" t="s">
        <v>6447</v>
      </c>
      <c r="E2644">
        <v>7707712728</v>
      </c>
      <c r="F2644" t="s">
        <v>828</v>
      </c>
      <c r="G2644" t="s">
        <v>1148</v>
      </c>
      <c r="I2644" t="s">
        <v>17</v>
      </c>
      <c r="J2644" s="13">
        <v>45986</v>
      </c>
      <c r="K2644" s="13">
        <v>46023</v>
      </c>
      <c r="L2644" t="s">
        <v>621</v>
      </c>
      <c r="M2644" t="s">
        <v>59</v>
      </c>
      <c r="N2644">
        <v>72264322</v>
      </c>
    </row>
    <row r="2645" spans="1:14" x14ac:dyDescent="0.25">
      <c r="A2645">
        <v>58412719</v>
      </c>
      <c r="B2645" t="s">
        <v>449</v>
      </c>
      <c r="C2645" t="s">
        <v>2795</v>
      </c>
      <c r="D2645" t="s">
        <v>6448</v>
      </c>
      <c r="E2645">
        <v>7622932221</v>
      </c>
      <c r="F2645" t="s">
        <v>628</v>
      </c>
      <c r="G2645" t="s">
        <v>629</v>
      </c>
      <c r="I2645" t="s">
        <v>24</v>
      </c>
      <c r="J2645" s="13">
        <v>45986</v>
      </c>
      <c r="K2645" s="13">
        <v>46023</v>
      </c>
      <c r="L2645" t="s">
        <v>621</v>
      </c>
      <c r="M2645" t="s">
        <v>59</v>
      </c>
      <c r="N2645">
        <v>72264375</v>
      </c>
    </row>
    <row r="2646" spans="1:14" x14ac:dyDescent="0.25">
      <c r="A2646">
        <v>58412812</v>
      </c>
      <c r="B2646" t="s">
        <v>2039</v>
      </c>
      <c r="C2646" t="s">
        <v>6449</v>
      </c>
      <c r="D2646" t="s">
        <v>6450</v>
      </c>
      <c r="E2646">
        <v>5022340647</v>
      </c>
      <c r="F2646" t="s">
        <v>798</v>
      </c>
      <c r="G2646" t="s">
        <v>799</v>
      </c>
      <c r="I2646" t="s">
        <v>800</v>
      </c>
      <c r="J2646" s="13">
        <v>45986</v>
      </c>
      <c r="K2646" s="13">
        <v>46023</v>
      </c>
      <c r="L2646" t="s">
        <v>490</v>
      </c>
      <c r="M2646" t="s">
        <v>61</v>
      </c>
      <c r="N2646">
        <v>72264430</v>
      </c>
    </row>
    <row r="2647" spans="1:14" x14ac:dyDescent="0.25">
      <c r="A2647">
        <v>58412891</v>
      </c>
      <c r="B2647" t="s">
        <v>6451</v>
      </c>
      <c r="C2647" t="s">
        <v>6452</v>
      </c>
      <c r="D2647" t="s">
        <v>6453</v>
      </c>
      <c r="E2647">
        <v>3865383320</v>
      </c>
      <c r="F2647" t="s">
        <v>1003</v>
      </c>
      <c r="G2647" t="s">
        <v>1004</v>
      </c>
      <c r="I2647" t="s">
        <v>89</v>
      </c>
      <c r="J2647" s="13">
        <v>45986</v>
      </c>
      <c r="K2647" s="13">
        <v>46023</v>
      </c>
      <c r="L2647" t="s">
        <v>497</v>
      </c>
      <c r="M2647" t="s">
        <v>58</v>
      </c>
      <c r="N2647">
        <v>72264486</v>
      </c>
    </row>
    <row r="2648" spans="1:14" x14ac:dyDescent="0.25">
      <c r="A2648">
        <v>58413558</v>
      </c>
      <c r="B2648" t="s">
        <v>672</v>
      </c>
      <c r="C2648" t="s">
        <v>6454</v>
      </c>
      <c r="D2648" t="s">
        <v>6455</v>
      </c>
      <c r="E2648">
        <v>4802555787</v>
      </c>
      <c r="F2648" t="s">
        <v>578</v>
      </c>
      <c r="G2648" t="s">
        <v>579</v>
      </c>
      <c r="I2648" t="s">
        <v>15</v>
      </c>
      <c r="J2648" s="13">
        <v>45986</v>
      </c>
      <c r="K2648" s="13">
        <v>46023</v>
      </c>
      <c r="L2648" t="s">
        <v>1179</v>
      </c>
      <c r="M2648" t="s">
        <v>61</v>
      </c>
      <c r="N2648">
        <v>72265631</v>
      </c>
    </row>
    <row r="2649" spans="1:14" x14ac:dyDescent="0.25">
      <c r="A2649">
        <v>58413781</v>
      </c>
      <c r="B2649" t="s">
        <v>4291</v>
      </c>
      <c r="C2649" t="s">
        <v>6456</v>
      </c>
      <c r="D2649" t="s">
        <v>6457</v>
      </c>
      <c r="E2649">
        <v>9542351972</v>
      </c>
      <c r="F2649" t="s">
        <v>416</v>
      </c>
      <c r="G2649" t="s">
        <v>417</v>
      </c>
      <c r="I2649" t="s">
        <v>26</v>
      </c>
      <c r="J2649" s="13">
        <v>45986</v>
      </c>
      <c r="K2649" s="13">
        <v>46023</v>
      </c>
      <c r="L2649" t="s">
        <v>497</v>
      </c>
      <c r="M2649" t="s">
        <v>56</v>
      </c>
      <c r="N2649">
        <v>72266670</v>
      </c>
    </row>
    <row r="2650" spans="1:14" x14ac:dyDescent="0.25">
      <c r="A2650">
        <v>58413790</v>
      </c>
      <c r="B2650" t="s">
        <v>3833</v>
      </c>
      <c r="C2650" t="s">
        <v>4594</v>
      </c>
      <c r="D2650" t="s">
        <v>6458</v>
      </c>
      <c r="E2650">
        <v>2543710182</v>
      </c>
      <c r="F2650" t="s">
        <v>928</v>
      </c>
      <c r="G2650" t="s">
        <v>929</v>
      </c>
      <c r="I2650" t="s">
        <v>30</v>
      </c>
      <c r="J2650" s="13">
        <v>45986</v>
      </c>
      <c r="K2650" s="13">
        <v>46023</v>
      </c>
      <c r="L2650" t="s">
        <v>444</v>
      </c>
      <c r="M2650" t="s">
        <v>58</v>
      </c>
      <c r="N2650">
        <v>72266689</v>
      </c>
    </row>
    <row r="2651" spans="1:14" x14ac:dyDescent="0.25">
      <c r="A2651">
        <v>58415338</v>
      </c>
      <c r="B2651" t="s">
        <v>5607</v>
      </c>
      <c r="C2651" t="s">
        <v>6459</v>
      </c>
      <c r="D2651" t="s">
        <v>6460</v>
      </c>
      <c r="E2651">
        <v>9136534113</v>
      </c>
      <c r="F2651" t="s">
        <v>957</v>
      </c>
      <c r="G2651" t="s">
        <v>958</v>
      </c>
      <c r="H2651" t="s">
        <v>959</v>
      </c>
      <c r="I2651" t="s">
        <v>960</v>
      </c>
      <c r="J2651" s="13">
        <v>45986</v>
      </c>
      <c r="K2651" s="13">
        <v>46023</v>
      </c>
      <c r="L2651" t="s">
        <v>434</v>
      </c>
      <c r="M2651" t="s">
        <v>60</v>
      </c>
      <c r="N2651">
        <v>72266818</v>
      </c>
    </row>
    <row r="2652" spans="1:14" x14ac:dyDescent="0.25">
      <c r="A2652">
        <v>58414750</v>
      </c>
      <c r="B2652" t="s">
        <v>6461</v>
      </c>
      <c r="C2652" t="s">
        <v>6462</v>
      </c>
      <c r="D2652" t="s">
        <v>6463</v>
      </c>
      <c r="E2652">
        <v>9016748403</v>
      </c>
      <c r="F2652" t="s">
        <v>649</v>
      </c>
      <c r="G2652" t="s">
        <v>650</v>
      </c>
      <c r="I2652" t="s">
        <v>28</v>
      </c>
      <c r="J2652" s="13">
        <v>45986</v>
      </c>
      <c r="K2652" s="13">
        <v>46023</v>
      </c>
      <c r="L2652" t="s">
        <v>479</v>
      </c>
      <c r="M2652" t="s">
        <v>59</v>
      </c>
      <c r="N2652">
        <v>72266849</v>
      </c>
    </row>
    <row r="2653" spans="1:14" x14ac:dyDescent="0.25">
      <c r="A2653">
        <v>58415047</v>
      </c>
      <c r="B2653" t="s">
        <v>4780</v>
      </c>
      <c r="C2653" t="s">
        <v>6464</v>
      </c>
      <c r="D2653" t="s">
        <v>6465</v>
      </c>
      <c r="E2653">
        <v>6026792932</v>
      </c>
      <c r="F2653" t="s">
        <v>462</v>
      </c>
      <c r="G2653" t="s">
        <v>463</v>
      </c>
      <c r="I2653" t="s">
        <v>39</v>
      </c>
      <c r="J2653" s="13">
        <v>45986</v>
      </c>
      <c r="K2653" s="13">
        <v>46023</v>
      </c>
      <c r="L2653" t="s">
        <v>1179</v>
      </c>
      <c r="M2653" t="s">
        <v>54</v>
      </c>
      <c r="N2653">
        <v>72266881</v>
      </c>
    </row>
    <row r="2654" spans="1:14" x14ac:dyDescent="0.25">
      <c r="A2654">
        <v>58415184</v>
      </c>
      <c r="B2654" t="s">
        <v>3326</v>
      </c>
      <c r="C2654" t="s">
        <v>978</v>
      </c>
      <c r="D2654" t="s">
        <v>6466</v>
      </c>
      <c r="E2654">
        <v>8033222253</v>
      </c>
      <c r="F2654" t="s">
        <v>842</v>
      </c>
      <c r="G2654" t="s">
        <v>843</v>
      </c>
      <c r="I2654" t="s">
        <v>98</v>
      </c>
      <c r="J2654" s="13">
        <v>45986</v>
      </c>
      <c r="K2654" s="13">
        <v>46023</v>
      </c>
      <c r="L2654" t="s">
        <v>533</v>
      </c>
      <c r="M2654" t="s">
        <v>59</v>
      </c>
      <c r="N2654">
        <v>72266901</v>
      </c>
    </row>
    <row r="2655" spans="1:14" x14ac:dyDescent="0.25">
      <c r="A2655">
        <v>58415196</v>
      </c>
      <c r="B2655" t="s">
        <v>622</v>
      </c>
      <c r="C2655" t="s">
        <v>6467</v>
      </c>
      <c r="D2655" t="s">
        <v>6468</v>
      </c>
      <c r="E2655">
        <v>3468227060</v>
      </c>
      <c r="F2655" t="s">
        <v>574</v>
      </c>
      <c r="G2655" t="s">
        <v>575</v>
      </c>
      <c r="I2655" t="s">
        <v>14</v>
      </c>
      <c r="J2655" s="13">
        <v>45986</v>
      </c>
      <c r="K2655" s="13">
        <v>46023</v>
      </c>
      <c r="L2655" t="s">
        <v>444</v>
      </c>
      <c r="M2655" t="s">
        <v>56</v>
      </c>
      <c r="N2655">
        <v>72266903</v>
      </c>
    </row>
    <row r="2656" spans="1:14" x14ac:dyDescent="0.25">
      <c r="A2656">
        <v>58415251</v>
      </c>
      <c r="B2656" t="s">
        <v>1167</v>
      </c>
      <c r="C2656" t="s">
        <v>4735</v>
      </c>
      <c r="D2656" t="s">
        <v>6469</v>
      </c>
      <c r="E2656">
        <v>7193132556</v>
      </c>
      <c r="F2656" t="s">
        <v>1013</v>
      </c>
      <c r="G2656" t="s">
        <v>1014</v>
      </c>
      <c r="I2656" t="s">
        <v>43</v>
      </c>
      <c r="J2656" s="13">
        <v>45986</v>
      </c>
      <c r="K2656" s="13">
        <v>46023</v>
      </c>
      <c r="L2656" t="s">
        <v>539</v>
      </c>
      <c r="M2656" t="s">
        <v>56</v>
      </c>
      <c r="N2656">
        <v>72266914</v>
      </c>
    </row>
    <row r="2657" spans="1:14" x14ac:dyDescent="0.25">
      <c r="A2657">
        <v>58416980</v>
      </c>
      <c r="B2657" t="s">
        <v>636</v>
      </c>
      <c r="C2657" t="s">
        <v>6470</v>
      </c>
      <c r="D2657" t="s">
        <v>6471</v>
      </c>
      <c r="E2657">
        <v>8636171701</v>
      </c>
      <c r="F2657" t="s">
        <v>474</v>
      </c>
      <c r="G2657" t="s">
        <v>475</v>
      </c>
      <c r="I2657" t="s">
        <v>132</v>
      </c>
      <c r="J2657" s="13">
        <v>45986</v>
      </c>
      <c r="K2657" s="13">
        <v>46023</v>
      </c>
      <c r="L2657" t="s">
        <v>497</v>
      </c>
      <c r="M2657" t="s">
        <v>56</v>
      </c>
      <c r="N2657">
        <v>72267165</v>
      </c>
    </row>
    <row r="2658" spans="1:14" x14ac:dyDescent="0.25">
      <c r="A2658">
        <v>58418998</v>
      </c>
      <c r="B2658" t="s">
        <v>1304</v>
      </c>
      <c r="C2658" t="s">
        <v>6472</v>
      </c>
      <c r="D2658" t="s">
        <v>6473</v>
      </c>
      <c r="E2658">
        <v>3046681708</v>
      </c>
      <c r="F2658" t="s">
        <v>1345</v>
      </c>
      <c r="G2658" t="s">
        <v>799</v>
      </c>
      <c r="I2658" t="s">
        <v>47</v>
      </c>
      <c r="J2658" s="13">
        <v>45986</v>
      </c>
      <c r="K2658" s="13">
        <v>46023</v>
      </c>
      <c r="L2658" t="s">
        <v>497</v>
      </c>
      <c r="M2658" t="s">
        <v>56</v>
      </c>
      <c r="N2658">
        <v>72267593</v>
      </c>
    </row>
    <row r="2659" spans="1:14" x14ac:dyDescent="0.25">
      <c r="A2659">
        <v>58419588</v>
      </c>
      <c r="B2659" t="s">
        <v>1494</v>
      </c>
      <c r="C2659" t="s">
        <v>3635</v>
      </c>
      <c r="D2659" t="s">
        <v>6474</v>
      </c>
      <c r="E2659">
        <v>2393046960</v>
      </c>
      <c r="F2659" t="s">
        <v>770</v>
      </c>
      <c r="G2659" t="s">
        <v>771</v>
      </c>
      <c r="I2659" t="s">
        <v>25</v>
      </c>
      <c r="J2659" s="13">
        <v>45986</v>
      </c>
      <c r="K2659" s="13">
        <v>46023</v>
      </c>
      <c r="L2659" t="s">
        <v>497</v>
      </c>
      <c r="M2659" t="s">
        <v>56</v>
      </c>
      <c r="N2659">
        <v>72267725</v>
      </c>
    </row>
    <row r="2660" spans="1:14" x14ac:dyDescent="0.25">
      <c r="A2660">
        <v>58420745</v>
      </c>
      <c r="B2660" t="s">
        <v>3290</v>
      </c>
      <c r="C2660" t="s">
        <v>6475</v>
      </c>
      <c r="D2660" t="s">
        <v>6476</v>
      </c>
      <c r="E2660">
        <v>3092152463</v>
      </c>
      <c r="F2660" t="s">
        <v>448</v>
      </c>
      <c r="G2660" t="s">
        <v>449</v>
      </c>
      <c r="I2660" t="s">
        <v>31</v>
      </c>
      <c r="J2660" s="13">
        <v>45986</v>
      </c>
      <c r="K2660" s="13">
        <v>46023</v>
      </c>
      <c r="L2660" t="s">
        <v>470</v>
      </c>
      <c r="M2660" t="s">
        <v>61</v>
      </c>
      <c r="N2660">
        <v>72267879</v>
      </c>
    </row>
    <row r="2661" spans="1:14" x14ac:dyDescent="0.25">
      <c r="A2661">
        <v>58423020</v>
      </c>
      <c r="B2661" t="s">
        <v>2464</v>
      </c>
      <c r="C2661" t="s">
        <v>1435</v>
      </c>
      <c r="D2661" t="s">
        <v>6477</v>
      </c>
      <c r="E2661">
        <v>9706941548</v>
      </c>
      <c r="F2661" t="s">
        <v>1013</v>
      </c>
      <c r="G2661" t="s">
        <v>1014</v>
      </c>
      <c r="I2661" t="s">
        <v>43</v>
      </c>
      <c r="J2661" s="13">
        <v>45986</v>
      </c>
      <c r="K2661" s="13">
        <v>46023</v>
      </c>
      <c r="L2661" t="s">
        <v>539</v>
      </c>
      <c r="M2661" t="s">
        <v>56</v>
      </c>
      <c r="N2661">
        <v>72268931</v>
      </c>
    </row>
    <row r="2662" spans="1:14" x14ac:dyDescent="0.25">
      <c r="A2662">
        <v>58423374</v>
      </c>
      <c r="B2662" t="s">
        <v>524</v>
      </c>
      <c r="C2662" t="s">
        <v>2087</v>
      </c>
      <c r="D2662" t="s">
        <v>6478</v>
      </c>
      <c r="E2662">
        <v>8652575753</v>
      </c>
      <c r="F2662" t="s">
        <v>1003</v>
      </c>
      <c r="G2662" t="s">
        <v>1004</v>
      </c>
      <c r="I2662" t="s">
        <v>89</v>
      </c>
      <c r="J2662" s="13">
        <v>45986</v>
      </c>
      <c r="K2662" s="13">
        <v>46023</v>
      </c>
      <c r="L2662" t="s">
        <v>479</v>
      </c>
      <c r="M2662" t="s">
        <v>58</v>
      </c>
      <c r="N2662">
        <v>72269137</v>
      </c>
    </row>
    <row r="2663" spans="1:14" x14ac:dyDescent="0.25">
      <c r="A2663">
        <v>58423564</v>
      </c>
      <c r="B2663" t="s">
        <v>5329</v>
      </c>
      <c r="C2663" t="s">
        <v>6479</v>
      </c>
      <c r="D2663" t="s">
        <v>6480</v>
      </c>
      <c r="E2663">
        <v>9283033734</v>
      </c>
      <c r="F2663" t="s">
        <v>775</v>
      </c>
      <c r="G2663" t="s">
        <v>776</v>
      </c>
      <c r="I2663" t="s">
        <v>22</v>
      </c>
      <c r="J2663" s="13">
        <v>45986</v>
      </c>
      <c r="K2663" s="13">
        <v>46023</v>
      </c>
      <c r="L2663" t="s">
        <v>1179</v>
      </c>
      <c r="M2663" t="s">
        <v>54</v>
      </c>
      <c r="N2663">
        <v>72269265</v>
      </c>
    </row>
    <row r="2664" spans="1:14" x14ac:dyDescent="0.25">
      <c r="A2664">
        <v>58423746</v>
      </c>
      <c r="B2664" t="s">
        <v>1406</v>
      </c>
      <c r="C2664" t="s">
        <v>6481</v>
      </c>
      <c r="D2664" t="s">
        <v>6482</v>
      </c>
      <c r="E2664">
        <v>2172570309</v>
      </c>
      <c r="F2664" t="s">
        <v>798</v>
      </c>
      <c r="G2664" t="s">
        <v>799</v>
      </c>
      <c r="I2664" t="s">
        <v>800</v>
      </c>
      <c r="J2664" s="13">
        <v>45986</v>
      </c>
      <c r="K2664" s="13">
        <v>46023</v>
      </c>
      <c r="L2664" t="s">
        <v>470</v>
      </c>
      <c r="M2664" t="s">
        <v>60</v>
      </c>
      <c r="N2664">
        <v>72269371</v>
      </c>
    </row>
    <row r="2665" spans="1:14" x14ac:dyDescent="0.25">
      <c r="A2665">
        <v>58423964</v>
      </c>
      <c r="B2665" t="s">
        <v>498</v>
      </c>
      <c r="C2665" t="s">
        <v>1203</v>
      </c>
      <c r="D2665" t="s">
        <v>6483</v>
      </c>
      <c r="E2665">
        <v>4804140910</v>
      </c>
      <c r="F2665" t="s">
        <v>423</v>
      </c>
      <c r="G2665" t="s">
        <v>424</v>
      </c>
      <c r="I2665" t="s">
        <v>46</v>
      </c>
      <c r="J2665" s="13">
        <v>45986</v>
      </c>
      <c r="K2665" s="13">
        <v>46023</v>
      </c>
      <c r="L2665" t="s">
        <v>1179</v>
      </c>
      <c r="M2665" t="s">
        <v>56</v>
      </c>
      <c r="N2665">
        <v>72269475</v>
      </c>
    </row>
    <row r="2666" spans="1:14" x14ac:dyDescent="0.25">
      <c r="A2666">
        <v>58424318</v>
      </c>
      <c r="B2666" t="s">
        <v>1784</v>
      </c>
      <c r="C2666" t="s">
        <v>6484</v>
      </c>
      <c r="D2666" t="s">
        <v>6485</v>
      </c>
      <c r="E2666">
        <v>5618911234</v>
      </c>
      <c r="F2666" t="s">
        <v>1067</v>
      </c>
      <c r="G2666" t="s">
        <v>1068</v>
      </c>
      <c r="I2666" t="s">
        <v>35</v>
      </c>
      <c r="J2666" s="13">
        <v>45986</v>
      </c>
      <c r="K2666" s="13">
        <v>46023</v>
      </c>
      <c r="L2666" t="s">
        <v>497</v>
      </c>
      <c r="M2666" t="s">
        <v>56</v>
      </c>
      <c r="N2666">
        <v>72269680</v>
      </c>
    </row>
    <row r="2667" spans="1:14" x14ac:dyDescent="0.25">
      <c r="A2667">
        <v>58424806</v>
      </c>
      <c r="B2667" t="s">
        <v>672</v>
      </c>
      <c r="C2667" t="s">
        <v>6486</v>
      </c>
      <c r="D2667" t="s">
        <v>6487</v>
      </c>
      <c r="E2667">
        <v>6025467591</v>
      </c>
      <c r="F2667" t="s">
        <v>462</v>
      </c>
      <c r="G2667" t="s">
        <v>463</v>
      </c>
      <c r="I2667" t="s">
        <v>39</v>
      </c>
      <c r="J2667" s="13">
        <v>45986</v>
      </c>
      <c r="K2667" s="13">
        <v>46023</v>
      </c>
      <c r="L2667" t="s">
        <v>1179</v>
      </c>
      <c r="M2667" t="s">
        <v>54</v>
      </c>
      <c r="N2667">
        <v>72269956</v>
      </c>
    </row>
    <row r="2668" spans="1:14" x14ac:dyDescent="0.25">
      <c r="A2668">
        <v>58425102</v>
      </c>
      <c r="B2668" t="s">
        <v>1106</v>
      </c>
      <c r="C2668" t="s">
        <v>6488</v>
      </c>
      <c r="D2668" t="s">
        <v>6489</v>
      </c>
      <c r="E2668">
        <v>4802163730</v>
      </c>
      <c r="F2668" t="s">
        <v>474</v>
      </c>
      <c r="G2668" t="s">
        <v>475</v>
      </c>
      <c r="I2668" t="s">
        <v>132</v>
      </c>
      <c r="J2668" s="13">
        <v>45986</v>
      </c>
      <c r="K2668" s="13">
        <v>46023</v>
      </c>
      <c r="L2668" t="s">
        <v>1179</v>
      </c>
      <c r="M2668" t="s">
        <v>59</v>
      </c>
      <c r="N2668">
        <v>72270139</v>
      </c>
    </row>
    <row r="2669" spans="1:14" x14ac:dyDescent="0.25">
      <c r="A2669">
        <v>58425516</v>
      </c>
      <c r="B2669" t="s">
        <v>2771</v>
      </c>
      <c r="C2669" t="s">
        <v>6490</v>
      </c>
      <c r="D2669" t="s">
        <v>6491</v>
      </c>
      <c r="E2669">
        <v>4807379565</v>
      </c>
      <c r="F2669" t="s">
        <v>4853</v>
      </c>
      <c r="G2669" t="s">
        <v>5017</v>
      </c>
      <c r="I2669" t="s">
        <v>5018</v>
      </c>
      <c r="J2669" s="13">
        <v>45986</v>
      </c>
      <c r="K2669" s="13">
        <v>46023</v>
      </c>
      <c r="L2669" t="s">
        <v>1179</v>
      </c>
      <c r="M2669" t="s">
        <v>58</v>
      </c>
      <c r="N2669">
        <v>72270371</v>
      </c>
    </row>
    <row r="2670" spans="1:14" x14ac:dyDescent="0.25">
      <c r="A2670">
        <v>58425550</v>
      </c>
      <c r="B2670" t="s">
        <v>3561</v>
      </c>
      <c r="C2670" t="s">
        <v>770</v>
      </c>
      <c r="D2670" t="s">
        <v>6492</v>
      </c>
      <c r="E2670">
        <v>2702830049</v>
      </c>
      <c r="F2670" t="s">
        <v>705</v>
      </c>
      <c r="G2670" t="s">
        <v>706</v>
      </c>
      <c r="I2670" t="s">
        <v>12</v>
      </c>
      <c r="J2670" s="13">
        <v>45986</v>
      </c>
      <c r="K2670" s="13">
        <v>46023</v>
      </c>
      <c r="L2670" t="s">
        <v>490</v>
      </c>
      <c r="M2670" t="s">
        <v>58</v>
      </c>
      <c r="N2670">
        <v>72270402</v>
      </c>
    </row>
    <row r="2671" spans="1:14" x14ac:dyDescent="0.25">
      <c r="A2671">
        <v>58425827</v>
      </c>
      <c r="B2671" t="s">
        <v>3086</v>
      </c>
      <c r="C2671" t="s">
        <v>6493</v>
      </c>
      <c r="D2671" t="s">
        <v>6494</v>
      </c>
      <c r="E2671">
        <v>6027691805</v>
      </c>
      <c r="F2671" t="s">
        <v>569</v>
      </c>
      <c r="G2671" t="s">
        <v>570</v>
      </c>
      <c r="I2671" t="s">
        <v>34</v>
      </c>
      <c r="J2671" s="13">
        <v>45986</v>
      </c>
      <c r="K2671" s="13">
        <v>46023</v>
      </c>
      <c r="L2671" t="s">
        <v>1179</v>
      </c>
      <c r="M2671" t="s">
        <v>54</v>
      </c>
      <c r="N2671">
        <v>72270571</v>
      </c>
    </row>
    <row r="2672" spans="1:14" x14ac:dyDescent="0.25">
      <c r="A2672">
        <v>58426399</v>
      </c>
      <c r="B2672" t="s">
        <v>1234</v>
      </c>
      <c r="C2672" t="s">
        <v>6495</v>
      </c>
      <c r="D2672" t="s">
        <v>6496</v>
      </c>
      <c r="E2672">
        <v>4808751773</v>
      </c>
      <c r="F2672" t="s">
        <v>416</v>
      </c>
      <c r="G2672" t="s">
        <v>417</v>
      </c>
      <c r="I2672" t="s">
        <v>26</v>
      </c>
      <c r="J2672" s="13">
        <v>45986</v>
      </c>
      <c r="K2672" s="13">
        <v>46023</v>
      </c>
      <c r="L2672" t="s">
        <v>1179</v>
      </c>
      <c r="M2672" t="s">
        <v>54</v>
      </c>
      <c r="N2672">
        <v>72270930</v>
      </c>
    </row>
    <row r="2673" spans="1:14" x14ac:dyDescent="0.25">
      <c r="A2673">
        <v>58426553</v>
      </c>
      <c r="B2673" t="s">
        <v>6302</v>
      </c>
      <c r="C2673" t="s">
        <v>546</v>
      </c>
      <c r="D2673" t="s">
        <v>6497</v>
      </c>
      <c r="E2673">
        <v>3123585796</v>
      </c>
      <c r="F2673" t="s">
        <v>448</v>
      </c>
      <c r="G2673" t="s">
        <v>449</v>
      </c>
      <c r="I2673" t="s">
        <v>31</v>
      </c>
      <c r="J2673" s="13">
        <v>45986</v>
      </c>
      <c r="K2673" s="13">
        <v>46023</v>
      </c>
      <c r="L2673" t="s">
        <v>470</v>
      </c>
      <c r="M2673" t="s">
        <v>60</v>
      </c>
      <c r="N2673">
        <v>72271051</v>
      </c>
    </row>
    <row r="2674" spans="1:14" x14ac:dyDescent="0.25">
      <c r="A2674">
        <v>58426626</v>
      </c>
      <c r="B2674" t="s">
        <v>651</v>
      </c>
      <c r="C2674" t="s">
        <v>584</v>
      </c>
      <c r="D2674" t="s">
        <v>6498</v>
      </c>
      <c r="E2674">
        <v>6026880931</v>
      </c>
      <c r="F2674" t="s">
        <v>423</v>
      </c>
      <c r="G2674" t="s">
        <v>424</v>
      </c>
      <c r="I2674" t="s">
        <v>46</v>
      </c>
      <c r="J2674" s="13">
        <v>45986</v>
      </c>
      <c r="K2674" s="13">
        <v>46023</v>
      </c>
      <c r="L2674" t="s">
        <v>1179</v>
      </c>
      <c r="M2674" t="s">
        <v>54</v>
      </c>
      <c r="N2674">
        <v>72271071</v>
      </c>
    </row>
    <row r="2675" spans="1:14" x14ac:dyDescent="0.25">
      <c r="A2675">
        <v>58426823</v>
      </c>
      <c r="B2675" t="s">
        <v>6499</v>
      </c>
      <c r="C2675" t="s">
        <v>546</v>
      </c>
      <c r="D2675" t="s">
        <v>6500</v>
      </c>
      <c r="E2675">
        <v>4343389143</v>
      </c>
      <c r="F2675" t="s">
        <v>928</v>
      </c>
      <c r="G2675" t="s">
        <v>929</v>
      </c>
      <c r="I2675" t="s">
        <v>30</v>
      </c>
      <c r="J2675" s="13">
        <v>45986</v>
      </c>
      <c r="K2675" s="13">
        <v>46023</v>
      </c>
      <c r="L2675" t="s">
        <v>454</v>
      </c>
      <c r="M2675" t="s">
        <v>58</v>
      </c>
      <c r="N2675">
        <v>72271212</v>
      </c>
    </row>
    <row r="2676" spans="1:14" x14ac:dyDescent="0.25">
      <c r="A2676">
        <v>58426884</v>
      </c>
      <c r="B2676" t="s">
        <v>6501</v>
      </c>
      <c r="C2676" t="s">
        <v>6502</v>
      </c>
      <c r="D2676" t="s">
        <v>6503</v>
      </c>
      <c r="E2676">
        <v>7272360906</v>
      </c>
      <c r="F2676" t="s">
        <v>770</v>
      </c>
      <c r="G2676" t="s">
        <v>771</v>
      </c>
      <c r="I2676" t="s">
        <v>25</v>
      </c>
      <c r="J2676" s="13">
        <v>45986</v>
      </c>
      <c r="K2676" s="13">
        <v>46023</v>
      </c>
      <c r="L2676" t="s">
        <v>497</v>
      </c>
      <c r="M2676" t="s">
        <v>59</v>
      </c>
      <c r="N2676">
        <v>72271244</v>
      </c>
    </row>
    <row r="2677" spans="1:14" x14ac:dyDescent="0.25">
      <c r="A2677">
        <v>58426967</v>
      </c>
      <c r="B2677" t="s">
        <v>6504</v>
      </c>
      <c r="C2677" t="s">
        <v>6505</v>
      </c>
      <c r="D2677" t="s">
        <v>6506</v>
      </c>
      <c r="E2677">
        <v>5202730290</v>
      </c>
      <c r="F2677" t="s">
        <v>649</v>
      </c>
      <c r="G2677" t="s">
        <v>650</v>
      </c>
      <c r="I2677" t="s">
        <v>28</v>
      </c>
      <c r="J2677" s="13">
        <v>45986</v>
      </c>
      <c r="K2677" s="13">
        <v>46023</v>
      </c>
      <c r="L2677" t="s">
        <v>1179</v>
      </c>
      <c r="M2677" t="s">
        <v>59</v>
      </c>
      <c r="N2677">
        <v>72271285</v>
      </c>
    </row>
    <row r="2678" spans="1:14" x14ac:dyDescent="0.25">
      <c r="A2678">
        <v>58570970</v>
      </c>
      <c r="B2678" t="s">
        <v>6507</v>
      </c>
      <c r="C2678" t="s">
        <v>4408</v>
      </c>
      <c r="D2678" t="s">
        <v>6508</v>
      </c>
      <c r="E2678">
        <v>6064831898</v>
      </c>
      <c r="F2678" t="s">
        <v>815</v>
      </c>
      <c r="G2678" t="s">
        <v>816</v>
      </c>
      <c r="I2678" t="s">
        <v>23</v>
      </c>
      <c r="J2678" s="13">
        <v>45993</v>
      </c>
      <c r="K2678" s="13">
        <v>46023</v>
      </c>
      <c r="L2678" t="s">
        <v>490</v>
      </c>
      <c r="M2678" t="s">
        <v>61</v>
      </c>
      <c r="N2678">
        <v>72271293</v>
      </c>
    </row>
    <row r="2679" spans="1:14" x14ac:dyDescent="0.25">
      <c r="A2679">
        <v>58427352</v>
      </c>
      <c r="B2679" t="s">
        <v>6509</v>
      </c>
      <c r="C2679" t="s">
        <v>6510</v>
      </c>
      <c r="D2679" t="s">
        <v>6511</v>
      </c>
      <c r="E2679">
        <v>6785316425</v>
      </c>
      <c r="F2679" t="s">
        <v>551</v>
      </c>
      <c r="G2679" t="s">
        <v>552</v>
      </c>
      <c r="I2679" t="s">
        <v>42</v>
      </c>
      <c r="J2679" s="13">
        <v>45986</v>
      </c>
      <c r="K2679" s="13">
        <v>46023</v>
      </c>
      <c r="L2679" t="s">
        <v>621</v>
      </c>
      <c r="M2679" t="s">
        <v>60</v>
      </c>
      <c r="N2679">
        <v>72271521</v>
      </c>
    </row>
    <row r="2680" spans="1:14" x14ac:dyDescent="0.25">
      <c r="A2680">
        <v>58427945</v>
      </c>
      <c r="B2680" t="s">
        <v>1316</v>
      </c>
      <c r="C2680" t="s">
        <v>1203</v>
      </c>
      <c r="D2680" t="s">
        <v>6512</v>
      </c>
      <c r="E2680">
        <v>9546157443</v>
      </c>
      <c r="F2680" t="s">
        <v>775</v>
      </c>
      <c r="G2680" t="s">
        <v>776</v>
      </c>
      <c r="I2680" t="s">
        <v>22</v>
      </c>
      <c r="J2680" s="13">
        <v>45986</v>
      </c>
      <c r="K2680" s="13">
        <v>46023</v>
      </c>
      <c r="L2680" t="s">
        <v>497</v>
      </c>
      <c r="M2680" t="s">
        <v>56</v>
      </c>
      <c r="N2680">
        <v>72271823</v>
      </c>
    </row>
    <row r="2681" spans="1:14" x14ac:dyDescent="0.25">
      <c r="A2681">
        <v>58428538</v>
      </c>
      <c r="B2681" t="s">
        <v>6513</v>
      </c>
      <c r="C2681" t="s">
        <v>1300</v>
      </c>
      <c r="D2681" t="s">
        <v>6514</v>
      </c>
      <c r="E2681">
        <v>6308801532</v>
      </c>
      <c r="F2681" t="s">
        <v>628</v>
      </c>
      <c r="G2681" t="s">
        <v>629</v>
      </c>
      <c r="I2681" t="s">
        <v>24</v>
      </c>
      <c r="J2681" s="13">
        <v>45986</v>
      </c>
      <c r="K2681" s="13">
        <v>46023</v>
      </c>
      <c r="L2681" t="s">
        <v>470</v>
      </c>
      <c r="M2681" t="s">
        <v>59</v>
      </c>
      <c r="N2681">
        <v>72272110</v>
      </c>
    </row>
    <row r="2682" spans="1:14" x14ac:dyDescent="0.25">
      <c r="A2682">
        <v>58428834</v>
      </c>
      <c r="B2682" t="s">
        <v>2994</v>
      </c>
      <c r="C2682" t="s">
        <v>4622</v>
      </c>
      <c r="D2682" t="s">
        <v>6515</v>
      </c>
      <c r="E2682">
        <v>4802471739</v>
      </c>
      <c r="F2682" t="s">
        <v>615</v>
      </c>
      <c r="G2682" t="s">
        <v>616</v>
      </c>
      <c r="I2682" t="s">
        <v>617</v>
      </c>
      <c r="J2682" s="13">
        <v>45986</v>
      </c>
      <c r="K2682" s="13">
        <v>46023</v>
      </c>
      <c r="L2682" t="s">
        <v>1179</v>
      </c>
      <c r="M2682" t="s">
        <v>56</v>
      </c>
      <c r="N2682">
        <v>72272317</v>
      </c>
    </row>
    <row r="2683" spans="1:14" x14ac:dyDescent="0.25">
      <c r="A2683">
        <v>58430887</v>
      </c>
      <c r="B2683" t="s">
        <v>1109</v>
      </c>
      <c r="C2683" t="s">
        <v>6516</v>
      </c>
      <c r="D2683" t="s">
        <v>6517</v>
      </c>
      <c r="E2683">
        <v>9544448114</v>
      </c>
      <c r="F2683" t="s">
        <v>423</v>
      </c>
      <c r="G2683" t="s">
        <v>424</v>
      </c>
      <c r="I2683" t="s">
        <v>46</v>
      </c>
      <c r="J2683" s="13">
        <v>45986</v>
      </c>
      <c r="K2683" s="13">
        <v>46023</v>
      </c>
      <c r="L2683" t="s">
        <v>497</v>
      </c>
      <c r="M2683" t="s">
        <v>56</v>
      </c>
      <c r="N2683">
        <v>72273199</v>
      </c>
    </row>
    <row r="2684" spans="1:14" x14ac:dyDescent="0.25">
      <c r="A2684">
        <v>58431028</v>
      </c>
      <c r="B2684" t="s">
        <v>2972</v>
      </c>
      <c r="C2684" t="s">
        <v>1702</v>
      </c>
      <c r="D2684" t="s">
        <v>6518</v>
      </c>
      <c r="E2684">
        <v>3145870335</v>
      </c>
      <c r="F2684" t="s">
        <v>1142</v>
      </c>
      <c r="G2684" t="s">
        <v>1143</v>
      </c>
      <c r="I2684" t="s">
        <v>124</v>
      </c>
      <c r="J2684" s="13">
        <v>45986</v>
      </c>
      <c r="K2684" s="13">
        <v>46023</v>
      </c>
      <c r="L2684" t="s">
        <v>434</v>
      </c>
      <c r="M2684" t="s">
        <v>59</v>
      </c>
      <c r="N2684">
        <v>72273524</v>
      </c>
    </row>
    <row r="2685" spans="1:14" x14ac:dyDescent="0.25">
      <c r="A2685">
        <v>58431635</v>
      </c>
      <c r="B2685" t="s">
        <v>2311</v>
      </c>
      <c r="C2685" t="s">
        <v>6519</v>
      </c>
      <c r="D2685" t="s">
        <v>6520</v>
      </c>
      <c r="E2685">
        <v>2072567168</v>
      </c>
      <c r="F2685" t="s">
        <v>705</v>
      </c>
      <c r="G2685" t="s">
        <v>706</v>
      </c>
      <c r="I2685" t="s">
        <v>12</v>
      </c>
      <c r="J2685" s="13">
        <v>45986</v>
      </c>
      <c r="K2685" s="13">
        <v>46023</v>
      </c>
      <c r="L2685" t="s">
        <v>941</v>
      </c>
      <c r="M2685" t="s">
        <v>58</v>
      </c>
      <c r="N2685">
        <v>72273848</v>
      </c>
    </row>
    <row r="2686" spans="1:14" x14ac:dyDescent="0.25">
      <c r="A2686">
        <v>58431925</v>
      </c>
      <c r="B2686" t="s">
        <v>3979</v>
      </c>
      <c r="C2686" t="s">
        <v>6521</v>
      </c>
      <c r="D2686" t="s">
        <v>6522</v>
      </c>
      <c r="E2686" t="s">
        <v>6523</v>
      </c>
      <c r="F2686" t="s">
        <v>770</v>
      </c>
      <c r="G2686" t="s">
        <v>771</v>
      </c>
      <c r="I2686" t="s">
        <v>25</v>
      </c>
      <c r="J2686" s="13">
        <v>45986</v>
      </c>
      <c r="K2686" s="13">
        <v>46023</v>
      </c>
      <c r="L2686" t="s">
        <v>621</v>
      </c>
      <c r="M2686" t="s">
        <v>58</v>
      </c>
      <c r="N2686">
        <v>72274029</v>
      </c>
    </row>
    <row r="2687" spans="1:14" x14ac:dyDescent="0.25">
      <c r="A2687">
        <v>58432075</v>
      </c>
      <c r="B2687" t="s">
        <v>6524</v>
      </c>
      <c r="C2687" t="s">
        <v>5272</v>
      </c>
      <c r="D2687" t="s">
        <v>6525</v>
      </c>
      <c r="E2687">
        <v>9548157672</v>
      </c>
      <c r="F2687" t="s">
        <v>928</v>
      </c>
      <c r="G2687" t="s">
        <v>929</v>
      </c>
      <c r="I2687" t="s">
        <v>30</v>
      </c>
      <c r="J2687" s="13">
        <v>45986</v>
      </c>
      <c r="K2687" s="13">
        <v>46023</v>
      </c>
      <c r="L2687" t="s">
        <v>497</v>
      </c>
      <c r="M2687" t="s">
        <v>56</v>
      </c>
      <c r="N2687">
        <v>72274117</v>
      </c>
    </row>
    <row r="2688" spans="1:14" x14ac:dyDescent="0.25">
      <c r="A2688">
        <v>58432138</v>
      </c>
      <c r="B2688" t="s">
        <v>1334</v>
      </c>
      <c r="C2688" t="s">
        <v>1664</v>
      </c>
      <c r="D2688" t="s">
        <v>6526</v>
      </c>
      <c r="E2688">
        <v>6024224883</v>
      </c>
      <c r="F2688" t="s">
        <v>4853</v>
      </c>
      <c r="G2688" t="s">
        <v>5017</v>
      </c>
      <c r="I2688" t="s">
        <v>5018</v>
      </c>
      <c r="J2688" s="13">
        <v>45986</v>
      </c>
      <c r="K2688" s="13">
        <v>46023</v>
      </c>
      <c r="L2688" t="s">
        <v>1179</v>
      </c>
      <c r="M2688" t="s">
        <v>54</v>
      </c>
      <c r="N2688">
        <v>72274150</v>
      </c>
    </row>
    <row r="2689" spans="1:14" x14ac:dyDescent="0.25">
      <c r="A2689">
        <v>58432704</v>
      </c>
      <c r="B2689" t="s">
        <v>1784</v>
      </c>
      <c r="C2689" t="s">
        <v>6527</v>
      </c>
      <c r="D2689" t="s">
        <v>6528</v>
      </c>
      <c r="E2689" t="s">
        <v>6529</v>
      </c>
      <c r="F2689" t="s">
        <v>798</v>
      </c>
      <c r="G2689" t="s">
        <v>799</v>
      </c>
      <c r="I2689" t="s">
        <v>800</v>
      </c>
      <c r="J2689" s="13">
        <v>45986</v>
      </c>
      <c r="K2689" s="13">
        <v>46023</v>
      </c>
      <c r="L2689" t="s">
        <v>1179</v>
      </c>
      <c r="M2689" t="s">
        <v>55</v>
      </c>
      <c r="N2689">
        <v>72274475</v>
      </c>
    </row>
    <row r="2690" spans="1:14" x14ac:dyDescent="0.25">
      <c r="A2690">
        <v>58432881</v>
      </c>
      <c r="B2690" t="s">
        <v>1228</v>
      </c>
      <c r="C2690" t="s">
        <v>2399</v>
      </c>
      <c r="D2690" t="s">
        <v>6530</v>
      </c>
      <c r="E2690">
        <v>9542958182</v>
      </c>
      <c r="F2690" t="s">
        <v>474</v>
      </c>
      <c r="G2690" t="s">
        <v>475</v>
      </c>
      <c r="I2690" t="s">
        <v>132</v>
      </c>
      <c r="J2690" s="13">
        <v>45986</v>
      </c>
      <c r="K2690" s="13">
        <v>46023</v>
      </c>
      <c r="L2690" t="s">
        <v>497</v>
      </c>
      <c r="M2690" t="s">
        <v>56</v>
      </c>
      <c r="N2690">
        <v>72274571</v>
      </c>
    </row>
    <row r="2691" spans="1:14" x14ac:dyDescent="0.25">
      <c r="A2691">
        <v>58433242</v>
      </c>
      <c r="B2691" t="s">
        <v>464</v>
      </c>
      <c r="C2691" t="s">
        <v>600</v>
      </c>
      <c r="D2691" t="s">
        <v>6531</v>
      </c>
      <c r="E2691">
        <v>8282912157</v>
      </c>
      <c r="F2691" t="s">
        <v>416</v>
      </c>
      <c r="G2691" t="s">
        <v>417</v>
      </c>
      <c r="I2691" t="s">
        <v>26</v>
      </c>
      <c r="J2691" s="13">
        <v>45986</v>
      </c>
      <c r="K2691" s="13">
        <v>46023</v>
      </c>
      <c r="L2691" t="s">
        <v>603</v>
      </c>
      <c r="M2691" t="s">
        <v>56</v>
      </c>
      <c r="N2691">
        <v>72274775</v>
      </c>
    </row>
    <row r="2692" spans="1:14" x14ac:dyDescent="0.25">
      <c r="A2692">
        <v>58433603</v>
      </c>
      <c r="B2692" t="s">
        <v>676</v>
      </c>
      <c r="C2692" t="s">
        <v>6532</v>
      </c>
      <c r="D2692" t="s">
        <v>6533</v>
      </c>
      <c r="E2692">
        <v>2516530824</v>
      </c>
      <c r="F2692" t="s">
        <v>578</v>
      </c>
      <c r="G2692" t="s">
        <v>579</v>
      </c>
      <c r="I2692" t="s">
        <v>15</v>
      </c>
      <c r="J2692" s="13">
        <v>45986</v>
      </c>
      <c r="K2692" s="13">
        <v>46023</v>
      </c>
      <c r="L2692" t="s">
        <v>450</v>
      </c>
      <c r="M2692" t="s">
        <v>56</v>
      </c>
      <c r="N2692">
        <v>72274975</v>
      </c>
    </row>
    <row r="2693" spans="1:14" x14ac:dyDescent="0.25">
      <c r="A2693">
        <v>58433691</v>
      </c>
      <c r="B2693" t="s">
        <v>6534</v>
      </c>
      <c r="C2693" t="s">
        <v>1265</v>
      </c>
      <c r="D2693" t="s">
        <v>6535</v>
      </c>
      <c r="E2693">
        <v>2393144429</v>
      </c>
      <c r="F2693" t="s">
        <v>474</v>
      </c>
      <c r="G2693" t="s">
        <v>475</v>
      </c>
      <c r="I2693" t="s">
        <v>132</v>
      </c>
      <c r="J2693" s="13">
        <v>45986</v>
      </c>
      <c r="K2693" s="13">
        <v>46023</v>
      </c>
      <c r="L2693" t="s">
        <v>497</v>
      </c>
      <c r="M2693" t="s">
        <v>58</v>
      </c>
      <c r="N2693">
        <v>72275042</v>
      </c>
    </row>
    <row r="2694" spans="1:14" x14ac:dyDescent="0.25">
      <c r="A2694">
        <v>58433934</v>
      </c>
      <c r="B2694" t="s">
        <v>6536</v>
      </c>
      <c r="C2694" t="s">
        <v>6537</v>
      </c>
      <c r="D2694" t="s">
        <v>6538</v>
      </c>
      <c r="E2694">
        <v>7866637134</v>
      </c>
      <c r="F2694" t="s">
        <v>615</v>
      </c>
      <c r="G2694" t="s">
        <v>616</v>
      </c>
      <c r="I2694" t="s">
        <v>617</v>
      </c>
      <c r="J2694" s="13">
        <v>45986</v>
      </c>
      <c r="K2694" s="13">
        <v>46023</v>
      </c>
      <c r="L2694" t="s">
        <v>497</v>
      </c>
      <c r="M2694" t="s">
        <v>58</v>
      </c>
      <c r="N2694">
        <v>72275176</v>
      </c>
    </row>
    <row r="2695" spans="1:14" x14ac:dyDescent="0.25">
      <c r="A2695">
        <v>58434085</v>
      </c>
      <c r="B2695" t="s">
        <v>6539</v>
      </c>
      <c r="C2695" t="s">
        <v>6540</v>
      </c>
      <c r="D2695" t="s">
        <v>6541</v>
      </c>
      <c r="E2695">
        <v>8168352724</v>
      </c>
      <c r="F2695" t="s">
        <v>1003</v>
      </c>
      <c r="G2695" t="s">
        <v>1004</v>
      </c>
      <c r="I2695" t="s">
        <v>89</v>
      </c>
      <c r="J2695" s="13">
        <v>45986</v>
      </c>
      <c r="K2695" s="13">
        <v>46023</v>
      </c>
      <c r="L2695" t="s">
        <v>434</v>
      </c>
      <c r="M2695" t="s">
        <v>56</v>
      </c>
      <c r="N2695">
        <v>72275263</v>
      </c>
    </row>
    <row r="2696" spans="1:14" x14ac:dyDescent="0.25">
      <c r="A2696">
        <v>58434413</v>
      </c>
      <c r="B2696" t="s">
        <v>1413</v>
      </c>
      <c r="C2696" t="s">
        <v>6542</v>
      </c>
      <c r="D2696" t="s">
        <v>6543</v>
      </c>
      <c r="E2696">
        <v>7276880848</v>
      </c>
      <c r="F2696" t="s">
        <v>448</v>
      </c>
      <c r="G2696" t="s">
        <v>449</v>
      </c>
      <c r="I2696" t="s">
        <v>31</v>
      </c>
      <c r="J2696" s="13">
        <v>45986</v>
      </c>
      <c r="K2696" s="13">
        <v>46023</v>
      </c>
      <c r="L2696" t="s">
        <v>497</v>
      </c>
      <c r="M2696" t="s">
        <v>54</v>
      </c>
      <c r="N2696">
        <v>72275450</v>
      </c>
    </row>
    <row r="2697" spans="1:14" x14ac:dyDescent="0.25">
      <c r="A2697">
        <v>58434417</v>
      </c>
      <c r="B2697" t="s">
        <v>6544</v>
      </c>
      <c r="C2697" t="s">
        <v>6545</v>
      </c>
      <c r="D2697" t="s">
        <v>6546</v>
      </c>
      <c r="E2697">
        <v>7275585022</v>
      </c>
      <c r="F2697" t="s">
        <v>842</v>
      </c>
      <c r="G2697" t="s">
        <v>843</v>
      </c>
      <c r="I2697" t="s">
        <v>98</v>
      </c>
      <c r="J2697" s="13">
        <v>45986</v>
      </c>
      <c r="K2697" s="13">
        <v>46023</v>
      </c>
      <c r="L2697" t="s">
        <v>621</v>
      </c>
      <c r="M2697" t="s">
        <v>59</v>
      </c>
      <c r="N2697">
        <v>72275453</v>
      </c>
    </row>
    <row r="2698" spans="1:14" x14ac:dyDescent="0.25">
      <c r="A2698">
        <v>58435184</v>
      </c>
      <c r="B2698" t="s">
        <v>6547</v>
      </c>
      <c r="C2698" t="s">
        <v>6548</v>
      </c>
      <c r="D2698" t="s">
        <v>6549</v>
      </c>
      <c r="F2698" t="s">
        <v>423</v>
      </c>
      <c r="G2698" t="s">
        <v>424</v>
      </c>
      <c r="I2698" t="s">
        <v>46</v>
      </c>
      <c r="J2698" s="13">
        <v>45986</v>
      </c>
      <c r="K2698" s="13">
        <v>46023</v>
      </c>
      <c r="L2698" t="s">
        <v>539</v>
      </c>
      <c r="M2698" t="s">
        <v>56</v>
      </c>
      <c r="N2698">
        <v>72275592</v>
      </c>
    </row>
    <row r="2699" spans="1:14" x14ac:dyDescent="0.25">
      <c r="A2699">
        <v>58434771</v>
      </c>
      <c r="B2699" t="s">
        <v>6008</v>
      </c>
      <c r="C2699" t="s">
        <v>6550</v>
      </c>
      <c r="D2699" t="s">
        <v>6551</v>
      </c>
      <c r="E2699">
        <v>8043078283</v>
      </c>
      <c r="F2699" t="s">
        <v>957</v>
      </c>
      <c r="G2699" t="s">
        <v>958</v>
      </c>
      <c r="H2699" t="s">
        <v>959</v>
      </c>
      <c r="I2699" t="s">
        <v>960</v>
      </c>
      <c r="J2699" s="13">
        <v>45986</v>
      </c>
      <c r="K2699" s="13">
        <v>46023</v>
      </c>
      <c r="L2699" t="s">
        <v>454</v>
      </c>
      <c r="M2699" t="s">
        <v>55</v>
      </c>
      <c r="N2699">
        <v>72275632</v>
      </c>
    </row>
    <row r="2700" spans="1:14" x14ac:dyDescent="0.25">
      <c r="A2700">
        <v>58435191</v>
      </c>
      <c r="B2700" t="s">
        <v>1340</v>
      </c>
      <c r="C2700" t="s">
        <v>2627</v>
      </c>
      <c r="D2700" t="s">
        <v>6552</v>
      </c>
      <c r="E2700">
        <v>9016499014</v>
      </c>
      <c r="F2700" t="s">
        <v>551</v>
      </c>
      <c r="G2700" t="s">
        <v>552</v>
      </c>
      <c r="I2700" t="s">
        <v>42</v>
      </c>
      <c r="J2700" s="13">
        <v>45986</v>
      </c>
      <c r="K2700" s="13">
        <v>46023</v>
      </c>
      <c r="L2700" t="s">
        <v>479</v>
      </c>
      <c r="M2700" t="s">
        <v>56</v>
      </c>
      <c r="N2700">
        <v>72275830</v>
      </c>
    </row>
    <row r="2701" spans="1:14" x14ac:dyDescent="0.25">
      <c r="A2701">
        <v>58435333</v>
      </c>
      <c r="B2701" t="s">
        <v>925</v>
      </c>
      <c r="C2701" t="s">
        <v>6553</v>
      </c>
      <c r="D2701" t="s">
        <v>6554</v>
      </c>
      <c r="E2701">
        <v>6027396848</v>
      </c>
      <c r="F2701" t="s">
        <v>4853</v>
      </c>
      <c r="G2701" t="s">
        <v>5017</v>
      </c>
      <c r="I2701" t="s">
        <v>5018</v>
      </c>
      <c r="J2701" s="13">
        <v>45986</v>
      </c>
      <c r="K2701" s="13">
        <v>46023</v>
      </c>
      <c r="L2701" t="s">
        <v>1179</v>
      </c>
      <c r="M2701" t="s">
        <v>54</v>
      </c>
      <c r="N2701">
        <v>72276006</v>
      </c>
    </row>
    <row r="2702" spans="1:14" x14ac:dyDescent="0.25">
      <c r="A2702">
        <v>58439889</v>
      </c>
      <c r="B2702" t="s">
        <v>948</v>
      </c>
      <c r="C2702" t="s">
        <v>6555</v>
      </c>
      <c r="D2702" t="s">
        <v>6556</v>
      </c>
      <c r="E2702">
        <v>2106380728</v>
      </c>
      <c r="F2702" t="s">
        <v>1142</v>
      </c>
      <c r="G2702" t="s">
        <v>1143</v>
      </c>
      <c r="I2702" t="s">
        <v>124</v>
      </c>
      <c r="J2702" s="13">
        <v>45986</v>
      </c>
      <c r="K2702" s="13">
        <v>46023</v>
      </c>
      <c r="L2702" t="s">
        <v>444</v>
      </c>
      <c r="M2702" t="s">
        <v>59</v>
      </c>
      <c r="N2702">
        <v>72276010</v>
      </c>
    </row>
    <row r="2703" spans="1:14" x14ac:dyDescent="0.25">
      <c r="A2703">
        <v>58435498</v>
      </c>
      <c r="B2703" t="s">
        <v>1524</v>
      </c>
      <c r="C2703" t="s">
        <v>6557</v>
      </c>
      <c r="D2703" t="s">
        <v>6558</v>
      </c>
      <c r="E2703">
        <v>7047836876</v>
      </c>
      <c r="F2703" t="s">
        <v>1067</v>
      </c>
      <c r="G2703" t="s">
        <v>1068</v>
      </c>
      <c r="I2703" t="s">
        <v>35</v>
      </c>
      <c r="J2703" s="13">
        <v>45986</v>
      </c>
      <c r="K2703" s="13">
        <v>46023</v>
      </c>
      <c r="L2703" t="s">
        <v>603</v>
      </c>
      <c r="M2703" t="s">
        <v>59</v>
      </c>
      <c r="N2703">
        <v>72276081</v>
      </c>
    </row>
    <row r="2704" spans="1:14" x14ac:dyDescent="0.25">
      <c r="A2704">
        <v>58436031</v>
      </c>
      <c r="B2704" t="s">
        <v>1370</v>
      </c>
      <c r="C2704" t="s">
        <v>6559</v>
      </c>
      <c r="D2704" t="s">
        <v>6560</v>
      </c>
      <c r="E2704">
        <v>6026841066</v>
      </c>
      <c r="F2704" t="s">
        <v>775</v>
      </c>
      <c r="G2704" t="s">
        <v>776</v>
      </c>
      <c r="I2704" t="s">
        <v>22</v>
      </c>
      <c r="J2704" s="13">
        <v>45986</v>
      </c>
      <c r="K2704" s="13">
        <v>46023</v>
      </c>
      <c r="L2704" t="s">
        <v>1179</v>
      </c>
      <c r="M2704" t="s">
        <v>55</v>
      </c>
      <c r="N2704">
        <v>72276481</v>
      </c>
    </row>
    <row r="2705" spans="1:14" x14ac:dyDescent="0.25">
      <c r="A2705">
        <v>58436633</v>
      </c>
      <c r="B2705" t="s">
        <v>6561</v>
      </c>
      <c r="C2705" t="s">
        <v>506</v>
      </c>
      <c r="D2705" t="s">
        <v>6562</v>
      </c>
      <c r="E2705">
        <v>5029078214</v>
      </c>
      <c r="F2705" t="s">
        <v>790</v>
      </c>
      <c r="G2705" t="s">
        <v>791</v>
      </c>
      <c r="I2705" t="s">
        <v>119</v>
      </c>
      <c r="J2705" s="13">
        <v>45986</v>
      </c>
      <c r="K2705" s="13">
        <v>46023</v>
      </c>
      <c r="L2705" t="s">
        <v>490</v>
      </c>
      <c r="M2705" t="s">
        <v>58</v>
      </c>
      <c r="N2705">
        <v>72276748</v>
      </c>
    </row>
    <row r="2706" spans="1:14" x14ac:dyDescent="0.25">
      <c r="A2706">
        <v>58436717</v>
      </c>
      <c r="B2706" t="s">
        <v>1566</v>
      </c>
      <c r="C2706" t="s">
        <v>3043</v>
      </c>
      <c r="D2706" t="s">
        <v>6563</v>
      </c>
      <c r="E2706">
        <v>6025789908</v>
      </c>
      <c r="F2706" t="s">
        <v>462</v>
      </c>
      <c r="G2706" t="s">
        <v>463</v>
      </c>
      <c r="I2706" t="s">
        <v>39</v>
      </c>
      <c r="J2706" s="13">
        <v>45986</v>
      </c>
      <c r="K2706" s="13">
        <v>46023</v>
      </c>
      <c r="L2706" t="s">
        <v>1179</v>
      </c>
      <c r="M2706" t="s">
        <v>56</v>
      </c>
      <c r="N2706">
        <v>72276800</v>
      </c>
    </row>
    <row r="2707" spans="1:14" x14ac:dyDescent="0.25">
      <c r="A2707">
        <v>58437957</v>
      </c>
      <c r="B2707" t="s">
        <v>6564</v>
      </c>
      <c r="C2707" t="s">
        <v>6565</v>
      </c>
      <c r="D2707" t="s">
        <v>6566</v>
      </c>
      <c r="E2707">
        <v>4809129253</v>
      </c>
      <c r="F2707" t="s">
        <v>957</v>
      </c>
      <c r="G2707" t="s">
        <v>958</v>
      </c>
      <c r="H2707" t="s">
        <v>959</v>
      </c>
      <c r="I2707" t="s">
        <v>960</v>
      </c>
      <c r="J2707" s="13">
        <v>45986</v>
      </c>
      <c r="K2707" s="13">
        <v>46023</v>
      </c>
      <c r="L2707" t="s">
        <v>1179</v>
      </c>
      <c r="M2707" t="s">
        <v>61</v>
      </c>
      <c r="N2707">
        <v>72277310</v>
      </c>
    </row>
    <row r="2708" spans="1:14" x14ac:dyDescent="0.25">
      <c r="A2708">
        <v>58437660</v>
      </c>
      <c r="B2708" t="s">
        <v>4617</v>
      </c>
      <c r="C2708" t="s">
        <v>546</v>
      </c>
      <c r="D2708" t="s">
        <v>6567</v>
      </c>
      <c r="E2708">
        <v>8033155042</v>
      </c>
      <c r="F2708" t="s">
        <v>1013</v>
      </c>
      <c r="G2708" t="s">
        <v>1014</v>
      </c>
      <c r="I2708" t="s">
        <v>43</v>
      </c>
      <c r="J2708" s="13">
        <v>45986</v>
      </c>
      <c r="K2708" s="13">
        <v>46023</v>
      </c>
      <c r="L2708" t="s">
        <v>533</v>
      </c>
      <c r="M2708" t="s">
        <v>61</v>
      </c>
      <c r="N2708">
        <v>72277338</v>
      </c>
    </row>
    <row r="2709" spans="1:14" x14ac:dyDescent="0.25">
      <c r="A2709">
        <v>58438089</v>
      </c>
      <c r="B2709" t="s">
        <v>879</v>
      </c>
      <c r="C2709" t="s">
        <v>1203</v>
      </c>
      <c r="D2709" t="s">
        <v>6568</v>
      </c>
      <c r="E2709">
        <v>8133171059</v>
      </c>
      <c r="F2709" t="s">
        <v>615</v>
      </c>
      <c r="G2709" t="s">
        <v>616</v>
      </c>
      <c r="I2709" t="s">
        <v>617</v>
      </c>
      <c r="J2709" s="13">
        <v>45986</v>
      </c>
      <c r="K2709" s="13">
        <v>46023</v>
      </c>
      <c r="L2709" t="s">
        <v>497</v>
      </c>
      <c r="M2709" t="s">
        <v>56</v>
      </c>
      <c r="N2709">
        <v>72277597</v>
      </c>
    </row>
    <row r="2710" spans="1:14" x14ac:dyDescent="0.25">
      <c r="A2710">
        <v>58438605</v>
      </c>
      <c r="B2710" t="s">
        <v>6569</v>
      </c>
      <c r="C2710" t="s">
        <v>4115</v>
      </c>
      <c r="D2710" t="s">
        <v>6570</v>
      </c>
      <c r="E2710">
        <v>3038844012</v>
      </c>
      <c r="F2710" t="s">
        <v>423</v>
      </c>
      <c r="G2710" t="s">
        <v>424</v>
      </c>
      <c r="I2710" t="s">
        <v>46</v>
      </c>
      <c r="J2710" s="13">
        <v>45986</v>
      </c>
      <c r="K2710" s="13">
        <v>46023</v>
      </c>
      <c r="L2710" t="s">
        <v>539</v>
      </c>
      <c r="M2710" t="s">
        <v>55</v>
      </c>
      <c r="N2710">
        <v>72277800</v>
      </c>
    </row>
    <row r="2711" spans="1:14" x14ac:dyDescent="0.25">
      <c r="A2711">
        <v>58438635</v>
      </c>
      <c r="B2711" t="s">
        <v>929</v>
      </c>
      <c r="C2711" t="s">
        <v>6571</v>
      </c>
      <c r="D2711" t="s">
        <v>6572</v>
      </c>
      <c r="E2711">
        <v>6592981093</v>
      </c>
      <c r="F2711" t="s">
        <v>448</v>
      </c>
      <c r="G2711" t="s">
        <v>449</v>
      </c>
      <c r="I2711" t="s">
        <v>31</v>
      </c>
      <c r="J2711" s="13">
        <v>45986</v>
      </c>
      <c r="K2711" s="13">
        <v>46023</v>
      </c>
      <c r="L2711" t="s">
        <v>450</v>
      </c>
      <c r="M2711" t="s">
        <v>55</v>
      </c>
      <c r="N2711">
        <v>72277888</v>
      </c>
    </row>
    <row r="2712" spans="1:14" x14ac:dyDescent="0.25">
      <c r="A2712">
        <v>58438668</v>
      </c>
      <c r="B2712" t="s">
        <v>2627</v>
      </c>
      <c r="C2712" t="s">
        <v>2513</v>
      </c>
      <c r="D2712" t="s">
        <v>6573</v>
      </c>
      <c r="E2712">
        <v>3365124667</v>
      </c>
      <c r="F2712" t="s">
        <v>798</v>
      </c>
      <c r="G2712" t="s">
        <v>799</v>
      </c>
      <c r="I2712" t="s">
        <v>800</v>
      </c>
      <c r="J2712" s="13">
        <v>45986</v>
      </c>
      <c r="K2712" s="13">
        <v>46023</v>
      </c>
      <c r="L2712" t="s">
        <v>603</v>
      </c>
      <c r="M2712" t="s">
        <v>58</v>
      </c>
      <c r="N2712">
        <v>72277908</v>
      </c>
    </row>
    <row r="2713" spans="1:14" x14ac:dyDescent="0.25">
      <c r="A2713">
        <v>58438816</v>
      </c>
      <c r="B2713" t="s">
        <v>888</v>
      </c>
      <c r="C2713" t="s">
        <v>3553</v>
      </c>
      <c r="D2713" t="s">
        <v>6574</v>
      </c>
      <c r="E2713">
        <v>8132705116</v>
      </c>
      <c r="F2713" t="s">
        <v>416</v>
      </c>
      <c r="G2713" t="s">
        <v>417</v>
      </c>
      <c r="I2713" t="s">
        <v>26</v>
      </c>
      <c r="J2713" s="13">
        <v>45986</v>
      </c>
      <c r="K2713" s="13">
        <v>46023</v>
      </c>
      <c r="L2713" t="s">
        <v>497</v>
      </c>
      <c r="M2713" t="s">
        <v>54</v>
      </c>
      <c r="N2713">
        <v>72277941</v>
      </c>
    </row>
    <row r="2714" spans="1:14" x14ac:dyDescent="0.25">
      <c r="A2714">
        <v>58438798</v>
      </c>
      <c r="B2714" t="s">
        <v>6575</v>
      </c>
      <c r="C2714" t="s">
        <v>6576</v>
      </c>
      <c r="D2714" t="s">
        <v>6577</v>
      </c>
      <c r="E2714">
        <v>8636185057</v>
      </c>
      <c r="F2714" t="s">
        <v>1003</v>
      </c>
      <c r="G2714" t="s">
        <v>1004</v>
      </c>
      <c r="I2714" t="s">
        <v>89</v>
      </c>
      <c r="J2714" s="13">
        <v>45986</v>
      </c>
      <c r="K2714" s="13">
        <v>46023</v>
      </c>
      <c r="L2714" t="s">
        <v>497</v>
      </c>
      <c r="M2714" t="s">
        <v>60</v>
      </c>
      <c r="N2714">
        <v>72277988</v>
      </c>
    </row>
    <row r="2715" spans="1:14" x14ac:dyDescent="0.25">
      <c r="A2715">
        <v>58439011</v>
      </c>
      <c r="B2715" t="s">
        <v>768</v>
      </c>
      <c r="C2715" t="s">
        <v>6578</v>
      </c>
      <c r="D2715" t="s">
        <v>6579</v>
      </c>
      <c r="E2715">
        <v>2054700892</v>
      </c>
      <c r="F2715" t="s">
        <v>569</v>
      </c>
      <c r="G2715" t="s">
        <v>570</v>
      </c>
      <c r="I2715" t="s">
        <v>34</v>
      </c>
      <c r="J2715" s="13">
        <v>45986</v>
      </c>
      <c r="K2715" s="13">
        <v>46023</v>
      </c>
      <c r="L2715" t="s">
        <v>450</v>
      </c>
      <c r="M2715" t="s">
        <v>56</v>
      </c>
      <c r="N2715">
        <v>72278160</v>
      </c>
    </row>
    <row r="2716" spans="1:14" x14ac:dyDescent="0.25">
      <c r="A2716">
        <v>58439102</v>
      </c>
      <c r="B2716" t="s">
        <v>3335</v>
      </c>
      <c r="C2716" t="s">
        <v>954</v>
      </c>
      <c r="D2716" t="s">
        <v>6580</v>
      </c>
      <c r="E2716">
        <v>8655485560</v>
      </c>
      <c r="F2716" t="s">
        <v>770</v>
      </c>
      <c r="G2716" t="s">
        <v>771</v>
      </c>
      <c r="I2716" t="s">
        <v>25</v>
      </c>
      <c r="J2716" s="13">
        <v>45986</v>
      </c>
      <c r="K2716" s="13">
        <v>46023</v>
      </c>
      <c r="L2716" t="s">
        <v>479</v>
      </c>
      <c r="M2716" t="s">
        <v>59</v>
      </c>
      <c r="N2716">
        <v>72278219</v>
      </c>
    </row>
    <row r="2717" spans="1:14" x14ac:dyDescent="0.25">
      <c r="A2717">
        <v>58439723</v>
      </c>
      <c r="B2717" t="s">
        <v>6581</v>
      </c>
      <c r="C2717" t="s">
        <v>515</v>
      </c>
      <c r="D2717" t="s">
        <v>6582</v>
      </c>
      <c r="E2717">
        <v>4805249579</v>
      </c>
      <c r="F2717" t="s">
        <v>842</v>
      </c>
      <c r="G2717" t="s">
        <v>1213</v>
      </c>
      <c r="I2717" t="s">
        <v>1214</v>
      </c>
      <c r="J2717" s="13">
        <v>45986</v>
      </c>
      <c r="K2717" s="13">
        <v>46023</v>
      </c>
      <c r="L2717" t="s">
        <v>1179</v>
      </c>
      <c r="M2717" t="s">
        <v>54</v>
      </c>
      <c r="N2717">
        <v>72278567</v>
      </c>
    </row>
    <row r="2718" spans="1:14" x14ac:dyDescent="0.25">
      <c r="A2718">
        <v>58439840</v>
      </c>
      <c r="B2718" t="s">
        <v>604</v>
      </c>
      <c r="C2718" t="s">
        <v>6583</v>
      </c>
      <c r="D2718" t="s">
        <v>6584</v>
      </c>
      <c r="E2718">
        <v>8632869503</v>
      </c>
      <c r="F2718" t="s">
        <v>1142</v>
      </c>
      <c r="G2718" t="s">
        <v>1143</v>
      </c>
      <c r="I2718" t="s">
        <v>124</v>
      </c>
      <c r="J2718" s="13">
        <v>45986</v>
      </c>
      <c r="K2718" s="13">
        <v>46023</v>
      </c>
      <c r="L2718" t="s">
        <v>497</v>
      </c>
      <c r="M2718" t="s">
        <v>56</v>
      </c>
      <c r="N2718">
        <v>72278620</v>
      </c>
    </row>
    <row r="2719" spans="1:14" x14ac:dyDescent="0.25">
      <c r="A2719">
        <v>58440188</v>
      </c>
      <c r="B2719" t="s">
        <v>784</v>
      </c>
      <c r="C2719" t="s">
        <v>477</v>
      </c>
      <c r="D2719" t="s">
        <v>6585</v>
      </c>
      <c r="E2719">
        <v>6025683780</v>
      </c>
      <c r="F2719" t="s">
        <v>416</v>
      </c>
      <c r="G2719" t="s">
        <v>417</v>
      </c>
      <c r="I2719" t="s">
        <v>26</v>
      </c>
      <c r="J2719" s="13">
        <v>45986</v>
      </c>
      <c r="K2719" s="13">
        <v>46023</v>
      </c>
      <c r="L2719" t="s">
        <v>1179</v>
      </c>
      <c r="M2719" t="s">
        <v>54</v>
      </c>
      <c r="N2719">
        <v>72278792</v>
      </c>
    </row>
    <row r="2720" spans="1:14" x14ac:dyDescent="0.25">
      <c r="A2720">
        <v>58440355</v>
      </c>
      <c r="B2720" t="s">
        <v>3737</v>
      </c>
      <c r="C2720" t="s">
        <v>6586</v>
      </c>
      <c r="D2720" t="s">
        <v>6587</v>
      </c>
      <c r="E2720">
        <v>3463294541</v>
      </c>
      <c r="F2720" t="s">
        <v>815</v>
      </c>
      <c r="G2720" t="s">
        <v>816</v>
      </c>
      <c r="I2720" t="s">
        <v>23</v>
      </c>
      <c r="J2720" s="13">
        <v>45986</v>
      </c>
      <c r="K2720" s="13">
        <v>46023</v>
      </c>
      <c r="L2720" t="s">
        <v>444</v>
      </c>
      <c r="M2720" t="s">
        <v>55</v>
      </c>
      <c r="N2720">
        <v>72278896</v>
      </c>
    </row>
    <row r="2721" spans="1:14" x14ac:dyDescent="0.25">
      <c r="A2721">
        <v>58443663</v>
      </c>
      <c r="B2721" t="s">
        <v>4223</v>
      </c>
      <c r="C2721" t="s">
        <v>2445</v>
      </c>
      <c r="D2721" t="s">
        <v>6588</v>
      </c>
      <c r="E2721">
        <v>9107487685</v>
      </c>
      <c r="F2721" t="s">
        <v>474</v>
      </c>
      <c r="G2721" t="s">
        <v>475</v>
      </c>
      <c r="I2721" t="s">
        <v>132</v>
      </c>
      <c r="J2721" s="13">
        <v>45987</v>
      </c>
      <c r="K2721" s="13">
        <v>46023</v>
      </c>
      <c r="L2721" t="s">
        <v>603</v>
      </c>
      <c r="M2721" t="s">
        <v>56</v>
      </c>
      <c r="N2721">
        <v>72281132</v>
      </c>
    </row>
    <row r="2722" spans="1:14" x14ac:dyDescent="0.25">
      <c r="A2722">
        <v>58444990</v>
      </c>
      <c r="B2722" t="s">
        <v>2071</v>
      </c>
      <c r="C2722" t="s">
        <v>6589</v>
      </c>
      <c r="D2722" t="s">
        <v>6590</v>
      </c>
      <c r="E2722">
        <v>8542061716</v>
      </c>
      <c r="F2722" t="s">
        <v>416</v>
      </c>
      <c r="G2722" t="s">
        <v>417</v>
      </c>
      <c r="I2722" t="s">
        <v>26</v>
      </c>
      <c r="J2722" s="13">
        <v>45987</v>
      </c>
      <c r="K2722" s="13">
        <v>46023</v>
      </c>
      <c r="L2722" t="s">
        <v>533</v>
      </c>
      <c r="M2722" t="s">
        <v>58</v>
      </c>
      <c r="N2722">
        <v>72281669</v>
      </c>
    </row>
    <row r="2723" spans="1:14" x14ac:dyDescent="0.25">
      <c r="A2723">
        <v>58445163</v>
      </c>
      <c r="B2723" t="s">
        <v>772</v>
      </c>
      <c r="C2723" t="s">
        <v>6591</v>
      </c>
      <c r="D2723" t="s">
        <v>6592</v>
      </c>
      <c r="E2723">
        <v>6065602020</v>
      </c>
      <c r="F2723" t="s">
        <v>957</v>
      </c>
      <c r="G2723" t="s">
        <v>958</v>
      </c>
      <c r="H2723" t="s">
        <v>959</v>
      </c>
      <c r="I2723" t="s">
        <v>960</v>
      </c>
      <c r="J2723" s="13">
        <v>45987</v>
      </c>
      <c r="K2723" s="13">
        <v>46023</v>
      </c>
      <c r="L2723" t="s">
        <v>490</v>
      </c>
      <c r="M2723" t="s">
        <v>56</v>
      </c>
      <c r="N2723">
        <v>72282039</v>
      </c>
    </row>
    <row r="2724" spans="1:14" x14ac:dyDescent="0.25">
      <c r="A2724">
        <v>58445246</v>
      </c>
      <c r="B2724" t="s">
        <v>445</v>
      </c>
      <c r="C2724" t="s">
        <v>6593</v>
      </c>
      <c r="D2724" t="s">
        <v>6594</v>
      </c>
      <c r="E2724">
        <v>6023678376</v>
      </c>
      <c r="F2724" t="s">
        <v>1345</v>
      </c>
      <c r="G2724" t="s">
        <v>799</v>
      </c>
      <c r="I2724" t="s">
        <v>47</v>
      </c>
      <c r="J2724" s="13">
        <v>45987</v>
      </c>
      <c r="K2724" s="13">
        <v>46023</v>
      </c>
      <c r="L2724" t="s">
        <v>1179</v>
      </c>
      <c r="M2724" t="s">
        <v>59</v>
      </c>
      <c r="N2724">
        <v>72282102</v>
      </c>
    </row>
    <row r="2725" spans="1:14" x14ac:dyDescent="0.25">
      <c r="A2725">
        <v>58445277</v>
      </c>
      <c r="B2725" t="s">
        <v>2019</v>
      </c>
      <c r="C2725" t="s">
        <v>6595</v>
      </c>
      <c r="D2725" t="s">
        <v>6596</v>
      </c>
      <c r="E2725">
        <v>7573959786</v>
      </c>
      <c r="F2725" t="s">
        <v>705</v>
      </c>
      <c r="G2725" t="s">
        <v>706</v>
      </c>
      <c r="I2725" t="s">
        <v>12</v>
      </c>
      <c r="J2725" s="13">
        <v>45987</v>
      </c>
      <c r="K2725" s="13">
        <v>46023</v>
      </c>
      <c r="L2725" t="s">
        <v>454</v>
      </c>
      <c r="M2725" t="s">
        <v>58</v>
      </c>
      <c r="N2725">
        <v>72282120</v>
      </c>
    </row>
    <row r="2726" spans="1:14" x14ac:dyDescent="0.25">
      <c r="A2726">
        <v>58445440</v>
      </c>
      <c r="B2726" t="s">
        <v>1316</v>
      </c>
      <c r="C2726" t="s">
        <v>1585</v>
      </c>
      <c r="D2726" t="s">
        <v>6597</v>
      </c>
      <c r="E2726">
        <v>9549188853</v>
      </c>
      <c r="F2726" t="s">
        <v>775</v>
      </c>
      <c r="G2726" t="s">
        <v>776</v>
      </c>
      <c r="I2726" t="s">
        <v>22</v>
      </c>
      <c r="J2726" s="13">
        <v>45987</v>
      </c>
      <c r="K2726" s="13">
        <v>46023</v>
      </c>
      <c r="L2726" t="s">
        <v>497</v>
      </c>
      <c r="M2726" t="s">
        <v>56</v>
      </c>
      <c r="N2726">
        <v>72282213</v>
      </c>
    </row>
    <row r="2727" spans="1:14" x14ac:dyDescent="0.25">
      <c r="A2727">
        <v>58445741</v>
      </c>
      <c r="B2727" t="s">
        <v>1289</v>
      </c>
      <c r="C2727" t="s">
        <v>6598</v>
      </c>
      <c r="D2727" t="s">
        <v>6599</v>
      </c>
      <c r="E2727">
        <v>3094724684</v>
      </c>
      <c r="F2727" t="s">
        <v>474</v>
      </c>
      <c r="G2727" t="s">
        <v>475</v>
      </c>
      <c r="I2727" t="s">
        <v>132</v>
      </c>
      <c r="J2727" s="13">
        <v>45987</v>
      </c>
      <c r="K2727" s="13">
        <v>46023</v>
      </c>
      <c r="L2727" t="s">
        <v>470</v>
      </c>
      <c r="M2727" t="s">
        <v>60</v>
      </c>
      <c r="N2727">
        <v>72282386</v>
      </c>
    </row>
    <row r="2728" spans="1:14" x14ac:dyDescent="0.25">
      <c r="A2728">
        <v>58445912</v>
      </c>
      <c r="B2728" t="s">
        <v>801</v>
      </c>
      <c r="C2728" t="s">
        <v>6600</v>
      </c>
      <c r="D2728" t="s">
        <v>6601</v>
      </c>
      <c r="E2728">
        <v>8152523470</v>
      </c>
      <c r="F2728" t="s">
        <v>448</v>
      </c>
      <c r="G2728" t="s">
        <v>449</v>
      </c>
      <c r="I2728" t="s">
        <v>31</v>
      </c>
      <c r="J2728" s="13">
        <v>45987</v>
      </c>
      <c r="K2728" s="13">
        <v>46023</v>
      </c>
      <c r="L2728" t="s">
        <v>470</v>
      </c>
      <c r="M2728" t="s">
        <v>61</v>
      </c>
      <c r="N2728">
        <v>72282483</v>
      </c>
    </row>
    <row r="2729" spans="1:14" x14ac:dyDescent="0.25">
      <c r="A2729">
        <v>58445981</v>
      </c>
      <c r="B2729" t="s">
        <v>1699</v>
      </c>
      <c r="C2729" t="s">
        <v>6602</v>
      </c>
      <c r="D2729" t="s">
        <v>6603</v>
      </c>
      <c r="E2729">
        <v>2107104497</v>
      </c>
      <c r="F2729" t="s">
        <v>780</v>
      </c>
      <c r="G2729" t="s">
        <v>781</v>
      </c>
      <c r="I2729" t="s">
        <v>20</v>
      </c>
      <c r="J2729" s="13">
        <v>45987</v>
      </c>
      <c r="K2729" s="13">
        <v>46023</v>
      </c>
      <c r="L2729" t="s">
        <v>444</v>
      </c>
      <c r="M2729" t="s">
        <v>55</v>
      </c>
      <c r="N2729">
        <v>72282525</v>
      </c>
    </row>
    <row r="2730" spans="1:14" x14ac:dyDescent="0.25">
      <c r="A2730">
        <v>58446149</v>
      </c>
      <c r="B2730" t="s">
        <v>2607</v>
      </c>
      <c r="C2730" t="s">
        <v>6604</v>
      </c>
      <c r="D2730" t="s">
        <v>6605</v>
      </c>
      <c r="E2730">
        <v>6069491515</v>
      </c>
      <c r="F2730" t="s">
        <v>551</v>
      </c>
      <c r="G2730" t="s">
        <v>552</v>
      </c>
      <c r="I2730" t="s">
        <v>42</v>
      </c>
      <c r="J2730" s="13">
        <v>45987</v>
      </c>
      <c r="K2730" s="13">
        <v>46023</v>
      </c>
      <c r="L2730" t="s">
        <v>490</v>
      </c>
      <c r="M2730" t="s">
        <v>56</v>
      </c>
      <c r="N2730">
        <v>72282563</v>
      </c>
    </row>
    <row r="2731" spans="1:14" x14ac:dyDescent="0.25">
      <c r="A2731">
        <v>58446073</v>
      </c>
      <c r="B2731" t="s">
        <v>6606</v>
      </c>
      <c r="C2731" t="s">
        <v>6607</v>
      </c>
      <c r="D2731" t="s">
        <v>6608</v>
      </c>
      <c r="E2731">
        <v>3057472920</v>
      </c>
      <c r="F2731" t="s">
        <v>1142</v>
      </c>
      <c r="G2731" t="s">
        <v>1143</v>
      </c>
      <c r="I2731" t="s">
        <v>124</v>
      </c>
      <c r="J2731" s="13">
        <v>45987</v>
      </c>
      <c r="K2731" s="13">
        <v>46023</v>
      </c>
      <c r="L2731" t="s">
        <v>497</v>
      </c>
      <c r="M2731" t="s">
        <v>56</v>
      </c>
      <c r="N2731">
        <v>72282576</v>
      </c>
    </row>
    <row r="2732" spans="1:14" x14ac:dyDescent="0.25">
      <c r="A2732">
        <v>58446817</v>
      </c>
      <c r="B2732" t="s">
        <v>1264</v>
      </c>
      <c r="C2732" t="s">
        <v>6609</v>
      </c>
      <c r="D2732" t="s">
        <v>6610</v>
      </c>
      <c r="E2732">
        <v>3212924226</v>
      </c>
      <c r="F2732" t="s">
        <v>798</v>
      </c>
      <c r="G2732" t="s">
        <v>799</v>
      </c>
      <c r="I2732" t="s">
        <v>800</v>
      </c>
      <c r="J2732" s="13">
        <v>45987</v>
      </c>
      <c r="K2732" s="13">
        <v>46023</v>
      </c>
      <c r="L2732" t="s">
        <v>497</v>
      </c>
      <c r="M2732" t="s">
        <v>58</v>
      </c>
      <c r="N2732">
        <v>72282944</v>
      </c>
    </row>
    <row r="2733" spans="1:14" x14ac:dyDescent="0.25">
      <c r="A2733">
        <v>58447002</v>
      </c>
      <c r="B2733" t="s">
        <v>748</v>
      </c>
      <c r="C2733" t="s">
        <v>6611</v>
      </c>
      <c r="D2733" t="s">
        <v>6612</v>
      </c>
      <c r="E2733">
        <v>8438263899</v>
      </c>
      <c r="F2733" t="s">
        <v>569</v>
      </c>
      <c r="G2733" t="s">
        <v>570</v>
      </c>
      <c r="I2733" t="s">
        <v>34</v>
      </c>
      <c r="J2733" s="13">
        <v>45987</v>
      </c>
      <c r="K2733" s="13">
        <v>46023</v>
      </c>
      <c r="L2733" t="s">
        <v>533</v>
      </c>
      <c r="M2733" t="s">
        <v>59</v>
      </c>
      <c r="N2733">
        <v>72283116</v>
      </c>
    </row>
    <row r="2734" spans="1:14" x14ac:dyDescent="0.25">
      <c r="A2734">
        <v>58447231</v>
      </c>
      <c r="B2734" t="s">
        <v>4325</v>
      </c>
      <c r="C2734" t="s">
        <v>6613</v>
      </c>
      <c r="D2734" t="s">
        <v>6614</v>
      </c>
      <c r="E2734">
        <v>2054478040</v>
      </c>
      <c r="F2734" t="s">
        <v>574</v>
      </c>
      <c r="G2734" t="s">
        <v>575</v>
      </c>
      <c r="I2734" t="s">
        <v>14</v>
      </c>
      <c r="J2734" s="13">
        <v>45987</v>
      </c>
      <c r="K2734" s="13">
        <v>46023</v>
      </c>
      <c r="L2734" t="s">
        <v>450</v>
      </c>
      <c r="M2734" t="s">
        <v>55</v>
      </c>
      <c r="N2734">
        <v>72283244</v>
      </c>
    </row>
    <row r="2735" spans="1:14" x14ac:dyDescent="0.25">
      <c r="A2735">
        <v>58447280</v>
      </c>
      <c r="B2735" t="s">
        <v>5588</v>
      </c>
      <c r="C2735" t="s">
        <v>6615</v>
      </c>
      <c r="D2735" t="s">
        <v>6616</v>
      </c>
      <c r="E2735">
        <v>7572390666</v>
      </c>
      <c r="F2735" t="s">
        <v>474</v>
      </c>
      <c r="G2735" t="s">
        <v>475</v>
      </c>
      <c r="I2735" t="s">
        <v>132</v>
      </c>
      <c r="J2735" s="13">
        <v>45987</v>
      </c>
      <c r="K2735" s="13">
        <v>46023</v>
      </c>
      <c r="L2735" t="s">
        <v>454</v>
      </c>
      <c r="M2735" t="s">
        <v>56</v>
      </c>
      <c r="N2735">
        <v>72283275</v>
      </c>
    </row>
    <row r="2736" spans="1:14" x14ac:dyDescent="0.25">
      <c r="A2736">
        <v>58448048</v>
      </c>
      <c r="B2736" t="s">
        <v>6617</v>
      </c>
      <c r="C2736" t="s">
        <v>6618</v>
      </c>
      <c r="D2736" t="s">
        <v>6619</v>
      </c>
      <c r="E2736">
        <v>2107636865</v>
      </c>
      <c r="F2736" t="s">
        <v>842</v>
      </c>
      <c r="G2736" t="s">
        <v>843</v>
      </c>
      <c r="I2736" t="s">
        <v>98</v>
      </c>
      <c r="J2736" s="13">
        <v>45987</v>
      </c>
      <c r="K2736" s="13">
        <v>46023</v>
      </c>
      <c r="L2736" t="s">
        <v>444</v>
      </c>
      <c r="M2736" t="s">
        <v>419</v>
      </c>
      <c r="N2736">
        <v>72283604</v>
      </c>
    </row>
    <row r="2737" spans="1:14" x14ac:dyDescent="0.25">
      <c r="A2737">
        <v>58448073</v>
      </c>
      <c r="B2737" t="s">
        <v>2418</v>
      </c>
      <c r="C2737" t="s">
        <v>6620</v>
      </c>
      <c r="D2737" t="s">
        <v>6621</v>
      </c>
      <c r="E2737">
        <v>2629396151</v>
      </c>
      <c r="F2737" t="s">
        <v>815</v>
      </c>
      <c r="G2737" t="s">
        <v>816</v>
      </c>
      <c r="I2737" t="s">
        <v>23</v>
      </c>
      <c r="J2737" s="13">
        <v>45987</v>
      </c>
      <c r="K2737" s="13">
        <v>46023</v>
      </c>
      <c r="L2737" t="s">
        <v>497</v>
      </c>
      <c r="M2737" t="s">
        <v>56</v>
      </c>
      <c r="N2737">
        <v>72283620</v>
      </c>
    </row>
    <row r="2738" spans="1:14" x14ac:dyDescent="0.25">
      <c r="A2738">
        <v>58448458</v>
      </c>
      <c r="B2738" t="s">
        <v>6622</v>
      </c>
      <c r="C2738" t="s">
        <v>6591</v>
      </c>
      <c r="D2738" t="s">
        <v>6623</v>
      </c>
      <c r="E2738">
        <v>6065602020</v>
      </c>
      <c r="F2738" t="s">
        <v>957</v>
      </c>
      <c r="G2738" t="s">
        <v>958</v>
      </c>
      <c r="H2738" t="s">
        <v>959</v>
      </c>
      <c r="I2738" t="s">
        <v>960</v>
      </c>
      <c r="J2738" s="13">
        <v>45987</v>
      </c>
      <c r="K2738" s="13">
        <v>46023</v>
      </c>
      <c r="L2738" t="s">
        <v>490</v>
      </c>
      <c r="M2738" t="s">
        <v>58</v>
      </c>
      <c r="N2738">
        <v>72283763</v>
      </c>
    </row>
    <row r="2739" spans="1:14" x14ac:dyDescent="0.25">
      <c r="A2739">
        <v>58448421</v>
      </c>
      <c r="B2739" t="s">
        <v>6624</v>
      </c>
      <c r="C2739" t="s">
        <v>6625</v>
      </c>
      <c r="D2739" t="s">
        <v>6626</v>
      </c>
      <c r="E2739">
        <v>9703813468</v>
      </c>
      <c r="F2739" t="s">
        <v>1013</v>
      </c>
      <c r="G2739" t="s">
        <v>1014</v>
      </c>
      <c r="I2739" t="s">
        <v>43</v>
      </c>
      <c r="J2739" s="13">
        <v>45987</v>
      </c>
      <c r="K2739" s="13">
        <v>46023</v>
      </c>
      <c r="L2739" t="s">
        <v>539</v>
      </c>
      <c r="M2739" t="s">
        <v>56</v>
      </c>
      <c r="N2739">
        <v>72283783</v>
      </c>
    </row>
    <row r="2740" spans="1:14" x14ac:dyDescent="0.25">
      <c r="A2740">
        <v>58448882</v>
      </c>
      <c r="B2740" t="s">
        <v>1888</v>
      </c>
      <c r="C2740" t="s">
        <v>6627</v>
      </c>
      <c r="D2740" t="s">
        <v>6628</v>
      </c>
      <c r="E2740">
        <v>2078315068</v>
      </c>
      <c r="F2740" t="s">
        <v>798</v>
      </c>
      <c r="G2740" t="s">
        <v>799</v>
      </c>
      <c r="I2740" t="s">
        <v>800</v>
      </c>
      <c r="J2740" s="13">
        <v>45987</v>
      </c>
      <c r="K2740" s="13">
        <v>46023</v>
      </c>
      <c r="L2740" t="s">
        <v>941</v>
      </c>
      <c r="M2740" t="s">
        <v>56</v>
      </c>
      <c r="N2740">
        <v>72284030</v>
      </c>
    </row>
    <row r="2741" spans="1:14" x14ac:dyDescent="0.25">
      <c r="A2741">
        <v>58448910</v>
      </c>
      <c r="B2741" t="s">
        <v>1106</v>
      </c>
      <c r="C2741" t="s">
        <v>6629</v>
      </c>
      <c r="D2741" t="s">
        <v>6630</v>
      </c>
      <c r="E2741">
        <v>3046951591</v>
      </c>
      <c r="F2741" t="s">
        <v>628</v>
      </c>
      <c r="G2741" t="s">
        <v>629</v>
      </c>
      <c r="I2741" t="s">
        <v>24</v>
      </c>
      <c r="J2741" s="13">
        <v>45987</v>
      </c>
      <c r="K2741" s="13">
        <v>46023</v>
      </c>
      <c r="L2741" t="s">
        <v>1188</v>
      </c>
      <c r="M2741" t="s">
        <v>58</v>
      </c>
      <c r="N2741">
        <v>72284044</v>
      </c>
    </row>
    <row r="2742" spans="1:14" x14ac:dyDescent="0.25">
      <c r="A2742">
        <v>58449076</v>
      </c>
      <c r="B2742" t="s">
        <v>5687</v>
      </c>
      <c r="C2742" t="s">
        <v>1702</v>
      </c>
      <c r="D2742" t="s">
        <v>6631</v>
      </c>
      <c r="E2742">
        <v>9543284728</v>
      </c>
      <c r="F2742" t="s">
        <v>4853</v>
      </c>
      <c r="G2742" t="s">
        <v>5017</v>
      </c>
      <c r="I2742" t="s">
        <v>5018</v>
      </c>
      <c r="J2742" s="13">
        <v>45987</v>
      </c>
      <c r="K2742" s="13">
        <v>46023</v>
      </c>
      <c r="L2742" t="s">
        <v>1179</v>
      </c>
      <c r="M2742" t="s">
        <v>54</v>
      </c>
      <c r="N2742">
        <v>72284150</v>
      </c>
    </row>
    <row r="2743" spans="1:14" x14ac:dyDescent="0.25">
      <c r="A2743">
        <v>58450080</v>
      </c>
      <c r="B2743" t="s">
        <v>6632</v>
      </c>
      <c r="C2743" t="s">
        <v>6633</v>
      </c>
      <c r="D2743" t="s">
        <v>6634</v>
      </c>
      <c r="F2743" t="s">
        <v>423</v>
      </c>
      <c r="G2743" t="s">
        <v>424</v>
      </c>
      <c r="I2743" t="s">
        <v>46</v>
      </c>
      <c r="J2743" s="13">
        <v>45987</v>
      </c>
      <c r="K2743" s="13">
        <v>46023</v>
      </c>
      <c r="L2743" t="s">
        <v>1179</v>
      </c>
      <c r="M2743" t="s">
        <v>58</v>
      </c>
      <c r="N2743">
        <v>72284335</v>
      </c>
    </row>
    <row r="2744" spans="1:14" x14ac:dyDescent="0.25">
      <c r="A2744">
        <v>58449578</v>
      </c>
      <c r="B2744" t="s">
        <v>3742</v>
      </c>
      <c r="C2744" t="s">
        <v>6635</v>
      </c>
      <c r="D2744" t="s">
        <v>6636</v>
      </c>
      <c r="E2744">
        <v>9046798547</v>
      </c>
      <c r="F2744" t="s">
        <v>1003</v>
      </c>
      <c r="G2744" t="s">
        <v>1004</v>
      </c>
      <c r="I2744" t="s">
        <v>89</v>
      </c>
      <c r="J2744" s="13">
        <v>45987</v>
      </c>
      <c r="K2744" s="13">
        <v>46023</v>
      </c>
      <c r="L2744" t="s">
        <v>497</v>
      </c>
      <c r="M2744" t="s">
        <v>56</v>
      </c>
      <c r="N2744">
        <v>72284361</v>
      </c>
    </row>
    <row r="2745" spans="1:14" x14ac:dyDescent="0.25">
      <c r="A2745">
        <v>58451262</v>
      </c>
      <c r="B2745" t="s">
        <v>3792</v>
      </c>
      <c r="C2745" t="s">
        <v>707</v>
      </c>
      <c r="D2745" t="s">
        <v>6637</v>
      </c>
      <c r="E2745">
        <v>9415488831</v>
      </c>
      <c r="F2745" t="s">
        <v>828</v>
      </c>
      <c r="G2745" t="s">
        <v>1148</v>
      </c>
      <c r="I2745" t="s">
        <v>17</v>
      </c>
      <c r="J2745" s="13">
        <v>45987</v>
      </c>
      <c r="K2745" s="13">
        <v>46023</v>
      </c>
      <c r="L2745" t="s">
        <v>497</v>
      </c>
      <c r="M2745" t="s">
        <v>60</v>
      </c>
      <c r="N2745">
        <v>72285607</v>
      </c>
    </row>
    <row r="2746" spans="1:14" x14ac:dyDescent="0.25">
      <c r="A2746">
        <v>58451688</v>
      </c>
      <c r="B2746" t="s">
        <v>6638</v>
      </c>
      <c r="C2746" t="s">
        <v>6639</v>
      </c>
      <c r="D2746" t="s">
        <v>6640</v>
      </c>
      <c r="E2746">
        <v>4805186156</v>
      </c>
      <c r="F2746" t="s">
        <v>842</v>
      </c>
      <c r="G2746" t="s">
        <v>1213</v>
      </c>
      <c r="I2746" t="s">
        <v>1214</v>
      </c>
      <c r="J2746" s="13">
        <v>45987</v>
      </c>
      <c r="K2746" s="13">
        <v>46023</v>
      </c>
      <c r="L2746" t="s">
        <v>1179</v>
      </c>
      <c r="M2746" t="s">
        <v>54</v>
      </c>
      <c r="N2746">
        <v>72285851</v>
      </c>
    </row>
    <row r="2747" spans="1:14" x14ac:dyDescent="0.25">
      <c r="A2747">
        <v>58451832</v>
      </c>
      <c r="B2747" t="s">
        <v>6641</v>
      </c>
      <c r="C2747" t="s">
        <v>6642</v>
      </c>
      <c r="D2747" t="s">
        <v>6643</v>
      </c>
      <c r="E2747">
        <v>9545934114</v>
      </c>
      <c r="F2747" t="s">
        <v>1067</v>
      </c>
      <c r="G2747" t="s">
        <v>1068</v>
      </c>
      <c r="I2747" t="s">
        <v>35</v>
      </c>
      <c r="J2747" s="13">
        <v>45987</v>
      </c>
      <c r="K2747" s="13">
        <v>46023</v>
      </c>
      <c r="L2747" t="s">
        <v>497</v>
      </c>
      <c r="M2747" t="s">
        <v>56</v>
      </c>
      <c r="N2747">
        <v>72285948</v>
      </c>
    </row>
    <row r="2748" spans="1:14" x14ac:dyDescent="0.25">
      <c r="A2748">
        <v>58452340</v>
      </c>
      <c r="B2748" t="s">
        <v>2296</v>
      </c>
      <c r="C2748" t="s">
        <v>1203</v>
      </c>
      <c r="D2748" t="s">
        <v>6644</v>
      </c>
      <c r="E2748">
        <v>2514042598</v>
      </c>
      <c r="F2748" t="s">
        <v>1142</v>
      </c>
      <c r="G2748" t="s">
        <v>1143</v>
      </c>
      <c r="I2748" t="s">
        <v>124</v>
      </c>
      <c r="J2748" s="13">
        <v>45987</v>
      </c>
      <c r="K2748" s="13">
        <v>46023</v>
      </c>
      <c r="L2748" t="s">
        <v>450</v>
      </c>
      <c r="M2748" t="s">
        <v>55</v>
      </c>
      <c r="N2748">
        <v>72286232</v>
      </c>
    </row>
    <row r="2749" spans="1:14" x14ac:dyDescent="0.25">
      <c r="A2749">
        <v>58452871</v>
      </c>
      <c r="B2749" t="s">
        <v>4833</v>
      </c>
      <c r="C2749" t="s">
        <v>6645</v>
      </c>
      <c r="D2749" t="s">
        <v>6646</v>
      </c>
      <c r="E2749">
        <v>7867426187</v>
      </c>
      <c r="F2749" t="s">
        <v>775</v>
      </c>
      <c r="G2749" t="s">
        <v>776</v>
      </c>
      <c r="I2749" t="s">
        <v>22</v>
      </c>
      <c r="J2749" s="13">
        <v>45987</v>
      </c>
      <c r="K2749" s="13">
        <v>46023</v>
      </c>
      <c r="L2749" t="s">
        <v>497</v>
      </c>
      <c r="M2749" t="s">
        <v>56</v>
      </c>
      <c r="N2749">
        <v>72286596</v>
      </c>
    </row>
    <row r="2750" spans="1:14" x14ac:dyDescent="0.25">
      <c r="A2750">
        <v>58462303</v>
      </c>
      <c r="B2750" t="s">
        <v>1978</v>
      </c>
      <c r="C2750" t="s">
        <v>6647</v>
      </c>
      <c r="D2750" t="s">
        <v>6648</v>
      </c>
      <c r="E2750">
        <v>6182109598</v>
      </c>
      <c r="F2750" t="s">
        <v>790</v>
      </c>
      <c r="G2750" t="s">
        <v>791</v>
      </c>
      <c r="I2750" t="s">
        <v>119</v>
      </c>
      <c r="J2750" s="13">
        <v>45987</v>
      </c>
      <c r="K2750" s="13">
        <v>46023</v>
      </c>
      <c r="L2750" t="s">
        <v>470</v>
      </c>
      <c r="M2750" t="s">
        <v>59</v>
      </c>
      <c r="N2750">
        <v>72286713</v>
      </c>
    </row>
    <row r="2751" spans="1:14" x14ac:dyDescent="0.25">
      <c r="A2751">
        <v>58453302</v>
      </c>
      <c r="B2751" t="s">
        <v>1635</v>
      </c>
      <c r="C2751" t="s">
        <v>6649</v>
      </c>
      <c r="D2751" t="s">
        <v>6650</v>
      </c>
      <c r="E2751">
        <v>2564904371</v>
      </c>
      <c r="F2751" t="s">
        <v>615</v>
      </c>
      <c r="G2751" t="s">
        <v>616</v>
      </c>
      <c r="I2751" t="s">
        <v>617</v>
      </c>
      <c r="J2751" s="13">
        <v>45987</v>
      </c>
      <c r="K2751" s="13">
        <v>46023</v>
      </c>
      <c r="L2751" t="s">
        <v>450</v>
      </c>
      <c r="M2751" t="s">
        <v>59</v>
      </c>
      <c r="N2751">
        <v>72286868</v>
      </c>
    </row>
    <row r="2752" spans="1:14" x14ac:dyDescent="0.25">
      <c r="A2752">
        <v>58453415</v>
      </c>
      <c r="B2752" t="s">
        <v>1260</v>
      </c>
      <c r="C2752" t="s">
        <v>6651</v>
      </c>
      <c r="D2752" t="s">
        <v>6652</v>
      </c>
      <c r="E2752">
        <v>9568461602</v>
      </c>
      <c r="F2752" t="s">
        <v>574</v>
      </c>
      <c r="G2752" t="s">
        <v>575</v>
      </c>
      <c r="I2752" t="s">
        <v>14</v>
      </c>
      <c r="J2752" s="13">
        <v>45987</v>
      </c>
      <c r="K2752" s="13">
        <v>46023</v>
      </c>
      <c r="L2752" t="s">
        <v>444</v>
      </c>
      <c r="M2752" t="s">
        <v>56</v>
      </c>
      <c r="N2752">
        <v>72286951</v>
      </c>
    </row>
    <row r="2753" spans="1:14" x14ac:dyDescent="0.25">
      <c r="A2753">
        <v>58560235</v>
      </c>
      <c r="B2753" t="s">
        <v>1784</v>
      </c>
      <c r="C2753" t="s">
        <v>6653</v>
      </c>
      <c r="D2753" t="s">
        <v>6654</v>
      </c>
      <c r="E2753">
        <v>8135230801</v>
      </c>
      <c r="F2753" t="s">
        <v>1345</v>
      </c>
      <c r="G2753" t="s">
        <v>799</v>
      </c>
      <c r="I2753" t="s">
        <v>47</v>
      </c>
      <c r="J2753" s="13">
        <v>45993</v>
      </c>
      <c r="K2753" s="13">
        <v>46023</v>
      </c>
      <c r="L2753" t="s">
        <v>497</v>
      </c>
      <c r="M2753" t="s">
        <v>54</v>
      </c>
      <c r="N2753">
        <v>72287160</v>
      </c>
    </row>
    <row r="2754" spans="1:14" x14ac:dyDescent="0.25">
      <c r="A2754">
        <v>58454250</v>
      </c>
      <c r="B2754" t="s">
        <v>1316</v>
      </c>
      <c r="C2754" t="s">
        <v>3440</v>
      </c>
      <c r="D2754" t="s">
        <v>6655</v>
      </c>
      <c r="E2754" t="s">
        <v>6656</v>
      </c>
      <c r="F2754" t="s">
        <v>815</v>
      </c>
      <c r="G2754" t="s">
        <v>816</v>
      </c>
      <c r="I2754" t="s">
        <v>23</v>
      </c>
      <c r="J2754" s="13">
        <v>45987</v>
      </c>
      <c r="K2754" s="13">
        <v>46023</v>
      </c>
      <c r="L2754" t="s">
        <v>479</v>
      </c>
      <c r="M2754" t="s">
        <v>58</v>
      </c>
      <c r="N2754">
        <v>72287403</v>
      </c>
    </row>
    <row r="2755" spans="1:14" x14ac:dyDescent="0.25">
      <c r="A2755">
        <v>58455057</v>
      </c>
      <c r="B2755" t="s">
        <v>6657</v>
      </c>
      <c r="C2755" t="s">
        <v>6658</v>
      </c>
      <c r="D2755" t="s">
        <v>6659</v>
      </c>
      <c r="E2755">
        <v>4708624290</v>
      </c>
      <c r="F2755" t="s">
        <v>770</v>
      </c>
      <c r="G2755" t="s">
        <v>771</v>
      </c>
      <c r="I2755" t="s">
        <v>25</v>
      </c>
      <c r="J2755" s="13">
        <v>45987</v>
      </c>
      <c r="K2755" s="13">
        <v>46023</v>
      </c>
      <c r="L2755" t="s">
        <v>621</v>
      </c>
      <c r="M2755" t="s">
        <v>58</v>
      </c>
      <c r="N2755">
        <v>72287887</v>
      </c>
    </row>
    <row r="2756" spans="1:14" x14ac:dyDescent="0.25">
      <c r="A2756">
        <v>58455549</v>
      </c>
      <c r="B2756" t="s">
        <v>2022</v>
      </c>
      <c r="C2756" t="s">
        <v>6660</v>
      </c>
      <c r="D2756" t="s">
        <v>6661</v>
      </c>
      <c r="E2756">
        <v>4077447719</v>
      </c>
      <c r="F2756" t="s">
        <v>828</v>
      </c>
      <c r="G2756" t="s">
        <v>1148</v>
      </c>
      <c r="I2756" t="s">
        <v>17</v>
      </c>
      <c r="J2756" s="13">
        <v>45987</v>
      </c>
      <c r="K2756" s="13">
        <v>46023</v>
      </c>
      <c r="L2756" t="s">
        <v>497</v>
      </c>
      <c r="M2756" t="s">
        <v>55</v>
      </c>
      <c r="N2756">
        <v>72288187</v>
      </c>
    </row>
    <row r="2757" spans="1:14" x14ac:dyDescent="0.25">
      <c r="A2757">
        <v>58457304</v>
      </c>
      <c r="B2757" t="s">
        <v>431</v>
      </c>
      <c r="C2757" t="s">
        <v>2943</v>
      </c>
      <c r="D2757" t="s">
        <v>6662</v>
      </c>
      <c r="E2757">
        <v>5125456047</v>
      </c>
      <c r="F2757" t="s">
        <v>551</v>
      </c>
      <c r="G2757" t="s">
        <v>552</v>
      </c>
      <c r="I2757" t="s">
        <v>42</v>
      </c>
      <c r="J2757" s="13">
        <v>45987</v>
      </c>
      <c r="K2757" s="13">
        <v>46023</v>
      </c>
      <c r="L2757" t="s">
        <v>444</v>
      </c>
      <c r="M2757" t="s">
        <v>56</v>
      </c>
      <c r="N2757">
        <v>72289213</v>
      </c>
    </row>
    <row r="2758" spans="1:14" x14ac:dyDescent="0.25">
      <c r="A2758">
        <v>58458083</v>
      </c>
      <c r="B2758" t="s">
        <v>6663</v>
      </c>
      <c r="C2758" t="s">
        <v>6664</v>
      </c>
      <c r="D2758" t="s">
        <v>6665</v>
      </c>
      <c r="E2758">
        <v>7195691103</v>
      </c>
      <c r="F2758" t="s">
        <v>842</v>
      </c>
      <c r="G2758" t="s">
        <v>843</v>
      </c>
      <c r="I2758" t="s">
        <v>98</v>
      </c>
      <c r="J2758" s="13">
        <v>45987</v>
      </c>
      <c r="K2758" s="13">
        <v>46023</v>
      </c>
      <c r="L2758" t="s">
        <v>539</v>
      </c>
      <c r="M2758" t="s">
        <v>59</v>
      </c>
      <c r="N2758">
        <v>72289856</v>
      </c>
    </row>
    <row r="2759" spans="1:14" x14ac:dyDescent="0.25">
      <c r="A2759">
        <v>58458196</v>
      </c>
      <c r="B2759" t="s">
        <v>1324</v>
      </c>
      <c r="C2759" t="s">
        <v>6666</v>
      </c>
      <c r="D2759" t="s">
        <v>6667</v>
      </c>
      <c r="E2759" t="s">
        <v>6668</v>
      </c>
      <c r="F2759" t="s">
        <v>474</v>
      </c>
      <c r="G2759" t="s">
        <v>475</v>
      </c>
      <c r="I2759" t="s">
        <v>132</v>
      </c>
      <c r="J2759" s="13">
        <v>45987</v>
      </c>
      <c r="K2759" s="13">
        <v>46023</v>
      </c>
      <c r="L2759" t="s">
        <v>520</v>
      </c>
      <c r="M2759" t="s">
        <v>58</v>
      </c>
      <c r="N2759">
        <v>72289913</v>
      </c>
    </row>
    <row r="2760" spans="1:14" x14ac:dyDescent="0.25">
      <c r="A2760">
        <v>58458470</v>
      </c>
      <c r="B2760" t="s">
        <v>1401</v>
      </c>
      <c r="C2760" t="s">
        <v>2239</v>
      </c>
      <c r="D2760" t="s">
        <v>6669</v>
      </c>
      <c r="E2760">
        <v>4804352046</v>
      </c>
      <c r="F2760" t="s">
        <v>842</v>
      </c>
      <c r="G2760" t="s">
        <v>1213</v>
      </c>
      <c r="I2760" t="s">
        <v>1214</v>
      </c>
      <c r="J2760" s="13">
        <v>45987</v>
      </c>
      <c r="K2760" s="13">
        <v>46023</v>
      </c>
      <c r="L2760" t="s">
        <v>1179</v>
      </c>
      <c r="M2760" t="s">
        <v>54</v>
      </c>
      <c r="N2760">
        <v>72290066</v>
      </c>
    </row>
    <row r="2761" spans="1:14" x14ac:dyDescent="0.25">
      <c r="A2761">
        <v>58458661</v>
      </c>
      <c r="B2761" t="s">
        <v>958</v>
      </c>
      <c r="C2761" t="s">
        <v>6670</v>
      </c>
      <c r="D2761" t="s">
        <v>6671</v>
      </c>
      <c r="E2761">
        <v>4706544402</v>
      </c>
      <c r="F2761" t="s">
        <v>628</v>
      </c>
      <c r="G2761" t="s">
        <v>629</v>
      </c>
      <c r="I2761" t="s">
        <v>24</v>
      </c>
      <c r="J2761" s="13">
        <v>45987</v>
      </c>
      <c r="K2761" s="13">
        <v>46023</v>
      </c>
      <c r="L2761" t="s">
        <v>621</v>
      </c>
      <c r="M2761" t="s">
        <v>55</v>
      </c>
      <c r="N2761">
        <v>72290182</v>
      </c>
    </row>
    <row r="2762" spans="1:14" x14ac:dyDescent="0.25">
      <c r="A2762">
        <v>58459142</v>
      </c>
      <c r="B2762" t="s">
        <v>2639</v>
      </c>
      <c r="C2762" t="s">
        <v>6672</v>
      </c>
      <c r="D2762" t="s">
        <v>6673</v>
      </c>
      <c r="E2762">
        <v>5203593242</v>
      </c>
      <c r="F2762" t="s">
        <v>957</v>
      </c>
      <c r="G2762" t="s">
        <v>958</v>
      </c>
      <c r="H2762" t="s">
        <v>959</v>
      </c>
      <c r="I2762" t="s">
        <v>960</v>
      </c>
      <c r="J2762" s="13">
        <v>45987</v>
      </c>
      <c r="K2762" s="13">
        <v>46023</v>
      </c>
      <c r="L2762" t="s">
        <v>1179</v>
      </c>
      <c r="M2762" t="s">
        <v>58</v>
      </c>
      <c r="N2762">
        <v>72290257</v>
      </c>
    </row>
    <row r="2763" spans="1:14" x14ac:dyDescent="0.25">
      <c r="A2763">
        <v>58460721</v>
      </c>
      <c r="B2763" t="s">
        <v>1010</v>
      </c>
      <c r="C2763" t="s">
        <v>546</v>
      </c>
      <c r="D2763" t="s">
        <v>6674</v>
      </c>
      <c r="E2763">
        <v>9047135304</v>
      </c>
      <c r="F2763" t="s">
        <v>423</v>
      </c>
      <c r="G2763" t="s">
        <v>424</v>
      </c>
      <c r="I2763" t="s">
        <v>46</v>
      </c>
      <c r="J2763" s="13">
        <v>45987</v>
      </c>
      <c r="K2763" s="13">
        <v>46023</v>
      </c>
      <c r="L2763" t="s">
        <v>497</v>
      </c>
      <c r="M2763" t="s">
        <v>54</v>
      </c>
      <c r="N2763">
        <v>72291470</v>
      </c>
    </row>
    <row r="2764" spans="1:14" x14ac:dyDescent="0.25">
      <c r="A2764">
        <v>58460633</v>
      </c>
      <c r="B2764" t="s">
        <v>6675</v>
      </c>
      <c r="C2764" t="s">
        <v>6676</v>
      </c>
      <c r="D2764" t="s">
        <v>6677</v>
      </c>
      <c r="E2764">
        <v>2178919908</v>
      </c>
      <c r="F2764" t="s">
        <v>615</v>
      </c>
      <c r="G2764" t="s">
        <v>616</v>
      </c>
      <c r="I2764" t="s">
        <v>617</v>
      </c>
      <c r="J2764" s="13">
        <v>45987</v>
      </c>
      <c r="K2764" s="13">
        <v>46023</v>
      </c>
      <c r="L2764" t="s">
        <v>470</v>
      </c>
      <c r="M2764" t="s">
        <v>60</v>
      </c>
      <c r="N2764">
        <v>72291501</v>
      </c>
    </row>
    <row r="2765" spans="1:14" x14ac:dyDescent="0.25">
      <c r="A2765">
        <v>58461274</v>
      </c>
      <c r="B2765" t="s">
        <v>5666</v>
      </c>
      <c r="C2765" t="s">
        <v>6678</v>
      </c>
      <c r="D2765" t="s">
        <v>6679</v>
      </c>
      <c r="E2765">
        <v>7273423192</v>
      </c>
      <c r="F2765" t="s">
        <v>780</v>
      </c>
      <c r="G2765" t="s">
        <v>781</v>
      </c>
      <c r="I2765" t="s">
        <v>20</v>
      </c>
      <c r="J2765" s="13">
        <v>45987</v>
      </c>
      <c r="K2765" s="13">
        <v>46023</v>
      </c>
      <c r="L2765" t="s">
        <v>497</v>
      </c>
      <c r="M2765" t="s">
        <v>56</v>
      </c>
      <c r="N2765">
        <v>72291946</v>
      </c>
    </row>
    <row r="2766" spans="1:14" x14ac:dyDescent="0.25">
      <c r="A2766">
        <v>58462164</v>
      </c>
      <c r="B2766" t="s">
        <v>1106</v>
      </c>
      <c r="C2766" t="s">
        <v>6680</v>
      </c>
      <c r="D2766" t="s">
        <v>6681</v>
      </c>
      <c r="E2766">
        <v>5204245014</v>
      </c>
      <c r="F2766" t="s">
        <v>574</v>
      </c>
      <c r="G2766" t="s">
        <v>575</v>
      </c>
      <c r="I2766" t="s">
        <v>14</v>
      </c>
      <c r="J2766" s="13">
        <v>45987</v>
      </c>
      <c r="K2766" s="13">
        <v>46023</v>
      </c>
      <c r="L2766" t="s">
        <v>1179</v>
      </c>
      <c r="M2766" t="s">
        <v>55</v>
      </c>
      <c r="N2766">
        <v>72292542</v>
      </c>
    </row>
    <row r="2767" spans="1:14" x14ac:dyDescent="0.25">
      <c r="A2767">
        <v>58462218</v>
      </c>
      <c r="B2767" t="s">
        <v>2418</v>
      </c>
      <c r="C2767" t="s">
        <v>6682</v>
      </c>
      <c r="D2767" t="s">
        <v>6683</v>
      </c>
      <c r="E2767">
        <v>7373365747</v>
      </c>
      <c r="F2767" t="s">
        <v>790</v>
      </c>
      <c r="G2767" t="s">
        <v>791</v>
      </c>
      <c r="I2767" t="s">
        <v>119</v>
      </c>
      <c r="J2767" s="13">
        <v>45987</v>
      </c>
      <c r="K2767" s="13">
        <v>46023</v>
      </c>
      <c r="L2767" t="s">
        <v>444</v>
      </c>
      <c r="M2767" t="s">
        <v>59</v>
      </c>
      <c r="N2767">
        <v>72292571</v>
      </c>
    </row>
    <row r="2768" spans="1:14" x14ac:dyDescent="0.25">
      <c r="A2768">
        <v>58462689</v>
      </c>
      <c r="B2768" t="s">
        <v>6684</v>
      </c>
      <c r="C2768" t="s">
        <v>6685</v>
      </c>
      <c r="D2768" t="s">
        <v>6686</v>
      </c>
      <c r="E2768">
        <v>8036599341</v>
      </c>
      <c r="F2768" t="s">
        <v>1013</v>
      </c>
      <c r="G2768" t="s">
        <v>1014</v>
      </c>
      <c r="I2768" t="s">
        <v>43</v>
      </c>
      <c r="J2768" s="13">
        <v>45987</v>
      </c>
      <c r="K2768" s="13">
        <v>46023</v>
      </c>
      <c r="L2768" t="s">
        <v>533</v>
      </c>
      <c r="M2768" t="s">
        <v>55</v>
      </c>
      <c r="N2768">
        <v>72292845</v>
      </c>
    </row>
    <row r="2769" spans="1:14" x14ac:dyDescent="0.25">
      <c r="A2769">
        <v>58462850</v>
      </c>
      <c r="B2769" t="s">
        <v>511</v>
      </c>
      <c r="C2769" t="s">
        <v>6687</v>
      </c>
      <c r="D2769" t="s">
        <v>6688</v>
      </c>
      <c r="E2769" t="s">
        <v>6689</v>
      </c>
      <c r="F2769" t="s">
        <v>815</v>
      </c>
      <c r="G2769" t="s">
        <v>816</v>
      </c>
      <c r="I2769" t="s">
        <v>23</v>
      </c>
      <c r="J2769" s="13">
        <v>45987</v>
      </c>
      <c r="K2769" s="13">
        <v>46023</v>
      </c>
      <c r="L2769" t="s">
        <v>454</v>
      </c>
      <c r="M2769" t="s">
        <v>56</v>
      </c>
      <c r="N2769">
        <v>72292933</v>
      </c>
    </row>
    <row r="2770" spans="1:14" x14ac:dyDescent="0.25">
      <c r="A2770">
        <v>58463213</v>
      </c>
      <c r="B2770" t="s">
        <v>1304</v>
      </c>
      <c r="C2770" t="s">
        <v>6434</v>
      </c>
      <c r="D2770" t="s">
        <v>6690</v>
      </c>
      <c r="E2770">
        <v>4238145885</v>
      </c>
      <c r="F2770" t="s">
        <v>551</v>
      </c>
      <c r="G2770" t="s">
        <v>552</v>
      </c>
      <c r="I2770" t="s">
        <v>42</v>
      </c>
      <c r="J2770" s="13">
        <v>45987</v>
      </c>
      <c r="K2770" s="13">
        <v>46023</v>
      </c>
      <c r="L2770" t="s">
        <v>479</v>
      </c>
      <c r="M2770" t="s">
        <v>58</v>
      </c>
      <c r="N2770">
        <v>72292979</v>
      </c>
    </row>
    <row r="2771" spans="1:14" x14ac:dyDescent="0.25">
      <c r="A2771">
        <v>58462987</v>
      </c>
      <c r="B2771" t="s">
        <v>586</v>
      </c>
      <c r="C2771" t="s">
        <v>6691</v>
      </c>
      <c r="D2771" t="s">
        <v>6692</v>
      </c>
      <c r="E2771">
        <v>4233107102</v>
      </c>
      <c r="F2771" t="s">
        <v>569</v>
      </c>
      <c r="G2771" t="s">
        <v>570</v>
      </c>
      <c r="I2771" t="s">
        <v>34</v>
      </c>
      <c r="J2771" s="13">
        <v>45987</v>
      </c>
      <c r="K2771" s="13">
        <v>46023</v>
      </c>
      <c r="L2771" t="s">
        <v>479</v>
      </c>
      <c r="M2771" t="s">
        <v>61</v>
      </c>
      <c r="N2771">
        <v>72293013</v>
      </c>
    </row>
    <row r="2772" spans="1:14" x14ac:dyDescent="0.25">
      <c r="A2772">
        <v>58463030</v>
      </c>
      <c r="B2772" t="s">
        <v>431</v>
      </c>
      <c r="C2772" t="s">
        <v>6693</v>
      </c>
      <c r="F2772" t="s">
        <v>628</v>
      </c>
      <c r="G2772" t="s">
        <v>629</v>
      </c>
      <c r="I2772" t="s">
        <v>24</v>
      </c>
      <c r="J2772" s="13">
        <v>45987</v>
      </c>
      <c r="K2772" s="13">
        <v>46023</v>
      </c>
      <c r="L2772" t="s">
        <v>470</v>
      </c>
      <c r="M2772" t="s">
        <v>60</v>
      </c>
      <c r="N2772">
        <v>72293040</v>
      </c>
    </row>
    <row r="2773" spans="1:14" x14ac:dyDescent="0.25">
      <c r="A2773">
        <v>58463097</v>
      </c>
      <c r="B2773" t="s">
        <v>3228</v>
      </c>
      <c r="C2773" t="s">
        <v>3601</v>
      </c>
      <c r="D2773" t="s">
        <v>6694</v>
      </c>
      <c r="E2773">
        <v>8134014191</v>
      </c>
      <c r="F2773" t="s">
        <v>462</v>
      </c>
      <c r="G2773" t="s">
        <v>463</v>
      </c>
      <c r="I2773" t="s">
        <v>39</v>
      </c>
      <c r="J2773" s="13">
        <v>45987</v>
      </c>
      <c r="K2773" s="13">
        <v>46023</v>
      </c>
      <c r="L2773" t="s">
        <v>497</v>
      </c>
      <c r="M2773" t="s">
        <v>59</v>
      </c>
      <c r="N2773">
        <v>72293083</v>
      </c>
    </row>
    <row r="2774" spans="1:14" x14ac:dyDescent="0.25">
      <c r="A2774">
        <v>58463176</v>
      </c>
      <c r="B2774" t="s">
        <v>6695</v>
      </c>
      <c r="C2774" t="s">
        <v>6696</v>
      </c>
      <c r="D2774" t="s">
        <v>6697</v>
      </c>
      <c r="E2774">
        <v>9546107952</v>
      </c>
      <c r="F2774" t="s">
        <v>416</v>
      </c>
      <c r="G2774" t="s">
        <v>417</v>
      </c>
      <c r="I2774" t="s">
        <v>26</v>
      </c>
      <c r="J2774" s="13">
        <v>45987</v>
      </c>
      <c r="K2774" s="13">
        <v>46023</v>
      </c>
      <c r="L2774" t="s">
        <v>497</v>
      </c>
      <c r="M2774" t="s">
        <v>56</v>
      </c>
      <c r="N2774">
        <v>72293115</v>
      </c>
    </row>
    <row r="2775" spans="1:14" x14ac:dyDescent="0.25">
      <c r="A2775">
        <v>58463334</v>
      </c>
      <c r="B2775" t="s">
        <v>6509</v>
      </c>
      <c r="C2775" t="s">
        <v>1702</v>
      </c>
      <c r="D2775" t="s">
        <v>6698</v>
      </c>
      <c r="E2775">
        <v>6815345807</v>
      </c>
      <c r="F2775" t="s">
        <v>649</v>
      </c>
      <c r="G2775" t="s">
        <v>650</v>
      </c>
      <c r="I2775" t="s">
        <v>28</v>
      </c>
      <c r="J2775" s="13">
        <v>45987</v>
      </c>
      <c r="K2775" s="13">
        <v>46023</v>
      </c>
      <c r="L2775" t="s">
        <v>1188</v>
      </c>
      <c r="M2775" t="s">
        <v>60</v>
      </c>
      <c r="N2775">
        <v>72293231</v>
      </c>
    </row>
    <row r="2776" spans="1:14" x14ac:dyDescent="0.25">
      <c r="A2776">
        <v>58463369</v>
      </c>
      <c r="B2776" t="s">
        <v>431</v>
      </c>
      <c r="C2776" t="s">
        <v>1416</v>
      </c>
      <c r="D2776" t="s">
        <v>6699</v>
      </c>
      <c r="E2776">
        <v>2172749829</v>
      </c>
      <c r="F2776" t="s">
        <v>628</v>
      </c>
      <c r="G2776" t="s">
        <v>629</v>
      </c>
      <c r="I2776" t="s">
        <v>24</v>
      </c>
      <c r="J2776" s="13">
        <v>45987</v>
      </c>
      <c r="K2776" s="13">
        <v>46023</v>
      </c>
      <c r="L2776" t="s">
        <v>470</v>
      </c>
      <c r="M2776" t="s">
        <v>60</v>
      </c>
      <c r="N2776">
        <v>72293256</v>
      </c>
    </row>
    <row r="2777" spans="1:14" x14ac:dyDescent="0.25">
      <c r="A2777">
        <v>58463488</v>
      </c>
      <c r="B2777" t="s">
        <v>6700</v>
      </c>
      <c r="C2777" t="s">
        <v>6701</v>
      </c>
      <c r="D2777" t="s">
        <v>6702</v>
      </c>
      <c r="E2777">
        <v>7276673056</v>
      </c>
      <c r="F2777" t="s">
        <v>423</v>
      </c>
      <c r="G2777" t="s">
        <v>424</v>
      </c>
      <c r="I2777" t="s">
        <v>46</v>
      </c>
      <c r="J2777" s="13">
        <v>45987</v>
      </c>
      <c r="K2777" s="13">
        <v>46023</v>
      </c>
      <c r="L2777" t="s">
        <v>497</v>
      </c>
      <c r="M2777" t="s">
        <v>54</v>
      </c>
      <c r="N2777">
        <v>72293318</v>
      </c>
    </row>
    <row r="2778" spans="1:14" x14ac:dyDescent="0.25">
      <c r="A2778">
        <v>58463459</v>
      </c>
      <c r="B2778" t="s">
        <v>4213</v>
      </c>
      <c r="C2778" t="s">
        <v>6703</v>
      </c>
      <c r="D2778" t="s">
        <v>6704</v>
      </c>
      <c r="E2778">
        <v>2193080112</v>
      </c>
      <c r="F2778" t="s">
        <v>705</v>
      </c>
      <c r="G2778" t="s">
        <v>706</v>
      </c>
      <c r="I2778" t="s">
        <v>12</v>
      </c>
      <c r="J2778" s="13">
        <v>45987</v>
      </c>
      <c r="K2778" s="13">
        <v>46023</v>
      </c>
      <c r="L2778" t="s">
        <v>440</v>
      </c>
      <c r="M2778" t="s">
        <v>59</v>
      </c>
      <c r="N2778">
        <v>72293326</v>
      </c>
    </row>
    <row r="2779" spans="1:14" x14ac:dyDescent="0.25">
      <c r="A2779">
        <v>58463746</v>
      </c>
      <c r="B2779" t="s">
        <v>2508</v>
      </c>
      <c r="C2779" t="s">
        <v>1522</v>
      </c>
      <c r="D2779" t="s">
        <v>6705</v>
      </c>
      <c r="E2779">
        <v>8708980540</v>
      </c>
      <c r="F2779" t="s">
        <v>448</v>
      </c>
      <c r="G2779" t="s">
        <v>449</v>
      </c>
      <c r="I2779" t="s">
        <v>31</v>
      </c>
      <c r="J2779" s="13">
        <v>45987</v>
      </c>
      <c r="K2779" s="13">
        <v>46023</v>
      </c>
      <c r="L2779" t="s">
        <v>553</v>
      </c>
      <c r="M2779" t="s">
        <v>58</v>
      </c>
      <c r="N2779">
        <v>72293714</v>
      </c>
    </row>
    <row r="2780" spans="1:14" x14ac:dyDescent="0.25">
      <c r="A2780">
        <v>58463785</v>
      </c>
      <c r="B2780" t="s">
        <v>2028</v>
      </c>
      <c r="C2780" t="s">
        <v>6706</v>
      </c>
      <c r="D2780" t="s">
        <v>6707</v>
      </c>
      <c r="E2780">
        <v>2053317555</v>
      </c>
      <c r="F2780" t="s">
        <v>828</v>
      </c>
      <c r="G2780" t="s">
        <v>1148</v>
      </c>
      <c r="I2780" t="s">
        <v>17</v>
      </c>
      <c r="J2780" s="13">
        <v>45987</v>
      </c>
      <c r="K2780" s="13">
        <v>46023</v>
      </c>
      <c r="L2780" t="s">
        <v>450</v>
      </c>
      <c r="M2780" t="s">
        <v>58</v>
      </c>
      <c r="N2780">
        <v>72293734</v>
      </c>
    </row>
    <row r="2781" spans="1:14" x14ac:dyDescent="0.25">
      <c r="A2781">
        <v>58463804</v>
      </c>
      <c r="B2781" t="s">
        <v>6708</v>
      </c>
      <c r="C2781" t="s">
        <v>6709</v>
      </c>
      <c r="D2781" t="s">
        <v>6710</v>
      </c>
      <c r="E2781">
        <v>5617622706</v>
      </c>
      <c r="F2781" t="s">
        <v>1345</v>
      </c>
      <c r="G2781" t="s">
        <v>799</v>
      </c>
      <c r="I2781" t="s">
        <v>47</v>
      </c>
      <c r="J2781" s="13">
        <v>45987</v>
      </c>
      <c r="K2781" s="13">
        <v>46023</v>
      </c>
      <c r="L2781" t="s">
        <v>497</v>
      </c>
      <c r="M2781" t="s">
        <v>56</v>
      </c>
      <c r="N2781">
        <v>72293748</v>
      </c>
    </row>
    <row r="2782" spans="1:14" x14ac:dyDescent="0.25">
      <c r="A2782">
        <v>58464057</v>
      </c>
      <c r="B2782" t="s">
        <v>425</v>
      </c>
      <c r="C2782" t="s">
        <v>6711</v>
      </c>
      <c r="D2782" t="s">
        <v>6712</v>
      </c>
      <c r="E2782">
        <v>3047846569</v>
      </c>
      <c r="F2782" t="s">
        <v>1067</v>
      </c>
      <c r="G2782" t="s">
        <v>1068</v>
      </c>
      <c r="I2782" t="s">
        <v>35</v>
      </c>
      <c r="J2782" s="13">
        <v>45987</v>
      </c>
      <c r="K2782" s="13">
        <v>46023</v>
      </c>
      <c r="L2782" t="s">
        <v>1188</v>
      </c>
      <c r="M2782" t="s">
        <v>56</v>
      </c>
      <c r="N2782">
        <v>72293907</v>
      </c>
    </row>
    <row r="2783" spans="1:14" x14ac:dyDescent="0.25">
      <c r="A2783">
        <v>58464238</v>
      </c>
      <c r="B2783" t="s">
        <v>6713</v>
      </c>
      <c r="C2783" t="s">
        <v>6714</v>
      </c>
      <c r="D2783" t="s">
        <v>6715</v>
      </c>
      <c r="E2783">
        <v>2514972190</v>
      </c>
      <c r="F2783" t="s">
        <v>1142</v>
      </c>
      <c r="G2783" t="s">
        <v>1143</v>
      </c>
      <c r="I2783" t="s">
        <v>124</v>
      </c>
      <c r="J2783" s="13">
        <v>45987</v>
      </c>
      <c r="K2783" s="13">
        <v>46023</v>
      </c>
      <c r="L2783" t="s">
        <v>450</v>
      </c>
      <c r="M2783" t="s">
        <v>59</v>
      </c>
      <c r="N2783">
        <v>72294020</v>
      </c>
    </row>
    <row r="2784" spans="1:14" x14ac:dyDescent="0.25">
      <c r="A2784">
        <v>58464308</v>
      </c>
      <c r="B2784" t="s">
        <v>548</v>
      </c>
      <c r="C2784" t="s">
        <v>6716</v>
      </c>
      <c r="D2784" t="s">
        <v>6717</v>
      </c>
      <c r="E2784">
        <v>9123146892</v>
      </c>
      <c r="F2784" t="s">
        <v>798</v>
      </c>
      <c r="G2784" t="s">
        <v>799</v>
      </c>
      <c r="I2784" t="s">
        <v>800</v>
      </c>
      <c r="J2784" s="13">
        <v>45987</v>
      </c>
      <c r="K2784" s="13">
        <v>46023</v>
      </c>
      <c r="L2784" t="s">
        <v>621</v>
      </c>
      <c r="M2784" t="s">
        <v>58</v>
      </c>
      <c r="N2784">
        <v>72294062</v>
      </c>
    </row>
    <row r="2785" spans="1:14" x14ac:dyDescent="0.25">
      <c r="A2785">
        <v>58464693</v>
      </c>
      <c r="B2785" t="s">
        <v>1643</v>
      </c>
      <c r="C2785" t="s">
        <v>4107</v>
      </c>
      <c r="D2785" t="s">
        <v>6718</v>
      </c>
      <c r="E2785">
        <v>7573726442</v>
      </c>
      <c r="F2785" t="s">
        <v>569</v>
      </c>
      <c r="G2785" t="s">
        <v>570</v>
      </c>
      <c r="I2785" t="s">
        <v>34</v>
      </c>
      <c r="J2785" s="13">
        <v>45987</v>
      </c>
      <c r="K2785" s="13">
        <v>46023</v>
      </c>
      <c r="L2785" t="s">
        <v>454</v>
      </c>
      <c r="M2785" t="s">
        <v>56</v>
      </c>
      <c r="N2785">
        <v>72294298</v>
      </c>
    </row>
    <row r="2786" spans="1:14" x14ac:dyDescent="0.25">
      <c r="A2786">
        <v>58464914</v>
      </c>
      <c r="B2786" t="s">
        <v>6719</v>
      </c>
      <c r="C2786" t="s">
        <v>6720</v>
      </c>
      <c r="D2786" t="s">
        <v>6721</v>
      </c>
      <c r="E2786" t="s">
        <v>6722</v>
      </c>
      <c r="F2786" t="s">
        <v>1003</v>
      </c>
      <c r="G2786" t="s">
        <v>1004</v>
      </c>
      <c r="I2786" t="s">
        <v>89</v>
      </c>
      <c r="J2786" s="13">
        <v>45987</v>
      </c>
      <c r="K2786" s="13">
        <v>46023</v>
      </c>
      <c r="L2786" t="s">
        <v>479</v>
      </c>
      <c r="M2786" t="s">
        <v>59</v>
      </c>
      <c r="N2786">
        <v>72294418</v>
      </c>
    </row>
    <row r="2787" spans="1:14" x14ac:dyDescent="0.25">
      <c r="A2787">
        <v>58464934</v>
      </c>
      <c r="B2787" t="s">
        <v>1167</v>
      </c>
      <c r="C2787" t="s">
        <v>6723</v>
      </c>
      <c r="D2787" t="s">
        <v>6724</v>
      </c>
      <c r="E2787">
        <v>3147043562</v>
      </c>
      <c r="F2787" t="s">
        <v>790</v>
      </c>
      <c r="G2787" t="s">
        <v>791</v>
      </c>
      <c r="I2787" t="s">
        <v>119</v>
      </c>
      <c r="J2787" s="13">
        <v>45987</v>
      </c>
      <c r="K2787" s="13">
        <v>46023</v>
      </c>
      <c r="L2787" t="s">
        <v>470</v>
      </c>
      <c r="M2787" t="s">
        <v>59</v>
      </c>
      <c r="N2787">
        <v>72294425</v>
      </c>
    </row>
    <row r="2788" spans="1:14" x14ac:dyDescent="0.25">
      <c r="A2788">
        <v>58467158</v>
      </c>
      <c r="B2788" t="s">
        <v>6725</v>
      </c>
      <c r="C2788" t="s">
        <v>2967</v>
      </c>
      <c r="D2788" t="s">
        <v>6726</v>
      </c>
      <c r="E2788">
        <v>2103553423</v>
      </c>
      <c r="F2788" t="s">
        <v>448</v>
      </c>
      <c r="G2788" t="s">
        <v>449</v>
      </c>
      <c r="I2788" t="s">
        <v>31</v>
      </c>
      <c r="J2788" s="13">
        <v>45987</v>
      </c>
      <c r="K2788" s="13">
        <v>46023</v>
      </c>
      <c r="L2788" t="s">
        <v>444</v>
      </c>
      <c r="M2788" t="s">
        <v>59</v>
      </c>
      <c r="N2788">
        <v>72296036</v>
      </c>
    </row>
    <row r="2789" spans="1:14" x14ac:dyDescent="0.25">
      <c r="A2789">
        <v>58469233</v>
      </c>
      <c r="B2789" t="s">
        <v>2771</v>
      </c>
      <c r="C2789" t="s">
        <v>6727</v>
      </c>
      <c r="D2789" t="s">
        <v>6728</v>
      </c>
      <c r="E2789">
        <v>4782340992</v>
      </c>
      <c r="F2789" t="s">
        <v>423</v>
      </c>
      <c r="G2789" t="s">
        <v>424</v>
      </c>
      <c r="I2789" t="s">
        <v>46</v>
      </c>
      <c r="J2789" s="13">
        <v>45989</v>
      </c>
      <c r="K2789" s="13">
        <v>46023</v>
      </c>
      <c r="L2789" t="s">
        <v>621</v>
      </c>
      <c r="M2789" t="s">
        <v>56</v>
      </c>
      <c r="N2789">
        <v>72297762</v>
      </c>
    </row>
    <row r="2790" spans="1:14" x14ac:dyDescent="0.25">
      <c r="A2790">
        <v>58469413</v>
      </c>
      <c r="B2790" t="s">
        <v>6729</v>
      </c>
      <c r="C2790" t="s">
        <v>6730</v>
      </c>
      <c r="D2790" t="s">
        <v>6731</v>
      </c>
      <c r="E2790">
        <v>2102546187</v>
      </c>
      <c r="F2790" t="s">
        <v>474</v>
      </c>
      <c r="G2790" t="s">
        <v>475</v>
      </c>
      <c r="I2790" t="s">
        <v>132</v>
      </c>
      <c r="J2790" s="13">
        <v>45989</v>
      </c>
      <c r="K2790" s="13">
        <v>46054</v>
      </c>
      <c r="L2790" t="s">
        <v>444</v>
      </c>
      <c r="M2790" t="s">
        <v>56</v>
      </c>
      <c r="N2790">
        <v>72297916</v>
      </c>
    </row>
    <row r="2791" spans="1:14" x14ac:dyDescent="0.25">
      <c r="A2791">
        <v>58469430</v>
      </c>
      <c r="B2791" t="s">
        <v>2654</v>
      </c>
      <c r="C2791" t="s">
        <v>5032</v>
      </c>
      <c r="D2791" t="s">
        <v>6732</v>
      </c>
      <c r="E2791">
        <v>7372745252</v>
      </c>
      <c r="F2791" t="s">
        <v>1013</v>
      </c>
      <c r="G2791" t="s">
        <v>1014</v>
      </c>
      <c r="I2791" t="s">
        <v>43</v>
      </c>
      <c r="J2791" s="13">
        <v>45989</v>
      </c>
      <c r="K2791" s="13">
        <v>46023</v>
      </c>
      <c r="L2791" t="s">
        <v>444</v>
      </c>
      <c r="M2791" t="s">
        <v>59</v>
      </c>
      <c r="N2791">
        <v>72297936</v>
      </c>
    </row>
    <row r="2792" spans="1:14" x14ac:dyDescent="0.25">
      <c r="A2792">
        <v>58469558</v>
      </c>
      <c r="B2792" t="s">
        <v>1696</v>
      </c>
      <c r="C2792" t="s">
        <v>6733</v>
      </c>
      <c r="D2792" t="s">
        <v>6734</v>
      </c>
      <c r="E2792">
        <v>9283106972</v>
      </c>
      <c r="F2792" t="s">
        <v>423</v>
      </c>
      <c r="G2792" t="s">
        <v>424</v>
      </c>
      <c r="I2792" t="s">
        <v>46</v>
      </c>
      <c r="J2792" s="13">
        <v>45989</v>
      </c>
      <c r="K2792" s="13">
        <v>46023</v>
      </c>
      <c r="L2792" t="s">
        <v>1179</v>
      </c>
      <c r="M2792" t="s">
        <v>61</v>
      </c>
      <c r="N2792">
        <v>72297969</v>
      </c>
    </row>
    <row r="2793" spans="1:14" x14ac:dyDescent="0.25">
      <c r="A2793">
        <v>58469622</v>
      </c>
      <c r="B2793" t="s">
        <v>1038</v>
      </c>
      <c r="C2793" t="s">
        <v>6735</v>
      </c>
      <c r="D2793" t="s">
        <v>6736</v>
      </c>
      <c r="E2793">
        <v>5024019568</v>
      </c>
      <c r="F2793" t="s">
        <v>551</v>
      </c>
      <c r="G2793" t="s">
        <v>552</v>
      </c>
      <c r="I2793" t="s">
        <v>42</v>
      </c>
      <c r="J2793" s="13">
        <v>45989</v>
      </c>
      <c r="K2793" s="13">
        <v>46023</v>
      </c>
      <c r="L2793" t="s">
        <v>490</v>
      </c>
      <c r="M2793" t="s">
        <v>56</v>
      </c>
      <c r="N2793">
        <v>72298010</v>
      </c>
    </row>
    <row r="2794" spans="1:14" x14ac:dyDescent="0.25">
      <c r="A2794">
        <v>58469648</v>
      </c>
      <c r="B2794" t="s">
        <v>6737</v>
      </c>
      <c r="C2794" t="s">
        <v>4137</v>
      </c>
      <c r="D2794" t="s">
        <v>6738</v>
      </c>
      <c r="E2794">
        <v>8134803409</v>
      </c>
      <c r="F2794" t="s">
        <v>775</v>
      </c>
      <c r="G2794" t="s">
        <v>776</v>
      </c>
      <c r="I2794" t="s">
        <v>22</v>
      </c>
      <c r="J2794" s="13">
        <v>45989</v>
      </c>
      <c r="K2794" s="13">
        <v>46023</v>
      </c>
      <c r="L2794" t="s">
        <v>497</v>
      </c>
      <c r="M2794" t="s">
        <v>56</v>
      </c>
      <c r="N2794">
        <v>72298066</v>
      </c>
    </row>
    <row r="2795" spans="1:14" x14ac:dyDescent="0.25">
      <c r="A2795">
        <v>58469742</v>
      </c>
      <c r="B2795" t="s">
        <v>1747</v>
      </c>
      <c r="C2795" t="s">
        <v>6739</v>
      </c>
      <c r="D2795" t="s">
        <v>6740</v>
      </c>
      <c r="E2795">
        <v>8138024722</v>
      </c>
      <c r="F2795" t="s">
        <v>416</v>
      </c>
      <c r="G2795" t="s">
        <v>417</v>
      </c>
      <c r="I2795" t="s">
        <v>26</v>
      </c>
      <c r="J2795" s="13">
        <v>45989</v>
      </c>
      <c r="K2795" s="13">
        <v>46023</v>
      </c>
      <c r="L2795" t="s">
        <v>497</v>
      </c>
      <c r="M2795" t="s">
        <v>56</v>
      </c>
      <c r="N2795">
        <v>72298124</v>
      </c>
    </row>
    <row r="2796" spans="1:14" x14ac:dyDescent="0.25">
      <c r="A2796">
        <v>58469756</v>
      </c>
      <c r="B2796" t="s">
        <v>980</v>
      </c>
      <c r="C2796" t="s">
        <v>6741</v>
      </c>
      <c r="D2796" t="s">
        <v>6742</v>
      </c>
      <c r="E2796">
        <v>8653063634</v>
      </c>
      <c r="F2796" t="s">
        <v>798</v>
      </c>
      <c r="G2796" t="s">
        <v>799</v>
      </c>
      <c r="I2796" t="s">
        <v>800</v>
      </c>
      <c r="J2796" s="13">
        <v>45989</v>
      </c>
      <c r="K2796" s="13">
        <v>46023</v>
      </c>
      <c r="L2796" t="s">
        <v>479</v>
      </c>
      <c r="M2796" t="s">
        <v>58</v>
      </c>
      <c r="N2796">
        <v>72298139</v>
      </c>
    </row>
    <row r="2797" spans="1:14" x14ac:dyDescent="0.25">
      <c r="A2797">
        <v>58469784</v>
      </c>
      <c r="B2797" t="s">
        <v>6743</v>
      </c>
      <c r="C2797" t="s">
        <v>6744</v>
      </c>
      <c r="D2797" t="s">
        <v>6745</v>
      </c>
      <c r="E2797">
        <v>9546449726</v>
      </c>
      <c r="F2797" t="s">
        <v>462</v>
      </c>
      <c r="G2797" t="s">
        <v>463</v>
      </c>
      <c r="I2797" t="s">
        <v>39</v>
      </c>
      <c r="J2797" s="13">
        <v>45989</v>
      </c>
      <c r="K2797" s="13">
        <v>46023</v>
      </c>
      <c r="L2797" t="s">
        <v>497</v>
      </c>
      <c r="M2797" t="s">
        <v>56</v>
      </c>
      <c r="N2797">
        <v>72298162</v>
      </c>
    </row>
    <row r="2798" spans="1:14" x14ac:dyDescent="0.25">
      <c r="A2798">
        <v>58469794</v>
      </c>
      <c r="B2798" t="s">
        <v>6746</v>
      </c>
      <c r="C2798" t="s">
        <v>6747</v>
      </c>
      <c r="D2798" t="s">
        <v>6748</v>
      </c>
      <c r="E2798">
        <v>7437628187</v>
      </c>
      <c r="F2798" t="s">
        <v>842</v>
      </c>
      <c r="G2798" t="s">
        <v>843</v>
      </c>
      <c r="I2798" t="s">
        <v>98</v>
      </c>
      <c r="J2798" s="13">
        <v>45989</v>
      </c>
      <c r="K2798" s="13">
        <v>46023</v>
      </c>
      <c r="L2798" t="s">
        <v>603</v>
      </c>
      <c r="M2798" t="s">
        <v>59</v>
      </c>
      <c r="N2798">
        <v>72298170</v>
      </c>
    </row>
    <row r="2799" spans="1:14" x14ac:dyDescent="0.25">
      <c r="A2799">
        <v>58469994</v>
      </c>
      <c r="B2799" t="s">
        <v>3326</v>
      </c>
      <c r="C2799" t="s">
        <v>6749</v>
      </c>
      <c r="D2799" t="s">
        <v>6750</v>
      </c>
      <c r="E2799">
        <v>4694082143</v>
      </c>
      <c r="F2799" t="s">
        <v>790</v>
      </c>
      <c r="G2799" t="s">
        <v>791</v>
      </c>
      <c r="I2799" t="s">
        <v>119</v>
      </c>
      <c r="J2799" s="13">
        <v>45989</v>
      </c>
      <c r="K2799" s="13">
        <v>46023</v>
      </c>
      <c r="L2799" t="s">
        <v>444</v>
      </c>
      <c r="M2799" t="s">
        <v>58</v>
      </c>
      <c r="N2799">
        <v>72298281</v>
      </c>
    </row>
    <row r="2800" spans="1:14" x14ac:dyDescent="0.25">
      <c r="A2800">
        <v>58470004</v>
      </c>
      <c r="B2800" t="s">
        <v>649</v>
      </c>
      <c r="C2800" t="s">
        <v>6751</v>
      </c>
      <c r="D2800" t="s">
        <v>6752</v>
      </c>
      <c r="E2800">
        <v>9015709315</v>
      </c>
      <c r="F2800" t="s">
        <v>1003</v>
      </c>
      <c r="G2800" t="s">
        <v>1004</v>
      </c>
      <c r="I2800" t="s">
        <v>89</v>
      </c>
      <c r="J2800" s="13">
        <v>45989</v>
      </c>
      <c r="K2800" s="13">
        <v>46023</v>
      </c>
      <c r="L2800" t="s">
        <v>479</v>
      </c>
      <c r="M2800" t="s">
        <v>62</v>
      </c>
      <c r="N2800">
        <v>72298286</v>
      </c>
    </row>
    <row r="2801" spans="1:14" x14ac:dyDescent="0.25">
      <c r="A2801">
        <v>58470006</v>
      </c>
      <c r="B2801" t="s">
        <v>6753</v>
      </c>
      <c r="C2801" t="s">
        <v>6754</v>
      </c>
      <c r="D2801" t="s">
        <v>6755</v>
      </c>
      <c r="E2801">
        <v>7272159021</v>
      </c>
      <c r="F2801" t="s">
        <v>1345</v>
      </c>
      <c r="G2801" t="s">
        <v>799</v>
      </c>
      <c r="I2801" t="s">
        <v>47</v>
      </c>
      <c r="J2801" s="13">
        <v>45989</v>
      </c>
      <c r="K2801" s="13">
        <v>46023</v>
      </c>
      <c r="L2801" t="s">
        <v>497</v>
      </c>
      <c r="M2801" t="s">
        <v>54</v>
      </c>
      <c r="N2801">
        <v>72298287</v>
      </c>
    </row>
    <row r="2802" spans="1:14" x14ac:dyDescent="0.25">
      <c r="A2802">
        <v>58470024</v>
      </c>
      <c r="B2802" t="s">
        <v>3191</v>
      </c>
      <c r="C2802" t="s">
        <v>6756</v>
      </c>
      <c r="D2802" t="s">
        <v>6757</v>
      </c>
      <c r="E2802">
        <v>2705071885</v>
      </c>
      <c r="F2802" t="s">
        <v>474</v>
      </c>
      <c r="G2802" t="s">
        <v>475</v>
      </c>
      <c r="I2802" t="s">
        <v>132</v>
      </c>
      <c r="J2802" s="13">
        <v>45989</v>
      </c>
      <c r="K2802" s="13">
        <v>46023</v>
      </c>
      <c r="L2802" t="s">
        <v>490</v>
      </c>
      <c r="M2802" t="s">
        <v>56</v>
      </c>
      <c r="N2802">
        <v>72298297</v>
      </c>
    </row>
    <row r="2803" spans="1:14" x14ac:dyDescent="0.25">
      <c r="A2803">
        <v>58470032</v>
      </c>
      <c r="B2803" t="s">
        <v>1089</v>
      </c>
      <c r="C2803" t="s">
        <v>6758</v>
      </c>
      <c r="D2803" t="s">
        <v>6759</v>
      </c>
      <c r="E2803">
        <v>7706336841</v>
      </c>
      <c r="F2803" t="s">
        <v>828</v>
      </c>
      <c r="G2803" t="s">
        <v>1148</v>
      </c>
      <c r="I2803" t="s">
        <v>17</v>
      </c>
      <c r="J2803" s="13">
        <v>45989</v>
      </c>
      <c r="K2803" s="13">
        <v>46023</v>
      </c>
      <c r="L2803" t="s">
        <v>621</v>
      </c>
      <c r="M2803" t="s">
        <v>55</v>
      </c>
      <c r="N2803">
        <v>72298301</v>
      </c>
    </row>
    <row r="2804" spans="1:14" x14ac:dyDescent="0.25">
      <c r="A2804">
        <v>58470046</v>
      </c>
      <c r="B2804" t="s">
        <v>6760</v>
      </c>
      <c r="C2804" t="s">
        <v>6761</v>
      </c>
      <c r="D2804" t="s">
        <v>6762</v>
      </c>
      <c r="E2804" t="s">
        <v>6763</v>
      </c>
      <c r="F2804" t="s">
        <v>615</v>
      </c>
      <c r="G2804" t="s">
        <v>616</v>
      </c>
      <c r="I2804" t="s">
        <v>617</v>
      </c>
      <c r="J2804" s="13">
        <v>45989</v>
      </c>
      <c r="K2804" s="13">
        <v>46023</v>
      </c>
      <c r="L2804" t="s">
        <v>497</v>
      </c>
      <c r="M2804" t="s">
        <v>56</v>
      </c>
      <c r="N2804">
        <v>72298316</v>
      </c>
    </row>
    <row r="2805" spans="1:14" x14ac:dyDescent="0.25">
      <c r="A2805">
        <v>58470146</v>
      </c>
      <c r="B2805" t="s">
        <v>6764</v>
      </c>
      <c r="C2805" t="s">
        <v>4217</v>
      </c>
      <c r="D2805" t="s">
        <v>6765</v>
      </c>
      <c r="E2805">
        <v>9032152202</v>
      </c>
      <c r="F2805" t="s">
        <v>1013</v>
      </c>
      <c r="G2805" t="s">
        <v>1014</v>
      </c>
      <c r="I2805" t="s">
        <v>43</v>
      </c>
      <c r="J2805" s="13">
        <v>45989</v>
      </c>
      <c r="K2805" s="13">
        <v>46023</v>
      </c>
      <c r="L2805" t="s">
        <v>444</v>
      </c>
      <c r="M2805" t="s">
        <v>55</v>
      </c>
      <c r="N2805">
        <v>72298373</v>
      </c>
    </row>
    <row r="2806" spans="1:14" x14ac:dyDescent="0.25">
      <c r="A2806">
        <v>58470176</v>
      </c>
      <c r="B2806" t="s">
        <v>6766</v>
      </c>
      <c r="C2806" t="s">
        <v>2175</v>
      </c>
      <c r="D2806" t="s">
        <v>6767</v>
      </c>
      <c r="E2806" t="s">
        <v>6768</v>
      </c>
      <c r="F2806" t="s">
        <v>842</v>
      </c>
      <c r="G2806" t="s">
        <v>1213</v>
      </c>
      <c r="I2806" t="s">
        <v>1214</v>
      </c>
      <c r="J2806" s="13">
        <v>45989</v>
      </c>
      <c r="K2806" s="13">
        <v>46023</v>
      </c>
      <c r="L2806" t="s">
        <v>1179</v>
      </c>
      <c r="M2806" t="s">
        <v>54</v>
      </c>
      <c r="N2806">
        <v>72298392</v>
      </c>
    </row>
    <row r="2807" spans="1:14" x14ac:dyDescent="0.25">
      <c r="A2807">
        <v>58470675</v>
      </c>
      <c r="B2807" t="s">
        <v>6769</v>
      </c>
      <c r="C2807" t="s">
        <v>6770</v>
      </c>
      <c r="D2807" t="s">
        <v>6771</v>
      </c>
      <c r="E2807">
        <v>4802351023</v>
      </c>
      <c r="F2807" t="s">
        <v>4853</v>
      </c>
      <c r="G2807" t="s">
        <v>5017</v>
      </c>
      <c r="I2807" t="s">
        <v>5018</v>
      </c>
      <c r="J2807" s="13">
        <v>45989</v>
      </c>
      <c r="K2807" s="13">
        <v>46023</v>
      </c>
      <c r="L2807" t="s">
        <v>1179</v>
      </c>
      <c r="M2807" t="s">
        <v>54</v>
      </c>
      <c r="N2807">
        <v>72298661</v>
      </c>
    </row>
    <row r="2808" spans="1:14" x14ac:dyDescent="0.25">
      <c r="A2808">
        <v>58470723</v>
      </c>
      <c r="B2808" t="s">
        <v>6772</v>
      </c>
      <c r="C2808" t="s">
        <v>6773</v>
      </c>
      <c r="D2808" t="s">
        <v>6774</v>
      </c>
      <c r="E2808">
        <v>3212924579</v>
      </c>
      <c r="F2808" t="s">
        <v>780</v>
      </c>
      <c r="G2808" t="s">
        <v>781</v>
      </c>
      <c r="I2808" t="s">
        <v>20</v>
      </c>
      <c r="J2808" s="13">
        <v>45989</v>
      </c>
      <c r="K2808" s="13">
        <v>46023</v>
      </c>
      <c r="L2808" t="s">
        <v>497</v>
      </c>
      <c r="M2808" t="s">
        <v>56</v>
      </c>
      <c r="N2808">
        <v>72298697</v>
      </c>
    </row>
    <row r="2809" spans="1:14" x14ac:dyDescent="0.25">
      <c r="A2809">
        <v>58470759</v>
      </c>
      <c r="B2809" t="s">
        <v>702</v>
      </c>
      <c r="C2809" t="s">
        <v>6775</v>
      </c>
      <c r="D2809" t="s">
        <v>6776</v>
      </c>
      <c r="E2809">
        <v>7274223214</v>
      </c>
      <c r="F2809" t="s">
        <v>416</v>
      </c>
      <c r="G2809" t="s">
        <v>417</v>
      </c>
      <c r="I2809" t="s">
        <v>26</v>
      </c>
      <c r="J2809" s="13">
        <v>45989</v>
      </c>
      <c r="K2809" s="13">
        <v>46023</v>
      </c>
      <c r="L2809" t="s">
        <v>497</v>
      </c>
      <c r="M2809" t="s">
        <v>54</v>
      </c>
      <c r="N2809">
        <v>72298713</v>
      </c>
    </row>
    <row r="2810" spans="1:14" x14ac:dyDescent="0.25">
      <c r="A2810">
        <v>58470838</v>
      </c>
      <c r="B2810" t="s">
        <v>6760</v>
      </c>
      <c r="C2810" t="s">
        <v>1171</v>
      </c>
      <c r="D2810" t="s">
        <v>6777</v>
      </c>
      <c r="E2810">
        <v>8706750071</v>
      </c>
      <c r="F2810" t="s">
        <v>551</v>
      </c>
      <c r="G2810" t="s">
        <v>552</v>
      </c>
      <c r="I2810" t="s">
        <v>42</v>
      </c>
      <c r="J2810" s="13">
        <v>45989</v>
      </c>
      <c r="K2810" s="13">
        <v>46023</v>
      </c>
      <c r="L2810" t="s">
        <v>553</v>
      </c>
      <c r="M2810" t="s">
        <v>61</v>
      </c>
      <c r="N2810">
        <v>72298757</v>
      </c>
    </row>
    <row r="2811" spans="1:14" x14ac:dyDescent="0.25">
      <c r="A2811">
        <v>58471000</v>
      </c>
      <c r="B2811" t="s">
        <v>6778</v>
      </c>
      <c r="C2811" t="s">
        <v>5817</v>
      </c>
      <c r="D2811" t="s">
        <v>6779</v>
      </c>
      <c r="E2811">
        <v>4172998771</v>
      </c>
      <c r="F2811" t="s">
        <v>957</v>
      </c>
      <c r="G2811" t="s">
        <v>958</v>
      </c>
      <c r="H2811" t="s">
        <v>959</v>
      </c>
      <c r="I2811" t="s">
        <v>960</v>
      </c>
      <c r="J2811" s="13">
        <v>45989</v>
      </c>
      <c r="K2811" s="13">
        <v>46023</v>
      </c>
      <c r="L2811" t="s">
        <v>434</v>
      </c>
      <c r="M2811" t="s">
        <v>59</v>
      </c>
      <c r="N2811">
        <v>72298869</v>
      </c>
    </row>
    <row r="2812" spans="1:14" x14ac:dyDescent="0.25">
      <c r="A2812">
        <v>58471012</v>
      </c>
      <c r="B2812" t="s">
        <v>2418</v>
      </c>
      <c r="C2812" t="s">
        <v>1129</v>
      </c>
      <c r="D2812" t="s">
        <v>6780</v>
      </c>
      <c r="E2812">
        <v>8438678124</v>
      </c>
      <c r="F2812" t="s">
        <v>842</v>
      </c>
      <c r="G2812" t="s">
        <v>843</v>
      </c>
      <c r="I2812" t="s">
        <v>98</v>
      </c>
      <c r="J2812" s="13">
        <v>45989</v>
      </c>
      <c r="K2812" s="13">
        <v>46023</v>
      </c>
      <c r="L2812" t="s">
        <v>533</v>
      </c>
      <c r="M2812" t="s">
        <v>59</v>
      </c>
      <c r="N2812">
        <v>72298882</v>
      </c>
    </row>
    <row r="2813" spans="1:14" x14ac:dyDescent="0.25">
      <c r="A2813">
        <v>58471290</v>
      </c>
      <c r="B2813" t="s">
        <v>6781</v>
      </c>
      <c r="C2813" t="s">
        <v>1598</v>
      </c>
      <c r="D2813" t="s">
        <v>6782</v>
      </c>
      <c r="E2813">
        <v>7194803566</v>
      </c>
      <c r="F2813" t="s">
        <v>1013</v>
      </c>
      <c r="G2813" t="s">
        <v>1014</v>
      </c>
      <c r="I2813" t="s">
        <v>43</v>
      </c>
      <c r="J2813" s="13">
        <v>45989</v>
      </c>
      <c r="K2813" s="13">
        <v>46023</v>
      </c>
      <c r="L2813" t="s">
        <v>539</v>
      </c>
      <c r="M2813" t="s">
        <v>56</v>
      </c>
      <c r="N2813">
        <v>72299057</v>
      </c>
    </row>
    <row r="2814" spans="1:14" x14ac:dyDescent="0.25">
      <c r="A2814">
        <v>58471600</v>
      </c>
      <c r="B2814" t="s">
        <v>5346</v>
      </c>
      <c r="C2814" t="s">
        <v>6783</v>
      </c>
      <c r="D2814" t="s">
        <v>6784</v>
      </c>
      <c r="E2814">
        <v>3212728971</v>
      </c>
      <c r="F2814" t="s">
        <v>474</v>
      </c>
      <c r="G2814" t="s">
        <v>475</v>
      </c>
      <c r="I2814" t="s">
        <v>132</v>
      </c>
      <c r="J2814" s="13">
        <v>45989</v>
      </c>
      <c r="K2814" s="13">
        <v>46023</v>
      </c>
      <c r="L2814" t="s">
        <v>497</v>
      </c>
      <c r="M2814" t="s">
        <v>56</v>
      </c>
      <c r="N2814">
        <v>72299254</v>
      </c>
    </row>
    <row r="2815" spans="1:14" x14ac:dyDescent="0.25">
      <c r="A2815">
        <v>58471762</v>
      </c>
      <c r="B2815" t="s">
        <v>6785</v>
      </c>
      <c r="C2815" t="s">
        <v>4717</v>
      </c>
      <c r="D2815" t="s">
        <v>6786</v>
      </c>
      <c r="E2815">
        <v>8634475486</v>
      </c>
      <c r="F2815" t="s">
        <v>1067</v>
      </c>
      <c r="G2815" t="s">
        <v>1068</v>
      </c>
      <c r="I2815" t="s">
        <v>35</v>
      </c>
      <c r="J2815" s="13">
        <v>45989</v>
      </c>
      <c r="K2815" s="13">
        <v>46023</v>
      </c>
      <c r="L2815" t="s">
        <v>497</v>
      </c>
      <c r="M2815" t="s">
        <v>58</v>
      </c>
      <c r="N2815">
        <v>72299360</v>
      </c>
    </row>
    <row r="2816" spans="1:14" x14ac:dyDescent="0.25">
      <c r="A2816">
        <v>58471815</v>
      </c>
      <c r="B2816" t="s">
        <v>6787</v>
      </c>
      <c r="C2816" t="s">
        <v>4974</v>
      </c>
      <c r="D2816" t="s">
        <v>6788</v>
      </c>
      <c r="E2816">
        <v>9414484282</v>
      </c>
      <c r="F2816" t="s">
        <v>423</v>
      </c>
      <c r="G2816" t="s">
        <v>424</v>
      </c>
      <c r="I2816" t="s">
        <v>46</v>
      </c>
      <c r="J2816" s="13">
        <v>45989</v>
      </c>
      <c r="K2816" s="13">
        <v>46023</v>
      </c>
      <c r="L2816" t="s">
        <v>497</v>
      </c>
      <c r="M2816" t="s">
        <v>56</v>
      </c>
      <c r="N2816">
        <v>72299374</v>
      </c>
    </row>
    <row r="2817" spans="1:14" x14ac:dyDescent="0.25">
      <c r="A2817">
        <v>58471835</v>
      </c>
      <c r="B2817" t="s">
        <v>1148</v>
      </c>
      <c r="C2817" t="s">
        <v>1716</v>
      </c>
      <c r="D2817" t="s">
        <v>6789</v>
      </c>
      <c r="E2817">
        <v>3304130608</v>
      </c>
      <c r="F2817" t="s">
        <v>775</v>
      </c>
      <c r="G2817" t="s">
        <v>776</v>
      </c>
      <c r="I2817" t="s">
        <v>22</v>
      </c>
      <c r="J2817" s="13">
        <v>45989</v>
      </c>
      <c r="K2817" s="13">
        <v>46023</v>
      </c>
      <c r="L2817" t="s">
        <v>1179</v>
      </c>
      <c r="M2817" t="s">
        <v>59</v>
      </c>
      <c r="N2817">
        <v>72299409</v>
      </c>
    </row>
    <row r="2818" spans="1:14" x14ac:dyDescent="0.25">
      <c r="A2818">
        <v>58471878</v>
      </c>
      <c r="B2818" t="s">
        <v>4614</v>
      </c>
      <c r="C2818" t="s">
        <v>2860</v>
      </c>
      <c r="D2818" t="s">
        <v>6790</v>
      </c>
      <c r="E2818">
        <v>9707128286</v>
      </c>
      <c r="F2818" t="s">
        <v>842</v>
      </c>
      <c r="G2818" t="s">
        <v>843</v>
      </c>
      <c r="I2818" t="s">
        <v>98</v>
      </c>
      <c r="J2818" s="13">
        <v>45989</v>
      </c>
      <c r="K2818" s="13">
        <v>46023</v>
      </c>
      <c r="L2818" t="s">
        <v>539</v>
      </c>
      <c r="M2818" t="s">
        <v>56</v>
      </c>
      <c r="N2818">
        <v>72299445</v>
      </c>
    </row>
    <row r="2819" spans="1:14" x14ac:dyDescent="0.25">
      <c r="A2819">
        <v>58471879</v>
      </c>
      <c r="B2819" t="s">
        <v>672</v>
      </c>
      <c r="C2819" t="s">
        <v>6791</v>
      </c>
      <c r="D2819" t="s">
        <v>6792</v>
      </c>
      <c r="E2819">
        <v>3053182357</v>
      </c>
      <c r="F2819" t="s">
        <v>780</v>
      </c>
      <c r="G2819" t="s">
        <v>781</v>
      </c>
      <c r="I2819" t="s">
        <v>20</v>
      </c>
      <c r="J2819" s="13">
        <v>45989</v>
      </c>
      <c r="K2819" s="13">
        <v>46023</v>
      </c>
      <c r="L2819" t="s">
        <v>497</v>
      </c>
      <c r="M2819" t="s">
        <v>56</v>
      </c>
      <c r="N2819">
        <v>72299446</v>
      </c>
    </row>
    <row r="2820" spans="1:14" x14ac:dyDescent="0.25">
      <c r="A2820">
        <v>58471961</v>
      </c>
      <c r="B2820" t="s">
        <v>1978</v>
      </c>
      <c r="C2820" t="s">
        <v>5602</v>
      </c>
      <c r="D2820" t="s">
        <v>6793</v>
      </c>
      <c r="E2820">
        <v>8506124063</v>
      </c>
      <c r="F2820" t="s">
        <v>551</v>
      </c>
      <c r="G2820" t="s">
        <v>552</v>
      </c>
      <c r="I2820" t="s">
        <v>42</v>
      </c>
      <c r="J2820" s="13">
        <v>45989</v>
      </c>
      <c r="K2820" s="13">
        <v>46023</v>
      </c>
      <c r="L2820" t="s">
        <v>497</v>
      </c>
      <c r="M2820" t="s">
        <v>58</v>
      </c>
      <c r="N2820">
        <v>72299481</v>
      </c>
    </row>
    <row r="2821" spans="1:14" x14ac:dyDescent="0.25">
      <c r="A2821">
        <v>58472146</v>
      </c>
      <c r="B2821" t="s">
        <v>5025</v>
      </c>
      <c r="C2821" t="s">
        <v>6794</v>
      </c>
      <c r="D2821" t="s">
        <v>6795</v>
      </c>
      <c r="E2821">
        <v>3109084877</v>
      </c>
      <c r="F2821" t="s">
        <v>474</v>
      </c>
      <c r="G2821" t="s">
        <v>475</v>
      </c>
      <c r="I2821" t="s">
        <v>132</v>
      </c>
      <c r="J2821" s="13">
        <v>45989</v>
      </c>
      <c r="K2821" s="13">
        <v>46023</v>
      </c>
      <c r="L2821" t="s">
        <v>490</v>
      </c>
      <c r="M2821" t="s">
        <v>58</v>
      </c>
      <c r="N2821">
        <v>72299608</v>
      </c>
    </row>
    <row r="2822" spans="1:14" x14ac:dyDescent="0.25">
      <c r="A2822">
        <v>58472157</v>
      </c>
      <c r="B2822" t="s">
        <v>6796</v>
      </c>
      <c r="C2822" t="s">
        <v>6797</v>
      </c>
      <c r="D2822" t="s">
        <v>6798</v>
      </c>
      <c r="E2822">
        <v>7262027080</v>
      </c>
      <c r="F2822" t="s">
        <v>1142</v>
      </c>
      <c r="G2822" t="s">
        <v>1143</v>
      </c>
      <c r="I2822" t="s">
        <v>124</v>
      </c>
      <c r="J2822" s="13">
        <v>45989</v>
      </c>
      <c r="K2822" s="13">
        <v>46023</v>
      </c>
      <c r="L2822" t="s">
        <v>444</v>
      </c>
      <c r="M2822" t="s">
        <v>59</v>
      </c>
      <c r="N2822">
        <v>72299614</v>
      </c>
    </row>
    <row r="2823" spans="1:14" x14ac:dyDescent="0.25">
      <c r="A2823">
        <v>58472190</v>
      </c>
      <c r="B2823" t="s">
        <v>431</v>
      </c>
      <c r="C2823" t="s">
        <v>6799</v>
      </c>
      <c r="D2823" t="s">
        <v>6800</v>
      </c>
      <c r="E2823">
        <v>4232782325</v>
      </c>
      <c r="F2823" t="s">
        <v>649</v>
      </c>
      <c r="G2823" t="s">
        <v>650</v>
      </c>
      <c r="I2823" t="s">
        <v>28</v>
      </c>
      <c r="J2823" s="13">
        <v>45989</v>
      </c>
      <c r="K2823" s="13">
        <v>46023</v>
      </c>
      <c r="L2823" t="s">
        <v>479</v>
      </c>
      <c r="M2823" t="s">
        <v>58</v>
      </c>
      <c r="N2823">
        <v>72299630</v>
      </c>
    </row>
    <row r="2824" spans="1:14" x14ac:dyDescent="0.25">
      <c r="A2824">
        <v>58472363</v>
      </c>
      <c r="B2824" t="s">
        <v>1759</v>
      </c>
      <c r="C2824" t="s">
        <v>5439</v>
      </c>
      <c r="D2824" t="s">
        <v>6801</v>
      </c>
      <c r="E2824">
        <v>9705604321</v>
      </c>
      <c r="F2824" t="s">
        <v>957</v>
      </c>
      <c r="G2824" t="s">
        <v>958</v>
      </c>
      <c r="H2824" t="s">
        <v>959</v>
      </c>
      <c r="I2824" t="s">
        <v>960</v>
      </c>
      <c r="J2824" s="13">
        <v>45989</v>
      </c>
      <c r="K2824" s="13">
        <v>46023</v>
      </c>
      <c r="L2824" t="s">
        <v>539</v>
      </c>
      <c r="M2824" t="s">
        <v>55</v>
      </c>
      <c r="N2824">
        <v>72299688</v>
      </c>
    </row>
    <row r="2825" spans="1:14" x14ac:dyDescent="0.25">
      <c r="A2825">
        <v>58472442</v>
      </c>
      <c r="B2825" t="s">
        <v>6802</v>
      </c>
      <c r="C2825" t="s">
        <v>6803</v>
      </c>
      <c r="D2825" t="s">
        <v>6804</v>
      </c>
      <c r="E2825">
        <v>8595099729</v>
      </c>
      <c r="F2825" t="s">
        <v>705</v>
      </c>
      <c r="G2825" t="s">
        <v>706</v>
      </c>
      <c r="I2825" t="s">
        <v>12</v>
      </c>
      <c r="J2825" s="13">
        <v>45989</v>
      </c>
      <c r="K2825" s="13">
        <v>46023</v>
      </c>
      <c r="L2825" t="s">
        <v>490</v>
      </c>
      <c r="M2825" t="s">
        <v>59</v>
      </c>
      <c r="N2825">
        <v>72299816</v>
      </c>
    </row>
    <row r="2826" spans="1:14" x14ac:dyDescent="0.25">
      <c r="A2826">
        <v>58473308</v>
      </c>
      <c r="B2826" t="s">
        <v>3231</v>
      </c>
      <c r="C2826" t="s">
        <v>6805</v>
      </c>
      <c r="D2826" t="s">
        <v>6806</v>
      </c>
      <c r="E2826">
        <v>9563324026</v>
      </c>
      <c r="F2826" t="s">
        <v>1013</v>
      </c>
      <c r="G2826" t="s">
        <v>1014</v>
      </c>
      <c r="I2826" t="s">
        <v>43</v>
      </c>
      <c r="J2826" s="13">
        <v>45989</v>
      </c>
      <c r="K2826" s="13">
        <v>46023</v>
      </c>
      <c r="L2826" t="s">
        <v>444</v>
      </c>
      <c r="M2826" t="s">
        <v>55</v>
      </c>
      <c r="N2826">
        <v>72300473</v>
      </c>
    </row>
    <row r="2827" spans="1:14" x14ac:dyDescent="0.25">
      <c r="A2827">
        <v>58473627</v>
      </c>
      <c r="B2827" t="s">
        <v>1297</v>
      </c>
      <c r="C2827" t="s">
        <v>6807</v>
      </c>
      <c r="D2827" t="s">
        <v>6808</v>
      </c>
      <c r="E2827">
        <v>4233621292</v>
      </c>
      <c r="F2827" t="s">
        <v>628</v>
      </c>
      <c r="G2827" t="s">
        <v>629</v>
      </c>
      <c r="I2827" t="s">
        <v>24</v>
      </c>
      <c r="J2827" s="13">
        <v>45989</v>
      </c>
      <c r="K2827" s="13">
        <v>46023</v>
      </c>
      <c r="L2827" t="s">
        <v>621</v>
      </c>
      <c r="M2827" t="s">
        <v>59</v>
      </c>
      <c r="N2827">
        <v>72300708</v>
      </c>
    </row>
    <row r="2828" spans="1:14" x14ac:dyDescent="0.25">
      <c r="A2828">
        <v>58473635</v>
      </c>
      <c r="B2828" t="s">
        <v>6809</v>
      </c>
      <c r="C2828" t="s">
        <v>6810</v>
      </c>
      <c r="D2828" t="s">
        <v>6811</v>
      </c>
      <c r="E2828">
        <v>5015817018</v>
      </c>
      <c r="F2828" t="s">
        <v>569</v>
      </c>
      <c r="G2828" t="s">
        <v>570</v>
      </c>
      <c r="I2828" t="s">
        <v>34</v>
      </c>
      <c r="J2828" s="13">
        <v>45989</v>
      </c>
      <c r="K2828" s="13">
        <v>46023</v>
      </c>
      <c r="L2828" t="s">
        <v>553</v>
      </c>
      <c r="M2828" t="s">
        <v>58</v>
      </c>
      <c r="N2828">
        <v>72300713</v>
      </c>
    </row>
    <row r="2829" spans="1:14" x14ac:dyDescent="0.25">
      <c r="A2829">
        <v>58473815</v>
      </c>
      <c r="B2829" t="s">
        <v>672</v>
      </c>
      <c r="C2829" t="s">
        <v>3657</v>
      </c>
      <c r="D2829" t="s">
        <v>6812</v>
      </c>
      <c r="E2829">
        <v>5204063943</v>
      </c>
      <c r="F2829" t="s">
        <v>4853</v>
      </c>
      <c r="G2829" t="s">
        <v>5017</v>
      </c>
      <c r="I2829" t="s">
        <v>5018</v>
      </c>
      <c r="J2829" s="13">
        <v>45989</v>
      </c>
      <c r="K2829" s="13">
        <v>46023</v>
      </c>
      <c r="L2829" t="s">
        <v>1179</v>
      </c>
      <c r="M2829" t="s">
        <v>59</v>
      </c>
      <c r="N2829">
        <v>72300845</v>
      </c>
    </row>
    <row r="2830" spans="1:14" x14ac:dyDescent="0.25">
      <c r="A2830">
        <v>58474084</v>
      </c>
      <c r="B2830" t="s">
        <v>1316</v>
      </c>
      <c r="C2830" t="s">
        <v>6813</v>
      </c>
      <c r="D2830" t="s">
        <v>6814</v>
      </c>
      <c r="E2830">
        <v>6025612457</v>
      </c>
      <c r="F2830" t="s">
        <v>462</v>
      </c>
      <c r="G2830" t="s">
        <v>463</v>
      </c>
      <c r="I2830" t="s">
        <v>39</v>
      </c>
      <c r="J2830" s="13">
        <v>45989</v>
      </c>
      <c r="K2830" s="13">
        <v>46023</v>
      </c>
      <c r="L2830" t="s">
        <v>1179</v>
      </c>
      <c r="M2830" t="s">
        <v>55</v>
      </c>
      <c r="N2830">
        <v>72301077</v>
      </c>
    </row>
    <row r="2831" spans="1:14" x14ac:dyDescent="0.25">
      <c r="A2831">
        <v>58474219</v>
      </c>
      <c r="B2831" t="s">
        <v>6185</v>
      </c>
      <c r="C2831" t="s">
        <v>468</v>
      </c>
      <c r="D2831" t="s">
        <v>6815</v>
      </c>
      <c r="E2831">
        <v>3186397475</v>
      </c>
      <c r="F2831" t="s">
        <v>957</v>
      </c>
      <c r="G2831" t="s">
        <v>958</v>
      </c>
      <c r="H2831" t="s">
        <v>959</v>
      </c>
      <c r="I2831" t="s">
        <v>960</v>
      </c>
      <c r="J2831" s="13">
        <v>45989</v>
      </c>
      <c r="K2831" s="13">
        <v>46023</v>
      </c>
      <c r="L2831" t="s">
        <v>612</v>
      </c>
      <c r="M2831" t="s">
        <v>56</v>
      </c>
      <c r="N2831">
        <v>72301176</v>
      </c>
    </row>
    <row r="2832" spans="1:14" x14ac:dyDescent="0.25">
      <c r="A2832">
        <v>58474211</v>
      </c>
      <c r="B2832" t="s">
        <v>973</v>
      </c>
      <c r="C2832" t="s">
        <v>6816</v>
      </c>
      <c r="D2832" t="s">
        <v>6817</v>
      </c>
      <c r="E2832">
        <v>2259752913</v>
      </c>
      <c r="F2832" t="s">
        <v>1003</v>
      </c>
      <c r="G2832" t="s">
        <v>1004</v>
      </c>
      <c r="I2832" t="s">
        <v>89</v>
      </c>
      <c r="J2832" s="13">
        <v>45989</v>
      </c>
      <c r="K2832" s="13">
        <v>46023</v>
      </c>
      <c r="L2832" t="s">
        <v>612</v>
      </c>
      <c r="M2832" t="s">
        <v>56</v>
      </c>
      <c r="N2832">
        <v>72301183</v>
      </c>
    </row>
    <row r="2833" spans="1:14" x14ac:dyDescent="0.25">
      <c r="A2833">
        <v>58474221</v>
      </c>
      <c r="B2833" t="s">
        <v>4769</v>
      </c>
      <c r="C2833" t="s">
        <v>6818</v>
      </c>
      <c r="D2833" t="s">
        <v>6819</v>
      </c>
      <c r="E2833">
        <v>3184333480</v>
      </c>
      <c r="F2833" t="s">
        <v>815</v>
      </c>
      <c r="G2833" t="s">
        <v>816</v>
      </c>
      <c r="I2833" t="s">
        <v>23</v>
      </c>
      <c r="J2833" s="13">
        <v>45989</v>
      </c>
      <c r="K2833" s="13">
        <v>46023</v>
      </c>
      <c r="L2833" t="s">
        <v>612</v>
      </c>
      <c r="M2833" t="s">
        <v>58</v>
      </c>
      <c r="N2833">
        <v>72301191</v>
      </c>
    </row>
    <row r="2834" spans="1:14" x14ac:dyDescent="0.25">
      <c r="A2834">
        <v>58474288</v>
      </c>
      <c r="B2834" t="s">
        <v>517</v>
      </c>
      <c r="C2834" t="s">
        <v>1847</v>
      </c>
      <c r="D2834" t="s">
        <v>6820</v>
      </c>
      <c r="E2834">
        <v>4046009102</v>
      </c>
      <c r="F2834" t="s">
        <v>828</v>
      </c>
      <c r="G2834" t="s">
        <v>1148</v>
      </c>
      <c r="I2834" t="s">
        <v>17</v>
      </c>
      <c r="J2834" s="13">
        <v>45989</v>
      </c>
      <c r="K2834" s="13">
        <v>46023</v>
      </c>
      <c r="L2834" t="s">
        <v>621</v>
      </c>
      <c r="M2834" t="s">
        <v>60</v>
      </c>
      <c r="N2834">
        <v>72301233</v>
      </c>
    </row>
    <row r="2835" spans="1:14" x14ac:dyDescent="0.25">
      <c r="A2835">
        <v>58474374</v>
      </c>
      <c r="B2835" t="s">
        <v>2071</v>
      </c>
      <c r="C2835" t="s">
        <v>6821</v>
      </c>
      <c r="D2835" t="s">
        <v>6822</v>
      </c>
      <c r="E2835">
        <v>7542520261</v>
      </c>
      <c r="F2835" t="s">
        <v>775</v>
      </c>
      <c r="G2835" t="s">
        <v>776</v>
      </c>
      <c r="I2835" t="s">
        <v>22</v>
      </c>
      <c r="J2835" s="13">
        <v>45989</v>
      </c>
      <c r="K2835" s="13">
        <v>46023</v>
      </c>
      <c r="L2835" t="s">
        <v>497</v>
      </c>
      <c r="M2835" t="s">
        <v>60</v>
      </c>
      <c r="N2835">
        <v>72301293</v>
      </c>
    </row>
    <row r="2836" spans="1:14" x14ac:dyDescent="0.25">
      <c r="A2836">
        <v>58474467</v>
      </c>
      <c r="B2836" t="s">
        <v>4319</v>
      </c>
      <c r="C2836" t="s">
        <v>6823</v>
      </c>
      <c r="D2836" t="s">
        <v>6824</v>
      </c>
      <c r="E2836">
        <v>6026019537</v>
      </c>
      <c r="F2836" t="s">
        <v>423</v>
      </c>
      <c r="G2836" t="s">
        <v>424</v>
      </c>
      <c r="I2836" t="s">
        <v>46</v>
      </c>
      <c r="J2836" s="13">
        <v>45989</v>
      </c>
      <c r="K2836" s="13">
        <v>46023</v>
      </c>
      <c r="L2836" t="s">
        <v>1179</v>
      </c>
      <c r="M2836" t="s">
        <v>56</v>
      </c>
      <c r="N2836">
        <v>72301314</v>
      </c>
    </row>
    <row r="2837" spans="1:14" x14ac:dyDescent="0.25">
      <c r="A2837">
        <v>58474465</v>
      </c>
      <c r="B2837" t="s">
        <v>6128</v>
      </c>
      <c r="C2837" t="s">
        <v>4158</v>
      </c>
      <c r="D2837" t="s">
        <v>6825</v>
      </c>
      <c r="E2837">
        <v>7862670576</v>
      </c>
      <c r="F2837" t="s">
        <v>770</v>
      </c>
      <c r="G2837" t="s">
        <v>771</v>
      </c>
      <c r="I2837" t="s">
        <v>25</v>
      </c>
      <c r="J2837" s="13">
        <v>45989</v>
      </c>
      <c r="K2837" s="13">
        <v>46023</v>
      </c>
      <c r="L2837" t="s">
        <v>497</v>
      </c>
      <c r="M2837" t="s">
        <v>59</v>
      </c>
      <c r="N2837">
        <v>72301337</v>
      </c>
    </row>
    <row r="2838" spans="1:14" x14ac:dyDescent="0.25">
      <c r="A2838">
        <v>58474542</v>
      </c>
      <c r="B2838" t="s">
        <v>1306</v>
      </c>
      <c r="C2838" t="s">
        <v>707</v>
      </c>
      <c r="D2838" t="s">
        <v>6826</v>
      </c>
      <c r="E2838">
        <v>2394403013</v>
      </c>
      <c r="F2838" t="s">
        <v>780</v>
      </c>
      <c r="G2838" t="s">
        <v>781</v>
      </c>
      <c r="I2838" t="s">
        <v>20</v>
      </c>
      <c r="J2838" s="13">
        <v>45989</v>
      </c>
      <c r="K2838" s="13">
        <v>46023</v>
      </c>
      <c r="L2838" t="s">
        <v>497</v>
      </c>
      <c r="M2838" t="s">
        <v>56</v>
      </c>
      <c r="N2838">
        <v>72301380</v>
      </c>
    </row>
    <row r="2839" spans="1:14" x14ac:dyDescent="0.25">
      <c r="A2839">
        <v>58474675</v>
      </c>
      <c r="B2839" t="s">
        <v>6827</v>
      </c>
      <c r="C2839" t="s">
        <v>5828</v>
      </c>
      <c r="D2839" t="s">
        <v>6828</v>
      </c>
      <c r="E2839">
        <v>8436289867</v>
      </c>
      <c r="F2839" t="s">
        <v>551</v>
      </c>
      <c r="G2839" t="s">
        <v>552</v>
      </c>
      <c r="I2839" t="s">
        <v>42</v>
      </c>
      <c r="J2839" s="13">
        <v>45989</v>
      </c>
      <c r="K2839" s="13">
        <v>46023</v>
      </c>
      <c r="L2839" t="s">
        <v>533</v>
      </c>
      <c r="M2839" t="s">
        <v>58</v>
      </c>
      <c r="N2839">
        <v>72301433</v>
      </c>
    </row>
    <row r="2840" spans="1:14" x14ac:dyDescent="0.25">
      <c r="A2840">
        <v>58474779</v>
      </c>
      <c r="B2840" t="s">
        <v>2543</v>
      </c>
      <c r="C2840" t="s">
        <v>6829</v>
      </c>
      <c r="D2840" t="s">
        <v>6830</v>
      </c>
      <c r="E2840">
        <v>4806792587</v>
      </c>
      <c r="F2840" t="s">
        <v>462</v>
      </c>
      <c r="G2840" t="s">
        <v>463</v>
      </c>
      <c r="I2840" t="s">
        <v>39</v>
      </c>
      <c r="J2840" s="13">
        <v>45989</v>
      </c>
      <c r="K2840" s="13">
        <v>46023</v>
      </c>
      <c r="L2840" t="s">
        <v>1179</v>
      </c>
      <c r="M2840" t="s">
        <v>54</v>
      </c>
      <c r="N2840">
        <v>72301555</v>
      </c>
    </row>
    <row r="2841" spans="1:14" x14ac:dyDescent="0.25">
      <c r="A2841">
        <v>58474819</v>
      </c>
      <c r="B2841" t="s">
        <v>6831</v>
      </c>
      <c r="C2841" t="s">
        <v>1016</v>
      </c>
      <c r="D2841" t="s">
        <v>6832</v>
      </c>
      <c r="E2841">
        <v>6013194528</v>
      </c>
      <c r="F2841" t="s">
        <v>574</v>
      </c>
      <c r="G2841" t="s">
        <v>575</v>
      </c>
      <c r="I2841" t="s">
        <v>14</v>
      </c>
      <c r="J2841" s="13">
        <v>45989</v>
      </c>
      <c r="K2841" s="13">
        <v>46023</v>
      </c>
      <c r="L2841" t="s">
        <v>553</v>
      </c>
      <c r="M2841" t="s">
        <v>58</v>
      </c>
      <c r="N2841">
        <v>72301582</v>
      </c>
    </row>
    <row r="2842" spans="1:14" x14ac:dyDescent="0.25">
      <c r="A2842">
        <v>58474955</v>
      </c>
      <c r="B2842" t="s">
        <v>3643</v>
      </c>
      <c r="C2842" t="s">
        <v>6833</v>
      </c>
      <c r="D2842" t="s">
        <v>6834</v>
      </c>
      <c r="E2842">
        <v>7192915591</v>
      </c>
      <c r="F2842" t="s">
        <v>798</v>
      </c>
      <c r="G2842" t="s">
        <v>799</v>
      </c>
      <c r="I2842" t="s">
        <v>800</v>
      </c>
      <c r="J2842" s="13">
        <v>45989</v>
      </c>
      <c r="K2842" s="13">
        <v>46023</v>
      </c>
      <c r="L2842" t="s">
        <v>539</v>
      </c>
      <c r="M2842" t="s">
        <v>56</v>
      </c>
      <c r="N2842">
        <v>72301649</v>
      </c>
    </row>
    <row r="2843" spans="1:14" x14ac:dyDescent="0.25">
      <c r="A2843">
        <v>58474983</v>
      </c>
      <c r="B2843" t="s">
        <v>522</v>
      </c>
      <c r="C2843" t="s">
        <v>6835</v>
      </c>
      <c r="D2843" t="s">
        <v>6836</v>
      </c>
      <c r="E2843">
        <v>3147360087</v>
      </c>
      <c r="F2843" t="s">
        <v>1142</v>
      </c>
      <c r="G2843" t="s">
        <v>1143</v>
      </c>
      <c r="I2843" t="s">
        <v>124</v>
      </c>
      <c r="J2843" s="13">
        <v>45989</v>
      </c>
      <c r="K2843" s="13">
        <v>46023</v>
      </c>
      <c r="L2843" t="s">
        <v>434</v>
      </c>
      <c r="M2843" t="s">
        <v>419</v>
      </c>
      <c r="N2843">
        <v>72301671</v>
      </c>
    </row>
    <row r="2844" spans="1:14" x14ac:dyDescent="0.25">
      <c r="A2844">
        <v>58475218</v>
      </c>
      <c r="B2844" t="s">
        <v>2915</v>
      </c>
      <c r="C2844" t="s">
        <v>6837</v>
      </c>
      <c r="D2844" t="s">
        <v>6838</v>
      </c>
      <c r="E2844">
        <v>5618469790</v>
      </c>
      <c r="F2844" t="s">
        <v>775</v>
      </c>
      <c r="G2844" t="s">
        <v>776</v>
      </c>
      <c r="I2844" t="s">
        <v>22</v>
      </c>
      <c r="J2844" s="13">
        <v>45989</v>
      </c>
      <c r="K2844" s="13">
        <v>46023</v>
      </c>
      <c r="L2844" t="s">
        <v>497</v>
      </c>
      <c r="M2844" t="s">
        <v>54</v>
      </c>
      <c r="N2844">
        <v>72301777</v>
      </c>
    </row>
    <row r="2845" spans="1:14" x14ac:dyDescent="0.25">
      <c r="A2845">
        <v>58475287</v>
      </c>
      <c r="B2845" t="s">
        <v>1038</v>
      </c>
      <c r="C2845" t="s">
        <v>581</v>
      </c>
      <c r="D2845" t="s">
        <v>6839</v>
      </c>
      <c r="E2845">
        <v>5206139428</v>
      </c>
      <c r="F2845" t="s">
        <v>615</v>
      </c>
      <c r="G2845" t="s">
        <v>616</v>
      </c>
      <c r="I2845" t="s">
        <v>617</v>
      </c>
      <c r="J2845" s="13">
        <v>45989</v>
      </c>
      <c r="K2845" s="13">
        <v>46023</v>
      </c>
      <c r="L2845" t="s">
        <v>1179</v>
      </c>
      <c r="M2845" t="s">
        <v>58</v>
      </c>
      <c r="N2845">
        <v>72301841</v>
      </c>
    </row>
    <row r="2846" spans="1:14" x14ac:dyDescent="0.25">
      <c r="A2846">
        <v>58475351</v>
      </c>
      <c r="B2846" t="s">
        <v>2421</v>
      </c>
      <c r="C2846" t="s">
        <v>1371</v>
      </c>
      <c r="D2846" t="s">
        <v>6840</v>
      </c>
      <c r="E2846">
        <v>9844849859</v>
      </c>
      <c r="F2846" t="s">
        <v>957</v>
      </c>
      <c r="G2846" t="s">
        <v>958</v>
      </c>
      <c r="H2846" t="s">
        <v>959</v>
      </c>
      <c r="I2846" t="s">
        <v>960</v>
      </c>
      <c r="J2846" s="13">
        <v>45989</v>
      </c>
      <c r="K2846" s="13">
        <v>46023</v>
      </c>
      <c r="L2846" t="s">
        <v>603</v>
      </c>
      <c r="M2846" t="s">
        <v>58</v>
      </c>
      <c r="N2846">
        <v>72301872</v>
      </c>
    </row>
    <row r="2847" spans="1:14" x14ac:dyDescent="0.25">
      <c r="A2847">
        <v>58475486</v>
      </c>
      <c r="B2847" t="s">
        <v>5744</v>
      </c>
      <c r="C2847" t="s">
        <v>6598</v>
      </c>
      <c r="D2847" t="s">
        <v>6841</v>
      </c>
      <c r="E2847">
        <v>7573784552</v>
      </c>
      <c r="F2847" t="s">
        <v>790</v>
      </c>
      <c r="G2847" t="s">
        <v>791</v>
      </c>
      <c r="I2847" t="s">
        <v>119</v>
      </c>
      <c r="J2847" s="13">
        <v>45989</v>
      </c>
      <c r="K2847" s="13">
        <v>46023</v>
      </c>
      <c r="L2847" t="s">
        <v>454</v>
      </c>
      <c r="M2847" t="s">
        <v>58</v>
      </c>
      <c r="N2847">
        <v>72301905</v>
      </c>
    </row>
    <row r="2848" spans="1:14" x14ac:dyDescent="0.25">
      <c r="A2848">
        <v>58475739</v>
      </c>
      <c r="B2848" t="s">
        <v>2392</v>
      </c>
      <c r="C2848" t="s">
        <v>6842</v>
      </c>
      <c r="D2848" t="s">
        <v>6843</v>
      </c>
      <c r="E2848">
        <v>3363839477</v>
      </c>
      <c r="F2848" t="s">
        <v>569</v>
      </c>
      <c r="G2848" t="s">
        <v>570</v>
      </c>
      <c r="I2848" t="s">
        <v>34</v>
      </c>
      <c r="J2848" s="13">
        <v>45989</v>
      </c>
      <c r="K2848" s="13">
        <v>46023</v>
      </c>
      <c r="L2848" t="s">
        <v>450</v>
      </c>
      <c r="M2848" t="s">
        <v>59</v>
      </c>
      <c r="N2848">
        <v>72302096</v>
      </c>
    </row>
    <row r="2849" spans="1:14" x14ac:dyDescent="0.25">
      <c r="A2849">
        <v>58475762</v>
      </c>
      <c r="B2849" t="s">
        <v>6844</v>
      </c>
      <c r="C2849" t="s">
        <v>3480</v>
      </c>
      <c r="D2849" t="s">
        <v>6845</v>
      </c>
      <c r="E2849">
        <v>9289613662</v>
      </c>
      <c r="F2849" t="s">
        <v>574</v>
      </c>
      <c r="G2849" t="s">
        <v>575</v>
      </c>
      <c r="I2849" t="s">
        <v>14</v>
      </c>
      <c r="J2849" s="13">
        <v>45989</v>
      </c>
      <c r="K2849" s="13">
        <v>46023</v>
      </c>
      <c r="L2849" t="s">
        <v>1179</v>
      </c>
      <c r="M2849" t="s">
        <v>56</v>
      </c>
      <c r="N2849">
        <v>72302112</v>
      </c>
    </row>
    <row r="2850" spans="1:14" x14ac:dyDescent="0.25">
      <c r="A2850">
        <v>58475850</v>
      </c>
      <c r="B2850" t="s">
        <v>4523</v>
      </c>
      <c r="C2850" t="s">
        <v>6846</v>
      </c>
      <c r="D2850" t="s">
        <v>6847</v>
      </c>
      <c r="E2850">
        <v>5202727148</v>
      </c>
      <c r="F2850" t="s">
        <v>416</v>
      </c>
      <c r="G2850" t="s">
        <v>417</v>
      </c>
      <c r="I2850" t="s">
        <v>26</v>
      </c>
      <c r="J2850" s="13">
        <v>45989</v>
      </c>
      <c r="K2850" s="13">
        <v>46023</v>
      </c>
      <c r="L2850" t="s">
        <v>1179</v>
      </c>
      <c r="M2850" t="s">
        <v>56</v>
      </c>
      <c r="N2850">
        <v>72302137</v>
      </c>
    </row>
    <row r="2851" spans="1:14" x14ac:dyDescent="0.25">
      <c r="A2851">
        <v>58476007</v>
      </c>
      <c r="B2851" t="s">
        <v>6848</v>
      </c>
      <c r="C2851" t="s">
        <v>6849</v>
      </c>
      <c r="D2851" t="s">
        <v>6850</v>
      </c>
      <c r="E2851">
        <v>5619297756</v>
      </c>
      <c r="F2851" t="s">
        <v>462</v>
      </c>
      <c r="G2851" t="s">
        <v>463</v>
      </c>
      <c r="I2851" t="s">
        <v>39</v>
      </c>
      <c r="J2851" s="13">
        <v>45989</v>
      </c>
      <c r="K2851" s="13">
        <v>46023</v>
      </c>
      <c r="L2851" t="s">
        <v>497</v>
      </c>
      <c r="M2851" t="s">
        <v>56</v>
      </c>
      <c r="N2851">
        <v>72302240</v>
      </c>
    </row>
    <row r="2852" spans="1:14" x14ac:dyDescent="0.25">
      <c r="A2852">
        <v>58476044</v>
      </c>
      <c r="B2852" t="s">
        <v>1228</v>
      </c>
      <c r="C2852" t="s">
        <v>3355</v>
      </c>
      <c r="D2852" t="s">
        <v>6851</v>
      </c>
      <c r="E2852">
        <v>2052033222</v>
      </c>
      <c r="F2852" t="s">
        <v>828</v>
      </c>
      <c r="G2852" t="s">
        <v>1148</v>
      </c>
      <c r="I2852" t="s">
        <v>17</v>
      </c>
      <c r="J2852" s="13">
        <v>45989</v>
      </c>
      <c r="K2852" s="13">
        <v>46023</v>
      </c>
      <c r="L2852" t="s">
        <v>450</v>
      </c>
      <c r="M2852" t="s">
        <v>55</v>
      </c>
      <c r="N2852">
        <v>72302258</v>
      </c>
    </row>
    <row r="2853" spans="1:14" x14ac:dyDescent="0.25">
      <c r="A2853">
        <v>58476095</v>
      </c>
      <c r="B2853" t="s">
        <v>1838</v>
      </c>
      <c r="C2853" t="s">
        <v>1585</v>
      </c>
      <c r="D2853" t="s">
        <v>6852</v>
      </c>
      <c r="E2853">
        <v>6024660177</v>
      </c>
      <c r="F2853" t="s">
        <v>4853</v>
      </c>
      <c r="G2853" t="s">
        <v>5017</v>
      </c>
      <c r="I2853" t="s">
        <v>5018</v>
      </c>
      <c r="J2853" s="13">
        <v>45989</v>
      </c>
      <c r="K2853" s="13">
        <v>46023</v>
      </c>
      <c r="L2853" t="s">
        <v>1179</v>
      </c>
      <c r="M2853" t="s">
        <v>55</v>
      </c>
      <c r="N2853">
        <v>72302302</v>
      </c>
    </row>
    <row r="2854" spans="1:14" x14ac:dyDescent="0.25">
      <c r="A2854">
        <v>58476137</v>
      </c>
      <c r="B2854" t="s">
        <v>748</v>
      </c>
      <c r="C2854" t="s">
        <v>6853</v>
      </c>
      <c r="D2854" t="s">
        <v>6854</v>
      </c>
      <c r="E2854">
        <v>9043296622</v>
      </c>
      <c r="F2854" t="s">
        <v>775</v>
      </c>
      <c r="G2854" t="s">
        <v>776</v>
      </c>
      <c r="I2854" t="s">
        <v>22</v>
      </c>
      <c r="J2854" s="13">
        <v>45989</v>
      </c>
      <c r="K2854" s="13">
        <v>46023</v>
      </c>
      <c r="L2854" t="s">
        <v>497</v>
      </c>
      <c r="M2854" t="s">
        <v>56</v>
      </c>
      <c r="N2854">
        <v>72302328</v>
      </c>
    </row>
    <row r="2855" spans="1:14" x14ac:dyDescent="0.25">
      <c r="A2855">
        <v>58476199</v>
      </c>
      <c r="B2855" t="s">
        <v>6855</v>
      </c>
      <c r="C2855" t="s">
        <v>6856</v>
      </c>
      <c r="D2855" t="s">
        <v>6857</v>
      </c>
      <c r="E2855">
        <v>3864794207</v>
      </c>
      <c r="F2855" t="s">
        <v>1003</v>
      </c>
      <c r="G2855" t="s">
        <v>1004</v>
      </c>
      <c r="I2855" t="s">
        <v>89</v>
      </c>
      <c r="J2855" s="13">
        <v>45989</v>
      </c>
      <c r="K2855" s="13">
        <v>46023</v>
      </c>
      <c r="L2855" t="s">
        <v>497</v>
      </c>
      <c r="M2855" t="s">
        <v>58</v>
      </c>
      <c r="N2855">
        <v>72302360</v>
      </c>
    </row>
    <row r="2856" spans="1:14" x14ac:dyDescent="0.25">
      <c r="A2856">
        <v>58476256</v>
      </c>
      <c r="B2856" t="s">
        <v>476</v>
      </c>
      <c r="C2856" t="s">
        <v>6858</v>
      </c>
      <c r="D2856" t="s">
        <v>6859</v>
      </c>
      <c r="E2856">
        <v>4804677939</v>
      </c>
      <c r="F2856" t="s">
        <v>474</v>
      </c>
      <c r="G2856" t="s">
        <v>475</v>
      </c>
      <c r="I2856" t="s">
        <v>132</v>
      </c>
      <c r="J2856" s="13">
        <v>45989</v>
      </c>
      <c r="K2856" s="13">
        <v>46023</v>
      </c>
      <c r="L2856" t="s">
        <v>1179</v>
      </c>
      <c r="M2856" t="s">
        <v>55</v>
      </c>
      <c r="N2856">
        <v>72302391</v>
      </c>
    </row>
    <row r="2857" spans="1:14" x14ac:dyDescent="0.25">
      <c r="A2857">
        <v>58476713</v>
      </c>
      <c r="B2857" t="s">
        <v>737</v>
      </c>
      <c r="C2857" t="s">
        <v>6860</v>
      </c>
      <c r="D2857" t="s">
        <v>6861</v>
      </c>
      <c r="E2857">
        <v>5205962168</v>
      </c>
      <c r="F2857" t="s">
        <v>1345</v>
      </c>
      <c r="G2857" t="s">
        <v>799</v>
      </c>
      <c r="I2857" t="s">
        <v>47</v>
      </c>
      <c r="J2857" s="13">
        <v>45989</v>
      </c>
      <c r="K2857" s="13">
        <v>46023</v>
      </c>
      <c r="L2857" t="s">
        <v>1179</v>
      </c>
      <c r="M2857" t="s">
        <v>59</v>
      </c>
      <c r="N2857">
        <v>72302712</v>
      </c>
    </row>
    <row r="2858" spans="1:14" x14ac:dyDescent="0.25">
      <c r="A2858">
        <v>59443941</v>
      </c>
      <c r="B2858" t="s">
        <v>6862</v>
      </c>
      <c r="C2858" t="s">
        <v>1435</v>
      </c>
      <c r="D2858" t="s">
        <v>6863</v>
      </c>
      <c r="E2858">
        <v>5204838868</v>
      </c>
      <c r="F2858" t="s">
        <v>775</v>
      </c>
      <c r="G2858" t="s">
        <v>776</v>
      </c>
      <c r="I2858" t="s">
        <v>22</v>
      </c>
      <c r="J2858" s="13">
        <v>46031</v>
      </c>
      <c r="K2858" s="13">
        <v>46054</v>
      </c>
      <c r="L2858" t="s">
        <v>1179</v>
      </c>
      <c r="M2858" t="s">
        <v>54</v>
      </c>
      <c r="N2858">
        <v>72302728</v>
      </c>
    </row>
    <row r="2859" spans="1:14" x14ac:dyDescent="0.25">
      <c r="A2859">
        <v>58476799</v>
      </c>
      <c r="B2859" t="s">
        <v>2752</v>
      </c>
      <c r="C2859" t="s">
        <v>6864</v>
      </c>
      <c r="D2859" t="s">
        <v>6865</v>
      </c>
      <c r="E2859">
        <v>6024889873</v>
      </c>
      <c r="F2859" t="s">
        <v>842</v>
      </c>
      <c r="G2859" t="s">
        <v>1213</v>
      </c>
      <c r="I2859" t="s">
        <v>1214</v>
      </c>
      <c r="J2859" s="13">
        <v>45989</v>
      </c>
      <c r="K2859" s="13">
        <v>46023</v>
      </c>
      <c r="L2859" t="s">
        <v>1179</v>
      </c>
      <c r="M2859" t="s">
        <v>55</v>
      </c>
      <c r="N2859">
        <v>72302762</v>
      </c>
    </row>
    <row r="2860" spans="1:14" x14ac:dyDescent="0.25">
      <c r="A2860">
        <v>58477065</v>
      </c>
      <c r="B2860" t="s">
        <v>2405</v>
      </c>
      <c r="C2860" t="s">
        <v>4364</v>
      </c>
      <c r="D2860" t="s">
        <v>6866</v>
      </c>
      <c r="E2860">
        <v>9544425855</v>
      </c>
      <c r="F2860" t="s">
        <v>416</v>
      </c>
      <c r="G2860" t="s">
        <v>417</v>
      </c>
      <c r="I2860" t="s">
        <v>26</v>
      </c>
      <c r="J2860" s="13">
        <v>45989</v>
      </c>
      <c r="K2860" s="13">
        <v>46023</v>
      </c>
      <c r="L2860" t="s">
        <v>497</v>
      </c>
      <c r="M2860" t="s">
        <v>61</v>
      </c>
      <c r="N2860">
        <v>72303002</v>
      </c>
    </row>
    <row r="2861" spans="1:14" x14ac:dyDescent="0.25">
      <c r="A2861">
        <v>58482006</v>
      </c>
      <c r="B2861" t="s">
        <v>3091</v>
      </c>
      <c r="C2861" t="s">
        <v>6867</v>
      </c>
      <c r="D2861" t="s">
        <v>6868</v>
      </c>
      <c r="E2861">
        <v>9412681000</v>
      </c>
      <c r="F2861" t="s">
        <v>1142</v>
      </c>
      <c r="G2861" t="s">
        <v>1143</v>
      </c>
      <c r="I2861" t="s">
        <v>124</v>
      </c>
      <c r="J2861" s="13">
        <v>45990</v>
      </c>
      <c r="K2861" s="13">
        <v>46023</v>
      </c>
      <c r="L2861" t="s">
        <v>497</v>
      </c>
      <c r="M2861" t="s">
        <v>56</v>
      </c>
      <c r="N2861">
        <v>72307220</v>
      </c>
    </row>
    <row r="2862" spans="1:14" x14ac:dyDescent="0.25">
      <c r="A2862">
        <v>58482134</v>
      </c>
      <c r="B2862" t="s">
        <v>6222</v>
      </c>
      <c r="C2862" t="s">
        <v>6869</v>
      </c>
      <c r="D2862" t="s">
        <v>6870</v>
      </c>
      <c r="E2862">
        <v>4799748302</v>
      </c>
      <c r="F2862" t="s">
        <v>574</v>
      </c>
      <c r="G2862" t="s">
        <v>575</v>
      </c>
      <c r="I2862" t="s">
        <v>14</v>
      </c>
      <c r="J2862" s="13">
        <v>45990</v>
      </c>
      <c r="K2862" s="13">
        <v>46023</v>
      </c>
      <c r="L2862" t="s">
        <v>553</v>
      </c>
      <c r="M2862" t="s">
        <v>60</v>
      </c>
      <c r="N2862">
        <v>72307328</v>
      </c>
    </row>
    <row r="2863" spans="1:14" x14ac:dyDescent="0.25">
      <c r="A2863">
        <v>58482403</v>
      </c>
      <c r="B2863" t="s">
        <v>1167</v>
      </c>
      <c r="C2863" t="s">
        <v>6871</v>
      </c>
      <c r="D2863" t="s">
        <v>6872</v>
      </c>
      <c r="E2863">
        <v>8503211032</v>
      </c>
      <c r="F2863" t="s">
        <v>815</v>
      </c>
      <c r="G2863" t="s">
        <v>816</v>
      </c>
      <c r="I2863" t="s">
        <v>23</v>
      </c>
      <c r="J2863" s="13">
        <v>45990</v>
      </c>
      <c r="K2863" s="13">
        <v>46023</v>
      </c>
      <c r="L2863" t="s">
        <v>497</v>
      </c>
      <c r="M2863" t="s">
        <v>59</v>
      </c>
      <c r="N2863">
        <v>72307542</v>
      </c>
    </row>
    <row r="2864" spans="1:14" x14ac:dyDescent="0.25">
      <c r="A2864">
        <v>58483437</v>
      </c>
      <c r="B2864" t="s">
        <v>6873</v>
      </c>
      <c r="C2864" t="s">
        <v>6874</v>
      </c>
      <c r="D2864" t="s">
        <v>6875</v>
      </c>
      <c r="E2864">
        <v>2399386160</v>
      </c>
      <c r="F2864" t="s">
        <v>551</v>
      </c>
      <c r="G2864" t="s">
        <v>552</v>
      </c>
      <c r="I2864" t="s">
        <v>42</v>
      </c>
      <c r="J2864" s="13">
        <v>45990</v>
      </c>
      <c r="K2864" s="13">
        <v>46023</v>
      </c>
      <c r="L2864" t="s">
        <v>497</v>
      </c>
      <c r="M2864" t="s">
        <v>55</v>
      </c>
      <c r="N2864">
        <v>72308257</v>
      </c>
    </row>
    <row r="2865" spans="1:14" x14ac:dyDescent="0.25">
      <c r="A2865">
        <v>58484083</v>
      </c>
      <c r="B2865" t="s">
        <v>6876</v>
      </c>
      <c r="C2865" t="s">
        <v>6877</v>
      </c>
      <c r="D2865" t="s">
        <v>6878</v>
      </c>
      <c r="E2865">
        <v>6814107474</v>
      </c>
      <c r="F2865" t="s">
        <v>569</v>
      </c>
      <c r="G2865" t="s">
        <v>570</v>
      </c>
      <c r="I2865" t="s">
        <v>34</v>
      </c>
      <c r="J2865" s="13">
        <v>45990</v>
      </c>
      <c r="K2865" s="13">
        <v>46023</v>
      </c>
      <c r="L2865" t="s">
        <v>1188</v>
      </c>
      <c r="M2865" t="s">
        <v>56</v>
      </c>
      <c r="N2865">
        <v>72308742</v>
      </c>
    </row>
    <row r="2866" spans="1:14" x14ac:dyDescent="0.25">
      <c r="A2866">
        <v>58484207</v>
      </c>
      <c r="B2866" t="s">
        <v>1643</v>
      </c>
      <c r="C2866" t="s">
        <v>6879</v>
      </c>
      <c r="D2866" t="s">
        <v>6880</v>
      </c>
      <c r="E2866">
        <v>7734122342</v>
      </c>
      <c r="F2866" t="s">
        <v>574</v>
      </c>
      <c r="G2866" t="s">
        <v>575</v>
      </c>
      <c r="I2866" t="s">
        <v>14</v>
      </c>
      <c r="J2866" s="13">
        <v>45990</v>
      </c>
      <c r="K2866" s="13">
        <v>46023</v>
      </c>
      <c r="L2866" t="s">
        <v>470</v>
      </c>
      <c r="M2866" t="s">
        <v>56</v>
      </c>
      <c r="N2866">
        <v>72308825</v>
      </c>
    </row>
    <row r="2867" spans="1:14" x14ac:dyDescent="0.25">
      <c r="A2867">
        <v>58485106</v>
      </c>
      <c r="B2867" t="s">
        <v>6881</v>
      </c>
      <c r="C2867" t="s">
        <v>4113</v>
      </c>
      <c r="D2867" t="s">
        <v>6882</v>
      </c>
      <c r="E2867">
        <v>4073107750</v>
      </c>
      <c r="F2867" t="s">
        <v>1142</v>
      </c>
      <c r="G2867" t="s">
        <v>1143</v>
      </c>
      <c r="I2867" t="s">
        <v>124</v>
      </c>
      <c r="J2867" s="13">
        <v>45990</v>
      </c>
      <c r="K2867" s="13">
        <v>46023</v>
      </c>
      <c r="L2867" t="s">
        <v>497</v>
      </c>
      <c r="M2867" t="s">
        <v>59</v>
      </c>
      <c r="N2867">
        <v>72309534</v>
      </c>
    </row>
    <row r="2868" spans="1:14" x14ac:dyDescent="0.25">
      <c r="A2868">
        <v>58485362</v>
      </c>
      <c r="B2868" t="s">
        <v>4039</v>
      </c>
      <c r="C2868" t="s">
        <v>6883</v>
      </c>
      <c r="D2868" t="s">
        <v>6884</v>
      </c>
      <c r="E2868">
        <v>5205640663</v>
      </c>
      <c r="F2868" t="s">
        <v>1345</v>
      </c>
      <c r="G2868" t="s">
        <v>799</v>
      </c>
      <c r="I2868" t="s">
        <v>47</v>
      </c>
      <c r="J2868" s="13">
        <v>45990</v>
      </c>
      <c r="K2868" s="13">
        <v>46023</v>
      </c>
      <c r="L2868" t="s">
        <v>1179</v>
      </c>
      <c r="M2868" t="s">
        <v>59</v>
      </c>
      <c r="N2868">
        <v>72309732</v>
      </c>
    </row>
    <row r="2869" spans="1:14" x14ac:dyDescent="0.25">
      <c r="A2869">
        <v>58486810</v>
      </c>
      <c r="B2869" t="s">
        <v>1856</v>
      </c>
      <c r="C2869" t="s">
        <v>6885</v>
      </c>
      <c r="D2869" t="s">
        <v>6886</v>
      </c>
      <c r="E2869">
        <v>5616481350</v>
      </c>
      <c r="F2869" t="s">
        <v>416</v>
      </c>
      <c r="G2869" t="s">
        <v>417</v>
      </c>
      <c r="I2869" t="s">
        <v>26</v>
      </c>
      <c r="J2869" s="13">
        <v>45990</v>
      </c>
      <c r="K2869" s="13">
        <v>46023</v>
      </c>
      <c r="L2869" t="s">
        <v>497</v>
      </c>
      <c r="M2869" t="s">
        <v>56</v>
      </c>
      <c r="N2869">
        <v>72310799</v>
      </c>
    </row>
    <row r="2870" spans="1:14" x14ac:dyDescent="0.25">
      <c r="A2870">
        <v>58487517</v>
      </c>
      <c r="B2870" t="s">
        <v>1973</v>
      </c>
      <c r="C2870" t="s">
        <v>2544</v>
      </c>
      <c r="D2870" t="s">
        <v>6887</v>
      </c>
      <c r="E2870">
        <v>3147328188</v>
      </c>
      <c r="F2870" t="s">
        <v>815</v>
      </c>
      <c r="G2870" t="s">
        <v>816</v>
      </c>
      <c r="I2870" t="s">
        <v>23</v>
      </c>
      <c r="J2870" s="13">
        <v>45990</v>
      </c>
      <c r="K2870" s="13">
        <v>46023</v>
      </c>
      <c r="L2870" t="s">
        <v>434</v>
      </c>
      <c r="M2870" t="s">
        <v>56</v>
      </c>
      <c r="N2870">
        <v>72311314</v>
      </c>
    </row>
    <row r="2871" spans="1:14" x14ac:dyDescent="0.25">
      <c r="A2871">
        <v>58488949</v>
      </c>
      <c r="B2871" t="s">
        <v>6888</v>
      </c>
      <c r="C2871" t="s">
        <v>6889</v>
      </c>
      <c r="D2871" t="s">
        <v>6890</v>
      </c>
      <c r="E2871">
        <v>5202798875</v>
      </c>
      <c r="F2871" t="s">
        <v>1142</v>
      </c>
      <c r="G2871" t="s">
        <v>1143</v>
      </c>
      <c r="I2871" t="s">
        <v>124</v>
      </c>
      <c r="J2871" s="13">
        <v>45990</v>
      </c>
      <c r="K2871" s="13">
        <v>46023</v>
      </c>
      <c r="L2871" t="s">
        <v>1179</v>
      </c>
      <c r="M2871" t="s">
        <v>59</v>
      </c>
      <c r="N2871">
        <v>72312391</v>
      </c>
    </row>
    <row r="2872" spans="1:14" x14ac:dyDescent="0.25">
      <c r="A2872">
        <v>58489001</v>
      </c>
      <c r="B2872" t="s">
        <v>5588</v>
      </c>
      <c r="C2872" t="s">
        <v>766</v>
      </c>
      <c r="D2872" t="s">
        <v>6891</v>
      </c>
      <c r="E2872">
        <v>5619474964</v>
      </c>
      <c r="F2872" t="s">
        <v>416</v>
      </c>
      <c r="G2872" t="s">
        <v>417</v>
      </c>
      <c r="I2872" t="s">
        <v>26</v>
      </c>
      <c r="J2872" s="13">
        <v>45990</v>
      </c>
      <c r="K2872" s="13">
        <v>46023</v>
      </c>
      <c r="L2872" t="s">
        <v>497</v>
      </c>
      <c r="M2872" t="s">
        <v>56</v>
      </c>
      <c r="N2872">
        <v>72312406</v>
      </c>
    </row>
    <row r="2873" spans="1:14" x14ac:dyDescent="0.25">
      <c r="A2873">
        <v>58490761</v>
      </c>
      <c r="B2873" t="s">
        <v>4374</v>
      </c>
      <c r="C2873" t="s">
        <v>6892</v>
      </c>
      <c r="D2873" t="s">
        <v>6893</v>
      </c>
      <c r="E2873">
        <v>4046044238</v>
      </c>
      <c r="F2873" t="s">
        <v>790</v>
      </c>
      <c r="G2873" t="s">
        <v>791</v>
      </c>
      <c r="I2873" t="s">
        <v>119</v>
      </c>
      <c r="J2873" s="13">
        <v>45991</v>
      </c>
      <c r="K2873" s="13">
        <v>46023</v>
      </c>
      <c r="L2873" t="s">
        <v>621</v>
      </c>
      <c r="M2873" t="s">
        <v>56</v>
      </c>
      <c r="N2873">
        <v>72313505</v>
      </c>
    </row>
    <row r="2874" spans="1:14" x14ac:dyDescent="0.25">
      <c r="A2874">
        <v>58490853</v>
      </c>
      <c r="B2874" t="s">
        <v>1399</v>
      </c>
      <c r="C2874" t="s">
        <v>6894</v>
      </c>
      <c r="D2874" t="s">
        <v>6895</v>
      </c>
      <c r="E2874" t="s">
        <v>6896</v>
      </c>
      <c r="F2874" t="s">
        <v>474</v>
      </c>
      <c r="G2874" t="s">
        <v>475</v>
      </c>
      <c r="I2874" t="s">
        <v>132</v>
      </c>
      <c r="J2874" s="13">
        <v>45991</v>
      </c>
      <c r="K2874" s="13">
        <v>46023</v>
      </c>
      <c r="L2874" t="s">
        <v>612</v>
      </c>
      <c r="M2874" t="s">
        <v>59</v>
      </c>
      <c r="N2874">
        <v>72313548</v>
      </c>
    </row>
    <row r="2875" spans="1:14" x14ac:dyDescent="0.25">
      <c r="A2875">
        <v>58490878</v>
      </c>
      <c r="B2875" t="s">
        <v>2185</v>
      </c>
      <c r="C2875" t="s">
        <v>515</v>
      </c>
      <c r="D2875" t="s">
        <v>6897</v>
      </c>
      <c r="E2875">
        <v>2253377669</v>
      </c>
      <c r="F2875" t="s">
        <v>1142</v>
      </c>
      <c r="G2875" t="s">
        <v>1143</v>
      </c>
      <c r="I2875" t="s">
        <v>124</v>
      </c>
      <c r="J2875" s="13">
        <v>45991</v>
      </c>
      <c r="K2875" s="13">
        <v>46023</v>
      </c>
      <c r="L2875" t="s">
        <v>612</v>
      </c>
      <c r="M2875" t="s">
        <v>56</v>
      </c>
      <c r="N2875">
        <v>72313556</v>
      </c>
    </row>
    <row r="2876" spans="1:14" x14ac:dyDescent="0.25">
      <c r="A2876">
        <v>58490889</v>
      </c>
      <c r="B2876" t="s">
        <v>2360</v>
      </c>
      <c r="C2876" t="s">
        <v>6898</v>
      </c>
      <c r="D2876" t="s">
        <v>6899</v>
      </c>
      <c r="E2876">
        <v>2245775832</v>
      </c>
      <c r="F2876" t="s">
        <v>649</v>
      </c>
      <c r="G2876" t="s">
        <v>650</v>
      </c>
      <c r="I2876" t="s">
        <v>28</v>
      </c>
      <c r="J2876" s="13">
        <v>45991</v>
      </c>
      <c r="K2876" s="13">
        <v>46023</v>
      </c>
      <c r="L2876" t="s">
        <v>470</v>
      </c>
      <c r="M2876" t="s">
        <v>59</v>
      </c>
      <c r="N2876">
        <v>72313558</v>
      </c>
    </row>
    <row r="2877" spans="1:14" x14ac:dyDescent="0.25">
      <c r="A2877">
        <v>58491023</v>
      </c>
      <c r="B2877" t="s">
        <v>6900</v>
      </c>
      <c r="C2877" t="s">
        <v>537</v>
      </c>
      <c r="D2877" t="s">
        <v>6901</v>
      </c>
      <c r="E2877">
        <v>2052372391</v>
      </c>
      <c r="F2877" t="s">
        <v>448</v>
      </c>
      <c r="G2877" t="s">
        <v>449</v>
      </c>
      <c r="I2877" t="s">
        <v>31</v>
      </c>
      <c r="J2877" s="13">
        <v>45991</v>
      </c>
      <c r="K2877" s="13">
        <v>46023</v>
      </c>
      <c r="L2877" t="s">
        <v>450</v>
      </c>
      <c r="M2877" t="s">
        <v>59</v>
      </c>
      <c r="N2877">
        <v>72313589</v>
      </c>
    </row>
    <row r="2878" spans="1:14" x14ac:dyDescent="0.25">
      <c r="A2878">
        <v>58491144</v>
      </c>
      <c r="B2878" t="s">
        <v>6902</v>
      </c>
      <c r="C2878" t="s">
        <v>1950</v>
      </c>
      <c r="D2878" t="s">
        <v>6903</v>
      </c>
      <c r="E2878">
        <v>9192621919</v>
      </c>
      <c r="F2878" t="s">
        <v>957</v>
      </c>
      <c r="G2878" t="s">
        <v>958</v>
      </c>
      <c r="H2878" t="s">
        <v>959</v>
      </c>
      <c r="I2878" t="s">
        <v>960</v>
      </c>
      <c r="J2878" s="13">
        <v>45991</v>
      </c>
      <c r="K2878" s="13">
        <v>46023</v>
      </c>
      <c r="L2878" t="s">
        <v>603</v>
      </c>
      <c r="M2878" t="s">
        <v>58</v>
      </c>
      <c r="N2878">
        <v>72313618</v>
      </c>
    </row>
    <row r="2879" spans="1:14" x14ac:dyDescent="0.25">
      <c r="A2879">
        <v>58491120</v>
      </c>
      <c r="B2879" t="s">
        <v>1888</v>
      </c>
      <c r="C2879" t="s">
        <v>6904</v>
      </c>
      <c r="D2879" t="s">
        <v>6905</v>
      </c>
      <c r="E2879">
        <v>5129875608</v>
      </c>
      <c r="F2879" t="s">
        <v>474</v>
      </c>
      <c r="G2879" t="s">
        <v>475</v>
      </c>
      <c r="I2879" t="s">
        <v>132</v>
      </c>
      <c r="J2879" s="13">
        <v>45991</v>
      </c>
      <c r="K2879" s="13">
        <v>46023</v>
      </c>
      <c r="L2879" t="s">
        <v>444</v>
      </c>
      <c r="M2879" t="s">
        <v>56</v>
      </c>
      <c r="N2879">
        <v>72313620</v>
      </c>
    </row>
    <row r="2880" spans="1:14" x14ac:dyDescent="0.25">
      <c r="A2880">
        <v>58491204</v>
      </c>
      <c r="B2880" t="s">
        <v>2833</v>
      </c>
      <c r="C2880" t="s">
        <v>5126</v>
      </c>
      <c r="D2880" t="s">
        <v>6906</v>
      </c>
      <c r="E2880">
        <v>9856624491</v>
      </c>
      <c r="F2880" t="s">
        <v>578</v>
      </c>
      <c r="G2880" t="s">
        <v>579</v>
      </c>
      <c r="I2880" t="s">
        <v>15</v>
      </c>
      <c r="J2880" s="13">
        <v>45991</v>
      </c>
      <c r="K2880" s="13">
        <v>46023</v>
      </c>
      <c r="L2880" t="s">
        <v>612</v>
      </c>
      <c r="M2880" t="s">
        <v>61</v>
      </c>
      <c r="N2880">
        <v>72313652</v>
      </c>
    </row>
    <row r="2881" spans="1:14" x14ac:dyDescent="0.25">
      <c r="A2881">
        <v>58491399</v>
      </c>
      <c r="B2881" t="s">
        <v>6907</v>
      </c>
      <c r="C2881" t="s">
        <v>654</v>
      </c>
      <c r="D2881" t="s">
        <v>6908</v>
      </c>
      <c r="E2881">
        <v>6063311554</v>
      </c>
      <c r="F2881" t="s">
        <v>815</v>
      </c>
      <c r="G2881" t="s">
        <v>816</v>
      </c>
      <c r="I2881" t="s">
        <v>23</v>
      </c>
      <c r="J2881" s="13">
        <v>45991</v>
      </c>
      <c r="K2881" s="13">
        <v>46023</v>
      </c>
      <c r="L2881" t="s">
        <v>490</v>
      </c>
      <c r="M2881" t="s">
        <v>56</v>
      </c>
      <c r="N2881">
        <v>72313783</v>
      </c>
    </row>
    <row r="2882" spans="1:14" x14ac:dyDescent="0.25">
      <c r="A2882">
        <v>58491534</v>
      </c>
      <c r="B2882" t="s">
        <v>3979</v>
      </c>
      <c r="C2882" t="s">
        <v>6909</v>
      </c>
      <c r="D2882" t="s">
        <v>6910</v>
      </c>
      <c r="E2882">
        <v>2107247714</v>
      </c>
      <c r="F2882" t="s">
        <v>1142</v>
      </c>
      <c r="G2882" t="s">
        <v>1143</v>
      </c>
      <c r="I2882" t="s">
        <v>124</v>
      </c>
      <c r="J2882" s="13">
        <v>45991</v>
      </c>
      <c r="K2882" s="13">
        <v>46023</v>
      </c>
      <c r="L2882" t="s">
        <v>444</v>
      </c>
      <c r="M2882" t="s">
        <v>56</v>
      </c>
      <c r="N2882">
        <v>72313877</v>
      </c>
    </row>
    <row r="2883" spans="1:14" x14ac:dyDescent="0.25">
      <c r="A2883">
        <v>58491570</v>
      </c>
      <c r="B2883" t="s">
        <v>524</v>
      </c>
      <c r="C2883" t="s">
        <v>6911</v>
      </c>
      <c r="D2883" t="s">
        <v>6912</v>
      </c>
      <c r="E2883">
        <v>8643130882</v>
      </c>
      <c r="F2883" t="s">
        <v>474</v>
      </c>
      <c r="G2883" t="s">
        <v>475</v>
      </c>
      <c r="I2883" t="s">
        <v>132</v>
      </c>
      <c r="J2883" s="13">
        <v>45991</v>
      </c>
      <c r="K2883" s="13">
        <v>46023</v>
      </c>
      <c r="L2883" t="s">
        <v>533</v>
      </c>
      <c r="M2883" t="s">
        <v>59</v>
      </c>
      <c r="N2883">
        <v>72313909</v>
      </c>
    </row>
    <row r="2884" spans="1:14" x14ac:dyDescent="0.25">
      <c r="A2884">
        <v>58491663</v>
      </c>
      <c r="B2884" t="s">
        <v>3792</v>
      </c>
      <c r="C2884" t="s">
        <v>1292</v>
      </c>
      <c r="D2884" t="s">
        <v>6913</v>
      </c>
      <c r="E2884">
        <v>8634491447</v>
      </c>
      <c r="F2884" t="s">
        <v>416</v>
      </c>
      <c r="G2884" t="s">
        <v>417</v>
      </c>
      <c r="I2884" t="s">
        <v>26</v>
      </c>
      <c r="J2884" s="13">
        <v>45991</v>
      </c>
      <c r="K2884" s="13">
        <v>46023</v>
      </c>
      <c r="L2884" t="s">
        <v>497</v>
      </c>
      <c r="M2884" t="s">
        <v>56</v>
      </c>
      <c r="N2884">
        <v>72313983</v>
      </c>
    </row>
    <row r="2885" spans="1:14" x14ac:dyDescent="0.25">
      <c r="A2885">
        <v>58491770</v>
      </c>
      <c r="B2885" t="s">
        <v>1167</v>
      </c>
      <c r="C2885" t="s">
        <v>4853</v>
      </c>
      <c r="D2885" t="s">
        <v>6914</v>
      </c>
      <c r="E2885" t="s">
        <v>6915</v>
      </c>
      <c r="F2885" t="s">
        <v>775</v>
      </c>
      <c r="G2885" t="s">
        <v>776</v>
      </c>
      <c r="I2885" t="s">
        <v>22</v>
      </c>
      <c r="J2885" s="13">
        <v>45991</v>
      </c>
      <c r="K2885" s="13">
        <v>46023</v>
      </c>
      <c r="L2885" t="s">
        <v>450</v>
      </c>
      <c r="M2885" t="s">
        <v>58</v>
      </c>
      <c r="N2885">
        <v>72314050</v>
      </c>
    </row>
    <row r="2886" spans="1:14" x14ac:dyDescent="0.25">
      <c r="A2886">
        <v>58492823</v>
      </c>
      <c r="B2886" t="s">
        <v>672</v>
      </c>
      <c r="C2886" t="s">
        <v>1287</v>
      </c>
      <c r="D2886" t="s">
        <v>6916</v>
      </c>
      <c r="E2886">
        <v>5013097329</v>
      </c>
      <c r="F2886" t="s">
        <v>775</v>
      </c>
      <c r="G2886" t="s">
        <v>776</v>
      </c>
      <c r="I2886" t="s">
        <v>22</v>
      </c>
      <c r="J2886" s="13">
        <v>45991</v>
      </c>
      <c r="K2886" s="13">
        <v>46023</v>
      </c>
      <c r="L2886" t="s">
        <v>553</v>
      </c>
      <c r="M2886" t="s">
        <v>56</v>
      </c>
      <c r="N2886">
        <v>72314801</v>
      </c>
    </row>
    <row r="2887" spans="1:14" x14ac:dyDescent="0.25">
      <c r="A2887">
        <v>58492910</v>
      </c>
      <c r="B2887" t="s">
        <v>737</v>
      </c>
      <c r="C2887" t="s">
        <v>6081</v>
      </c>
      <c r="D2887" t="s">
        <v>6917</v>
      </c>
      <c r="E2887">
        <v>4692541161</v>
      </c>
      <c r="F2887" t="s">
        <v>416</v>
      </c>
      <c r="G2887" t="s">
        <v>417</v>
      </c>
      <c r="I2887" t="s">
        <v>26</v>
      </c>
      <c r="J2887" s="13">
        <v>45991</v>
      </c>
      <c r="K2887" s="13">
        <v>46023</v>
      </c>
      <c r="L2887" t="s">
        <v>444</v>
      </c>
      <c r="M2887" t="s">
        <v>58</v>
      </c>
      <c r="N2887">
        <v>72314864</v>
      </c>
    </row>
    <row r="2888" spans="1:14" x14ac:dyDescent="0.25">
      <c r="A2888">
        <v>58493263</v>
      </c>
      <c r="B2888" t="s">
        <v>6918</v>
      </c>
      <c r="C2888" t="s">
        <v>6919</v>
      </c>
      <c r="D2888" t="s">
        <v>6920</v>
      </c>
      <c r="E2888" t="s">
        <v>6921</v>
      </c>
      <c r="F2888" t="s">
        <v>1142</v>
      </c>
      <c r="G2888" t="s">
        <v>1143</v>
      </c>
      <c r="I2888" t="s">
        <v>124</v>
      </c>
      <c r="J2888" s="13">
        <v>45991</v>
      </c>
      <c r="K2888" s="13">
        <v>46023</v>
      </c>
      <c r="L2888" t="s">
        <v>444</v>
      </c>
      <c r="M2888" t="s">
        <v>59</v>
      </c>
      <c r="N2888">
        <v>72315099</v>
      </c>
    </row>
    <row r="2889" spans="1:14" x14ac:dyDescent="0.25">
      <c r="A2889">
        <v>58497601</v>
      </c>
      <c r="B2889" t="s">
        <v>2600</v>
      </c>
      <c r="C2889" t="s">
        <v>6922</v>
      </c>
      <c r="D2889" t="s">
        <v>6923</v>
      </c>
      <c r="E2889">
        <v>4073534661</v>
      </c>
      <c r="F2889" t="s">
        <v>423</v>
      </c>
      <c r="G2889" t="s">
        <v>424</v>
      </c>
      <c r="I2889" t="s">
        <v>46</v>
      </c>
      <c r="J2889" s="13">
        <v>45992</v>
      </c>
      <c r="K2889" s="13">
        <v>46023</v>
      </c>
      <c r="L2889" t="s">
        <v>497</v>
      </c>
      <c r="M2889" t="s">
        <v>56</v>
      </c>
      <c r="N2889">
        <v>72318057</v>
      </c>
    </row>
    <row r="2890" spans="1:14" x14ac:dyDescent="0.25">
      <c r="A2890">
        <v>58497463</v>
      </c>
      <c r="B2890" t="s">
        <v>2019</v>
      </c>
      <c r="C2890" t="s">
        <v>1435</v>
      </c>
      <c r="D2890" t="s">
        <v>6924</v>
      </c>
      <c r="E2890">
        <v>8707061443</v>
      </c>
      <c r="F2890" t="s">
        <v>448</v>
      </c>
      <c r="G2890" t="s">
        <v>449</v>
      </c>
      <c r="I2890" t="s">
        <v>31</v>
      </c>
      <c r="J2890" s="13">
        <v>45992</v>
      </c>
      <c r="K2890" s="13">
        <v>46023</v>
      </c>
      <c r="L2890" t="s">
        <v>553</v>
      </c>
      <c r="M2890" t="s">
        <v>56</v>
      </c>
      <c r="N2890">
        <v>72318124</v>
      </c>
    </row>
    <row r="2891" spans="1:14" x14ac:dyDescent="0.25">
      <c r="A2891">
        <v>58497682</v>
      </c>
      <c r="B2891" t="s">
        <v>1041</v>
      </c>
      <c r="C2891" t="s">
        <v>2709</v>
      </c>
      <c r="D2891" t="s">
        <v>6925</v>
      </c>
      <c r="E2891">
        <v>5409649291</v>
      </c>
      <c r="F2891" t="s">
        <v>957</v>
      </c>
      <c r="G2891" t="s">
        <v>958</v>
      </c>
      <c r="H2891" t="s">
        <v>959</v>
      </c>
      <c r="I2891" t="s">
        <v>960</v>
      </c>
      <c r="J2891" s="13">
        <v>45992</v>
      </c>
      <c r="K2891" s="13">
        <v>46023</v>
      </c>
      <c r="L2891" t="s">
        <v>1188</v>
      </c>
      <c r="M2891" t="s">
        <v>56</v>
      </c>
      <c r="N2891">
        <v>72318247</v>
      </c>
    </row>
    <row r="2892" spans="1:14" x14ac:dyDescent="0.25">
      <c r="A2892">
        <v>58498268</v>
      </c>
      <c r="B2892" t="s">
        <v>6926</v>
      </c>
      <c r="C2892" t="s">
        <v>6927</v>
      </c>
      <c r="D2892" t="s">
        <v>6928</v>
      </c>
      <c r="E2892">
        <v>8136293253</v>
      </c>
      <c r="F2892" t="s">
        <v>1345</v>
      </c>
      <c r="G2892" t="s">
        <v>799</v>
      </c>
      <c r="I2892" t="s">
        <v>47</v>
      </c>
      <c r="J2892" s="13">
        <v>45992</v>
      </c>
      <c r="K2892" s="13">
        <v>46023</v>
      </c>
      <c r="L2892" t="s">
        <v>497</v>
      </c>
      <c r="M2892" t="s">
        <v>56</v>
      </c>
      <c r="N2892">
        <v>72318664</v>
      </c>
    </row>
    <row r="2893" spans="1:14" x14ac:dyDescent="0.25">
      <c r="A2893">
        <v>58498372</v>
      </c>
      <c r="B2893" t="s">
        <v>2920</v>
      </c>
      <c r="C2893" t="s">
        <v>6929</v>
      </c>
      <c r="D2893" t="s">
        <v>6930</v>
      </c>
      <c r="E2893">
        <v>8639341604</v>
      </c>
      <c r="F2893" t="s">
        <v>928</v>
      </c>
      <c r="G2893" t="s">
        <v>929</v>
      </c>
      <c r="I2893" t="s">
        <v>30</v>
      </c>
      <c r="J2893" s="13">
        <v>45992</v>
      </c>
      <c r="K2893" s="13">
        <v>46023</v>
      </c>
      <c r="L2893" t="s">
        <v>497</v>
      </c>
      <c r="M2893" t="s">
        <v>58</v>
      </c>
      <c r="N2893">
        <v>72318743</v>
      </c>
    </row>
    <row r="2894" spans="1:14" x14ac:dyDescent="0.25">
      <c r="A2894">
        <v>58498669</v>
      </c>
      <c r="B2894" t="s">
        <v>1406</v>
      </c>
      <c r="C2894" t="s">
        <v>6931</v>
      </c>
      <c r="D2894" t="s">
        <v>6932</v>
      </c>
      <c r="E2894">
        <v>8048947802</v>
      </c>
      <c r="F2894" t="s">
        <v>551</v>
      </c>
      <c r="G2894" t="s">
        <v>552</v>
      </c>
      <c r="I2894" t="s">
        <v>42</v>
      </c>
      <c r="J2894" s="13">
        <v>45992</v>
      </c>
      <c r="K2894" s="13">
        <v>46023</v>
      </c>
      <c r="L2894" t="s">
        <v>454</v>
      </c>
      <c r="M2894" t="s">
        <v>58</v>
      </c>
      <c r="N2894">
        <v>72318894</v>
      </c>
    </row>
    <row r="2895" spans="1:14" x14ac:dyDescent="0.25">
      <c r="A2895">
        <v>58498979</v>
      </c>
      <c r="B2895" t="s">
        <v>3335</v>
      </c>
      <c r="C2895" t="s">
        <v>1053</v>
      </c>
      <c r="D2895" t="s">
        <v>6933</v>
      </c>
      <c r="E2895" t="s">
        <v>6339</v>
      </c>
      <c r="F2895" t="s">
        <v>569</v>
      </c>
      <c r="G2895" t="s">
        <v>570</v>
      </c>
      <c r="I2895" t="s">
        <v>34</v>
      </c>
      <c r="J2895" s="13">
        <v>45992</v>
      </c>
      <c r="K2895" s="13">
        <v>46082</v>
      </c>
      <c r="L2895" t="s">
        <v>479</v>
      </c>
      <c r="M2895" t="s">
        <v>419</v>
      </c>
      <c r="N2895">
        <v>72319170</v>
      </c>
    </row>
    <row r="2896" spans="1:14" x14ac:dyDescent="0.25">
      <c r="A2896">
        <v>59266313</v>
      </c>
      <c r="B2896" t="s">
        <v>1208</v>
      </c>
      <c r="C2896" t="s">
        <v>6934</v>
      </c>
      <c r="D2896" t="s">
        <v>6935</v>
      </c>
      <c r="E2896">
        <v>6823404018</v>
      </c>
      <c r="F2896" t="s">
        <v>649</v>
      </c>
      <c r="G2896" t="s">
        <v>650</v>
      </c>
      <c r="I2896" t="s">
        <v>28</v>
      </c>
      <c r="J2896" s="13">
        <v>46027</v>
      </c>
      <c r="K2896" s="13">
        <v>46054</v>
      </c>
      <c r="L2896" t="s">
        <v>444</v>
      </c>
      <c r="M2896" t="s">
        <v>56</v>
      </c>
      <c r="N2896">
        <v>72319589</v>
      </c>
    </row>
    <row r="2897" spans="1:14" x14ac:dyDescent="0.25">
      <c r="A2897">
        <v>58500274</v>
      </c>
      <c r="B2897" t="s">
        <v>4607</v>
      </c>
      <c r="C2897" t="s">
        <v>6936</v>
      </c>
      <c r="D2897" t="s">
        <v>6937</v>
      </c>
      <c r="E2897">
        <v>7579404128</v>
      </c>
      <c r="F2897" t="s">
        <v>842</v>
      </c>
      <c r="G2897" t="s">
        <v>843</v>
      </c>
      <c r="I2897" t="s">
        <v>98</v>
      </c>
      <c r="J2897" s="13">
        <v>45992</v>
      </c>
      <c r="K2897" s="13">
        <v>46023</v>
      </c>
      <c r="L2897" t="s">
        <v>454</v>
      </c>
      <c r="M2897" t="s">
        <v>56</v>
      </c>
      <c r="N2897">
        <v>72319890</v>
      </c>
    </row>
    <row r="2898" spans="1:14" x14ac:dyDescent="0.25">
      <c r="A2898">
        <v>58501076</v>
      </c>
      <c r="B2898" t="s">
        <v>5963</v>
      </c>
      <c r="C2898" t="s">
        <v>5846</v>
      </c>
      <c r="D2898" t="s">
        <v>5964</v>
      </c>
      <c r="E2898" t="s">
        <v>6938</v>
      </c>
      <c r="F2898" t="s">
        <v>416</v>
      </c>
      <c r="G2898" t="s">
        <v>417</v>
      </c>
      <c r="I2898" t="s">
        <v>26</v>
      </c>
      <c r="J2898" s="13">
        <v>45992</v>
      </c>
      <c r="K2898" s="13">
        <v>46023</v>
      </c>
      <c r="L2898" t="s">
        <v>497</v>
      </c>
      <c r="M2898" t="s">
        <v>56</v>
      </c>
      <c r="N2898">
        <v>72319969</v>
      </c>
    </row>
    <row r="2899" spans="1:14" x14ac:dyDescent="0.25">
      <c r="A2899">
        <v>58500619</v>
      </c>
      <c r="B2899" t="s">
        <v>6939</v>
      </c>
      <c r="C2899" t="s">
        <v>6940</v>
      </c>
      <c r="D2899" t="s">
        <v>6941</v>
      </c>
      <c r="E2899">
        <v>3345461637</v>
      </c>
      <c r="F2899" t="s">
        <v>1013</v>
      </c>
      <c r="G2899" t="s">
        <v>1014</v>
      </c>
      <c r="I2899" t="s">
        <v>43</v>
      </c>
      <c r="J2899" s="13">
        <v>45992</v>
      </c>
      <c r="K2899" s="13">
        <v>46023</v>
      </c>
      <c r="L2899" t="s">
        <v>450</v>
      </c>
      <c r="M2899" t="s">
        <v>59</v>
      </c>
      <c r="N2899">
        <v>72320127</v>
      </c>
    </row>
    <row r="2900" spans="1:14" x14ac:dyDescent="0.25">
      <c r="A2900">
        <v>58500622</v>
      </c>
      <c r="B2900" t="s">
        <v>1260</v>
      </c>
      <c r="C2900" t="s">
        <v>6942</v>
      </c>
      <c r="D2900" t="s">
        <v>6943</v>
      </c>
      <c r="E2900">
        <v>8136447574</v>
      </c>
      <c r="F2900" t="s">
        <v>775</v>
      </c>
      <c r="G2900" t="s">
        <v>776</v>
      </c>
      <c r="I2900" t="s">
        <v>22</v>
      </c>
      <c r="J2900" s="13">
        <v>45992</v>
      </c>
      <c r="K2900" s="13">
        <v>46023</v>
      </c>
      <c r="L2900" t="s">
        <v>497</v>
      </c>
      <c r="M2900" t="s">
        <v>54</v>
      </c>
      <c r="N2900">
        <v>72320129</v>
      </c>
    </row>
    <row r="2901" spans="1:14" x14ac:dyDescent="0.25">
      <c r="A2901">
        <v>58500633</v>
      </c>
      <c r="B2901" t="s">
        <v>6944</v>
      </c>
      <c r="C2901" t="s">
        <v>6945</v>
      </c>
      <c r="D2901" t="s">
        <v>6946</v>
      </c>
      <c r="E2901">
        <v>7853417337</v>
      </c>
      <c r="F2901" t="s">
        <v>4853</v>
      </c>
      <c r="G2901" t="s">
        <v>5017</v>
      </c>
      <c r="I2901" t="s">
        <v>5018</v>
      </c>
      <c r="J2901" s="13">
        <v>45992</v>
      </c>
      <c r="K2901" s="13">
        <v>46023</v>
      </c>
      <c r="L2901" t="s">
        <v>1179</v>
      </c>
      <c r="M2901" t="s">
        <v>54</v>
      </c>
      <c r="N2901">
        <v>72320142</v>
      </c>
    </row>
    <row r="2902" spans="1:14" x14ac:dyDescent="0.25">
      <c r="A2902">
        <v>58500981</v>
      </c>
      <c r="B2902" t="s">
        <v>1041</v>
      </c>
      <c r="C2902" t="s">
        <v>2403</v>
      </c>
      <c r="D2902" t="s">
        <v>6947</v>
      </c>
      <c r="E2902">
        <v>9045620766</v>
      </c>
      <c r="F2902" t="s">
        <v>828</v>
      </c>
      <c r="G2902" t="s">
        <v>1148</v>
      </c>
      <c r="I2902" t="s">
        <v>17</v>
      </c>
      <c r="J2902" s="13">
        <v>45992</v>
      </c>
      <c r="K2902" s="13">
        <v>46023</v>
      </c>
      <c r="L2902" t="s">
        <v>497</v>
      </c>
      <c r="M2902" t="s">
        <v>58</v>
      </c>
      <c r="N2902">
        <v>72320385</v>
      </c>
    </row>
    <row r="2903" spans="1:14" x14ac:dyDescent="0.25">
      <c r="A2903">
        <v>58502004</v>
      </c>
      <c r="B2903" t="s">
        <v>4981</v>
      </c>
      <c r="C2903" t="s">
        <v>6948</v>
      </c>
      <c r="D2903" t="s">
        <v>6949</v>
      </c>
      <c r="E2903" t="s">
        <v>6950</v>
      </c>
      <c r="F2903" t="s">
        <v>448</v>
      </c>
      <c r="G2903" t="s">
        <v>449</v>
      </c>
      <c r="I2903" t="s">
        <v>31</v>
      </c>
      <c r="J2903" s="13">
        <v>45992</v>
      </c>
      <c r="K2903" s="13">
        <v>46023</v>
      </c>
      <c r="L2903" t="s">
        <v>553</v>
      </c>
      <c r="M2903" t="s">
        <v>58</v>
      </c>
      <c r="N2903">
        <v>72320596</v>
      </c>
    </row>
    <row r="2904" spans="1:14" x14ac:dyDescent="0.25">
      <c r="A2904">
        <v>58501351</v>
      </c>
      <c r="B2904" t="s">
        <v>2947</v>
      </c>
      <c r="C2904" t="s">
        <v>6951</v>
      </c>
      <c r="D2904" t="s">
        <v>6952</v>
      </c>
      <c r="E2904">
        <v>3184170559</v>
      </c>
      <c r="F2904" t="s">
        <v>615</v>
      </c>
      <c r="G2904" t="s">
        <v>616</v>
      </c>
      <c r="I2904" t="s">
        <v>617</v>
      </c>
      <c r="J2904" s="13">
        <v>45992</v>
      </c>
      <c r="K2904" s="13">
        <v>46023</v>
      </c>
      <c r="L2904" t="s">
        <v>612</v>
      </c>
      <c r="M2904" t="s">
        <v>56</v>
      </c>
      <c r="N2904">
        <v>72320655</v>
      </c>
    </row>
    <row r="2905" spans="1:14" x14ac:dyDescent="0.25">
      <c r="A2905">
        <v>58501367</v>
      </c>
      <c r="B2905" t="s">
        <v>6953</v>
      </c>
      <c r="C2905" t="s">
        <v>1104</v>
      </c>
      <c r="D2905" t="s">
        <v>6954</v>
      </c>
      <c r="E2905">
        <v>9016446059</v>
      </c>
      <c r="F2905" t="s">
        <v>1142</v>
      </c>
      <c r="G2905" t="s">
        <v>1143</v>
      </c>
      <c r="I2905" t="s">
        <v>124</v>
      </c>
      <c r="J2905" s="13">
        <v>45992</v>
      </c>
      <c r="K2905" s="13">
        <v>46023</v>
      </c>
      <c r="L2905" t="s">
        <v>479</v>
      </c>
      <c r="M2905" t="s">
        <v>56</v>
      </c>
      <c r="N2905">
        <v>72320672</v>
      </c>
    </row>
    <row r="2906" spans="1:14" x14ac:dyDescent="0.25">
      <c r="A2906">
        <v>58501576</v>
      </c>
      <c r="B2906" t="s">
        <v>1316</v>
      </c>
      <c r="C2906" t="s">
        <v>6955</v>
      </c>
      <c r="D2906" t="s">
        <v>6956</v>
      </c>
      <c r="E2906">
        <v>6025839150</v>
      </c>
      <c r="F2906" t="s">
        <v>474</v>
      </c>
      <c r="G2906" t="s">
        <v>475</v>
      </c>
      <c r="I2906" t="s">
        <v>132</v>
      </c>
      <c r="J2906" s="13">
        <v>45992</v>
      </c>
      <c r="K2906" s="13">
        <v>46023</v>
      </c>
      <c r="L2906" t="s">
        <v>1179</v>
      </c>
      <c r="M2906" t="s">
        <v>59</v>
      </c>
      <c r="N2906">
        <v>72320819</v>
      </c>
    </row>
    <row r="2907" spans="1:14" x14ac:dyDescent="0.25">
      <c r="A2907">
        <v>58502021</v>
      </c>
      <c r="B2907" t="s">
        <v>6957</v>
      </c>
      <c r="C2907" t="s">
        <v>6958</v>
      </c>
      <c r="D2907" t="s">
        <v>6959</v>
      </c>
      <c r="E2907">
        <v>9546554444</v>
      </c>
      <c r="F2907" t="s">
        <v>462</v>
      </c>
      <c r="G2907" t="s">
        <v>463</v>
      </c>
      <c r="I2907" t="s">
        <v>39</v>
      </c>
      <c r="J2907" s="13">
        <v>45992</v>
      </c>
      <c r="K2907" s="13">
        <v>46023</v>
      </c>
      <c r="L2907" t="s">
        <v>497</v>
      </c>
      <c r="M2907" t="s">
        <v>59</v>
      </c>
      <c r="N2907">
        <v>72321145</v>
      </c>
    </row>
    <row r="2908" spans="1:14" x14ac:dyDescent="0.25">
      <c r="A2908">
        <v>58503055</v>
      </c>
      <c r="B2908" t="s">
        <v>1853</v>
      </c>
      <c r="C2908" t="s">
        <v>2304</v>
      </c>
      <c r="D2908" t="s">
        <v>6960</v>
      </c>
      <c r="E2908">
        <v>8136082687</v>
      </c>
      <c r="F2908" t="s">
        <v>423</v>
      </c>
      <c r="G2908" t="s">
        <v>424</v>
      </c>
      <c r="I2908" t="s">
        <v>46</v>
      </c>
      <c r="J2908" s="13">
        <v>45992</v>
      </c>
      <c r="K2908" s="13">
        <v>46023</v>
      </c>
      <c r="L2908" t="s">
        <v>497</v>
      </c>
      <c r="M2908" t="s">
        <v>56</v>
      </c>
      <c r="N2908">
        <v>72321530</v>
      </c>
    </row>
    <row r="2909" spans="1:14" x14ac:dyDescent="0.25">
      <c r="A2909">
        <v>58502573</v>
      </c>
      <c r="B2909" t="s">
        <v>6961</v>
      </c>
      <c r="C2909" t="s">
        <v>6962</v>
      </c>
      <c r="D2909" t="s">
        <v>6963</v>
      </c>
      <c r="E2909">
        <v>7013199287</v>
      </c>
      <c r="F2909" t="s">
        <v>780</v>
      </c>
      <c r="G2909" t="s">
        <v>781</v>
      </c>
      <c r="I2909" t="s">
        <v>20</v>
      </c>
      <c r="J2909" s="13">
        <v>45992</v>
      </c>
      <c r="K2909" s="13">
        <v>46023</v>
      </c>
      <c r="L2909" t="s">
        <v>497</v>
      </c>
      <c r="M2909" t="s">
        <v>56</v>
      </c>
      <c r="N2909">
        <v>72321553</v>
      </c>
    </row>
    <row r="2910" spans="1:14" x14ac:dyDescent="0.25">
      <c r="A2910">
        <v>58503662</v>
      </c>
      <c r="B2910" t="s">
        <v>990</v>
      </c>
      <c r="C2910" t="s">
        <v>6964</v>
      </c>
      <c r="D2910" t="s">
        <v>6965</v>
      </c>
      <c r="E2910">
        <v>4807991359</v>
      </c>
      <c r="F2910" t="s">
        <v>842</v>
      </c>
      <c r="G2910" t="s">
        <v>1213</v>
      </c>
      <c r="I2910" t="s">
        <v>1214</v>
      </c>
      <c r="J2910" s="13">
        <v>45992</v>
      </c>
      <c r="K2910" s="13">
        <v>46023</v>
      </c>
      <c r="L2910" t="s">
        <v>1179</v>
      </c>
      <c r="M2910" t="s">
        <v>54</v>
      </c>
      <c r="N2910">
        <v>72322257</v>
      </c>
    </row>
    <row r="2911" spans="1:14" x14ac:dyDescent="0.25">
      <c r="A2911">
        <v>58503751</v>
      </c>
      <c r="B2911" t="s">
        <v>2272</v>
      </c>
      <c r="C2911" t="s">
        <v>6966</v>
      </c>
      <c r="D2911" t="s">
        <v>6967</v>
      </c>
      <c r="E2911">
        <v>7708954891</v>
      </c>
      <c r="F2911" t="s">
        <v>798</v>
      </c>
      <c r="G2911" t="s">
        <v>799</v>
      </c>
      <c r="I2911" t="s">
        <v>800</v>
      </c>
      <c r="J2911" s="13">
        <v>45992</v>
      </c>
      <c r="K2911" s="13">
        <v>46023</v>
      </c>
      <c r="L2911" t="s">
        <v>621</v>
      </c>
      <c r="M2911" t="s">
        <v>56</v>
      </c>
      <c r="N2911">
        <v>72322310</v>
      </c>
    </row>
    <row r="2912" spans="1:14" x14ac:dyDescent="0.25">
      <c r="A2912">
        <v>58503784</v>
      </c>
      <c r="B2912" t="s">
        <v>1696</v>
      </c>
      <c r="C2912" t="s">
        <v>6968</v>
      </c>
      <c r="D2912" t="s">
        <v>6969</v>
      </c>
      <c r="E2912">
        <v>3049936530</v>
      </c>
      <c r="F2912" t="s">
        <v>494</v>
      </c>
      <c r="G2912" t="s">
        <v>495</v>
      </c>
      <c r="I2912" t="s">
        <v>496</v>
      </c>
      <c r="J2912" s="13">
        <v>45992</v>
      </c>
      <c r="K2912" s="13">
        <v>46023</v>
      </c>
      <c r="L2912" t="s">
        <v>1188</v>
      </c>
      <c r="M2912" t="s">
        <v>56</v>
      </c>
      <c r="N2912">
        <v>72322332</v>
      </c>
    </row>
    <row r="2913" spans="1:14" x14ac:dyDescent="0.25">
      <c r="A2913">
        <v>58503957</v>
      </c>
      <c r="B2913" t="s">
        <v>2296</v>
      </c>
      <c r="C2913" t="s">
        <v>2709</v>
      </c>
      <c r="D2913" t="s">
        <v>6970</v>
      </c>
      <c r="E2913">
        <v>9044107552</v>
      </c>
      <c r="F2913" t="s">
        <v>6098</v>
      </c>
      <c r="G2913" t="s">
        <v>1213</v>
      </c>
      <c r="I2913" t="s">
        <v>21</v>
      </c>
      <c r="J2913" s="13">
        <v>45992</v>
      </c>
      <c r="K2913" s="13">
        <v>46023</v>
      </c>
      <c r="L2913" t="s">
        <v>497</v>
      </c>
      <c r="M2913" t="s">
        <v>54</v>
      </c>
      <c r="N2913">
        <v>72322443</v>
      </c>
    </row>
    <row r="2914" spans="1:14" x14ac:dyDescent="0.25">
      <c r="A2914">
        <v>58505015</v>
      </c>
      <c r="B2914" t="s">
        <v>517</v>
      </c>
      <c r="C2914" t="s">
        <v>2133</v>
      </c>
      <c r="D2914" t="s">
        <v>6971</v>
      </c>
      <c r="E2914">
        <v>3048443605</v>
      </c>
      <c r="F2914" t="s">
        <v>957</v>
      </c>
      <c r="G2914" t="s">
        <v>958</v>
      </c>
      <c r="H2914" t="s">
        <v>959</v>
      </c>
      <c r="I2914" t="s">
        <v>960</v>
      </c>
      <c r="J2914" s="13">
        <v>45992</v>
      </c>
      <c r="K2914" s="13">
        <v>46023</v>
      </c>
      <c r="L2914" t="s">
        <v>1188</v>
      </c>
      <c r="M2914" t="s">
        <v>56</v>
      </c>
      <c r="N2914">
        <v>72322563</v>
      </c>
    </row>
    <row r="2915" spans="1:14" x14ac:dyDescent="0.25">
      <c r="A2915">
        <v>58504183</v>
      </c>
      <c r="B2915" t="s">
        <v>3563</v>
      </c>
      <c r="C2915" t="s">
        <v>6972</v>
      </c>
      <c r="D2915" t="s">
        <v>6973</v>
      </c>
      <c r="E2915">
        <v>8702600322</v>
      </c>
      <c r="F2915" t="s">
        <v>1013</v>
      </c>
      <c r="G2915" t="s">
        <v>1014</v>
      </c>
      <c r="I2915" t="s">
        <v>43</v>
      </c>
      <c r="J2915" s="13">
        <v>45992</v>
      </c>
      <c r="K2915" s="13">
        <v>46023</v>
      </c>
      <c r="L2915" t="s">
        <v>553</v>
      </c>
      <c r="M2915" t="s">
        <v>56</v>
      </c>
      <c r="N2915">
        <v>72322625</v>
      </c>
    </row>
    <row r="2916" spans="1:14" x14ac:dyDescent="0.25">
      <c r="A2916">
        <v>58504361</v>
      </c>
      <c r="B2916" t="s">
        <v>6974</v>
      </c>
      <c r="C2916" t="s">
        <v>6975</v>
      </c>
      <c r="D2916" t="s">
        <v>6976</v>
      </c>
      <c r="E2916">
        <v>2392974770</v>
      </c>
      <c r="F2916" t="s">
        <v>569</v>
      </c>
      <c r="G2916" t="s">
        <v>570</v>
      </c>
      <c r="I2916" t="s">
        <v>34</v>
      </c>
      <c r="J2916" s="13">
        <v>45992</v>
      </c>
      <c r="K2916" s="13">
        <v>46023</v>
      </c>
      <c r="L2916" t="s">
        <v>497</v>
      </c>
      <c r="M2916" t="s">
        <v>58</v>
      </c>
      <c r="N2916">
        <v>72322739</v>
      </c>
    </row>
    <row r="2917" spans="1:14" x14ac:dyDescent="0.25">
      <c r="A2917">
        <v>58504809</v>
      </c>
      <c r="B2917" t="s">
        <v>445</v>
      </c>
      <c r="C2917" t="s">
        <v>4868</v>
      </c>
      <c r="D2917" t="s">
        <v>6977</v>
      </c>
      <c r="E2917">
        <v>8503056947</v>
      </c>
      <c r="F2917" t="s">
        <v>928</v>
      </c>
      <c r="G2917" t="s">
        <v>929</v>
      </c>
      <c r="I2917" t="s">
        <v>30</v>
      </c>
      <c r="J2917" s="13">
        <v>45992</v>
      </c>
      <c r="K2917" s="13">
        <v>46023</v>
      </c>
      <c r="L2917" t="s">
        <v>497</v>
      </c>
      <c r="M2917" t="s">
        <v>58</v>
      </c>
      <c r="N2917">
        <v>72323036</v>
      </c>
    </row>
    <row r="2918" spans="1:14" x14ac:dyDescent="0.25">
      <c r="A2918">
        <v>59282114</v>
      </c>
      <c r="B2918" t="s">
        <v>6978</v>
      </c>
      <c r="C2918" t="s">
        <v>6979</v>
      </c>
      <c r="D2918" t="s">
        <v>6980</v>
      </c>
      <c r="E2918" t="s">
        <v>6981</v>
      </c>
      <c r="F2918" t="s">
        <v>569</v>
      </c>
      <c r="G2918" t="s">
        <v>570</v>
      </c>
      <c r="I2918" t="s">
        <v>34</v>
      </c>
      <c r="J2918" s="13">
        <v>46027</v>
      </c>
      <c r="K2918" s="13">
        <v>46054</v>
      </c>
      <c r="L2918" t="s">
        <v>539</v>
      </c>
      <c r="M2918" t="s">
        <v>58</v>
      </c>
      <c r="N2918">
        <v>72323112</v>
      </c>
    </row>
    <row r="2919" spans="1:14" x14ac:dyDescent="0.25">
      <c r="A2919">
        <v>58505133</v>
      </c>
      <c r="B2919" t="s">
        <v>784</v>
      </c>
      <c r="C2919" t="s">
        <v>2498</v>
      </c>
      <c r="D2919" t="s">
        <v>6982</v>
      </c>
      <c r="E2919">
        <v>5012892566</v>
      </c>
      <c r="F2919" t="s">
        <v>574</v>
      </c>
      <c r="G2919" t="s">
        <v>575</v>
      </c>
      <c r="I2919" t="s">
        <v>14</v>
      </c>
      <c r="J2919" s="13">
        <v>45992</v>
      </c>
      <c r="K2919" s="13">
        <v>46023</v>
      </c>
      <c r="L2919" t="s">
        <v>553</v>
      </c>
      <c r="M2919" t="s">
        <v>56</v>
      </c>
      <c r="N2919">
        <v>72323258</v>
      </c>
    </row>
    <row r="2920" spans="1:14" x14ac:dyDescent="0.25">
      <c r="A2920">
        <v>58505200</v>
      </c>
      <c r="B2920" t="s">
        <v>6983</v>
      </c>
      <c r="C2920" t="s">
        <v>6984</v>
      </c>
      <c r="D2920" t="s">
        <v>6985</v>
      </c>
      <c r="E2920">
        <v>2253059197</v>
      </c>
      <c r="F2920" t="s">
        <v>1003</v>
      </c>
      <c r="G2920" t="s">
        <v>1004</v>
      </c>
      <c r="I2920" t="s">
        <v>89</v>
      </c>
      <c r="J2920" s="13">
        <v>45992</v>
      </c>
      <c r="K2920" s="13">
        <v>46023</v>
      </c>
      <c r="L2920" t="s">
        <v>612</v>
      </c>
      <c r="M2920" t="s">
        <v>56</v>
      </c>
      <c r="N2920">
        <v>72323293</v>
      </c>
    </row>
    <row r="2921" spans="1:14" x14ac:dyDescent="0.25">
      <c r="A2921">
        <v>58505460</v>
      </c>
      <c r="B2921" t="s">
        <v>6238</v>
      </c>
      <c r="C2921" t="s">
        <v>6986</v>
      </c>
      <c r="D2921" t="s">
        <v>6987</v>
      </c>
      <c r="E2921">
        <v>9043166445</v>
      </c>
      <c r="F2921" t="s">
        <v>462</v>
      </c>
      <c r="G2921" t="s">
        <v>463</v>
      </c>
      <c r="I2921" t="s">
        <v>39</v>
      </c>
      <c r="J2921" s="13">
        <v>45992</v>
      </c>
      <c r="K2921" s="13">
        <v>46023</v>
      </c>
      <c r="L2921" t="s">
        <v>497</v>
      </c>
      <c r="M2921" t="s">
        <v>56</v>
      </c>
      <c r="N2921">
        <v>72323475</v>
      </c>
    </row>
    <row r="2922" spans="1:14" x14ac:dyDescent="0.25">
      <c r="A2922">
        <v>58505964</v>
      </c>
      <c r="B2922" t="s">
        <v>3611</v>
      </c>
      <c r="C2922" t="s">
        <v>1287</v>
      </c>
      <c r="D2922" t="s">
        <v>6988</v>
      </c>
      <c r="E2922">
        <v>7722246102</v>
      </c>
      <c r="F2922" t="s">
        <v>423</v>
      </c>
      <c r="G2922" t="s">
        <v>424</v>
      </c>
      <c r="I2922" t="s">
        <v>46</v>
      </c>
      <c r="J2922" s="13">
        <v>45992</v>
      </c>
      <c r="K2922" s="13">
        <v>46023</v>
      </c>
      <c r="L2922" t="s">
        <v>497</v>
      </c>
      <c r="M2922" t="s">
        <v>54</v>
      </c>
      <c r="N2922">
        <v>72323797</v>
      </c>
    </row>
    <row r="2923" spans="1:14" x14ac:dyDescent="0.25">
      <c r="A2923">
        <v>58506309</v>
      </c>
      <c r="B2923" t="s">
        <v>1838</v>
      </c>
      <c r="C2923" t="s">
        <v>6989</v>
      </c>
      <c r="D2923" t="s">
        <v>6990</v>
      </c>
      <c r="E2923">
        <v>7192525184</v>
      </c>
      <c r="F2923" t="s">
        <v>474</v>
      </c>
      <c r="G2923" t="s">
        <v>475</v>
      </c>
      <c r="I2923" t="s">
        <v>132</v>
      </c>
      <c r="J2923" s="13">
        <v>45992</v>
      </c>
      <c r="K2923" s="13">
        <v>46023</v>
      </c>
      <c r="L2923" t="s">
        <v>539</v>
      </c>
      <c r="M2923" t="s">
        <v>58</v>
      </c>
      <c r="N2923">
        <v>72324102</v>
      </c>
    </row>
    <row r="2924" spans="1:14" x14ac:dyDescent="0.25">
      <c r="A2924">
        <v>58507405</v>
      </c>
      <c r="B2924" t="s">
        <v>1643</v>
      </c>
      <c r="C2924" t="s">
        <v>6991</v>
      </c>
      <c r="D2924" t="s">
        <v>6992</v>
      </c>
      <c r="E2924" t="s">
        <v>6993</v>
      </c>
      <c r="F2924" t="s">
        <v>474</v>
      </c>
      <c r="G2924" t="s">
        <v>475</v>
      </c>
      <c r="I2924" t="s">
        <v>132</v>
      </c>
      <c r="J2924" s="13">
        <v>45992</v>
      </c>
      <c r="K2924" s="13">
        <v>46023</v>
      </c>
      <c r="L2924" t="s">
        <v>539</v>
      </c>
      <c r="M2924" t="s">
        <v>58</v>
      </c>
      <c r="N2924">
        <v>72324128</v>
      </c>
    </row>
    <row r="2925" spans="1:14" x14ac:dyDescent="0.25">
      <c r="A2925">
        <v>58506388</v>
      </c>
      <c r="B2925" t="s">
        <v>1527</v>
      </c>
      <c r="C2925" t="s">
        <v>1886</v>
      </c>
      <c r="D2925" t="s">
        <v>6994</v>
      </c>
      <c r="E2925">
        <v>4808511971</v>
      </c>
      <c r="F2925" t="s">
        <v>1345</v>
      </c>
      <c r="G2925" t="s">
        <v>799</v>
      </c>
      <c r="I2925" t="s">
        <v>47</v>
      </c>
      <c r="J2925" s="13">
        <v>45992</v>
      </c>
      <c r="K2925" s="13">
        <v>46023</v>
      </c>
      <c r="L2925" t="s">
        <v>1179</v>
      </c>
      <c r="M2925" t="s">
        <v>59</v>
      </c>
      <c r="N2925">
        <v>72324146</v>
      </c>
    </row>
    <row r="2926" spans="1:14" x14ac:dyDescent="0.25">
      <c r="A2926">
        <v>58506642</v>
      </c>
      <c r="B2926" t="s">
        <v>6995</v>
      </c>
      <c r="C2926" t="s">
        <v>6996</v>
      </c>
      <c r="D2926" t="s">
        <v>6997</v>
      </c>
      <c r="E2926">
        <v>7278711103</v>
      </c>
      <c r="F2926" t="s">
        <v>775</v>
      </c>
      <c r="G2926" t="s">
        <v>776</v>
      </c>
      <c r="I2926" t="s">
        <v>22</v>
      </c>
      <c r="J2926" s="13">
        <v>45992</v>
      </c>
      <c r="K2926" s="13">
        <v>46023</v>
      </c>
      <c r="L2926" t="s">
        <v>497</v>
      </c>
      <c r="M2926" t="s">
        <v>56</v>
      </c>
      <c r="N2926">
        <v>72324310</v>
      </c>
    </row>
    <row r="2927" spans="1:14" x14ac:dyDescent="0.25">
      <c r="A2927">
        <v>58506879</v>
      </c>
      <c r="B2927" t="s">
        <v>1784</v>
      </c>
      <c r="C2927" t="s">
        <v>2255</v>
      </c>
      <c r="D2927" t="s">
        <v>6998</v>
      </c>
      <c r="E2927">
        <v>5207839040</v>
      </c>
      <c r="F2927" t="s">
        <v>615</v>
      </c>
      <c r="G2927" t="s">
        <v>616</v>
      </c>
      <c r="I2927" t="s">
        <v>617</v>
      </c>
      <c r="J2927" s="13">
        <v>45992</v>
      </c>
      <c r="K2927" s="13">
        <v>46023</v>
      </c>
      <c r="L2927" t="s">
        <v>1179</v>
      </c>
      <c r="M2927" t="s">
        <v>59</v>
      </c>
      <c r="N2927">
        <v>72324477</v>
      </c>
    </row>
    <row r="2928" spans="1:14" x14ac:dyDescent="0.25">
      <c r="A2928">
        <v>58507619</v>
      </c>
      <c r="B2928" t="s">
        <v>1083</v>
      </c>
      <c r="C2928" t="s">
        <v>512</v>
      </c>
      <c r="D2928" t="s">
        <v>6999</v>
      </c>
      <c r="E2928">
        <v>3044762292</v>
      </c>
      <c r="F2928" t="s">
        <v>842</v>
      </c>
      <c r="G2928" t="s">
        <v>843</v>
      </c>
      <c r="I2928" t="s">
        <v>98</v>
      </c>
      <c r="J2928" s="13">
        <v>45992</v>
      </c>
      <c r="K2928" s="13">
        <v>46023</v>
      </c>
      <c r="L2928" t="s">
        <v>1188</v>
      </c>
      <c r="M2928" t="s">
        <v>56</v>
      </c>
      <c r="N2928">
        <v>72325018</v>
      </c>
    </row>
    <row r="2929" spans="1:14" x14ac:dyDescent="0.25">
      <c r="A2929">
        <v>58508056</v>
      </c>
      <c r="B2929" t="s">
        <v>1029</v>
      </c>
      <c r="C2929" t="s">
        <v>4054</v>
      </c>
      <c r="D2929" t="s">
        <v>7000</v>
      </c>
      <c r="E2929">
        <v>4804536477</v>
      </c>
      <c r="F2929" t="s">
        <v>423</v>
      </c>
      <c r="G2929" t="s">
        <v>424</v>
      </c>
      <c r="I2929" t="s">
        <v>46</v>
      </c>
      <c r="J2929" s="13">
        <v>45992</v>
      </c>
      <c r="K2929" s="13">
        <v>46023</v>
      </c>
      <c r="L2929" t="s">
        <v>1179</v>
      </c>
      <c r="M2929" t="s">
        <v>56</v>
      </c>
      <c r="N2929">
        <v>72325220</v>
      </c>
    </row>
    <row r="2930" spans="1:14" x14ac:dyDescent="0.25">
      <c r="A2930">
        <v>58507923</v>
      </c>
      <c r="B2930" t="s">
        <v>1827</v>
      </c>
      <c r="C2930" t="s">
        <v>7001</v>
      </c>
      <c r="D2930" t="s">
        <v>7002</v>
      </c>
      <c r="E2930">
        <v>3143331057</v>
      </c>
      <c r="F2930" t="s">
        <v>592</v>
      </c>
      <c r="G2930" t="s">
        <v>593</v>
      </c>
      <c r="I2930" t="s">
        <v>115</v>
      </c>
      <c r="J2930" s="13">
        <v>45992</v>
      </c>
      <c r="K2930" s="13">
        <v>46023</v>
      </c>
      <c r="L2930" t="s">
        <v>434</v>
      </c>
      <c r="M2930" t="s">
        <v>419</v>
      </c>
      <c r="N2930">
        <v>72325280</v>
      </c>
    </row>
    <row r="2931" spans="1:14" x14ac:dyDescent="0.25">
      <c r="A2931">
        <v>58508116</v>
      </c>
      <c r="B2931" t="s">
        <v>724</v>
      </c>
      <c r="C2931" t="s">
        <v>7003</v>
      </c>
      <c r="D2931" t="s">
        <v>7004</v>
      </c>
      <c r="E2931">
        <v>6788665993</v>
      </c>
      <c r="F2931" t="s">
        <v>828</v>
      </c>
      <c r="G2931" t="s">
        <v>1148</v>
      </c>
      <c r="I2931" t="s">
        <v>17</v>
      </c>
      <c r="J2931" s="13">
        <v>45992</v>
      </c>
      <c r="K2931" s="13">
        <v>46023</v>
      </c>
      <c r="L2931" t="s">
        <v>621</v>
      </c>
      <c r="M2931" t="s">
        <v>59</v>
      </c>
      <c r="N2931">
        <v>72325405</v>
      </c>
    </row>
    <row r="2932" spans="1:14" x14ac:dyDescent="0.25">
      <c r="A2932">
        <v>58508387</v>
      </c>
      <c r="B2932" t="s">
        <v>687</v>
      </c>
      <c r="C2932" t="s">
        <v>7005</v>
      </c>
      <c r="D2932" t="s">
        <v>7006</v>
      </c>
      <c r="E2932">
        <v>3043379888</v>
      </c>
      <c r="F2932" t="s">
        <v>649</v>
      </c>
      <c r="G2932" t="s">
        <v>650</v>
      </c>
      <c r="I2932" t="s">
        <v>28</v>
      </c>
      <c r="J2932" s="13">
        <v>45992</v>
      </c>
      <c r="K2932" s="13">
        <v>46023</v>
      </c>
      <c r="L2932" t="s">
        <v>1188</v>
      </c>
      <c r="M2932" t="s">
        <v>56</v>
      </c>
      <c r="N2932">
        <v>72325709</v>
      </c>
    </row>
    <row r="2933" spans="1:14" x14ac:dyDescent="0.25">
      <c r="A2933">
        <v>58509562</v>
      </c>
      <c r="B2933" t="s">
        <v>1245</v>
      </c>
      <c r="C2933" t="s">
        <v>2678</v>
      </c>
      <c r="D2933" t="s">
        <v>7007</v>
      </c>
      <c r="E2933">
        <v>4045135420</v>
      </c>
      <c r="F2933" t="s">
        <v>928</v>
      </c>
      <c r="G2933" t="s">
        <v>929</v>
      </c>
      <c r="I2933" t="s">
        <v>30</v>
      </c>
      <c r="J2933" s="13">
        <v>45992</v>
      </c>
      <c r="K2933" s="13">
        <v>46023</v>
      </c>
      <c r="L2933" t="s">
        <v>497</v>
      </c>
      <c r="M2933" t="s">
        <v>58</v>
      </c>
      <c r="N2933">
        <v>72326602</v>
      </c>
    </row>
    <row r="2934" spans="1:14" x14ac:dyDescent="0.25">
      <c r="A2934">
        <v>58509744</v>
      </c>
      <c r="B2934" t="s">
        <v>7008</v>
      </c>
      <c r="C2934" t="s">
        <v>7009</v>
      </c>
      <c r="D2934" t="s">
        <v>7010</v>
      </c>
      <c r="E2934">
        <v>2513598292</v>
      </c>
      <c r="F2934" t="s">
        <v>1013</v>
      </c>
      <c r="G2934" t="s">
        <v>1014</v>
      </c>
      <c r="I2934" t="s">
        <v>43</v>
      </c>
      <c r="J2934" s="13">
        <v>45992</v>
      </c>
      <c r="K2934" s="13">
        <v>46023</v>
      </c>
      <c r="L2934" t="s">
        <v>450</v>
      </c>
      <c r="M2934" t="s">
        <v>56</v>
      </c>
      <c r="N2934">
        <v>72326741</v>
      </c>
    </row>
    <row r="2935" spans="1:14" x14ac:dyDescent="0.25">
      <c r="A2935">
        <v>58509911</v>
      </c>
      <c r="B2935" t="s">
        <v>1226</v>
      </c>
      <c r="C2935" t="s">
        <v>7011</v>
      </c>
      <c r="D2935" t="s">
        <v>7012</v>
      </c>
      <c r="E2935" t="s">
        <v>7013</v>
      </c>
      <c r="F2935" t="s">
        <v>569</v>
      </c>
      <c r="G2935" t="s">
        <v>570</v>
      </c>
      <c r="I2935" t="s">
        <v>34</v>
      </c>
      <c r="J2935" s="13">
        <v>45992</v>
      </c>
      <c r="K2935" s="13">
        <v>46023</v>
      </c>
      <c r="L2935" t="s">
        <v>603</v>
      </c>
      <c r="M2935" t="s">
        <v>56</v>
      </c>
      <c r="N2935">
        <v>72326865</v>
      </c>
    </row>
    <row r="2936" spans="1:14" x14ac:dyDescent="0.25">
      <c r="A2936">
        <v>58510384</v>
      </c>
      <c r="B2936" t="s">
        <v>5607</v>
      </c>
      <c r="C2936" t="s">
        <v>957</v>
      </c>
      <c r="D2936" t="s">
        <v>7014</v>
      </c>
      <c r="E2936">
        <v>7082592282</v>
      </c>
      <c r="F2936" t="s">
        <v>790</v>
      </c>
      <c r="G2936" t="s">
        <v>791</v>
      </c>
      <c r="I2936" t="s">
        <v>119</v>
      </c>
      <c r="J2936" s="13">
        <v>45992</v>
      </c>
      <c r="K2936" s="13">
        <v>46023</v>
      </c>
      <c r="L2936" t="s">
        <v>470</v>
      </c>
      <c r="M2936" t="s">
        <v>62</v>
      </c>
      <c r="N2936">
        <v>72326969</v>
      </c>
    </row>
    <row r="2937" spans="1:14" x14ac:dyDescent="0.25">
      <c r="A2937">
        <v>58510250</v>
      </c>
      <c r="B2937" t="s">
        <v>6544</v>
      </c>
      <c r="C2937" t="s">
        <v>688</v>
      </c>
      <c r="D2937" t="s">
        <v>7015</v>
      </c>
      <c r="E2937">
        <v>9093022985</v>
      </c>
      <c r="F2937" t="s">
        <v>4853</v>
      </c>
      <c r="G2937" t="s">
        <v>5017</v>
      </c>
      <c r="I2937" t="s">
        <v>5018</v>
      </c>
      <c r="J2937" s="13">
        <v>45992</v>
      </c>
      <c r="K2937" s="13">
        <v>46023</v>
      </c>
      <c r="L2937" t="s">
        <v>1179</v>
      </c>
      <c r="M2937" t="s">
        <v>54</v>
      </c>
      <c r="N2937">
        <v>72327101</v>
      </c>
    </row>
    <row r="2938" spans="1:14" x14ac:dyDescent="0.25">
      <c r="A2938">
        <v>58510251</v>
      </c>
      <c r="B2938" t="s">
        <v>464</v>
      </c>
      <c r="C2938" t="s">
        <v>7016</v>
      </c>
      <c r="D2938" t="s">
        <v>7017</v>
      </c>
      <c r="E2938">
        <v>3362254050</v>
      </c>
      <c r="F2938" t="s">
        <v>7018</v>
      </c>
      <c r="G2938" t="s">
        <v>7019</v>
      </c>
      <c r="I2938" t="s">
        <v>131</v>
      </c>
      <c r="J2938" s="13">
        <v>45992</v>
      </c>
      <c r="K2938" s="13">
        <v>46023</v>
      </c>
      <c r="L2938" t="s">
        <v>603</v>
      </c>
      <c r="M2938" t="s">
        <v>59</v>
      </c>
      <c r="N2938">
        <v>72327102</v>
      </c>
    </row>
    <row r="2939" spans="1:14" x14ac:dyDescent="0.25">
      <c r="A2939">
        <v>58511492</v>
      </c>
      <c r="B2939" t="s">
        <v>7020</v>
      </c>
      <c r="C2939" t="s">
        <v>7021</v>
      </c>
      <c r="D2939" t="s">
        <v>7022</v>
      </c>
      <c r="E2939">
        <v>9548220865</v>
      </c>
      <c r="F2939" t="s">
        <v>7023</v>
      </c>
      <c r="G2939" t="s">
        <v>7024</v>
      </c>
      <c r="I2939" t="s">
        <v>7025</v>
      </c>
      <c r="J2939" s="13">
        <v>45992</v>
      </c>
      <c r="K2939" s="13">
        <v>46023</v>
      </c>
      <c r="L2939" t="s">
        <v>497</v>
      </c>
      <c r="M2939" t="s">
        <v>54</v>
      </c>
      <c r="N2939">
        <v>72327790</v>
      </c>
    </row>
    <row r="2940" spans="1:14" x14ac:dyDescent="0.25">
      <c r="A2940">
        <v>58512079</v>
      </c>
      <c r="B2940" t="s">
        <v>7026</v>
      </c>
      <c r="C2940" t="s">
        <v>7027</v>
      </c>
      <c r="D2940" t="s">
        <v>7028</v>
      </c>
      <c r="E2940">
        <v>9132380018</v>
      </c>
      <c r="F2940" t="s">
        <v>474</v>
      </c>
      <c r="G2940" t="s">
        <v>475</v>
      </c>
      <c r="I2940" t="s">
        <v>132</v>
      </c>
      <c r="J2940" s="13">
        <v>45992</v>
      </c>
      <c r="K2940" s="13">
        <v>46023</v>
      </c>
      <c r="L2940" t="s">
        <v>520</v>
      </c>
      <c r="M2940" t="s">
        <v>56</v>
      </c>
      <c r="N2940">
        <v>72328323</v>
      </c>
    </row>
    <row r="2941" spans="1:14" x14ac:dyDescent="0.25">
      <c r="A2941">
        <v>58512274</v>
      </c>
      <c r="B2941" t="s">
        <v>730</v>
      </c>
      <c r="C2941" t="s">
        <v>7029</v>
      </c>
      <c r="D2941" t="s">
        <v>7030</v>
      </c>
      <c r="E2941">
        <v>8036675614</v>
      </c>
      <c r="F2941" t="s">
        <v>957</v>
      </c>
      <c r="G2941" t="s">
        <v>958</v>
      </c>
      <c r="H2941" t="s">
        <v>959</v>
      </c>
      <c r="I2941" t="s">
        <v>960</v>
      </c>
      <c r="J2941" s="13">
        <v>45992</v>
      </c>
      <c r="K2941" s="13">
        <v>46023</v>
      </c>
      <c r="L2941" t="s">
        <v>533</v>
      </c>
      <c r="M2941" t="s">
        <v>58</v>
      </c>
      <c r="N2941">
        <v>72328355</v>
      </c>
    </row>
    <row r="2942" spans="1:14" x14ac:dyDescent="0.25">
      <c r="A2942">
        <v>58512299</v>
      </c>
      <c r="B2942" t="s">
        <v>3607</v>
      </c>
      <c r="C2942" t="s">
        <v>7031</v>
      </c>
      <c r="D2942" t="s">
        <v>7032</v>
      </c>
      <c r="E2942">
        <v>9565642687</v>
      </c>
      <c r="F2942" t="s">
        <v>780</v>
      </c>
      <c r="G2942" t="s">
        <v>781</v>
      </c>
      <c r="I2942" t="s">
        <v>20</v>
      </c>
      <c r="J2942" s="13">
        <v>45992</v>
      </c>
      <c r="K2942" s="13">
        <v>46023</v>
      </c>
      <c r="L2942" t="s">
        <v>444</v>
      </c>
      <c r="M2942" t="s">
        <v>55</v>
      </c>
      <c r="N2942">
        <v>72328458</v>
      </c>
    </row>
    <row r="2943" spans="1:14" x14ac:dyDescent="0.25">
      <c r="A2943">
        <v>58512382</v>
      </c>
      <c r="B2943" t="s">
        <v>5666</v>
      </c>
      <c r="C2943" t="s">
        <v>7033</v>
      </c>
      <c r="D2943" t="s">
        <v>7034</v>
      </c>
      <c r="E2943">
        <v>5614106650</v>
      </c>
      <c r="F2943" t="s">
        <v>828</v>
      </c>
      <c r="G2943" t="s">
        <v>1148</v>
      </c>
      <c r="I2943" t="s">
        <v>17</v>
      </c>
      <c r="J2943" s="13">
        <v>45992</v>
      </c>
      <c r="K2943" s="13">
        <v>46023</v>
      </c>
      <c r="L2943" t="s">
        <v>497</v>
      </c>
      <c r="M2943" t="s">
        <v>60</v>
      </c>
      <c r="N2943">
        <v>72328500</v>
      </c>
    </row>
    <row r="2944" spans="1:14" x14ac:dyDescent="0.25">
      <c r="A2944">
        <v>58514092</v>
      </c>
      <c r="B2944" t="s">
        <v>867</v>
      </c>
      <c r="C2944" t="s">
        <v>4137</v>
      </c>
      <c r="D2944" t="s">
        <v>7035</v>
      </c>
      <c r="E2944">
        <v>8134803409</v>
      </c>
      <c r="F2944" t="s">
        <v>775</v>
      </c>
      <c r="G2944" t="s">
        <v>776</v>
      </c>
      <c r="I2944" t="s">
        <v>22</v>
      </c>
      <c r="J2944" s="13">
        <v>45992</v>
      </c>
      <c r="K2944" s="13">
        <v>46023</v>
      </c>
      <c r="L2944" t="s">
        <v>497</v>
      </c>
      <c r="M2944" t="s">
        <v>61</v>
      </c>
      <c r="N2944">
        <v>72329182</v>
      </c>
    </row>
    <row r="2945" spans="1:14" x14ac:dyDescent="0.25">
      <c r="A2945">
        <v>58513552</v>
      </c>
      <c r="B2945" t="s">
        <v>7036</v>
      </c>
      <c r="C2945" t="s">
        <v>564</v>
      </c>
      <c r="D2945" t="s">
        <v>7037</v>
      </c>
      <c r="E2945">
        <v>7868533250</v>
      </c>
      <c r="F2945" t="s">
        <v>842</v>
      </c>
      <c r="G2945" t="s">
        <v>843</v>
      </c>
      <c r="I2945" t="s">
        <v>98</v>
      </c>
      <c r="J2945" s="13">
        <v>45992</v>
      </c>
      <c r="K2945" s="13">
        <v>46023</v>
      </c>
      <c r="L2945" t="s">
        <v>621</v>
      </c>
      <c r="M2945" t="s">
        <v>59</v>
      </c>
      <c r="N2945">
        <v>72329360</v>
      </c>
    </row>
    <row r="2946" spans="1:14" x14ac:dyDescent="0.25">
      <c r="A2946">
        <v>58514651</v>
      </c>
      <c r="B2946" t="s">
        <v>1237</v>
      </c>
      <c r="C2946" t="s">
        <v>6360</v>
      </c>
      <c r="D2946" t="s">
        <v>7038</v>
      </c>
      <c r="E2946">
        <v>9045601216</v>
      </c>
      <c r="F2946" t="s">
        <v>7039</v>
      </c>
      <c r="G2946" t="s">
        <v>1167</v>
      </c>
      <c r="I2946" t="s">
        <v>91</v>
      </c>
      <c r="J2946" s="13">
        <v>45992</v>
      </c>
      <c r="K2946" s="13">
        <v>46023</v>
      </c>
      <c r="L2946" t="s">
        <v>497</v>
      </c>
      <c r="M2946" t="s">
        <v>58</v>
      </c>
      <c r="N2946">
        <v>72329987</v>
      </c>
    </row>
    <row r="2947" spans="1:14" x14ac:dyDescent="0.25">
      <c r="A2947">
        <v>58515079</v>
      </c>
      <c r="B2947" t="s">
        <v>7040</v>
      </c>
      <c r="C2947" t="s">
        <v>6454</v>
      </c>
      <c r="D2947" t="s">
        <v>7041</v>
      </c>
      <c r="E2947" t="s">
        <v>7042</v>
      </c>
      <c r="F2947" t="s">
        <v>423</v>
      </c>
      <c r="G2947" t="s">
        <v>424</v>
      </c>
      <c r="I2947" t="s">
        <v>46</v>
      </c>
      <c r="J2947" s="13">
        <v>45992</v>
      </c>
      <c r="K2947" s="13">
        <v>46023</v>
      </c>
      <c r="L2947" t="s">
        <v>1179</v>
      </c>
      <c r="M2947" t="s">
        <v>59</v>
      </c>
      <c r="N2947">
        <v>72330090</v>
      </c>
    </row>
    <row r="2948" spans="1:14" x14ac:dyDescent="0.25">
      <c r="A2948">
        <v>58515019</v>
      </c>
      <c r="B2948" t="s">
        <v>7043</v>
      </c>
      <c r="C2948" t="s">
        <v>7044</v>
      </c>
      <c r="D2948" t="s">
        <v>7045</v>
      </c>
      <c r="E2948">
        <v>4175542530</v>
      </c>
      <c r="F2948" t="s">
        <v>551</v>
      </c>
      <c r="G2948" t="s">
        <v>552</v>
      </c>
      <c r="I2948" t="s">
        <v>42</v>
      </c>
      <c r="J2948" s="13">
        <v>45992</v>
      </c>
      <c r="K2948" s="13">
        <v>46023</v>
      </c>
      <c r="L2948" t="s">
        <v>434</v>
      </c>
      <c r="M2948" t="s">
        <v>56</v>
      </c>
      <c r="N2948">
        <v>72330204</v>
      </c>
    </row>
    <row r="2949" spans="1:14" x14ac:dyDescent="0.25">
      <c r="A2949">
        <v>58514970</v>
      </c>
      <c r="B2949" t="s">
        <v>1260</v>
      </c>
      <c r="C2949" t="s">
        <v>2880</v>
      </c>
      <c r="D2949" t="s">
        <v>7046</v>
      </c>
      <c r="E2949">
        <v>4803720605</v>
      </c>
      <c r="F2949" t="s">
        <v>842</v>
      </c>
      <c r="G2949" t="s">
        <v>1213</v>
      </c>
      <c r="I2949" t="s">
        <v>1214</v>
      </c>
      <c r="J2949" s="13">
        <v>45992</v>
      </c>
      <c r="K2949" s="13">
        <v>46023</v>
      </c>
      <c r="L2949" t="s">
        <v>1179</v>
      </c>
      <c r="M2949" t="s">
        <v>54</v>
      </c>
      <c r="N2949">
        <v>72330205</v>
      </c>
    </row>
    <row r="2950" spans="1:14" x14ac:dyDescent="0.25">
      <c r="A2950">
        <v>58515856</v>
      </c>
      <c r="B2950" t="s">
        <v>645</v>
      </c>
      <c r="C2950" t="s">
        <v>1348</v>
      </c>
      <c r="D2950" t="s">
        <v>7047</v>
      </c>
      <c r="E2950">
        <v>6023913057</v>
      </c>
      <c r="F2950" t="s">
        <v>462</v>
      </c>
      <c r="G2950" t="s">
        <v>463</v>
      </c>
      <c r="I2950" t="s">
        <v>39</v>
      </c>
      <c r="J2950" s="13">
        <v>45992</v>
      </c>
      <c r="K2950" s="13">
        <v>46023</v>
      </c>
      <c r="L2950" t="s">
        <v>1179</v>
      </c>
      <c r="M2950" t="s">
        <v>54</v>
      </c>
      <c r="N2950">
        <v>72330784</v>
      </c>
    </row>
    <row r="2951" spans="1:14" x14ac:dyDescent="0.25">
      <c r="A2951">
        <v>58516441</v>
      </c>
      <c r="B2951" t="s">
        <v>7048</v>
      </c>
      <c r="C2951" t="s">
        <v>840</v>
      </c>
      <c r="D2951" t="s">
        <v>7049</v>
      </c>
      <c r="E2951">
        <v>8437515351</v>
      </c>
      <c r="F2951" t="s">
        <v>628</v>
      </c>
      <c r="G2951" t="s">
        <v>629</v>
      </c>
      <c r="I2951" t="s">
        <v>24</v>
      </c>
      <c r="J2951" s="13">
        <v>45992</v>
      </c>
      <c r="K2951" s="13">
        <v>46023</v>
      </c>
      <c r="L2951" t="s">
        <v>533</v>
      </c>
      <c r="M2951" t="s">
        <v>59</v>
      </c>
      <c r="N2951">
        <v>72331085</v>
      </c>
    </row>
    <row r="2952" spans="1:14" x14ac:dyDescent="0.25">
      <c r="A2952">
        <v>58517658</v>
      </c>
      <c r="B2952" t="s">
        <v>524</v>
      </c>
      <c r="C2952" t="s">
        <v>7050</v>
      </c>
      <c r="D2952" t="s">
        <v>7051</v>
      </c>
      <c r="E2952">
        <v>6232065324</v>
      </c>
      <c r="F2952" t="s">
        <v>423</v>
      </c>
      <c r="G2952" t="s">
        <v>424</v>
      </c>
      <c r="I2952" t="s">
        <v>46</v>
      </c>
      <c r="J2952" s="13">
        <v>45992</v>
      </c>
      <c r="K2952" s="13">
        <v>46023</v>
      </c>
      <c r="L2952" t="s">
        <v>1179</v>
      </c>
      <c r="M2952" t="s">
        <v>56</v>
      </c>
      <c r="N2952">
        <v>72331581</v>
      </c>
    </row>
    <row r="2953" spans="1:14" x14ac:dyDescent="0.25">
      <c r="A2953">
        <v>58517848</v>
      </c>
      <c r="B2953" t="s">
        <v>730</v>
      </c>
      <c r="C2953" t="s">
        <v>7052</v>
      </c>
      <c r="D2953" t="s">
        <v>7053</v>
      </c>
      <c r="E2953">
        <v>5027424366</v>
      </c>
      <c r="F2953" t="s">
        <v>957</v>
      </c>
      <c r="G2953" t="s">
        <v>958</v>
      </c>
      <c r="H2953" t="s">
        <v>959</v>
      </c>
      <c r="I2953" t="s">
        <v>960</v>
      </c>
      <c r="J2953" s="13">
        <v>45992</v>
      </c>
      <c r="K2953" s="13">
        <v>46023</v>
      </c>
      <c r="L2953" t="s">
        <v>490</v>
      </c>
      <c r="M2953" t="s">
        <v>56</v>
      </c>
      <c r="N2953">
        <v>72331914</v>
      </c>
    </row>
    <row r="2954" spans="1:14" x14ac:dyDescent="0.25">
      <c r="A2954">
        <v>58517828</v>
      </c>
      <c r="B2954" t="s">
        <v>1316</v>
      </c>
      <c r="C2954" t="s">
        <v>7054</v>
      </c>
      <c r="D2954" t="s">
        <v>7055</v>
      </c>
      <c r="E2954">
        <v>5202521322</v>
      </c>
      <c r="F2954" t="s">
        <v>6098</v>
      </c>
      <c r="G2954" t="s">
        <v>1213</v>
      </c>
      <c r="I2954" t="s">
        <v>21</v>
      </c>
      <c r="J2954" s="13">
        <v>45992</v>
      </c>
      <c r="K2954" s="13">
        <v>46023</v>
      </c>
      <c r="L2954" t="s">
        <v>1179</v>
      </c>
      <c r="M2954" t="s">
        <v>54</v>
      </c>
      <c r="N2954">
        <v>72331944</v>
      </c>
    </row>
    <row r="2955" spans="1:14" x14ac:dyDescent="0.25">
      <c r="A2955">
        <v>58518508</v>
      </c>
      <c r="B2955" t="s">
        <v>7056</v>
      </c>
      <c r="C2955" t="s">
        <v>7057</v>
      </c>
      <c r="D2955" t="s">
        <v>7058</v>
      </c>
      <c r="E2955">
        <v>2704590277</v>
      </c>
      <c r="F2955" t="s">
        <v>798</v>
      </c>
      <c r="G2955" t="s">
        <v>799</v>
      </c>
      <c r="I2955" t="s">
        <v>800</v>
      </c>
      <c r="J2955" s="13">
        <v>45992</v>
      </c>
      <c r="K2955" s="13">
        <v>46023</v>
      </c>
      <c r="L2955" t="s">
        <v>490</v>
      </c>
      <c r="M2955" t="s">
        <v>58</v>
      </c>
      <c r="N2955">
        <v>72332263</v>
      </c>
    </row>
    <row r="2956" spans="1:14" x14ac:dyDescent="0.25">
      <c r="A2956">
        <v>58518669</v>
      </c>
      <c r="B2956" t="s">
        <v>1518</v>
      </c>
      <c r="C2956" t="s">
        <v>5116</v>
      </c>
      <c r="D2956" t="s">
        <v>7059</v>
      </c>
      <c r="E2956">
        <v>8652968184</v>
      </c>
      <c r="F2956" t="s">
        <v>1142</v>
      </c>
      <c r="G2956" t="s">
        <v>1143</v>
      </c>
      <c r="I2956" t="s">
        <v>124</v>
      </c>
      <c r="J2956" s="13">
        <v>45992</v>
      </c>
      <c r="K2956" s="13">
        <v>46023</v>
      </c>
      <c r="L2956" t="s">
        <v>479</v>
      </c>
      <c r="M2956" t="s">
        <v>59</v>
      </c>
      <c r="N2956">
        <v>72332354</v>
      </c>
    </row>
    <row r="2957" spans="1:14" x14ac:dyDescent="0.25">
      <c r="A2957">
        <v>58518918</v>
      </c>
      <c r="B2957" t="s">
        <v>5569</v>
      </c>
      <c r="C2957" t="s">
        <v>7060</v>
      </c>
      <c r="D2957" t="s">
        <v>7061</v>
      </c>
      <c r="E2957">
        <v>4842191345</v>
      </c>
      <c r="F2957" t="s">
        <v>705</v>
      </c>
      <c r="G2957" t="s">
        <v>706</v>
      </c>
      <c r="I2957" t="s">
        <v>12</v>
      </c>
      <c r="J2957" s="13">
        <v>45992</v>
      </c>
      <c r="K2957" s="13">
        <v>46023</v>
      </c>
      <c r="L2957" t="s">
        <v>539</v>
      </c>
      <c r="M2957" t="s">
        <v>60</v>
      </c>
      <c r="N2957">
        <v>72332476</v>
      </c>
    </row>
    <row r="2958" spans="1:14" x14ac:dyDescent="0.25">
      <c r="A2958">
        <v>58519149</v>
      </c>
      <c r="B2958" t="s">
        <v>7062</v>
      </c>
      <c r="C2958" t="s">
        <v>7063</v>
      </c>
      <c r="D2958" t="s">
        <v>7064</v>
      </c>
      <c r="E2958">
        <v>6028362533</v>
      </c>
      <c r="F2958" t="s">
        <v>615</v>
      </c>
      <c r="G2958" t="s">
        <v>616</v>
      </c>
      <c r="I2958" t="s">
        <v>617</v>
      </c>
      <c r="J2958" s="13">
        <v>45992</v>
      </c>
      <c r="K2958" s="13">
        <v>46023</v>
      </c>
      <c r="L2958" t="s">
        <v>1179</v>
      </c>
      <c r="M2958" t="s">
        <v>54</v>
      </c>
      <c r="N2958">
        <v>72332613</v>
      </c>
    </row>
    <row r="2959" spans="1:14" x14ac:dyDescent="0.25">
      <c r="A2959">
        <v>58519229</v>
      </c>
      <c r="B2959" t="s">
        <v>477</v>
      </c>
      <c r="C2959" t="s">
        <v>1300</v>
      </c>
      <c r="D2959" t="s">
        <v>7065</v>
      </c>
      <c r="E2959">
        <v>3378064030</v>
      </c>
      <c r="F2959" t="s">
        <v>828</v>
      </c>
      <c r="G2959" t="s">
        <v>1148</v>
      </c>
      <c r="I2959" t="s">
        <v>17</v>
      </c>
      <c r="J2959" s="13">
        <v>45992</v>
      </c>
      <c r="K2959" s="13">
        <v>46023</v>
      </c>
      <c r="L2959" t="s">
        <v>612</v>
      </c>
      <c r="M2959" t="s">
        <v>419</v>
      </c>
      <c r="N2959">
        <v>72332661</v>
      </c>
    </row>
    <row r="2960" spans="1:14" x14ac:dyDescent="0.25">
      <c r="A2960">
        <v>58519994</v>
      </c>
      <c r="B2960" t="s">
        <v>2360</v>
      </c>
      <c r="C2960" t="s">
        <v>3542</v>
      </c>
      <c r="D2960" t="s">
        <v>7066</v>
      </c>
      <c r="E2960">
        <v>4699851282</v>
      </c>
      <c r="F2960" t="s">
        <v>1147</v>
      </c>
      <c r="G2960" t="s">
        <v>1148</v>
      </c>
      <c r="I2960" t="s">
        <v>41</v>
      </c>
      <c r="J2960" s="13">
        <v>45992</v>
      </c>
      <c r="K2960" s="13">
        <v>46023</v>
      </c>
      <c r="L2960" t="s">
        <v>444</v>
      </c>
      <c r="M2960" t="s">
        <v>56</v>
      </c>
      <c r="N2960">
        <v>72332666</v>
      </c>
    </row>
    <row r="2961" spans="1:14" x14ac:dyDescent="0.25">
      <c r="A2961">
        <v>58519349</v>
      </c>
      <c r="B2961" t="s">
        <v>7067</v>
      </c>
      <c r="C2961" t="s">
        <v>7068</v>
      </c>
      <c r="D2961" t="s">
        <v>7069</v>
      </c>
      <c r="E2961">
        <v>2077400016</v>
      </c>
      <c r="F2961" t="s">
        <v>780</v>
      </c>
      <c r="G2961" t="s">
        <v>781</v>
      </c>
      <c r="I2961" t="s">
        <v>20</v>
      </c>
      <c r="J2961" s="13">
        <v>45992</v>
      </c>
      <c r="K2961" s="13">
        <v>46023</v>
      </c>
      <c r="L2961" t="s">
        <v>941</v>
      </c>
      <c r="M2961" t="s">
        <v>56</v>
      </c>
      <c r="N2961">
        <v>72332714</v>
      </c>
    </row>
    <row r="2962" spans="1:14" x14ac:dyDescent="0.25">
      <c r="A2962">
        <v>58519390</v>
      </c>
      <c r="B2962" t="s">
        <v>730</v>
      </c>
      <c r="C2962" t="s">
        <v>4396</v>
      </c>
      <c r="D2962" t="s">
        <v>7070</v>
      </c>
      <c r="E2962">
        <v>8594943722</v>
      </c>
      <c r="F2962" t="s">
        <v>842</v>
      </c>
      <c r="G2962" t="s">
        <v>843</v>
      </c>
      <c r="I2962" t="s">
        <v>98</v>
      </c>
      <c r="J2962" s="13">
        <v>45992</v>
      </c>
      <c r="K2962" s="13">
        <v>46023</v>
      </c>
      <c r="L2962" t="s">
        <v>490</v>
      </c>
      <c r="M2962" t="s">
        <v>59</v>
      </c>
      <c r="N2962">
        <v>72332745</v>
      </c>
    </row>
    <row r="2963" spans="1:14" x14ac:dyDescent="0.25">
      <c r="A2963">
        <v>58519505</v>
      </c>
      <c r="B2963" t="s">
        <v>3231</v>
      </c>
      <c r="C2963" t="s">
        <v>7071</v>
      </c>
      <c r="D2963" t="s">
        <v>7072</v>
      </c>
      <c r="E2963">
        <v>4805213445</v>
      </c>
      <c r="F2963" t="s">
        <v>416</v>
      </c>
      <c r="G2963" t="s">
        <v>417</v>
      </c>
      <c r="I2963" t="s">
        <v>26</v>
      </c>
      <c r="J2963" s="13">
        <v>45992</v>
      </c>
      <c r="K2963" s="13">
        <v>46023</v>
      </c>
      <c r="L2963" t="s">
        <v>1179</v>
      </c>
      <c r="M2963" t="s">
        <v>54</v>
      </c>
      <c r="N2963">
        <v>72332805</v>
      </c>
    </row>
    <row r="2964" spans="1:14" x14ac:dyDescent="0.25">
      <c r="A2964">
        <v>60406686</v>
      </c>
      <c r="B2964" t="s">
        <v>7073</v>
      </c>
      <c r="C2964" t="s">
        <v>5897</v>
      </c>
      <c r="D2964" t="s">
        <v>7074</v>
      </c>
      <c r="E2964" t="s">
        <v>7075</v>
      </c>
      <c r="F2964" t="s">
        <v>790</v>
      </c>
      <c r="G2964" t="s">
        <v>791</v>
      </c>
      <c r="I2964" t="s">
        <v>119</v>
      </c>
      <c r="J2964" s="13">
        <v>46063</v>
      </c>
      <c r="K2964" s="13">
        <v>46082</v>
      </c>
      <c r="L2964" t="s">
        <v>621</v>
      </c>
      <c r="M2964" t="s">
        <v>56</v>
      </c>
      <c r="N2964">
        <v>72332878</v>
      </c>
    </row>
    <row r="2965" spans="1:14" x14ac:dyDescent="0.25">
      <c r="A2965">
        <v>58520274</v>
      </c>
      <c r="B2965" t="s">
        <v>4697</v>
      </c>
      <c r="C2965" t="s">
        <v>7076</v>
      </c>
      <c r="D2965" t="s">
        <v>7077</v>
      </c>
      <c r="E2965">
        <v>7274105202</v>
      </c>
      <c r="F2965" t="s">
        <v>775</v>
      </c>
      <c r="G2965" t="s">
        <v>776</v>
      </c>
      <c r="I2965" t="s">
        <v>22</v>
      </c>
      <c r="J2965" s="13">
        <v>45992</v>
      </c>
      <c r="K2965" s="13">
        <v>46023</v>
      </c>
      <c r="L2965" t="s">
        <v>497</v>
      </c>
      <c r="M2965" t="s">
        <v>56</v>
      </c>
      <c r="N2965">
        <v>72333212</v>
      </c>
    </row>
    <row r="2966" spans="1:14" x14ac:dyDescent="0.25">
      <c r="A2966">
        <v>58520305</v>
      </c>
      <c r="B2966" t="s">
        <v>672</v>
      </c>
      <c r="C2966" t="s">
        <v>7078</v>
      </c>
      <c r="D2966" t="s">
        <v>7079</v>
      </c>
      <c r="E2966">
        <v>9046804759</v>
      </c>
      <c r="F2966" t="s">
        <v>474</v>
      </c>
      <c r="G2966" t="s">
        <v>475</v>
      </c>
      <c r="I2966" t="s">
        <v>132</v>
      </c>
      <c r="J2966" s="13">
        <v>45992</v>
      </c>
      <c r="K2966" s="13">
        <v>46023</v>
      </c>
      <c r="L2966" t="s">
        <v>497</v>
      </c>
      <c r="M2966" t="s">
        <v>60</v>
      </c>
      <c r="N2966">
        <v>72333255</v>
      </c>
    </row>
    <row r="2967" spans="1:14" x14ac:dyDescent="0.25">
      <c r="A2967">
        <v>58520679</v>
      </c>
      <c r="B2967" t="s">
        <v>498</v>
      </c>
      <c r="C2967" t="s">
        <v>7080</v>
      </c>
      <c r="D2967" t="s">
        <v>7081</v>
      </c>
      <c r="E2967">
        <v>4792642961</v>
      </c>
      <c r="F2967" t="s">
        <v>815</v>
      </c>
      <c r="G2967" t="s">
        <v>816</v>
      </c>
      <c r="I2967" t="s">
        <v>23</v>
      </c>
      <c r="J2967" s="13">
        <v>45992</v>
      </c>
      <c r="K2967" s="13">
        <v>46023</v>
      </c>
      <c r="L2967" t="s">
        <v>553</v>
      </c>
      <c r="M2967" t="s">
        <v>58</v>
      </c>
      <c r="N2967">
        <v>72333476</v>
      </c>
    </row>
    <row r="2968" spans="1:14" x14ac:dyDescent="0.25">
      <c r="A2968">
        <v>58520926</v>
      </c>
      <c r="B2968" t="s">
        <v>1072</v>
      </c>
      <c r="C2968" t="s">
        <v>2939</v>
      </c>
      <c r="D2968" t="s">
        <v>7082</v>
      </c>
      <c r="E2968">
        <v>9103365385</v>
      </c>
      <c r="F2968" t="s">
        <v>569</v>
      </c>
      <c r="G2968" t="s">
        <v>570</v>
      </c>
      <c r="I2968" t="s">
        <v>34</v>
      </c>
      <c r="J2968" s="13">
        <v>45992</v>
      </c>
      <c r="K2968" s="13">
        <v>46023</v>
      </c>
      <c r="L2968" t="s">
        <v>603</v>
      </c>
      <c r="M2968" t="s">
        <v>58</v>
      </c>
      <c r="N2968">
        <v>72333615</v>
      </c>
    </row>
    <row r="2969" spans="1:14" x14ac:dyDescent="0.25">
      <c r="A2969">
        <v>58521112</v>
      </c>
      <c r="B2969" t="s">
        <v>7083</v>
      </c>
      <c r="C2969" t="s">
        <v>7084</v>
      </c>
      <c r="D2969" t="s">
        <v>7085</v>
      </c>
      <c r="E2969">
        <v>6233775401</v>
      </c>
      <c r="F2969" t="s">
        <v>957</v>
      </c>
      <c r="G2969" t="s">
        <v>958</v>
      </c>
      <c r="H2969" t="s">
        <v>959</v>
      </c>
      <c r="I2969" t="s">
        <v>960</v>
      </c>
      <c r="J2969" s="13">
        <v>45992</v>
      </c>
      <c r="K2969" s="13">
        <v>46023</v>
      </c>
      <c r="L2969" t="s">
        <v>1179</v>
      </c>
      <c r="M2969" t="s">
        <v>56</v>
      </c>
      <c r="N2969">
        <v>72333673</v>
      </c>
    </row>
    <row r="2970" spans="1:14" x14ac:dyDescent="0.25">
      <c r="A2970">
        <v>58521420</v>
      </c>
      <c r="B2970" t="s">
        <v>498</v>
      </c>
      <c r="C2970" t="s">
        <v>7086</v>
      </c>
      <c r="D2970" t="s">
        <v>7087</v>
      </c>
      <c r="E2970">
        <v>6024009717</v>
      </c>
      <c r="F2970" t="s">
        <v>1013</v>
      </c>
      <c r="G2970" t="s">
        <v>1014</v>
      </c>
      <c r="I2970" t="s">
        <v>43</v>
      </c>
      <c r="J2970" s="13">
        <v>45992</v>
      </c>
      <c r="K2970" s="13">
        <v>46023</v>
      </c>
      <c r="L2970" t="s">
        <v>1179</v>
      </c>
      <c r="M2970" t="s">
        <v>55</v>
      </c>
      <c r="N2970">
        <v>72333965</v>
      </c>
    </row>
    <row r="2971" spans="1:14" x14ac:dyDescent="0.25">
      <c r="A2971">
        <v>58521692</v>
      </c>
      <c r="B2971" t="s">
        <v>1747</v>
      </c>
      <c r="C2971" t="s">
        <v>7088</v>
      </c>
      <c r="D2971" t="s">
        <v>7089</v>
      </c>
      <c r="E2971">
        <v>3528956454</v>
      </c>
      <c r="F2971" t="s">
        <v>551</v>
      </c>
      <c r="G2971" t="s">
        <v>552</v>
      </c>
      <c r="I2971" t="s">
        <v>42</v>
      </c>
      <c r="J2971" s="13">
        <v>45992</v>
      </c>
      <c r="K2971" s="13">
        <v>46023</v>
      </c>
      <c r="L2971" t="s">
        <v>497</v>
      </c>
      <c r="M2971" t="s">
        <v>60</v>
      </c>
      <c r="N2971">
        <v>72334101</v>
      </c>
    </row>
    <row r="2972" spans="1:14" x14ac:dyDescent="0.25">
      <c r="A2972">
        <v>58522391</v>
      </c>
      <c r="B2972" t="s">
        <v>7090</v>
      </c>
      <c r="C2972" t="s">
        <v>7091</v>
      </c>
      <c r="D2972" t="s">
        <v>7092</v>
      </c>
      <c r="E2972">
        <v>3056063590</v>
      </c>
      <c r="F2972" t="s">
        <v>928</v>
      </c>
      <c r="G2972" t="s">
        <v>929</v>
      </c>
      <c r="I2972" t="s">
        <v>30</v>
      </c>
      <c r="J2972" s="13">
        <v>45992</v>
      </c>
      <c r="K2972" s="13">
        <v>46023</v>
      </c>
      <c r="L2972" t="s">
        <v>497</v>
      </c>
      <c r="M2972" t="s">
        <v>58</v>
      </c>
      <c r="N2972">
        <v>72334586</v>
      </c>
    </row>
    <row r="2973" spans="1:14" x14ac:dyDescent="0.25">
      <c r="A2973">
        <v>58522500</v>
      </c>
      <c r="B2973" t="s">
        <v>7093</v>
      </c>
      <c r="C2973" t="s">
        <v>7094</v>
      </c>
      <c r="D2973" t="s">
        <v>7095</v>
      </c>
      <c r="E2973">
        <v>8037881688</v>
      </c>
      <c r="F2973" t="s">
        <v>1067</v>
      </c>
      <c r="G2973" t="s">
        <v>1068</v>
      </c>
      <c r="I2973" t="s">
        <v>35</v>
      </c>
      <c r="J2973" s="13">
        <v>45992</v>
      </c>
      <c r="K2973" s="13">
        <v>46023</v>
      </c>
      <c r="L2973" t="s">
        <v>533</v>
      </c>
      <c r="M2973" t="s">
        <v>56</v>
      </c>
      <c r="N2973">
        <v>72334627</v>
      </c>
    </row>
    <row r="2974" spans="1:14" x14ac:dyDescent="0.25">
      <c r="A2974">
        <v>58522643</v>
      </c>
      <c r="B2974" t="s">
        <v>554</v>
      </c>
      <c r="C2974" t="s">
        <v>7096</v>
      </c>
      <c r="D2974" t="s">
        <v>7097</v>
      </c>
      <c r="E2974">
        <v>6024784724</v>
      </c>
      <c r="F2974" t="s">
        <v>615</v>
      </c>
      <c r="G2974" t="s">
        <v>616</v>
      </c>
      <c r="I2974" t="s">
        <v>617</v>
      </c>
      <c r="J2974" s="13">
        <v>45992</v>
      </c>
      <c r="K2974" s="13">
        <v>46023</v>
      </c>
      <c r="L2974" t="s">
        <v>1179</v>
      </c>
      <c r="M2974" t="s">
        <v>59</v>
      </c>
      <c r="N2974">
        <v>72334697</v>
      </c>
    </row>
    <row r="2975" spans="1:14" x14ac:dyDescent="0.25">
      <c r="A2975">
        <v>58522771</v>
      </c>
      <c r="B2975" t="s">
        <v>1747</v>
      </c>
      <c r="C2975" t="s">
        <v>7098</v>
      </c>
      <c r="D2975" t="s">
        <v>7099</v>
      </c>
      <c r="E2975">
        <v>5204428770</v>
      </c>
      <c r="F2975" t="s">
        <v>4853</v>
      </c>
      <c r="G2975" t="s">
        <v>5017</v>
      </c>
      <c r="I2975" t="s">
        <v>5018</v>
      </c>
      <c r="J2975" s="13">
        <v>45992</v>
      </c>
      <c r="K2975" s="13">
        <v>46023</v>
      </c>
      <c r="L2975" t="s">
        <v>1179</v>
      </c>
      <c r="M2975" t="s">
        <v>54</v>
      </c>
      <c r="N2975">
        <v>72334759</v>
      </c>
    </row>
    <row r="2976" spans="1:14" x14ac:dyDescent="0.25">
      <c r="A2976">
        <v>58522904</v>
      </c>
      <c r="B2976" t="s">
        <v>990</v>
      </c>
      <c r="C2976" t="s">
        <v>1287</v>
      </c>
      <c r="D2976" t="s">
        <v>7100</v>
      </c>
      <c r="E2976">
        <v>5206321512</v>
      </c>
      <c r="F2976" t="s">
        <v>842</v>
      </c>
      <c r="G2976" t="s">
        <v>1213</v>
      </c>
      <c r="I2976" t="s">
        <v>1214</v>
      </c>
      <c r="J2976" s="13">
        <v>45992</v>
      </c>
      <c r="K2976" s="13">
        <v>46023</v>
      </c>
      <c r="L2976" t="s">
        <v>1179</v>
      </c>
      <c r="M2976" t="s">
        <v>54</v>
      </c>
      <c r="N2976">
        <v>72334856</v>
      </c>
    </row>
    <row r="2977" spans="1:14" x14ac:dyDescent="0.25">
      <c r="A2977">
        <v>58523233</v>
      </c>
      <c r="B2977" t="s">
        <v>1123</v>
      </c>
      <c r="C2977" t="s">
        <v>5942</v>
      </c>
      <c r="D2977" t="s">
        <v>7101</v>
      </c>
      <c r="E2977">
        <v>9107452478</v>
      </c>
      <c r="F2977" t="s">
        <v>790</v>
      </c>
      <c r="G2977" t="s">
        <v>791</v>
      </c>
      <c r="I2977" t="s">
        <v>119</v>
      </c>
      <c r="J2977" s="13">
        <v>45992</v>
      </c>
      <c r="K2977" s="13">
        <v>46023</v>
      </c>
      <c r="L2977" t="s">
        <v>603</v>
      </c>
      <c r="M2977" t="s">
        <v>58</v>
      </c>
      <c r="N2977">
        <v>72335047</v>
      </c>
    </row>
    <row r="2978" spans="1:14" x14ac:dyDescent="0.25">
      <c r="A2978">
        <v>58523302</v>
      </c>
      <c r="B2978" t="s">
        <v>7102</v>
      </c>
      <c r="C2978" t="s">
        <v>7103</v>
      </c>
      <c r="D2978" t="s">
        <v>7104</v>
      </c>
      <c r="E2978">
        <v>2252802833</v>
      </c>
      <c r="F2978" t="s">
        <v>1013</v>
      </c>
      <c r="G2978" t="s">
        <v>1014</v>
      </c>
      <c r="I2978" t="s">
        <v>43</v>
      </c>
      <c r="J2978" s="13">
        <v>45992</v>
      </c>
      <c r="K2978" s="13">
        <v>46023</v>
      </c>
      <c r="L2978" t="s">
        <v>612</v>
      </c>
      <c r="M2978" t="s">
        <v>419</v>
      </c>
      <c r="N2978">
        <v>72335084</v>
      </c>
    </row>
    <row r="2979" spans="1:14" x14ac:dyDescent="0.25">
      <c r="A2979">
        <v>58523454</v>
      </c>
      <c r="B2979" t="s">
        <v>3758</v>
      </c>
      <c r="C2979" t="s">
        <v>847</v>
      </c>
      <c r="D2979" t="s">
        <v>7105</v>
      </c>
      <c r="E2979">
        <v>9282425981</v>
      </c>
      <c r="F2979" t="s">
        <v>416</v>
      </c>
      <c r="G2979" t="s">
        <v>417</v>
      </c>
      <c r="I2979" t="s">
        <v>26</v>
      </c>
      <c r="J2979" s="13">
        <v>45992</v>
      </c>
      <c r="K2979" s="13">
        <v>46023</v>
      </c>
      <c r="L2979" t="s">
        <v>1179</v>
      </c>
      <c r="M2979" t="s">
        <v>61</v>
      </c>
      <c r="N2979">
        <v>72335184</v>
      </c>
    </row>
    <row r="2980" spans="1:14" x14ac:dyDescent="0.25">
      <c r="A2980">
        <v>58523611</v>
      </c>
      <c r="B2980" t="s">
        <v>7106</v>
      </c>
      <c r="C2980" t="s">
        <v>6723</v>
      </c>
      <c r="D2980" t="s">
        <v>7107</v>
      </c>
      <c r="E2980">
        <v>5615797363</v>
      </c>
      <c r="F2980" t="s">
        <v>569</v>
      </c>
      <c r="G2980" t="s">
        <v>570</v>
      </c>
      <c r="I2980" t="s">
        <v>34</v>
      </c>
      <c r="J2980" s="13">
        <v>45992</v>
      </c>
      <c r="K2980" s="13">
        <v>46023</v>
      </c>
      <c r="L2980" t="s">
        <v>497</v>
      </c>
      <c r="M2980" t="s">
        <v>56</v>
      </c>
      <c r="N2980">
        <v>72335267</v>
      </c>
    </row>
    <row r="2981" spans="1:14" x14ac:dyDescent="0.25">
      <c r="A2981">
        <v>58523724</v>
      </c>
      <c r="B2981" t="s">
        <v>5994</v>
      </c>
      <c r="C2981" t="s">
        <v>7108</v>
      </c>
      <c r="D2981" t="s">
        <v>7109</v>
      </c>
      <c r="E2981">
        <v>9544043290</v>
      </c>
      <c r="F2981" t="s">
        <v>798</v>
      </c>
      <c r="G2981" t="s">
        <v>799</v>
      </c>
      <c r="I2981" t="s">
        <v>800</v>
      </c>
      <c r="J2981" s="13">
        <v>45992</v>
      </c>
      <c r="K2981" s="13">
        <v>46023</v>
      </c>
      <c r="L2981" t="s">
        <v>497</v>
      </c>
      <c r="M2981" t="s">
        <v>56</v>
      </c>
      <c r="N2981">
        <v>72335323</v>
      </c>
    </row>
    <row r="2982" spans="1:14" x14ac:dyDescent="0.25">
      <c r="A2982">
        <v>58525071</v>
      </c>
      <c r="B2982" t="s">
        <v>787</v>
      </c>
      <c r="C2982" t="s">
        <v>6095</v>
      </c>
      <c r="D2982" t="s">
        <v>7110</v>
      </c>
      <c r="E2982">
        <v>8138021380</v>
      </c>
      <c r="F2982" t="s">
        <v>775</v>
      </c>
      <c r="G2982" t="s">
        <v>776</v>
      </c>
      <c r="I2982" t="s">
        <v>22</v>
      </c>
      <c r="J2982" s="13">
        <v>45992</v>
      </c>
      <c r="K2982" s="13">
        <v>46023</v>
      </c>
      <c r="L2982" t="s">
        <v>497</v>
      </c>
      <c r="M2982" t="s">
        <v>56</v>
      </c>
      <c r="N2982">
        <v>72335499</v>
      </c>
    </row>
    <row r="2983" spans="1:14" x14ac:dyDescent="0.25">
      <c r="A2983">
        <v>58525338</v>
      </c>
      <c r="B2983" t="s">
        <v>7111</v>
      </c>
      <c r="C2983" t="s">
        <v>5465</v>
      </c>
      <c r="D2983" t="s">
        <v>7112</v>
      </c>
      <c r="E2983">
        <v>3182980114</v>
      </c>
      <c r="F2983" t="s">
        <v>649</v>
      </c>
      <c r="G2983" t="s">
        <v>650</v>
      </c>
      <c r="I2983" t="s">
        <v>28</v>
      </c>
      <c r="J2983" s="13">
        <v>45992</v>
      </c>
      <c r="K2983" s="13">
        <v>46023</v>
      </c>
      <c r="L2983" t="s">
        <v>612</v>
      </c>
      <c r="M2983" t="s">
        <v>56</v>
      </c>
      <c r="N2983">
        <v>72335669</v>
      </c>
    </row>
    <row r="2984" spans="1:14" x14ac:dyDescent="0.25">
      <c r="A2984">
        <v>58525425</v>
      </c>
      <c r="B2984" t="s">
        <v>3191</v>
      </c>
      <c r="C2984" t="s">
        <v>2092</v>
      </c>
      <c r="D2984" t="s">
        <v>7113</v>
      </c>
      <c r="E2984">
        <v>6029993193</v>
      </c>
      <c r="F2984" t="s">
        <v>416</v>
      </c>
      <c r="G2984" t="s">
        <v>417</v>
      </c>
      <c r="I2984" t="s">
        <v>26</v>
      </c>
      <c r="J2984" s="13">
        <v>45992</v>
      </c>
      <c r="K2984" s="13">
        <v>46023</v>
      </c>
      <c r="L2984" t="s">
        <v>1179</v>
      </c>
      <c r="M2984" t="s">
        <v>59</v>
      </c>
      <c r="N2984">
        <v>72335711</v>
      </c>
    </row>
    <row r="2985" spans="1:14" x14ac:dyDescent="0.25">
      <c r="A2985">
        <v>58525674</v>
      </c>
      <c r="B2985" t="s">
        <v>7114</v>
      </c>
      <c r="C2985" t="s">
        <v>1348</v>
      </c>
      <c r="D2985" t="s">
        <v>7115</v>
      </c>
      <c r="E2985">
        <v>9282331415</v>
      </c>
      <c r="F2985" t="s">
        <v>957</v>
      </c>
      <c r="G2985" t="s">
        <v>958</v>
      </c>
      <c r="H2985" t="s">
        <v>959</v>
      </c>
      <c r="I2985" t="s">
        <v>960</v>
      </c>
      <c r="J2985" s="13">
        <v>45992</v>
      </c>
      <c r="K2985" s="13">
        <v>46023</v>
      </c>
      <c r="L2985" t="s">
        <v>1179</v>
      </c>
      <c r="M2985" t="s">
        <v>58</v>
      </c>
      <c r="N2985">
        <v>72335854</v>
      </c>
    </row>
    <row r="2986" spans="1:14" x14ac:dyDescent="0.25">
      <c r="A2986">
        <v>58525906</v>
      </c>
      <c r="B2986" t="s">
        <v>1148</v>
      </c>
      <c r="C2986" t="s">
        <v>7116</v>
      </c>
      <c r="D2986" t="s">
        <v>7117</v>
      </c>
      <c r="E2986">
        <v>7082579502</v>
      </c>
      <c r="F2986" t="s">
        <v>790</v>
      </c>
      <c r="G2986" t="s">
        <v>791</v>
      </c>
      <c r="I2986" t="s">
        <v>119</v>
      </c>
      <c r="J2986" s="13">
        <v>45992</v>
      </c>
      <c r="K2986" s="13">
        <v>46023</v>
      </c>
      <c r="L2986" t="s">
        <v>470</v>
      </c>
      <c r="M2986" t="s">
        <v>62</v>
      </c>
      <c r="N2986">
        <v>72335921</v>
      </c>
    </row>
    <row r="2987" spans="1:14" x14ac:dyDescent="0.25">
      <c r="A2987">
        <v>58525784</v>
      </c>
      <c r="B2987" t="s">
        <v>2418</v>
      </c>
      <c r="C2987" t="s">
        <v>7118</v>
      </c>
      <c r="D2987" t="s">
        <v>7119</v>
      </c>
      <c r="E2987" t="s">
        <v>7120</v>
      </c>
      <c r="F2987" t="s">
        <v>615</v>
      </c>
      <c r="G2987" t="s">
        <v>616</v>
      </c>
      <c r="I2987" t="s">
        <v>617</v>
      </c>
      <c r="J2987" s="13">
        <v>45992</v>
      </c>
      <c r="K2987" s="13">
        <v>46023</v>
      </c>
      <c r="L2987" t="s">
        <v>497</v>
      </c>
      <c r="M2987" t="s">
        <v>56</v>
      </c>
      <c r="N2987">
        <v>72335937</v>
      </c>
    </row>
    <row r="2988" spans="1:14" x14ac:dyDescent="0.25">
      <c r="A2988">
        <v>58529331</v>
      </c>
      <c r="B2988" t="s">
        <v>2041</v>
      </c>
      <c r="C2988" t="s">
        <v>7121</v>
      </c>
      <c r="D2988" t="s">
        <v>7122</v>
      </c>
      <c r="E2988" t="s">
        <v>7123</v>
      </c>
      <c r="F2988" t="s">
        <v>474</v>
      </c>
      <c r="G2988" t="s">
        <v>475</v>
      </c>
      <c r="I2988" t="s">
        <v>132</v>
      </c>
      <c r="J2988" s="13">
        <v>45993</v>
      </c>
      <c r="K2988" s="13">
        <v>46023</v>
      </c>
      <c r="L2988" t="s">
        <v>497</v>
      </c>
      <c r="M2988" t="s">
        <v>59</v>
      </c>
      <c r="N2988">
        <v>72338740</v>
      </c>
    </row>
    <row r="2989" spans="1:14" x14ac:dyDescent="0.25">
      <c r="A2989">
        <v>58530861</v>
      </c>
      <c r="B2989" t="s">
        <v>5027</v>
      </c>
      <c r="C2989" t="s">
        <v>5428</v>
      </c>
      <c r="D2989" t="s">
        <v>7124</v>
      </c>
      <c r="E2989">
        <v>3099108099</v>
      </c>
      <c r="F2989" t="s">
        <v>448</v>
      </c>
      <c r="G2989" t="s">
        <v>449</v>
      </c>
      <c r="I2989" t="s">
        <v>31</v>
      </c>
      <c r="J2989" s="13">
        <v>45993</v>
      </c>
      <c r="K2989" s="13">
        <v>46023</v>
      </c>
      <c r="L2989" t="s">
        <v>470</v>
      </c>
      <c r="M2989" t="s">
        <v>56</v>
      </c>
      <c r="N2989">
        <v>72339814</v>
      </c>
    </row>
    <row r="2990" spans="1:14" x14ac:dyDescent="0.25">
      <c r="A2990">
        <v>58531213</v>
      </c>
      <c r="B2990" t="s">
        <v>7125</v>
      </c>
      <c r="C2990" t="s">
        <v>5417</v>
      </c>
      <c r="D2990" t="s">
        <v>7126</v>
      </c>
      <c r="E2990">
        <v>3045455514</v>
      </c>
      <c r="F2990" t="s">
        <v>649</v>
      </c>
      <c r="G2990" t="s">
        <v>650</v>
      </c>
      <c r="I2990" t="s">
        <v>28</v>
      </c>
      <c r="J2990" s="13">
        <v>45993</v>
      </c>
      <c r="K2990" s="13">
        <v>46023</v>
      </c>
      <c r="L2990" t="s">
        <v>1188</v>
      </c>
      <c r="M2990" t="s">
        <v>56</v>
      </c>
      <c r="N2990">
        <v>72340050</v>
      </c>
    </row>
    <row r="2991" spans="1:14" x14ac:dyDescent="0.25">
      <c r="A2991">
        <v>58531668</v>
      </c>
      <c r="B2991" t="s">
        <v>2006</v>
      </c>
      <c r="C2991" t="s">
        <v>7127</v>
      </c>
      <c r="D2991" t="s">
        <v>7128</v>
      </c>
      <c r="E2991">
        <v>9417261380</v>
      </c>
      <c r="F2991" t="s">
        <v>775</v>
      </c>
      <c r="G2991" t="s">
        <v>776</v>
      </c>
      <c r="I2991" t="s">
        <v>22</v>
      </c>
      <c r="J2991" s="13">
        <v>45993</v>
      </c>
      <c r="K2991" s="13">
        <v>46023</v>
      </c>
      <c r="L2991" t="s">
        <v>497</v>
      </c>
      <c r="M2991" t="s">
        <v>56</v>
      </c>
      <c r="N2991">
        <v>72340435</v>
      </c>
    </row>
    <row r="2992" spans="1:14" x14ac:dyDescent="0.25">
      <c r="A2992">
        <v>58531865</v>
      </c>
      <c r="B2992" t="s">
        <v>4811</v>
      </c>
      <c r="C2992" t="s">
        <v>7129</v>
      </c>
      <c r="D2992" t="s">
        <v>7130</v>
      </c>
      <c r="E2992">
        <v>9043650659</v>
      </c>
      <c r="F2992" t="s">
        <v>416</v>
      </c>
      <c r="G2992" t="s">
        <v>417</v>
      </c>
      <c r="I2992" t="s">
        <v>26</v>
      </c>
      <c r="J2992" s="13">
        <v>45993</v>
      </c>
      <c r="K2992" s="13">
        <v>46023</v>
      </c>
      <c r="L2992" t="s">
        <v>497</v>
      </c>
      <c r="M2992" t="s">
        <v>54</v>
      </c>
      <c r="N2992">
        <v>72340562</v>
      </c>
    </row>
    <row r="2993" spans="1:14" x14ac:dyDescent="0.25">
      <c r="A2993">
        <v>58532970</v>
      </c>
      <c r="B2993" t="s">
        <v>7131</v>
      </c>
      <c r="C2993" t="s">
        <v>7132</v>
      </c>
      <c r="D2993" t="s">
        <v>7133</v>
      </c>
      <c r="E2993">
        <v>7208295159</v>
      </c>
      <c r="F2993" t="s">
        <v>423</v>
      </c>
      <c r="G2993" t="s">
        <v>424</v>
      </c>
      <c r="I2993" t="s">
        <v>46</v>
      </c>
      <c r="J2993" s="13">
        <v>45993</v>
      </c>
      <c r="K2993" s="13">
        <v>46023</v>
      </c>
      <c r="L2993" t="s">
        <v>539</v>
      </c>
      <c r="M2993" t="s">
        <v>59</v>
      </c>
      <c r="N2993">
        <v>72341047</v>
      </c>
    </row>
    <row r="2994" spans="1:14" x14ac:dyDescent="0.25">
      <c r="A2994">
        <v>58533186</v>
      </c>
      <c r="B2994" t="s">
        <v>1784</v>
      </c>
      <c r="C2994" t="s">
        <v>2780</v>
      </c>
      <c r="D2994" t="s">
        <v>7134</v>
      </c>
      <c r="E2994">
        <v>9725231873</v>
      </c>
      <c r="F2994" t="s">
        <v>448</v>
      </c>
      <c r="G2994" t="s">
        <v>449</v>
      </c>
      <c r="I2994" t="s">
        <v>31</v>
      </c>
      <c r="J2994" s="13">
        <v>45993</v>
      </c>
      <c r="K2994" s="13">
        <v>46023</v>
      </c>
      <c r="L2994" t="s">
        <v>444</v>
      </c>
      <c r="M2994" t="s">
        <v>58</v>
      </c>
      <c r="N2994">
        <v>72341445</v>
      </c>
    </row>
    <row r="2995" spans="1:14" x14ac:dyDescent="0.25">
      <c r="A2995">
        <v>58535017</v>
      </c>
      <c r="B2995" t="s">
        <v>7135</v>
      </c>
      <c r="C2995" t="s">
        <v>7136</v>
      </c>
      <c r="D2995" t="s">
        <v>7137</v>
      </c>
      <c r="E2995">
        <v>9103915633</v>
      </c>
      <c r="F2995" t="s">
        <v>790</v>
      </c>
      <c r="G2995" t="s">
        <v>791</v>
      </c>
      <c r="I2995" t="s">
        <v>119</v>
      </c>
      <c r="J2995" s="13">
        <v>45993</v>
      </c>
      <c r="K2995" s="13">
        <v>46023</v>
      </c>
      <c r="L2995" t="s">
        <v>603</v>
      </c>
      <c r="M2995" t="s">
        <v>58</v>
      </c>
      <c r="N2995">
        <v>72342085</v>
      </c>
    </row>
    <row r="2996" spans="1:14" x14ac:dyDescent="0.25">
      <c r="A2996">
        <v>58534385</v>
      </c>
      <c r="B2996" t="s">
        <v>1242</v>
      </c>
      <c r="C2996" t="s">
        <v>7138</v>
      </c>
      <c r="D2996" t="s">
        <v>7139</v>
      </c>
      <c r="E2996">
        <v>9282980304</v>
      </c>
      <c r="F2996" t="s">
        <v>842</v>
      </c>
      <c r="G2996" t="s">
        <v>1213</v>
      </c>
      <c r="I2996" t="s">
        <v>1214</v>
      </c>
      <c r="J2996" s="13">
        <v>45993</v>
      </c>
      <c r="K2996" s="13">
        <v>46023</v>
      </c>
      <c r="L2996" t="s">
        <v>1179</v>
      </c>
      <c r="M2996" t="s">
        <v>54</v>
      </c>
      <c r="N2996">
        <v>72342292</v>
      </c>
    </row>
    <row r="2997" spans="1:14" x14ac:dyDescent="0.25">
      <c r="A2997">
        <v>58534560</v>
      </c>
      <c r="B2997" t="s">
        <v>476</v>
      </c>
      <c r="C2997" t="s">
        <v>7140</v>
      </c>
      <c r="D2997" t="s">
        <v>7141</v>
      </c>
      <c r="E2997">
        <v>2569041918</v>
      </c>
      <c r="F2997" t="s">
        <v>569</v>
      </c>
      <c r="G2997" t="s">
        <v>570</v>
      </c>
      <c r="I2997" t="s">
        <v>34</v>
      </c>
      <c r="J2997" s="13">
        <v>45993</v>
      </c>
      <c r="K2997" s="13">
        <v>46023</v>
      </c>
      <c r="L2997" t="s">
        <v>450</v>
      </c>
      <c r="M2997" t="s">
        <v>59</v>
      </c>
      <c r="N2997">
        <v>72342402</v>
      </c>
    </row>
    <row r="2998" spans="1:14" x14ac:dyDescent="0.25">
      <c r="A2998">
        <v>58536569</v>
      </c>
      <c r="B2998" t="s">
        <v>4535</v>
      </c>
      <c r="C2998" t="s">
        <v>7142</v>
      </c>
      <c r="D2998" t="s">
        <v>7143</v>
      </c>
      <c r="E2998">
        <v>3372443992</v>
      </c>
      <c r="F2998" t="s">
        <v>798</v>
      </c>
      <c r="G2998" t="s">
        <v>799</v>
      </c>
      <c r="I2998" t="s">
        <v>800</v>
      </c>
      <c r="J2998" s="13">
        <v>45993</v>
      </c>
      <c r="K2998" s="13">
        <v>46023</v>
      </c>
      <c r="L2998" t="s">
        <v>612</v>
      </c>
      <c r="M2998" t="s">
        <v>56</v>
      </c>
      <c r="N2998">
        <v>72343818</v>
      </c>
    </row>
    <row r="2999" spans="1:14" x14ac:dyDescent="0.25">
      <c r="A2999">
        <v>58537381</v>
      </c>
      <c r="B2999" t="s">
        <v>672</v>
      </c>
      <c r="C2999" t="s">
        <v>7144</v>
      </c>
      <c r="D2999" t="s">
        <v>7145</v>
      </c>
      <c r="E2999">
        <v>2109571630</v>
      </c>
      <c r="F2999" t="s">
        <v>592</v>
      </c>
      <c r="G2999" t="s">
        <v>593</v>
      </c>
      <c r="I2999" t="s">
        <v>115</v>
      </c>
      <c r="J2999" s="13">
        <v>45993</v>
      </c>
      <c r="K2999" s="13">
        <v>46023</v>
      </c>
      <c r="L2999" t="s">
        <v>444</v>
      </c>
      <c r="M2999" t="s">
        <v>59</v>
      </c>
      <c r="N2999">
        <v>72344366</v>
      </c>
    </row>
    <row r="3000" spans="1:14" x14ac:dyDescent="0.25">
      <c r="A3000">
        <v>58538570</v>
      </c>
      <c r="B3000" t="s">
        <v>948</v>
      </c>
      <c r="C3000" t="s">
        <v>7146</v>
      </c>
      <c r="D3000" t="s">
        <v>7147</v>
      </c>
      <c r="E3000">
        <v>2564415032</v>
      </c>
      <c r="F3000" t="s">
        <v>423</v>
      </c>
      <c r="G3000" t="s">
        <v>424</v>
      </c>
      <c r="I3000" t="s">
        <v>46</v>
      </c>
      <c r="J3000" s="13">
        <v>45993</v>
      </c>
      <c r="K3000" s="13">
        <v>46023</v>
      </c>
      <c r="L3000" t="s">
        <v>450</v>
      </c>
      <c r="M3000" t="s">
        <v>56</v>
      </c>
      <c r="N3000">
        <v>72344685</v>
      </c>
    </row>
    <row r="3001" spans="1:14" x14ac:dyDescent="0.25">
      <c r="A3001">
        <v>58538724</v>
      </c>
      <c r="B3001" t="s">
        <v>7148</v>
      </c>
      <c r="C3001" t="s">
        <v>7149</v>
      </c>
      <c r="D3001" t="s">
        <v>7150</v>
      </c>
      <c r="E3001">
        <v>8592029440</v>
      </c>
      <c r="F3001" t="s">
        <v>551</v>
      </c>
      <c r="G3001" t="s">
        <v>552</v>
      </c>
      <c r="I3001" t="s">
        <v>42</v>
      </c>
      <c r="J3001" s="13">
        <v>45993</v>
      </c>
      <c r="K3001" s="13">
        <v>46023</v>
      </c>
      <c r="L3001" t="s">
        <v>490</v>
      </c>
      <c r="M3001" t="s">
        <v>59</v>
      </c>
      <c r="N3001">
        <v>72345184</v>
      </c>
    </row>
    <row r="3002" spans="1:14" x14ac:dyDescent="0.25">
      <c r="A3002">
        <v>58538985</v>
      </c>
      <c r="B3002" t="s">
        <v>7151</v>
      </c>
      <c r="C3002" t="s">
        <v>5550</v>
      </c>
      <c r="D3002" t="s">
        <v>7152</v>
      </c>
      <c r="E3002">
        <v>3059000710</v>
      </c>
      <c r="F3002" t="s">
        <v>780</v>
      </c>
      <c r="G3002" t="s">
        <v>781</v>
      </c>
      <c r="I3002" t="s">
        <v>20</v>
      </c>
      <c r="J3002" s="13">
        <v>45993</v>
      </c>
      <c r="K3002" s="13">
        <v>46023</v>
      </c>
      <c r="L3002" t="s">
        <v>497</v>
      </c>
      <c r="M3002" t="s">
        <v>61</v>
      </c>
      <c r="N3002">
        <v>72345388</v>
      </c>
    </row>
    <row r="3003" spans="1:14" x14ac:dyDescent="0.25">
      <c r="A3003">
        <v>58539013</v>
      </c>
      <c r="B3003" t="s">
        <v>7153</v>
      </c>
      <c r="C3003" t="s">
        <v>7154</v>
      </c>
      <c r="D3003" t="s">
        <v>7155</v>
      </c>
      <c r="E3003">
        <v>2054355566</v>
      </c>
      <c r="F3003" t="s">
        <v>474</v>
      </c>
      <c r="G3003" t="s">
        <v>475</v>
      </c>
      <c r="I3003" t="s">
        <v>132</v>
      </c>
      <c r="J3003" s="13">
        <v>45993</v>
      </c>
      <c r="K3003" s="13">
        <v>46023</v>
      </c>
      <c r="L3003" t="s">
        <v>450</v>
      </c>
      <c r="M3003" t="s">
        <v>58</v>
      </c>
      <c r="N3003">
        <v>72345409</v>
      </c>
    </row>
    <row r="3004" spans="1:14" x14ac:dyDescent="0.25">
      <c r="A3004">
        <v>58539091</v>
      </c>
      <c r="B3004" t="s">
        <v>2674</v>
      </c>
      <c r="C3004" t="s">
        <v>7156</v>
      </c>
      <c r="D3004" t="s">
        <v>7157</v>
      </c>
      <c r="E3004">
        <v>3046985997</v>
      </c>
      <c r="F3004" t="s">
        <v>1067</v>
      </c>
      <c r="G3004" t="s">
        <v>1068</v>
      </c>
      <c r="I3004" t="s">
        <v>35</v>
      </c>
      <c r="J3004" s="13">
        <v>45993</v>
      </c>
      <c r="K3004" s="13">
        <v>46023</v>
      </c>
      <c r="L3004" t="s">
        <v>1188</v>
      </c>
      <c r="M3004" t="s">
        <v>58</v>
      </c>
      <c r="N3004">
        <v>72345461</v>
      </c>
    </row>
    <row r="3005" spans="1:14" x14ac:dyDescent="0.25">
      <c r="A3005">
        <v>58539274</v>
      </c>
      <c r="B3005" t="s">
        <v>1566</v>
      </c>
      <c r="C3005" t="s">
        <v>7158</v>
      </c>
      <c r="D3005" t="s">
        <v>7159</v>
      </c>
      <c r="E3005" t="s">
        <v>7160</v>
      </c>
      <c r="F3005" t="s">
        <v>770</v>
      </c>
      <c r="G3005" t="s">
        <v>771</v>
      </c>
      <c r="I3005" t="s">
        <v>25</v>
      </c>
      <c r="J3005" s="13">
        <v>45993</v>
      </c>
      <c r="K3005" s="13">
        <v>46023</v>
      </c>
      <c r="L3005" t="s">
        <v>603</v>
      </c>
      <c r="M3005" t="s">
        <v>56</v>
      </c>
      <c r="N3005">
        <v>72345597</v>
      </c>
    </row>
    <row r="3006" spans="1:14" x14ac:dyDescent="0.25">
      <c r="A3006">
        <v>58539376</v>
      </c>
      <c r="B3006" t="s">
        <v>7161</v>
      </c>
      <c r="C3006" t="s">
        <v>1203</v>
      </c>
      <c r="D3006" t="s">
        <v>7162</v>
      </c>
      <c r="E3006">
        <v>5615740639</v>
      </c>
      <c r="F3006" t="s">
        <v>462</v>
      </c>
      <c r="G3006" t="s">
        <v>463</v>
      </c>
      <c r="I3006" t="s">
        <v>39</v>
      </c>
      <c r="J3006" s="13">
        <v>45993</v>
      </c>
      <c r="K3006" s="13">
        <v>46023</v>
      </c>
      <c r="L3006" t="s">
        <v>497</v>
      </c>
      <c r="M3006" t="s">
        <v>56</v>
      </c>
      <c r="N3006">
        <v>72345664</v>
      </c>
    </row>
    <row r="3007" spans="1:14" x14ac:dyDescent="0.25">
      <c r="A3007">
        <v>58539387</v>
      </c>
      <c r="B3007" t="s">
        <v>2771</v>
      </c>
      <c r="C3007" t="s">
        <v>7163</v>
      </c>
      <c r="D3007" t="s">
        <v>7164</v>
      </c>
      <c r="E3007">
        <v>8165470329</v>
      </c>
      <c r="F3007" t="s">
        <v>574</v>
      </c>
      <c r="G3007" t="s">
        <v>575</v>
      </c>
      <c r="I3007" t="s">
        <v>14</v>
      </c>
      <c r="J3007" s="13">
        <v>45993</v>
      </c>
      <c r="K3007" s="13">
        <v>46023</v>
      </c>
      <c r="L3007" t="s">
        <v>434</v>
      </c>
      <c r="M3007" t="s">
        <v>56</v>
      </c>
      <c r="N3007">
        <v>72345669</v>
      </c>
    </row>
    <row r="3008" spans="1:14" x14ac:dyDescent="0.25">
      <c r="A3008">
        <v>58539715</v>
      </c>
      <c r="B3008" t="s">
        <v>1370</v>
      </c>
      <c r="C3008" t="s">
        <v>5109</v>
      </c>
      <c r="D3008" t="s">
        <v>7165</v>
      </c>
      <c r="E3008">
        <v>6064613495</v>
      </c>
      <c r="F3008" t="s">
        <v>928</v>
      </c>
      <c r="G3008" t="s">
        <v>929</v>
      </c>
      <c r="I3008" t="s">
        <v>30</v>
      </c>
      <c r="J3008" s="13">
        <v>45993</v>
      </c>
      <c r="K3008" s="13">
        <v>46023</v>
      </c>
      <c r="L3008" t="s">
        <v>490</v>
      </c>
      <c r="M3008" t="s">
        <v>58</v>
      </c>
      <c r="N3008">
        <v>72345859</v>
      </c>
    </row>
    <row r="3009" spans="1:14" x14ac:dyDescent="0.25">
      <c r="A3009">
        <v>58540748</v>
      </c>
      <c r="B3009" t="s">
        <v>3557</v>
      </c>
      <c r="C3009" t="s">
        <v>1543</v>
      </c>
      <c r="D3009" t="s">
        <v>7166</v>
      </c>
      <c r="E3009">
        <v>3162582341</v>
      </c>
      <c r="F3009" t="s">
        <v>537</v>
      </c>
      <c r="G3009" t="s">
        <v>538</v>
      </c>
      <c r="I3009" t="s">
        <v>49</v>
      </c>
      <c r="J3009" s="13">
        <v>45993</v>
      </c>
      <c r="K3009" s="13">
        <v>46023</v>
      </c>
      <c r="L3009" t="s">
        <v>520</v>
      </c>
      <c r="M3009" t="s">
        <v>56</v>
      </c>
      <c r="N3009">
        <v>72346559</v>
      </c>
    </row>
    <row r="3010" spans="1:14" x14ac:dyDescent="0.25">
      <c r="A3010">
        <v>58542105</v>
      </c>
      <c r="B3010" t="s">
        <v>498</v>
      </c>
      <c r="C3010" t="s">
        <v>7167</v>
      </c>
      <c r="D3010" t="s">
        <v>7168</v>
      </c>
      <c r="E3010">
        <v>3375206164</v>
      </c>
      <c r="F3010" t="s">
        <v>775</v>
      </c>
      <c r="G3010" t="s">
        <v>776</v>
      </c>
      <c r="I3010" t="s">
        <v>22</v>
      </c>
      <c r="J3010" s="13">
        <v>45993</v>
      </c>
      <c r="K3010" s="13">
        <v>46023</v>
      </c>
      <c r="L3010" t="s">
        <v>612</v>
      </c>
      <c r="M3010" t="s">
        <v>56</v>
      </c>
      <c r="N3010">
        <v>72347629</v>
      </c>
    </row>
    <row r="3011" spans="1:14" x14ac:dyDescent="0.25">
      <c r="A3011">
        <v>58543478</v>
      </c>
      <c r="B3011" t="s">
        <v>1784</v>
      </c>
      <c r="C3011" t="s">
        <v>1129</v>
      </c>
      <c r="D3011" t="s">
        <v>7169</v>
      </c>
      <c r="E3011">
        <v>9045022002</v>
      </c>
      <c r="F3011" t="s">
        <v>423</v>
      </c>
      <c r="G3011" t="s">
        <v>424</v>
      </c>
      <c r="I3011" t="s">
        <v>46</v>
      </c>
      <c r="J3011" s="13">
        <v>45993</v>
      </c>
      <c r="K3011" s="13">
        <v>46023</v>
      </c>
      <c r="L3011" t="s">
        <v>497</v>
      </c>
      <c r="M3011" t="s">
        <v>59</v>
      </c>
      <c r="N3011">
        <v>72348031</v>
      </c>
    </row>
    <row r="3012" spans="1:14" x14ac:dyDescent="0.25">
      <c r="A3012">
        <v>58543730</v>
      </c>
      <c r="B3012" t="s">
        <v>7170</v>
      </c>
      <c r="C3012" t="s">
        <v>5858</v>
      </c>
      <c r="D3012" t="s">
        <v>7171</v>
      </c>
      <c r="E3012">
        <v>9044546699</v>
      </c>
      <c r="F3012" t="s">
        <v>569</v>
      </c>
      <c r="G3012" t="s">
        <v>570</v>
      </c>
      <c r="I3012" t="s">
        <v>34</v>
      </c>
      <c r="J3012" s="13">
        <v>45993</v>
      </c>
      <c r="K3012" s="13">
        <v>46023</v>
      </c>
      <c r="L3012" t="s">
        <v>497</v>
      </c>
      <c r="M3012" t="s">
        <v>56</v>
      </c>
      <c r="N3012">
        <v>72348803</v>
      </c>
    </row>
    <row r="3013" spans="1:14" x14ac:dyDescent="0.25">
      <c r="A3013">
        <v>58545118</v>
      </c>
      <c r="B3013" t="s">
        <v>1041</v>
      </c>
      <c r="C3013" t="s">
        <v>7172</v>
      </c>
      <c r="D3013" t="s">
        <v>7173</v>
      </c>
      <c r="E3013">
        <v>9282428296</v>
      </c>
      <c r="F3013" t="s">
        <v>1345</v>
      </c>
      <c r="G3013" t="s">
        <v>799</v>
      </c>
      <c r="I3013" t="s">
        <v>47</v>
      </c>
      <c r="J3013" s="13">
        <v>45993</v>
      </c>
      <c r="K3013" s="13">
        <v>46023</v>
      </c>
      <c r="L3013" t="s">
        <v>1179</v>
      </c>
      <c r="M3013" t="s">
        <v>54</v>
      </c>
      <c r="N3013">
        <v>72349794</v>
      </c>
    </row>
    <row r="3014" spans="1:14" x14ac:dyDescent="0.25">
      <c r="A3014">
        <v>58545292</v>
      </c>
      <c r="B3014" t="s">
        <v>7174</v>
      </c>
      <c r="C3014" t="s">
        <v>4378</v>
      </c>
      <c r="D3014" t="s">
        <v>7175</v>
      </c>
      <c r="E3014">
        <v>6022500091</v>
      </c>
      <c r="F3014" t="s">
        <v>615</v>
      </c>
      <c r="G3014" t="s">
        <v>616</v>
      </c>
      <c r="I3014" t="s">
        <v>617</v>
      </c>
      <c r="J3014" s="13">
        <v>45993</v>
      </c>
      <c r="K3014" s="13">
        <v>46023</v>
      </c>
      <c r="L3014" t="s">
        <v>1179</v>
      </c>
      <c r="M3014" t="s">
        <v>56</v>
      </c>
      <c r="N3014">
        <v>72349940</v>
      </c>
    </row>
    <row r="3015" spans="1:14" x14ac:dyDescent="0.25">
      <c r="A3015">
        <v>58545891</v>
      </c>
      <c r="B3015" t="s">
        <v>7176</v>
      </c>
      <c r="C3015" t="s">
        <v>7177</v>
      </c>
      <c r="D3015" t="s">
        <v>7178</v>
      </c>
      <c r="E3015">
        <v>6233449768</v>
      </c>
      <c r="F3015" t="s">
        <v>4853</v>
      </c>
      <c r="G3015" t="s">
        <v>5017</v>
      </c>
      <c r="I3015" t="s">
        <v>5018</v>
      </c>
      <c r="J3015" s="13">
        <v>45993</v>
      </c>
      <c r="K3015" s="13">
        <v>46023</v>
      </c>
      <c r="L3015" t="s">
        <v>1179</v>
      </c>
      <c r="M3015" t="s">
        <v>61</v>
      </c>
      <c r="N3015">
        <v>72350337</v>
      </c>
    </row>
    <row r="3016" spans="1:14" x14ac:dyDescent="0.25">
      <c r="A3016">
        <v>58546115</v>
      </c>
      <c r="B3016" t="s">
        <v>7179</v>
      </c>
      <c r="C3016" t="s">
        <v>7180</v>
      </c>
      <c r="D3016" t="s">
        <v>7181</v>
      </c>
      <c r="E3016">
        <v>7083778409</v>
      </c>
      <c r="F3016" t="s">
        <v>705</v>
      </c>
      <c r="G3016" t="s">
        <v>706</v>
      </c>
      <c r="I3016" t="s">
        <v>12</v>
      </c>
      <c r="J3016" s="13">
        <v>45993</v>
      </c>
      <c r="K3016" s="13">
        <v>46023</v>
      </c>
      <c r="L3016" t="s">
        <v>553</v>
      </c>
      <c r="M3016" t="s">
        <v>56</v>
      </c>
      <c r="N3016">
        <v>72350478</v>
      </c>
    </row>
    <row r="3017" spans="1:14" x14ac:dyDescent="0.25">
      <c r="A3017">
        <v>58546384</v>
      </c>
      <c r="B3017" t="s">
        <v>737</v>
      </c>
      <c r="C3017" t="s">
        <v>7182</v>
      </c>
      <c r="D3017" t="s">
        <v>7183</v>
      </c>
      <c r="E3017">
        <v>5735403396</v>
      </c>
      <c r="F3017" t="s">
        <v>1013</v>
      </c>
      <c r="G3017" t="s">
        <v>1014</v>
      </c>
      <c r="I3017" t="s">
        <v>43</v>
      </c>
      <c r="J3017" s="13">
        <v>45993</v>
      </c>
      <c r="K3017" s="13">
        <v>46023</v>
      </c>
      <c r="L3017" t="s">
        <v>434</v>
      </c>
      <c r="M3017" t="s">
        <v>56</v>
      </c>
      <c r="N3017">
        <v>72350639</v>
      </c>
    </row>
    <row r="3018" spans="1:14" x14ac:dyDescent="0.25">
      <c r="A3018">
        <v>58546712</v>
      </c>
      <c r="B3018" t="s">
        <v>7184</v>
      </c>
      <c r="C3018" t="s">
        <v>7185</v>
      </c>
      <c r="D3018" t="s">
        <v>7186</v>
      </c>
      <c r="E3018">
        <v>6185009860</v>
      </c>
      <c r="F3018" t="s">
        <v>790</v>
      </c>
      <c r="G3018" t="s">
        <v>791</v>
      </c>
      <c r="I3018" t="s">
        <v>119</v>
      </c>
      <c r="J3018" s="13">
        <v>45993</v>
      </c>
      <c r="K3018" s="13">
        <v>46023</v>
      </c>
      <c r="L3018" t="s">
        <v>470</v>
      </c>
      <c r="M3018" t="s">
        <v>58</v>
      </c>
      <c r="N3018">
        <v>72350817</v>
      </c>
    </row>
    <row r="3019" spans="1:14" x14ac:dyDescent="0.25">
      <c r="A3019">
        <v>58547756</v>
      </c>
      <c r="B3019" t="s">
        <v>7187</v>
      </c>
      <c r="C3019" t="s">
        <v>7188</v>
      </c>
      <c r="D3019" t="s">
        <v>7189</v>
      </c>
      <c r="E3019">
        <v>8137280656</v>
      </c>
      <c r="F3019" t="s">
        <v>423</v>
      </c>
      <c r="G3019" t="s">
        <v>424</v>
      </c>
      <c r="I3019" t="s">
        <v>46</v>
      </c>
      <c r="J3019" s="13">
        <v>45993</v>
      </c>
      <c r="K3019" s="13">
        <v>46023</v>
      </c>
      <c r="L3019" t="s">
        <v>497</v>
      </c>
      <c r="M3019" t="s">
        <v>56</v>
      </c>
      <c r="N3019">
        <v>72351185</v>
      </c>
    </row>
    <row r="3020" spans="1:14" x14ac:dyDescent="0.25">
      <c r="A3020">
        <v>58547396</v>
      </c>
      <c r="B3020" t="s">
        <v>7190</v>
      </c>
      <c r="C3020" t="s">
        <v>7191</v>
      </c>
      <c r="D3020" t="s">
        <v>7192</v>
      </c>
      <c r="E3020">
        <v>9044263734</v>
      </c>
      <c r="F3020" t="s">
        <v>494</v>
      </c>
      <c r="G3020" t="s">
        <v>495</v>
      </c>
      <c r="I3020" t="s">
        <v>496</v>
      </c>
      <c r="J3020" s="13">
        <v>45993</v>
      </c>
      <c r="K3020" s="13">
        <v>46023</v>
      </c>
      <c r="L3020" t="s">
        <v>497</v>
      </c>
      <c r="M3020" t="s">
        <v>59</v>
      </c>
      <c r="N3020">
        <v>72351266</v>
      </c>
    </row>
    <row r="3021" spans="1:14" x14ac:dyDescent="0.25">
      <c r="A3021">
        <v>58548041</v>
      </c>
      <c r="B3021" t="s">
        <v>951</v>
      </c>
      <c r="C3021" t="s">
        <v>5126</v>
      </c>
      <c r="D3021" t="s">
        <v>7193</v>
      </c>
      <c r="E3021">
        <v>7276231016</v>
      </c>
      <c r="F3021" t="s">
        <v>775</v>
      </c>
      <c r="G3021" t="s">
        <v>776</v>
      </c>
      <c r="I3021" t="s">
        <v>22</v>
      </c>
      <c r="J3021" s="13">
        <v>45993</v>
      </c>
      <c r="K3021" s="13">
        <v>46023</v>
      </c>
      <c r="L3021" t="s">
        <v>497</v>
      </c>
      <c r="M3021" t="s">
        <v>56</v>
      </c>
      <c r="N3021">
        <v>72351681</v>
      </c>
    </row>
    <row r="3022" spans="1:14" x14ac:dyDescent="0.25">
      <c r="A3022">
        <v>62397681</v>
      </c>
      <c r="B3022" t="s">
        <v>7194</v>
      </c>
      <c r="C3022" t="s">
        <v>903</v>
      </c>
      <c r="D3022" t="s">
        <v>7195</v>
      </c>
      <c r="E3022">
        <v>6782506659</v>
      </c>
      <c r="F3022" t="s">
        <v>416</v>
      </c>
      <c r="G3022" t="s">
        <v>417</v>
      </c>
      <c r="I3022" t="s">
        <v>26</v>
      </c>
      <c r="J3022" s="13">
        <v>46112</v>
      </c>
      <c r="K3022" s="13">
        <v>46113</v>
      </c>
      <c r="L3022" t="s">
        <v>621</v>
      </c>
      <c r="M3022" t="s">
        <v>56</v>
      </c>
      <c r="N3022">
        <v>72352155</v>
      </c>
    </row>
    <row r="3023" spans="1:14" x14ac:dyDescent="0.25">
      <c r="A3023">
        <v>58549121</v>
      </c>
      <c r="B3023" t="s">
        <v>2232</v>
      </c>
      <c r="C3023" t="s">
        <v>7196</v>
      </c>
      <c r="D3023" t="s">
        <v>7197</v>
      </c>
      <c r="E3023">
        <v>3867488806</v>
      </c>
      <c r="F3023" t="s">
        <v>815</v>
      </c>
      <c r="G3023" t="s">
        <v>816</v>
      </c>
      <c r="I3023" t="s">
        <v>23</v>
      </c>
      <c r="J3023" s="13">
        <v>45993</v>
      </c>
      <c r="K3023" s="13">
        <v>46023</v>
      </c>
      <c r="L3023" t="s">
        <v>497</v>
      </c>
      <c r="M3023" t="s">
        <v>58</v>
      </c>
      <c r="N3023">
        <v>72352439</v>
      </c>
    </row>
    <row r="3024" spans="1:14" x14ac:dyDescent="0.25">
      <c r="A3024">
        <v>58549359</v>
      </c>
      <c r="B3024" t="s">
        <v>2019</v>
      </c>
      <c r="C3024" t="s">
        <v>7198</v>
      </c>
      <c r="D3024" t="s">
        <v>7199</v>
      </c>
      <c r="E3024">
        <v>9546051434</v>
      </c>
      <c r="F3024" t="s">
        <v>828</v>
      </c>
      <c r="G3024" t="s">
        <v>1148</v>
      </c>
      <c r="I3024" t="s">
        <v>17</v>
      </c>
      <c r="J3024" s="13">
        <v>45993</v>
      </c>
      <c r="K3024" s="13">
        <v>46023</v>
      </c>
      <c r="L3024" t="s">
        <v>533</v>
      </c>
      <c r="M3024" t="s">
        <v>58</v>
      </c>
      <c r="N3024">
        <v>72352591</v>
      </c>
    </row>
    <row r="3025" spans="1:14" x14ac:dyDescent="0.25">
      <c r="A3025">
        <v>58549792</v>
      </c>
      <c r="B3025" t="s">
        <v>5484</v>
      </c>
      <c r="C3025" t="s">
        <v>7200</v>
      </c>
      <c r="D3025" t="s">
        <v>7201</v>
      </c>
      <c r="E3025">
        <v>3217475280</v>
      </c>
      <c r="F3025" t="s">
        <v>416</v>
      </c>
      <c r="G3025" t="s">
        <v>417</v>
      </c>
      <c r="I3025" t="s">
        <v>26</v>
      </c>
      <c r="J3025" s="13">
        <v>45993</v>
      </c>
      <c r="K3025" s="13">
        <v>46023</v>
      </c>
      <c r="L3025" t="s">
        <v>497</v>
      </c>
      <c r="M3025" t="s">
        <v>59</v>
      </c>
      <c r="N3025">
        <v>72352910</v>
      </c>
    </row>
    <row r="3026" spans="1:14" x14ac:dyDescent="0.25">
      <c r="A3026">
        <v>58550051</v>
      </c>
      <c r="B3026" t="s">
        <v>1226</v>
      </c>
      <c r="C3026" t="s">
        <v>7202</v>
      </c>
      <c r="D3026" t="s">
        <v>7203</v>
      </c>
      <c r="E3026">
        <v>4343291418</v>
      </c>
      <c r="F3026" t="s">
        <v>957</v>
      </c>
      <c r="G3026" t="s">
        <v>958</v>
      </c>
      <c r="H3026" t="s">
        <v>959</v>
      </c>
      <c r="I3026" t="s">
        <v>960</v>
      </c>
      <c r="J3026" s="13">
        <v>45993</v>
      </c>
      <c r="K3026" s="13">
        <v>46023</v>
      </c>
      <c r="L3026" t="s">
        <v>454</v>
      </c>
      <c r="M3026" t="s">
        <v>419</v>
      </c>
      <c r="N3026">
        <v>72352992</v>
      </c>
    </row>
    <row r="3027" spans="1:14" x14ac:dyDescent="0.25">
      <c r="A3027">
        <v>58550834</v>
      </c>
      <c r="B3027" t="s">
        <v>431</v>
      </c>
      <c r="C3027" t="s">
        <v>7204</v>
      </c>
      <c r="D3027" t="s">
        <v>7205</v>
      </c>
      <c r="E3027">
        <v>4238882331</v>
      </c>
      <c r="F3027" t="s">
        <v>842</v>
      </c>
      <c r="G3027" t="s">
        <v>843</v>
      </c>
      <c r="I3027" t="s">
        <v>98</v>
      </c>
      <c r="J3027" s="13">
        <v>45993</v>
      </c>
      <c r="K3027" s="13">
        <v>46023</v>
      </c>
      <c r="L3027" t="s">
        <v>479</v>
      </c>
      <c r="M3027" t="s">
        <v>59</v>
      </c>
      <c r="N3027">
        <v>72353646</v>
      </c>
    </row>
    <row r="3028" spans="1:14" x14ac:dyDescent="0.25">
      <c r="A3028">
        <v>58551296</v>
      </c>
      <c r="B3028" t="s">
        <v>4334</v>
      </c>
      <c r="C3028" t="s">
        <v>3255</v>
      </c>
      <c r="D3028" t="s">
        <v>7206</v>
      </c>
      <c r="E3028">
        <v>7156800352</v>
      </c>
      <c r="F3028" t="s">
        <v>628</v>
      </c>
      <c r="G3028" t="s">
        <v>629</v>
      </c>
      <c r="I3028" t="s">
        <v>24</v>
      </c>
      <c r="J3028" s="13">
        <v>45993</v>
      </c>
      <c r="K3028" s="13">
        <v>46023</v>
      </c>
      <c r="L3028" t="s">
        <v>497</v>
      </c>
      <c r="M3028" t="s">
        <v>58</v>
      </c>
      <c r="N3028">
        <v>72353937</v>
      </c>
    </row>
    <row r="3029" spans="1:14" x14ac:dyDescent="0.25">
      <c r="A3029">
        <v>58551424</v>
      </c>
      <c r="B3029" t="s">
        <v>888</v>
      </c>
      <c r="C3029" t="s">
        <v>3284</v>
      </c>
      <c r="D3029" t="s">
        <v>7207</v>
      </c>
      <c r="E3029">
        <v>3369728924</v>
      </c>
      <c r="F3029" t="s">
        <v>448</v>
      </c>
      <c r="G3029" t="s">
        <v>449</v>
      </c>
      <c r="I3029" t="s">
        <v>31</v>
      </c>
      <c r="J3029" s="13">
        <v>45993</v>
      </c>
      <c r="K3029" s="13">
        <v>46023</v>
      </c>
      <c r="L3029" t="s">
        <v>603</v>
      </c>
      <c r="M3029" t="s">
        <v>59</v>
      </c>
      <c r="N3029">
        <v>72354018</v>
      </c>
    </row>
    <row r="3030" spans="1:14" x14ac:dyDescent="0.25">
      <c r="A3030">
        <v>58551528</v>
      </c>
      <c r="B3030" t="s">
        <v>812</v>
      </c>
      <c r="C3030" t="s">
        <v>7208</v>
      </c>
      <c r="D3030" t="s">
        <v>7209</v>
      </c>
      <c r="E3030">
        <v>4793520109</v>
      </c>
      <c r="F3030" t="s">
        <v>1013</v>
      </c>
      <c r="G3030" t="s">
        <v>1014</v>
      </c>
      <c r="I3030" t="s">
        <v>43</v>
      </c>
      <c r="J3030" s="13">
        <v>45993</v>
      </c>
      <c r="K3030" s="13">
        <v>46023</v>
      </c>
      <c r="L3030" t="s">
        <v>553</v>
      </c>
      <c r="M3030" t="s">
        <v>56</v>
      </c>
      <c r="N3030">
        <v>72354082</v>
      </c>
    </row>
    <row r="3031" spans="1:14" x14ac:dyDescent="0.25">
      <c r="A3031">
        <v>58552804</v>
      </c>
      <c r="B3031" t="s">
        <v>1472</v>
      </c>
      <c r="C3031" t="s">
        <v>7210</v>
      </c>
      <c r="D3031" t="s">
        <v>7211</v>
      </c>
      <c r="E3031">
        <v>6306705336</v>
      </c>
      <c r="F3031" t="s">
        <v>578</v>
      </c>
      <c r="G3031" t="s">
        <v>579</v>
      </c>
      <c r="I3031" t="s">
        <v>15</v>
      </c>
      <c r="J3031" s="13">
        <v>45993</v>
      </c>
      <c r="K3031" s="13">
        <v>46023</v>
      </c>
      <c r="L3031" t="s">
        <v>470</v>
      </c>
      <c r="M3031" t="s">
        <v>62</v>
      </c>
      <c r="N3031">
        <v>72354533</v>
      </c>
    </row>
    <row r="3032" spans="1:14" x14ac:dyDescent="0.25">
      <c r="A3032">
        <v>58552816</v>
      </c>
      <c r="B3032" t="s">
        <v>7212</v>
      </c>
      <c r="C3032" t="s">
        <v>1068</v>
      </c>
      <c r="D3032" t="s">
        <v>7213</v>
      </c>
      <c r="E3032">
        <v>7049856064</v>
      </c>
      <c r="F3032" t="s">
        <v>1067</v>
      </c>
      <c r="G3032" t="s">
        <v>1068</v>
      </c>
      <c r="I3032" t="s">
        <v>35</v>
      </c>
      <c r="J3032" s="13">
        <v>45993</v>
      </c>
      <c r="K3032" s="13">
        <v>46023</v>
      </c>
      <c r="L3032" t="s">
        <v>603</v>
      </c>
      <c r="M3032" t="s">
        <v>58</v>
      </c>
      <c r="N3032">
        <v>72354714</v>
      </c>
    </row>
    <row r="3033" spans="1:14" x14ac:dyDescent="0.25">
      <c r="A3033">
        <v>58553743</v>
      </c>
      <c r="B3033" t="s">
        <v>3702</v>
      </c>
      <c r="C3033" t="s">
        <v>7214</v>
      </c>
      <c r="D3033" t="s">
        <v>7215</v>
      </c>
      <c r="E3033">
        <v>6026154863</v>
      </c>
      <c r="F3033" t="s">
        <v>649</v>
      </c>
      <c r="G3033" t="s">
        <v>650</v>
      </c>
      <c r="I3033" t="s">
        <v>28</v>
      </c>
      <c r="J3033" s="13">
        <v>45993</v>
      </c>
      <c r="K3033" s="13">
        <v>46023</v>
      </c>
      <c r="L3033" t="s">
        <v>1179</v>
      </c>
      <c r="M3033" t="s">
        <v>55</v>
      </c>
      <c r="N3033">
        <v>72355074</v>
      </c>
    </row>
    <row r="3034" spans="1:14" x14ac:dyDescent="0.25">
      <c r="A3034">
        <v>58554117</v>
      </c>
      <c r="B3034" t="s">
        <v>3067</v>
      </c>
      <c r="C3034" t="s">
        <v>7216</v>
      </c>
      <c r="D3034" t="s">
        <v>7217</v>
      </c>
      <c r="E3034">
        <v>6068754515</v>
      </c>
      <c r="F3034" t="s">
        <v>574</v>
      </c>
      <c r="G3034" t="s">
        <v>575</v>
      </c>
      <c r="I3034" t="s">
        <v>14</v>
      </c>
      <c r="J3034" s="13">
        <v>45993</v>
      </c>
      <c r="K3034" s="13">
        <v>46023</v>
      </c>
      <c r="L3034" t="s">
        <v>490</v>
      </c>
      <c r="M3034" t="s">
        <v>56</v>
      </c>
      <c r="N3034">
        <v>72355218</v>
      </c>
    </row>
    <row r="3035" spans="1:14" x14ac:dyDescent="0.25">
      <c r="A3035">
        <v>58555721</v>
      </c>
      <c r="B3035" t="s">
        <v>1208</v>
      </c>
      <c r="C3035" t="s">
        <v>7218</v>
      </c>
      <c r="D3035" t="s">
        <v>7219</v>
      </c>
      <c r="E3035">
        <v>5202266501</v>
      </c>
      <c r="F3035" t="s">
        <v>416</v>
      </c>
      <c r="G3035" t="s">
        <v>417</v>
      </c>
      <c r="I3035" t="s">
        <v>26</v>
      </c>
      <c r="J3035" s="13">
        <v>45993</v>
      </c>
      <c r="K3035" s="13">
        <v>46023</v>
      </c>
      <c r="L3035" t="s">
        <v>1179</v>
      </c>
      <c r="M3035" t="s">
        <v>54</v>
      </c>
      <c r="N3035">
        <v>72356278</v>
      </c>
    </row>
    <row r="3036" spans="1:14" x14ac:dyDescent="0.25">
      <c r="A3036">
        <v>58555752</v>
      </c>
      <c r="B3036" t="s">
        <v>1978</v>
      </c>
      <c r="C3036" t="s">
        <v>7220</v>
      </c>
      <c r="D3036" t="s">
        <v>7221</v>
      </c>
      <c r="E3036">
        <v>2054872271</v>
      </c>
      <c r="F3036" t="s">
        <v>569</v>
      </c>
      <c r="G3036" t="s">
        <v>570</v>
      </c>
      <c r="I3036" t="s">
        <v>34</v>
      </c>
      <c r="J3036" s="13">
        <v>45993</v>
      </c>
      <c r="K3036" s="13">
        <v>46023</v>
      </c>
      <c r="L3036" t="s">
        <v>450</v>
      </c>
      <c r="M3036" t="s">
        <v>59</v>
      </c>
      <c r="N3036">
        <v>72356329</v>
      </c>
    </row>
    <row r="3037" spans="1:14" x14ac:dyDescent="0.25">
      <c r="A3037">
        <v>58557149</v>
      </c>
      <c r="B3037" t="s">
        <v>7222</v>
      </c>
      <c r="C3037" t="s">
        <v>4737</v>
      </c>
      <c r="D3037" t="s">
        <v>7223</v>
      </c>
      <c r="E3037">
        <v>5203402910</v>
      </c>
      <c r="F3037" t="s">
        <v>4853</v>
      </c>
      <c r="G3037" t="s">
        <v>5017</v>
      </c>
      <c r="I3037" t="s">
        <v>5018</v>
      </c>
      <c r="J3037" s="13">
        <v>45993</v>
      </c>
      <c r="K3037" s="13">
        <v>46023</v>
      </c>
      <c r="L3037" t="s">
        <v>1179</v>
      </c>
      <c r="M3037" t="s">
        <v>54</v>
      </c>
      <c r="N3037">
        <v>72357147</v>
      </c>
    </row>
    <row r="3038" spans="1:14" x14ac:dyDescent="0.25">
      <c r="A3038">
        <v>58560115</v>
      </c>
      <c r="B3038" t="s">
        <v>7224</v>
      </c>
      <c r="C3038" t="s">
        <v>4850</v>
      </c>
      <c r="D3038" t="s">
        <v>7225</v>
      </c>
      <c r="E3038">
        <v>2253026680</v>
      </c>
      <c r="F3038" t="s">
        <v>798</v>
      </c>
      <c r="G3038" t="s">
        <v>799</v>
      </c>
      <c r="I3038" t="s">
        <v>800</v>
      </c>
      <c r="J3038" s="13">
        <v>45993</v>
      </c>
      <c r="K3038" s="13">
        <v>46023</v>
      </c>
      <c r="L3038" t="s">
        <v>612</v>
      </c>
      <c r="M3038" t="s">
        <v>56</v>
      </c>
      <c r="N3038">
        <v>72358776</v>
      </c>
    </row>
    <row r="3039" spans="1:14" x14ac:dyDescent="0.25">
      <c r="A3039">
        <v>58560485</v>
      </c>
      <c r="B3039" t="s">
        <v>2198</v>
      </c>
      <c r="C3039" t="s">
        <v>546</v>
      </c>
      <c r="D3039" t="s">
        <v>7226</v>
      </c>
      <c r="E3039">
        <v>2055853685</v>
      </c>
      <c r="F3039" t="s">
        <v>1142</v>
      </c>
      <c r="G3039" t="s">
        <v>1143</v>
      </c>
      <c r="I3039" t="s">
        <v>124</v>
      </c>
      <c r="J3039" s="13">
        <v>45993</v>
      </c>
      <c r="K3039" s="13">
        <v>46023</v>
      </c>
      <c r="L3039" t="s">
        <v>450</v>
      </c>
      <c r="M3039" t="s">
        <v>56</v>
      </c>
      <c r="N3039">
        <v>72359002</v>
      </c>
    </row>
    <row r="3040" spans="1:14" x14ac:dyDescent="0.25">
      <c r="A3040">
        <v>58560660</v>
      </c>
      <c r="B3040" t="s">
        <v>545</v>
      </c>
      <c r="C3040" t="s">
        <v>7227</v>
      </c>
      <c r="D3040" t="s">
        <v>7228</v>
      </c>
      <c r="E3040">
        <v>9042488285</v>
      </c>
      <c r="F3040" t="s">
        <v>474</v>
      </c>
      <c r="G3040" t="s">
        <v>475</v>
      </c>
      <c r="I3040" t="s">
        <v>132</v>
      </c>
      <c r="J3040" s="13">
        <v>45993</v>
      </c>
      <c r="K3040" s="13">
        <v>46023</v>
      </c>
      <c r="L3040" t="s">
        <v>497</v>
      </c>
      <c r="M3040" t="s">
        <v>59</v>
      </c>
      <c r="N3040">
        <v>72359128</v>
      </c>
    </row>
    <row r="3041" spans="1:14" x14ac:dyDescent="0.25">
      <c r="A3041">
        <v>58560734</v>
      </c>
      <c r="B3041" t="s">
        <v>480</v>
      </c>
      <c r="C3041" t="s">
        <v>4037</v>
      </c>
      <c r="D3041" t="s">
        <v>7229</v>
      </c>
      <c r="E3041">
        <v>3049524589</v>
      </c>
      <c r="F3041" t="s">
        <v>574</v>
      </c>
      <c r="G3041" t="s">
        <v>575</v>
      </c>
      <c r="I3041" t="s">
        <v>14</v>
      </c>
      <c r="J3041" s="13">
        <v>45993</v>
      </c>
      <c r="K3041" s="13">
        <v>46023</v>
      </c>
      <c r="L3041" t="s">
        <v>1188</v>
      </c>
      <c r="M3041" t="s">
        <v>56</v>
      </c>
      <c r="N3041">
        <v>72359164</v>
      </c>
    </row>
    <row r="3042" spans="1:14" x14ac:dyDescent="0.25">
      <c r="A3042">
        <v>58560819</v>
      </c>
      <c r="B3042" t="s">
        <v>4117</v>
      </c>
      <c r="C3042" t="s">
        <v>1203</v>
      </c>
      <c r="D3042" t="s">
        <v>7230</v>
      </c>
      <c r="E3042">
        <v>6025050714</v>
      </c>
      <c r="F3042" t="s">
        <v>448</v>
      </c>
      <c r="G3042" t="s">
        <v>449</v>
      </c>
      <c r="I3042" t="s">
        <v>31</v>
      </c>
      <c r="J3042" s="13">
        <v>45993</v>
      </c>
      <c r="K3042" s="13">
        <v>46023</v>
      </c>
      <c r="L3042" t="s">
        <v>1179</v>
      </c>
      <c r="M3042" t="s">
        <v>55</v>
      </c>
      <c r="N3042">
        <v>72359216</v>
      </c>
    </row>
    <row r="3043" spans="1:14" x14ac:dyDescent="0.25">
      <c r="A3043">
        <v>60205192</v>
      </c>
      <c r="B3043" t="s">
        <v>7231</v>
      </c>
      <c r="C3043" t="s">
        <v>7232</v>
      </c>
      <c r="D3043" t="s">
        <v>7233</v>
      </c>
      <c r="E3043">
        <v>7278714941</v>
      </c>
      <c r="F3043" t="s">
        <v>780</v>
      </c>
      <c r="G3043" t="s">
        <v>781</v>
      </c>
      <c r="I3043" t="s">
        <v>20</v>
      </c>
      <c r="J3043" s="13">
        <v>46056</v>
      </c>
      <c r="K3043" s="13">
        <v>46082</v>
      </c>
      <c r="L3043" t="s">
        <v>497</v>
      </c>
      <c r="M3043" t="s">
        <v>54</v>
      </c>
      <c r="N3043">
        <v>72359444</v>
      </c>
    </row>
    <row r="3044" spans="1:14" x14ac:dyDescent="0.25">
      <c r="A3044">
        <v>58561194</v>
      </c>
      <c r="B3044" t="s">
        <v>5920</v>
      </c>
      <c r="C3044" t="s">
        <v>3374</v>
      </c>
      <c r="D3044" t="s">
        <v>7234</v>
      </c>
      <c r="E3044">
        <v>9044466499</v>
      </c>
      <c r="F3044" t="s">
        <v>462</v>
      </c>
      <c r="G3044" t="s">
        <v>463</v>
      </c>
      <c r="I3044" t="s">
        <v>39</v>
      </c>
      <c r="J3044" s="13">
        <v>45993</v>
      </c>
      <c r="K3044" s="13">
        <v>46023</v>
      </c>
      <c r="L3044" t="s">
        <v>497</v>
      </c>
      <c r="M3044" t="s">
        <v>59</v>
      </c>
      <c r="N3044">
        <v>72359457</v>
      </c>
    </row>
    <row r="3045" spans="1:14" x14ac:dyDescent="0.25">
      <c r="A3045">
        <v>58561231</v>
      </c>
      <c r="B3045" t="s">
        <v>7235</v>
      </c>
      <c r="C3045" t="s">
        <v>7236</v>
      </c>
      <c r="D3045" t="s">
        <v>7237</v>
      </c>
      <c r="E3045">
        <v>2053882269</v>
      </c>
      <c r="F3045" t="s">
        <v>1013</v>
      </c>
      <c r="G3045" t="s">
        <v>1014</v>
      </c>
      <c r="I3045" t="s">
        <v>43</v>
      </c>
      <c r="J3045" s="13">
        <v>45993</v>
      </c>
      <c r="K3045" s="13">
        <v>46023</v>
      </c>
      <c r="L3045" t="s">
        <v>450</v>
      </c>
      <c r="M3045" t="s">
        <v>59</v>
      </c>
      <c r="N3045">
        <v>72359484</v>
      </c>
    </row>
    <row r="3046" spans="1:14" x14ac:dyDescent="0.25">
      <c r="A3046">
        <v>58561603</v>
      </c>
      <c r="B3046" t="s">
        <v>3553</v>
      </c>
      <c r="C3046" t="s">
        <v>3510</v>
      </c>
      <c r="D3046" t="s">
        <v>7238</v>
      </c>
      <c r="E3046">
        <v>8703178325</v>
      </c>
      <c r="F3046" t="s">
        <v>423</v>
      </c>
      <c r="G3046" t="s">
        <v>424</v>
      </c>
      <c r="I3046" t="s">
        <v>46</v>
      </c>
      <c r="J3046" s="13">
        <v>45993</v>
      </c>
      <c r="K3046" s="13">
        <v>46023</v>
      </c>
      <c r="L3046" t="s">
        <v>553</v>
      </c>
      <c r="M3046" t="s">
        <v>59</v>
      </c>
      <c r="N3046">
        <v>72359495</v>
      </c>
    </row>
    <row r="3047" spans="1:14" x14ac:dyDescent="0.25">
      <c r="A3047">
        <v>58563264</v>
      </c>
      <c r="B3047" t="s">
        <v>1427</v>
      </c>
      <c r="C3047" t="s">
        <v>7239</v>
      </c>
      <c r="D3047" t="s">
        <v>7240</v>
      </c>
      <c r="E3047">
        <v>6028821265</v>
      </c>
      <c r="F3047" t="s">
        <v>775</v>
      </c>
      <c r="G3047" t="s">
        <v>776</v>
      </c>
      <c r="I3047" t="s">
        <v>22</v>
      </c>
      <c r="J3047" s="13">
        <v>45993</v>
      </c>
      <c r="K3047" s="13">
        <v>46023</v>
      </c>
      <c r="L3047" t="s">
        <v>1179</v>
      </c>
      <c r="M3047" t="s">
        <v>54</v>
      </c>
      <c r="N3047">
        <v>72360949</v>
      </c>
    </row>
    <row r="3048" spans="1:14" x14ac:dyDescent="0.25">
      <c r="A3048">
        <v>58566554</v>
      </c>
      <c r="B3048" t="s">
        <v>1208</v>
      </c>
      <c r="C3048" t="s">
        <v>4408</v>
      </c>
      <c r="D3048" t="s">
        <v>7241</v>
      </c>
      <c r="E3048">
        <v>3342026869</v>
      </c>
      <c r="F3048" t="s">
        <v>438</v>
      </c>
      <c r="G3048" t="s">
        <v>439</v>
      </c>
      <c r="I3048" t="s">
        <v>38</v>
      </c>
      <c r="J3048" s="13">
        <v>45993</v>
      </c>
      <c r="K3048" s="13">
        <v>46023</v>
      </c>
      <c r="L3048" t="s">
        <v>450</v>
      </c>
      <c r="M3048" t="s">
        <v>59</v>
      </c>
      <c r="N3048">
        <v>72362345</v>
      </c>
    </row>
    <row r="3049" spans="1:14" x14ac:dyDescent="0.25">
      <c r="A3049">
        <v>58567072</v>
      </c>
      <c r="B3049" t="s">
        <v>879</v>
      </c>
      <c r="C3049" t="s">
        <v>7242</v>
      </c>
      <c r="D3049" t="s">
        <v>7243</v>
      </c>
      <c r="E3049">
        <v>9016878161</v>
      </c>
      <c r="F3049" t="s">
        <v>649</v>
      </c>
      <c r="G3049" t="s">
        <v>650</v>
      </c>
      <c r="I3049" t="s">
        <v>28</v>
      </c>
      <c r="J3049" s="13">
        <v>45993</v>
      </c>
      <c r="K3049" s="13">
        <v>46023</v>
      </c>
      <c r="L3049" t="s">
        <v>479</v>
      </c>
      <c r="M3049" t="s">
        <v>58</v>
      </c>
      <c r="N3049">
        <v>72362845</v>
      </c>
    </row>
    <row r="3050" spans="1:14" x14ac:dyDescent="0.25">
      <c r="A3050">
        <v>58567923</v>
      </c>
      <c r="B3050" t="s">
        <v>7244</v>
      </c>
      <c r="C3050" t="s">
        <v>5661</v>
      </c>
      <c r="D3050" t="s">
        <v>7245</v>
      </c>
      <c r="E3050">
        <v>5208408560</v>
      </c>
      <c r="F3050" t="s">
        <v>842</v>
      </c>
      <c r="G3050" t="s">
        <v>1213</v>
      </c>
      <c r="I3050" t="s">
        <v>1214</v>
      </c>
      <c r="J3050" s="13">
        <v>45993</v>
      </c>
      <c r="K3050" s="13">
        <v>46023</v>
      </c>
      <c r="L3050" t="s">
        <v>1179</v>
      </c>
      <c r="M3050" t="s">
        <v>54</v>
      </c>
      <c r="N3050">
        <v>72363497</v>
      </c>
    </row>
    <row r="3051" spans="1:14" x14ac:dyDescent="0.25">
      <c r="A3051">
        <v>58568748</v>
      </c>
      <c r="B3051" t="s">
        <v>1228</v>
      </c>
      <c r="C3051" t="s">
        <v>7246</v>
      </c>
      <c r="D3051" t="s">
        <v>7247</v>
      </c>
      <c r="E3051">
        <v>5208700210</v>
      </c>
      <c r="F3051" t="s">
        <v>4853</v>
      </c>
      <c r="G3051" t="s">
        <v>5017</v>
      </c>
      <c r="I3051" t="s">
        <v>5018</v>
      </c>
      <c r="J3051" s="13">
        <v>45993</v>
      </c>
      <c r="K3051" s="13">
        <v>46023</v>
      </c>
      <c r="L3051" t="s">
        <v>1179</v>
      </c>
      <c r="M3051" t="s">
        <v>54</v>
      </c>
      <c r="N3051">
        <v>72364139</v>
      </c>
    </row>
    <row r="3052" spans="1:14" x14ac:dyDescent="0.25">
      <c r="A3052">
        <v>58569636</v>
      </c>
      <c r="B3052" t="s">
        <v>1106</v>
      </c>
      <c r="C3052" t="s">
        <v>7248</v>
      </c>
      <c r="D3052" t="s">
        <v>7249</v>
      </c>
      <c r="E3052">
        <v>4803408653</v>
      </c>
      <c r="F3052" t="s">
        <v>462</v>
      </c>
      <c r="G3052" t="s">
        <v>463</v>
      </c>
      <c r="I3052" t="s">
        <v>39</v>
      </c>
      <c r="J3052" s="13">
        <v>45993</v>
      </c>
      <c r="K3052" s="13">
        <v>46023</v>
      </c>
      <c r="L3052" t="s">
        <v>1179</v>
      </c>
      <c r="M3052" t="s">
        <v>54</v>
      </c>
      <c r="N3052">
        <v>72364884</v>
      </c>
    </row>
    <row r="3053" spans="1:14" x14ac:dyDescent="0.25">
      <c r="A3053">
        <v>58569754</v>
      </c>
      <c r="B3053" t="s">
        <v>2046</v>
      </c>
      <c r="C3053" t="s">
        <v>7250</v>
      </c>
      <c r="D3053" t="s">
        <v>7251</v>
      </c>
      <c r="E3053">
        <v>4072426208</v>
      </c>
      <c r="F3053" t="s">
        <v>474</v>
      </c>
      <c r="G3053" t="s">
        <v>475</v>
      </c>
      <c r="I3053" t="s">
        <v>132</v>
      </c>
      <c r="J3053" s="13">
        <v>45993</v>
      </c>
      <c r="K3053" s="13">
        <v>46023</v>
      </c>
      <c r="L3053" t="s">
        <v>533</v>
      </c>
      <c r="M3053" t="s">
        <v>56</v>
      </c>
      <c r="N3053">
        <v>72364986</v>
      </c>
    </row>
    <row r="3054" spans="1:14" x14ac:dyDescent="0.25">
      <c r="A3054">
        <v>58572417</v>
      </c>
      <c r="B3054" t="s">
        <v>2071</v>
      </c>
      <c r="C3054" t="s">
        <v>7252</v>
      </c>
      <c r="D3054" t="s">
        <v>7253</v>
      </c>
      <c r="E3054">
        <v>3378496365</v>
      </c>
      <c r="F3054" t="s">
        <v>423</v>
      </c>
      <c r="G3054" t="s">
        <v>424</v>
      </c>
      <c r="I3054" t="s">
        <v>46</v>
      </c>
      <c r="J3054" s="13">
        <v>45993</v>
      </c>
      <c r="K3054" s="13">
        <v>46023</v>
      </c>
      <c r="L3054" t="s">
        <v>612</v>
      </c>
      <c r="M3054" t="s">
        <v>58</v>
      </c>
      <c r="N3054">
        <v>72365444</v>
      </c>
    </row>
    <row r="3055" spans="1:14" x14ac:dyDescent="0.25">
      <c r="A3055">
        <v>58570536</v>
      </c>
      <c r="B3055" t="s">
        <v>1100</v>
      </c>
      <c r="C3055" t="s">
        <v>7254</v>
      </c>
      <c r="D3055" t="s">
        <v>7255</v>
      </c>
      <c r="E3055">
        <v>6232299118</v>
      </c>
      <c r="F3055" t="s">
        <v>705</v>
      </c>
      <c r="G3055" t="s">
        <v>706</v>
      </c>
      <c r="I3055" t="s">
        <v>12</v>
      </c>
      <c r="J3055" s="13">
        <v>45993</v>
      </c>
      <c r="K3055" s="13">
        <v>46023</v>
      </c>
      <c r="L3055" t="s">
        <v>1179</v>
      </c>
      <c r="M3055" t="s">
        <v>56</v>
      </c>
      <c r="N3055">
        <v>72365612</v>
      </c>
    </row>
    <row r="3056" spans="1:14" x14ac:dyDescent="0.25">
      <c r="A3056">
        <v>58570786</v>
      </c>
      <c r="B3056" t="s">
        <v>548</v>
      </c>
      <c r="C3056" t="s">
        <v>7256</v>
      </c>
      <c r="D3056" t="s">
        <v>7257</v>
      </c>
      <c r="E3056">
        <v>5615686806</v>
      </c>
      <c r="F3056" t="s">
        <v>569</v>
      </c>
      <c r="G3056" t="s">
        <v>570</v>
      </c>
      <c r="I3056" t="s">
        <v>34</v>
      </c>
      <c r="J3056" s="13">
        <v>45993</v>
      </c>
      <c r="K3056" s="13">
        <v>46023</v>
      </c>
      <c r="L3056" t="s">
        <v>497</v>
      </c>
      <c r="M3056" t="s">
        <v>56</v>
      </c>
      <c r="N3056">
        <v>72365826</v>
      </c>
    </row>
    <row r="3057" spans="1:14" x14ac:dyDescent="0.25">
      <c r="A3057">
        <v>58571297</v>
      </c>
      <c r="B3057" t="s">
        <v>1106</v>
      </c>
      <c r="C3057" t="s">
        <v>7258</v>
      </c>
      <c r="D3057" t="s">
        <v>7259</v>
      </c>
      <c r="E3057">
        <v>4074979982</v>
      </c>
      <c r="F3057" t="s">
        <v>770</v>
      </c>
      <c r="G3057" t="s">
        <v>771</v>
      </c>
      <c r="I3057" t="s">
        <v>25</v>
      </c>
      <c r="J3057" s="13">
        <v>45993</v>
      </c>
      <c r="K3057" s="13">
        <v>46023</v>
      </c>
      <c r="L3057" t="s">
        <v>497</v>
      </c>
      <c r="M3057" t="s">
        <v>56</v>
      </c>
      <c r="N3057">
        <v>72366236</v>
      </c>
    </row>
    <row r="3058" spans="1:14" x14ac:dyDescent="0.25">
      <c r="A3058">
        <v>58572814</v>
      </c>
      <c r="B3058" t="s">
        <v>1524</v>
      </c>
      <c r="C3058" t="s">
        <v>7260</v>
      </c>
      <c r="D3058" t="s">
        <v>7261</v>
      </c>
      <c r="E3058">
        <v>9042285939</v>
      </c>
      <c r="F3058" t="s">
        <v>1067</v>
      </c>
      <c r="G3058" t="s">
        <v>1068</v>
      </c>
      <c r="I3058" t="s">
        <v>35</v>
      </c>
      <c r="J3058" s="13">
        <v>45993</v>
      </c>
      <c r="K3058" s="13">
        <v>46023</v>
      </c>
      <c r="L3058" t="s">
        <v>497</v>
      </c>
      <c r="M3058" t="s">
        <v>58</v>
      </c>
      <c r="N3058">
        <v>72367205</v>
      </c>
    </row>
    <row r="3059" spans="1:14" x14ac:dyDescent="0.25">
      <c r="A3059">
        <v>58574431</v>
      </c>
      <c r="B3059" t="s">
        <v>1905</v>
      </c>
      <c r="C3059" t="s">
        <v>1078</v>
      </c>
      <c r="D3059" t="s">
        <v>7262</v>
      </c>
      <c r="E3059">
        <v>2563904343</v>
      </c>
      <c r="F3059" t="s">
        <v>448</v>
      </c>
      <c r="G3059" t="s">
        <v>449</v>
      </c>
      <c r="I3059" t="s">
        <v>31</v>
      </c>
      <c r="J3059" s="13">
        <v>45993</v>
      </c>
      <c r="K3059" s="13">
        <v>46023</v>
      </c>
      <c r="L3059" t="s">
        <v>450</v>
      </c>
      <c r="M3059" t="s">
        <v>55</v>
      </c>
      <c r="N3059">
        <v>72368443</v>
      </c>
    </row>
    <row r="3060" spans="1:14" x14ac:dyDescent="0.25">
      <c r="A3060">
        <v>58576044</v>
      </c>
      <c r="B3060" t="s">
        <v>2526</v>
      </c>
      <c r="C3060" t="s">
        <v>7263</v>
      </c>
      <c r="D3060" t="s">
        <v>7264</v>
      </c>
      <c r="E3060">
        <v>8708210182</v>
      </c>
      <c r="F3060" t="s">
        <v>842</v>
      </c>
      <c r="G3060" t="s">
        <v>843</v>
      </c>
      <c r="I3060" t="s">
        <v>98</v>
      </c>
      <c r="J3060" s="13">
        <v>45993</v>
      </c>
      <c r="K3060" s="13">
        <v>46023</v>
      </c>
      <c r="L3060" t="s">
        <v>553</v>
      </c>
      <c r="M3060" t="s">
        <v>56</v>
      </c>
      <c r="N3060">
        <v>72369013</v>
      </c>
    </row>
    <row r="3061" spans="1:14" x14ac:dyDescent="0.25">
      <c r="A3061">
        <v>58576096</v>
      </c>
      <c r="B3061" t="s">
        <v>524</v>
      </c>
      <c r="C3061" t="s">
        <v>2278</v>
      </c>
      <c r="D3061" t="s">
        <v>7265</v>
      </c>
      <c r="E3061">
        <v>6235222751</v>
      </c>
      <c r="F3061" t="s">
        <v>615</v>
      </c>
      <c r="G3061" t="s">
        <v>616</v>
      </c>
      <c r="I3061" t="s">
        <v>617</v>
      </c>
      <c r="J3061" s="13">
        <v>45993</v>
      </c>
      <c r="K3061" s="13">
        <v>46023</v>
      </c>
      <c r="L3061" t="s">
        <v>1179</v>
      </c>
      <c r="M3061" t="s">
        <v>56</v>
      </c>
      <c r="N3061">
        <v>72369031</v>
      </c>
    </row>
    <row r="3062" spans="1:14" x14ac:dyDescent="0.25">
      <c r="A3062">
        <v>58576255</v>
      </c>
      <c r="B3062" t="s">
        <v>425</v>
      </c>
      <c r="C3062" t="s">
        <v>7266</v>
      </c>
      <c r="D3062" t="s">
        <v>7267</v>
      </c>
      <c r="E3062">
        <v>6234199589</v>
      </c>
      <c r="F3062" t="s">
        <v>615</v>
      </c>
      <c r="G3062" t="s">
        <v>616</v>
      </c>
      <c r="I3062" t="s">
        <v>617</v>
      </c>
      <c r="J3062" s="13">
        <v>45993</v>
      </c>
      <c r="K3062" s="13">
        <v>46023</v>
      </c>
      <c r="L3062" t="s">
        <v>1179</v>
      </c>
      <c r="M3062" t="s">
        <v>56</v>
      </c>
      <c r="N3062">
        <v>72369084</v>
      </c>
    </row>
    <row r="3063" spans="1:14" x14ac:dyDescent="0.25">
      <c r="A3063">
        <v>58576471</v>
      </c>
      <c r="B3063" t="s">
        <v>495</v>
      </c>
      <c r="C3063" t="s">
        <v>7268</v>
      </c>
      <c r="D3063" t="s">
        <v>7269</v>
      </c>
      <c r="E3063">
        <v>4796923963</v>
      </c>
      <c r="F3063" t="s">
        <v>1013</v>
      </c>
      <c r="G3063" t="s">
        <v>1014</v>
      </c>
      <c r="I3063" t="s">
        <v>43</v>
      </c>
      <c r="J3063" s="13">
        <v>45993</v>
      </c>
      <c r="K3063" s="13">
        <v>46023</v>
      </c>
      <c r="L3063" t="s">
        <v>553</v>
      </c>
      <c r="M3063" t="s">
        <v>56</v>
      </c>
      <c r="N3063">
        <v>72369178</v>
      </c>
    </row>
    <row r="3064" spans="1:14" x14ac:dyDescent="0.25">
      <c r="A3064">
        <v>58576634</v>
      </c>
      <c r="B3064" t="s">
        <v>7270</v>
      </c>
      <c r="C3064" t="s">
        <v>2302</v>
      </c>
      <c r="D3064" t="s">
        <v>7271</v>
      </c>
      <c r="E3064">
        <v>5619753057</v>
      </c>
      <c r="F3064" t="s">
        <v>551</v>
      </c>
      <c r="G3064" t="s">
        <v>552</v>
      </c>
      <c r="I3064" t="s">
        <v>42</v>
      </c>
      <c r="J3064" s="13">
        <v>45993</v>
      </c>
      <c r="K3064" s="13">
        <v>46023</v>
      </c>
      <c r="L3064" t="s">
        <v>497</v>
      </c>
      <c r="M3064" t="s">
        <v>56</v>
      </c>
      <c r="N3064">
        <v>72369245</v>
      </c>
    </row>
    <row r="3065" spans="1:14" x14ac:dyDescent="0.25">
      <c r="A3065">
        <v>58577074</v>
      </c>
      <c r="B3065" t="s">
        <v>888</v>
      </c>
      <c r="C3065" t="s">
        <v>7272</v>
      </c>
      <c r="D3065" t="s">
        <v>7273</v>
      </c>
      <c r="E3065">
        <v>8506284746</v>
      </c>
      <c r="F3065" t="s">
        <v>574</v>
      </c>
      <c r="G3065" t="s">
        <v>575</v>
      </c>
      <c r="I3065" t="s">
        <v>14</v>
      </c>
      <c r="J3065" s="13">
        <v>45993</v>
      </c>
      <c r="K3065" s="13">
        <v>46023</v>
      </c>
      <c r="L3065" t="s">
        <v>497</v>
      </c>
      <c r="M3065" t="s">
        <v>58</v>
      </c>
      <c r="N3065">
        <v>72369550</v>
      </c>
    </row>
    <row r="3066" spans="1:14" x14ac:dyDescent="0.25">
      <c r="A3066">
        <v>58577204</v>
      </c>
      <c r="B3066" t="s">
        <v>7274</v>
      </c>
      <c r="C3066" t="s">
        <v>4700</v>
      </c>
      <c r="D3066" t="s">
        <v>7275</v>
      </c>
      <c r="E3066">
        <v>9042283927</v>
      </c>
      <c r="F3066" t="s">
        <v>828</v>
      </c>
      <c r="G3066" t="s">
        <v>1148</v>
      </c>
      <c r="I3066" t="s">
        <v>17</v>
      </c>
      <c r="J3066" s="13">
        <v>45993</v>
      </c>
      <c r="K3066" s="13">
        <v>46023</v>
      </c>
      <c r="L3066" t="s">
        <v>497</v>
      </c>
      <c r="M3066" t="s">
        <v>60</v>
      </c>
      <c r="N3066">
        <v>72369641</v>
      </c>
    </row>
    <row r="3067" spans="1:14" x14ac:dyDescent="0.25">
      <c r="A3067">
        <v>58577613</v>
      </c>
      <c r="B3067" t="s">
        <v>865</v>
      </c>
      <c r="C3067" t="s">
        <v>7276</v>
      </c>
      <c r="D3067" t="s">
        <v>7277</v>
      </c>
      <c r="E3067">
        <v>7723211127</v>
      </c>
      <c r="F3067" t="s">
        <v>423</v>
      </c>
      <c r="G3067" t="s">
        <v>424</v>
      </c>
      <c r="I3067" t="s">
        <v>46</v>
      </c>
      <c r="J3067" s="13">
        <v>45993</v>
      </c>
      <c r="K3067" s="13">
        <v>46023</v>
      </c>
      <c r="L3067" t="s">
        <v>497</v>
      </c>
      <c r="M3067" t="s">
        <v>59</v>
      </c>
      <c r="N3067">
        <v>72369705</v>
      </c>
    </row>
    <row r="3068" spans="1:14" x14ac:dyDescent="0.25">
      <c r="A3068">
        <v>58577502</v>
      </c>
      <c r="B3068" t="s">
        <v>4210</v>
      </c>
      <c r="C3068" t="s">
        <v>3088</v>
      </c>
      <c r="D3068" t="s">
        <v>7278</v>
      </c>
      <c r="E3068">
        <v>3124209995</v>
      </c>
      <c r="F3068" t="s">
        <v>578</v>
      </c>
      <c r="G3068" t="s">
        <v>579</v>
      </c>
      <c r="I3068" t="s">
        <v>15</v>
      </c>
      <c r="J3068" s="13">
        <v>45993</v>
      </c>
      <c r="K3068" s="13">
        <v>46023</v>
      </c>
      <c r="L3068" t="s">
        <v>470</v>
      </c>
      <c r="M3068" t="s">
        <v>62</v>
      </c>
      <c r="N3068">
        <v>72369796</v>
      </c>
    </row>
    <row r="3069" spans="1:14" x14ac:dyDescent="0.25">
      <c r="A3069">
        <v>58577758</v>
      </c>
      <c r="B3069" t="s">
        <v>7279</v>
      </c>
      <c r="C3069" t="s">
        <v>7005</v>
      </c>
      <c r="D3069" t="s">
        <v>7280</v>
      </c>
      <c r="E3069">
        <v>7733983025</v>
      </c>
      <c r="F3069" t="s">
        <v>1147</v>
      </c>
      <c r="G3069" t="s">
        <v>1148</v>
      </c>
      <c r="I3069" t="s">
        <v>41</v>
      </c>
      <c r="J3069" s="13">
        <v>45993</v>
      </c>
      <c r="K3069" s="13">
        <v>46023</v>
      </c>
      <c r="L3069" t="s">
        <v>470</v>
      </c>
      <c r="M3069" t="s">
        <v>62</v>
      </c>
      <c r="N3069">
        <v>72370015</v>
      </c>
    </row>
    <row r="3070" spans="1:14" x14ac:dyDescent="0.25">
      <c r="A3070">
        <v>58579291</v>
      </c>
      <c r="B3070" t="s">
        <v>7281</v>
      </c>
      <c r="C3070" t="s">
        <v>7282</v>
      </c>
      <c r="D3070" t="s">
        <v>7283</v>
      </c>
      <c r="E3070">
        <v>7723211127</v>
      </c>
      <c r="F3070" t="s">
        <v>423</v>
      </c>
      <c r="G3070" t="s">
        <v>424</v>
      </c>
      <c r="I3070" t="s">
        <v>46</v>
      </c>
      <c r="J3070" s="13">
        <v>45993</v>
      </c>
      <c r="K3070" s="13">
        <v>46023</v>
      </c>
      <c r="L3070" t="s">
        <v>497</v>
      </c>
      <c r="M3070" t="s">
        <v>58</v>
      </c>
      <c r="N3070">
        <v>72370057</v>
      </c>
    </row>
    <row r="3071" spans="1:14" x14ac:dyDescent="0.25">
      <c r="A3071">
        <v>58578025</v>
      </c>
      <c r="B3071" t="s">
        <v>3252</v>
      </c>
      <c r="C3071" t="s">
        <v>7284</v>
      </c>
      <c r="D3071" t="s">
        <v>7285</v>
      </c>
      <c r="E3071">
        <v>5017642885</v>
      </c>
      <c r="F3071" t="s">
        <v>1013</v>
      </c>
      <c r="G3071" t="s">
        <v>1014</v>
      </c>
      <c r="I3071" t="s">
        <v>43</v>
      </c>
      <c r="J3071" s="13">
        <v>45993</v>
      </c>
      <c r="K3071" s="13">
        <v>46023</v>
      </c>
      <c r="L3071" t="s">
        <v>553</v>
      </c>
      <c r="M3071" t="s">
        <v>56</v>
      </c>
      <c r="N3071">
        <v>72370189</v>
      </c>
    </row>
    <row r="3072" spans="1:14" x14ac:dyDescent="0.25">
      <c r="A3072">
        <v>58578098</v>
      </c>
      <c r="B3072" t="s">
        <v>511</v>
      </c>
      <c r="C3072" t="s">
        <v>7286</v>
      </c>
      <c r="D3072" t="s">
        <v>7287</v>
      </c>
      <c r="E3072">
        <v>8152632264</v>
      </c>
      <c r="F3072" t="s">
        <v>770</v>
      </c>
      <c r="G3072" t="s">
        <v>771</v>
      </c>
      <c r="I3072" t="s">
        <v>25</v>
      </c>
      <c r="J3072" s="13">
        <v>45993</v>
      </c>
      <c r="K3072" s="13">
        <v>46023</v>
      </c>
      <c r="L3072" t="s">
        <v>470</v>
      </c>
      <c r="M3072" t="s">
        <v>59</v>
      </c>
      <c r="N3072">
        <v>72370240</v>
      </c>
    </row>
    <row r="3073" spans="1:14" x14ac:dyDescent="0.25">
      <c r="A3073">
        <v>58578582</v>
      </c>
      <c r="B3073" t="s">
        <v>748</v>
      </c>
      <c r="C3073" t="s">
        <v>7288</v>
      </c>
      <c r="D3073" t="s">
        <v>7289</v>
      </c>
      <c r="E3073">
        <v>6162954849</v>
      </c>
      <c r="F3073" t="s">
        <v>592</v>
      </c>
      <c r="G3073" t="s">
        <v>593</v>
      </c>
      <c r="I3073" t="s">
        <v>115</v>
      </c>
      <c r="J3073" s="13">
        <v>45993</v>
      </c>
      <c r="K3073" s="13">
        <v>46023</v>
      </c>
      <c r="L3073" t="s">
        <v>1179</v>
      </c>
      <c r="M3073" t="s">
        <v>56</v>
      </c>
      <c r="N3073">
        <v>72370548</v>
      </c>
    </row>
    <row r="3074" spans="1:14" x14ac:dyDescent="0.25">
      <c r="A3074">
        <v>58578595</v>
      </c>
      <c r="B3074" t="s">
        <v>1370</v>
      </c>
      <c r="C3074" t="s">
        <v>7290</v>
      </c>
      <c r="D3074" t="s">
        <v>7291</v>
      </c>
      <c r="E3074">
        <v>6026373387</v>
      </c>
      <c r="F3074" t="s">
        <v>775</v>
      </c>
      <c r="G3074" t="s">
        <v>776</v>
      </c>
      <c r="I3074" t="s">
        <v>22</v>
      </c>
      <c r="J3074" s="13">
        <v>45993</v>
      </c>
      <c r="K3074" s="13">
        <v>46023</v>
      </c>
      <c r="L3074" t="s">
        <v>1179</v>
      </c>
      <c r="M3074" t="s">
        <v>59</v>
      </c>
      <c r="N3074">
        <v>72370557</v>
      </c>
    </row>
    <row r="3075" spans="1:14" x14ac:dyDescent="0.25">
      <c r="A3075">
        <v>58578888</v>
      </c>
      <c r="B3075" t="s">
        <v>7292</v>
      </c>
      <c r="C3075" t="s">
        <v>7293</v>
      </c>
      <c r="D3075" t="s">
        <v>7294</v>
      </c>
      <c r="E3075">
        <v>7623244987</v>
      </c>
      <c r="F3075" t="s">
        <v>628</v>
      </c>
      <c r="G3075" t="s">
        <v>629</v>
      </c>
      <c r="I3075" t="s">
        <v>24</v>
      </c>
      <c r="J3075" s="13">
        <v>45993</v>
      </c>
      <c r="K3075" s="13">
        <v>46023</v>
      </c>
      <c r="L3075" t="s">
        <v>621</v>
      </c>
      <c r="M3075" t="s">
        <v>58</v>
      </c>
      <c r="N3075">
        <v>72370756</v>
      </c>
    </row>
    <row r="3076" spans="1:14" x14ac:dyDescent="0.25">
      <c r="A3076">
        <v>58579279</v>
      </c>
      <c r="B3076" t="s">
        <v>1797</v>
      </c>
      <c r="C3076" t="s">
        <v>4107</v>
      </c>
      <c r="D3076" t="s">
        <v>7295</v>
      </c>
      <c r="E3076">
        <v>6028104129</v>
      </c>
      <c r="F3076" t="s">
        <v>1345</v>
      </c>
      <c r="G3076" t="s">
        <v>799</v>
      </c>
      <c r="I3076" t="s">
        <v>47</v>
      </c>
      <c r="J3076" s="13">
        <v>45993</v>
      </c>
      <c r="K3076" s="13">
        <v>46023</v>
      </c>
      <c r="L3076" t="s">
        <v>1179</v>
      </c>
      <c r="M3076" t="s">
        <v>54</v>
      </c>
      <c r="N3076">
        <v>72370979</v>
      </c>
    </row>
    <row r="3077" spans="1:14" x14ac:dyDescent="0.25">
      <c r="A3077">
        <v>58579421</v>
      </c>
      <c r="B3077" t="s">
        <v>7296</v>
      </c>
      <c r="C3077" t="s">
        <v>7297</v>
      </c>
      <c r="D3077" t="s">
        <v>7298</v>
      </c>
      <c r="E3077">
        <v>9048813910</v>
      </c>
      <c r="F3077" t="s">
        <v>1142</v>
      </c>
      <c r="G3077" t="s">
        <v>1143</v>
      </c>
      <c r="I3077" t="s">
        <v>124</v>
      </c>
      <c r="J3077" s="13">
        <v>45993</v>
      </c>
      <c r="K3077" s="13">
        <v>46023</v>
      </c>
      <c r="L3077" t="s">
        <v>497</v>
      </c>
      <c r="M3077" t="s">
        <v>56</v>
      </c>
      <c r="N3077">
        <v>72371077</v>
      </c>
    </row>
    <row r="3078" spans="1:14" x14ac:dyDescent="0.25">
      <c r="A3078">
        <v>58579541</v>
      </c>
      <c r="B3078" t="s">
        <v>7299</v>
      </c>
      <c r="C3078" t="s">
        <v>7300</v>
      </c>
      <c r="D3078" t="s">
        <v>7301</v>
      </c>
      <c r="E3078">
        <v>6234981025</v>
      </c>
      <c r="F3078" t="s">
        <v>1142</v>
      </c>
      <c r="G3078" t="s">
        <v>1143</v>
      </c>
      <c r="I3078" t="s">
        <v>124</v>
      </c>
      <c r="J3078" s="13">
        <v>45993</v>
      </c>
      <c r="K3078" s="13">
        <v>46023</v>
      </c>
      <c r="L3078" t="s">
        <v>1179</v>
      </c>
      <c r="M3078" t="s">
        <v>59</v>
      </c>
      <c r="N3078">
        <v>72371148</v>
      </c>
    </row>
    <row r="3079" spans="1:14" x14ac:dyDescent="0.25">
      <c r="A3079">
        <v>58580002</v>
      </c>
      <c r="B3079" t="s">
        <v>2526</v>
      </c>
      <c r="C3079" t="s">
        <v>6550</v>
      </c>
      <c r="D3079" t="s">
        <v>7302</v>
      </c>
      <c r="E3079" t="s">
        <v>7303</v>
      </c>
      <c r="F3079" t="s">
        <v>957</v>
      </c>
      <c r="G3079" t="s">
        <v>958</v>
      </c>
      <c r="H3079" t="s">
        <v>959</v>
      </c>
      <c r="I3079" t="s">
        <v>960</v>
      </c>
      <c r="J3079" s="13">
        <v>45993</v>
      </c>
      <c r="K3079" s="13">
        <v>46023</v>
      </c>
      <c r="L3079" t="s">
        <v>454</v>
      </c>
      <c r="M3079" t="s">
        <v>55</v>
      </c>
      <c r="N3079">
        <v>72371414</v>
      </c>
    </row>
    <row r="3080" spans="1:14" x14ac:dyDescent="0.25">
      <c r="A3080">
        <v>58580149</v>
      </c>
      <c r="B3080" t="s">
        <v>7304</v>
      </c>
      <c r="C3080" t="s">
        <v>6723</v>
      </c>
      <c r="D3080" t="s">
        <v>7305</v>
      </c>
      <c r="E3080">
        <v>2252028756</v>
      </c>
      <c r="F3080" t="s">
        <v>1013</v>
      </c>
      <c r="G3080" t="s">
        <v>1014</v>
      </c>
      <c r="I3080" t="s">
        <v>43</v>
      </c>
      <c r="J3080" s="13">
        <v>45993</v>
      </c>
      <c r="K3080" s="13">
        <v>46023</v>
      </c>
      <c r="L3080" t="s">
        <v>612</v>
      </c>
      <c r="M3080" t="s">
        <v>58</v>
      </c>
      <c r="N3080">
        <v>72371577</v>
      </c>
    </row>
    <row r="3081" spans="1:14" x14ac:dyDescent="0.25">
      <c r="A3081">
        <v>58580486</v>
      </c>
      <c r="B3081" t="s">
        <v>1991</v>
      </c>
      <c r="C3081" t="s">
        <v>7306</v>
      </c>
      <c r="D3081" t="s">
        <v>7307</v>
      </c>
      <c r="E3081">
        <v>8596526111</v>
      </c>
      <c r="F3081" t="s">
        <v>798</v>
      </c>
      <c r="G3081" t="s">
        <v>799</v>
      </c>
      <c r="I3081" t="s">
        <v>800</v>
      </c>
      <c r="J3081" s="13">
        <v>45993</v>
      </c>
      <c r="K3081" s="13">
        <v>46023</v>
      </c>
      <c r="L3081" t="s">
        <v>490</v>
      </c>
      <c r="M3081" t="s">
        <v>61</v>
      </c>
      <c r="N3081">
        <v>72371762</v>
      </c>
    </row>
    <row r="3082" spans="1:14" x14ac:dyDescent="0.25">
      <c r="A3082">
        <v>58580575</v>
      </c>
      <c r="B3082" t="s">
        <v>3686</v>
      </c>
      <c r="C3082" t="s">
        <v>770</v>
      </c>
      <c r="D3082" t="s">
        <v>7308</v>
      </c>
      <c r="E3082" t="s">
        <v>7309</v>
      </c>
      <c r="F3082" t="s">
        <v>705</v>
      </c>
      <c r="G3082" t="s">
        <v>706</v>
      </c>
      <c r="I3082" t="s">
        <v>12</v>
      </c>
      <c r="J3082" s="13">
        <v>45993</v>
      </c>
      <c r="K3082" s="13">
        <v>46023</v>
      </c>
      <c r="L3082" t="s">
        <v>470</v>
      </c>
      <c r="M3082" t="s">
        <v>59</v>
      </c>
      <c r="N3082">
        <v>72371834</v>
      </c>
    </row>
    <row r="3083" spans="1:14" x14ac:dyDescent="0.25">
      <c r="A3083">
        <v>58580720</v>
      </c>
      <c r="B3083" t="s">
        <v>7310</v>
      </c>
      <c r="C3083" t="s">
        <v>7311</v>
      </c>
      <c r="D3083" t="s">
        <v>7312</v>
      </c>
      <c r="E3083">
        <v>5619292121</v>
      </c>
      <c r="F3083" t="s">
        <v>780</v>
      </c>
      <c r="G3083" t="s">
        <v>781</v>
      </c>
      <c r="I3083" t="s">
        <v>20</v>
      </c>
      <c r="J3083" s="13">
        <v>45993</v>
      </c>
      <c r="K3083" s="13">
        <v>46023</v>
      </c>
      <c r="L3083" t="s">
        <v>497</v>
      </c>
      <c r="M3083" t="s">
        <v>56</v>
      </c>
      <c r="N3083">
        <v>72371922</v>
      </c>
    </row>
    <row r="3084" spans="1:14" x14ac:dyDescent="0.25">
      <c r="A3084">
        <v>58581328</v>
      </c>
      <c r="B3084" t="s">
        <v>1797</v>
      </c>
      <c r="C3084" t="s">
        <v>7313</v>
      </c>
      <c r="D3084" t="s">
        <v>7314</v>
      </c>
      <c r="E3084">
        <v>5042521111</v>
      </c>
      <c r="F3084" t="s">
        <v>569</v>
      </c>
      <c r="G3084" t="s">
        <v>570</v>
      </c>
      <c r="I3084" t="s">
        <v>34</v>
      </c>
      <c r="J3084" s="13">
        <v>45993</v>
      </c>
      <c r="K3084" s="13">
        <v>46023</v>
      </c>
      <c r="L3084" t="s">
        <v>612</v>
      </c>
      <c r="M3084" t="s">
        <v>58</v>
      </c>
      <c r="N3084">
        <v>72372367</v>
      </c>
    </row>
    <row r="3085" spans="1:14" x14ac:dyDescent="0.25">
      <c r="A3085">
        <v>58581629</v>
      </c>
      <c r="B3085" t="s">
        <v>7315</v>
      </c>
      <c r="C3085" t="s">
        <v>7316</v>
      </c>
      <c r="D3085" t="s">
        <v>7317</v>
      </c>
      <c r="E3085">
        <v>8032205197</v>
      </c>
      <c r="F3085" t="s">
        <v>790</v>
      </c>
      <c r="G3085" t="s">
        <v>791</v>
      </c>
      <c r="I3085" t="s">
        <v>119</v>
      </c>
      <c r="J3085" s="13">
        <v>45993</v>
      </c>
      <c r="K3085" s="13">
        <v>46023</v>
      </c>
      <c r="L3085" t="s">
        <v>533</v>
      </c>
      <c r="M3085" t="s">
        <v>61</v>
      </c>
      <c r="N3085">
        <v>72372595</v>
      </c>
    </row>
    <row r="3086" spans="1:14" x14ac:dyDescent="0.25">
      <c r="A3086">
        <v>58581763</v>
      </c>
      <c r="B3086" t="s">
        <v>7318</v>
      </c>
      <c r="C3086" t="s">
        <v>7319</v>
      </c>
      <c r="D3086" t="s">
        <v>7320</v>
      </c>
      <c r="E3086">
        <v>5613059069</v>
      </c>
      <c r="F3086" t="s">
        <v>780</v>
      </c>
      <c r="G3086" t="s">
        <v>781</v>
      </c>
      <c r="I3086" t="s">
        <v>20</v>
      </c>
      <c r="J3086" s="13">
        <v>45993</v>
      </c>
      <c r="K3086" s="13">
        <v>46023</v>
      </c>
      <c r="L3086" t="s">
        <v>497</v>
      </c>
      <c r="M3086" t="s">
        <v>56</v>
      </c>
      <c r="N3086">
        <v>72372665</v>
      </c>
    </row>
    <row r="3087" spans="1:14" x14ac:dyDescent="0.25">
      <c r="A3087">
        <v>58582554</v>
      </c>
      <c r="B3087" t="s">
        <v>4976</v>
      </c>
      <c r="C3087" t="s">
        <v>7321</v>
      </c>
      <c r="D3087" t="s">
        <v>7322</v>
      </c>
      <c r="E3087">
        <v>9414797691</v>
      </c>
      <c r="F3087" t="s">
        <v>1345</v>
      </c>
      <c r="G3087" t="s">
        <v>799</v>
      </c>
      <c r="I3087" t="s">
        <v>47</v>
      </c>
      <c r="J3087" s="13">
        <v>45993</v>
      </c>
      <c r="K3087" s="13">
        <v>46023</v>
      </c>
      <c r="L3087" t="s">
        <v>497</v>
      </c>
      <c r="M3087" t="s">
        <v>56</v>
      </c>
      <c r="N3087">
        <v>72373252</v>
      </c>
    </row>
    <row r="3088" spans="1:14" x14ac:dyDescent="0.25">
      <c r="A3088">
        <v>58582584</v>
      </c>
      <c r="B3088" t="s">
        <v>1106</v>
      </c>
      <c r="C3088" t="s">
        <v>7323</v>
      </c>
      <c r="D3088" t="s">
        <v>7324</v>
      </c>
      <c r="F3088" t="s">
        <v>448</v>
      </c>
      <c r="G3088" t="s">
        <v>449</v>
      </c>
      <c r="I3088" t="s">
        <v>31</v>
      </c>
      <c r="J3088" s="13">
        <v>45993</v>
      </c>
      <c r="K3088" s="13">
        <v>46023</v>
      </c>
      <c r="L3088" t="s">
        <v>612</v>
      </c>
      <c r="M3088" t="s">
        <v>56</v>
      </c>
      <c r="N3088">
        <v>72373283</v>
      </c>
    </row>
    <row r="3089" spans="1:14" x14ac:dyDescent="0.25">
      <c r="A3089">
        <v>58582877</v>
      </c>
      <c r="B3089" t="s">
        <v>517</v>
      </c>
      <c r="C3089" t="s">
        <v>7325</v>
      </c>
      <c r="D3089" t="s">
        <v>7326</v>
      </c>
      <c r="E3089">
        <v>6023121195</v>
      </c>
      <c r="F3089" t="s">
        <v>6098</v>
      </c>
      <c r="G3089" t="s">
        <v>1213</v>
      </c>
      <c r="I3089" t="s">
        <v>21</v>
      </c>
      <c r="J3089" s="13">
        <v>45993</v>
      </c>
      <c r="K3089" s="13">
        <v>46023</v>
      </c>
      <c r="L3089" t="s">
        <v>1179</v>
      </c>
      <c r="M3089" t="s">
        <v>54</v>
      </c>
      <c r="N3089">
        <v>72373505</v>
      </c>
    </row>
    <row r="3090" spans="1:14" x14ac:dyDescent="0.25">
      <c r="A3090">
        <v>58590676</v>
      </c>
      <c r="B3090" t="s">
        <v>517</v>
      </c>
      <c r="C3090" t="s">
        <v>7327</v>
      </c>
      <c r="D3090" t="s">
        <v>7328</v>
      </c>
      <c r="E3090">
        <v>5027564744</v>
      </c>
      <c r="F3090" t="s">
        <v>474</v>
      </c>
      <c r="G3090" t="s">
        <v>475</v>
      </c>
      <c r="I3090" t="s">
        <v>132</v>
      </c>
      <c r="J3090" s="13">
        <v>45994</v>
      </c>
      <c r="K3090" s="13">
        <v>46023</v>
      </c>
      <c r="L3090" t="s">
        <v>490</v>
      </c>
      <c r="M3090" t="s">
        <v>56</v>
      </c>
      <c r="N3090">
        <v>72379718</v>
      </c>
    </row>
    <row r="3091" spans="1:14" x14ac:dyDescent="0.25">
      <c r="A3091">
        <v>58592906</v>
      </c>
      <c r="B3091" t="s">
        <v>980</v>
      </c>
      <c r="C3091" t="s">
        <v>7329</v>
      </c>
      <c r="D3091" t="s">
        <v>7330</v>
      </c>
      <c r="E3091">
        <v>8506218135</v>
      </c>
      <c r="F3091" t="s">
        <v>775</v>
      </c>
      <c r="G3091" t="s">
        <v>776</v>
      </c>
      <c r="I3091" t="s">
        <v>22</v>
      </c>
      <c r="J3091" s="13">
        <v>45994</v>
      </c>
      <c r="K3091" s="13">
        <v>46023</v>
      </c>
      <c r="L3091" t="s">
        <v>497</v>
      </c>
      <c r="M3091" t="s">
        <v>59</v>
      </c>
      <c r="N3091">
        <v>72381296</v>
      </c>
    </row>
    <row r="3092" spans="1:14" x14ac:dyDescent="0.25">
      <c r="A3092">
        <v>58593750</v>
      </c>
      <c r="B3092" t="s">
        <v>548</v>
      </c>
      <c r="C3092" t="s">
        <v>7331</v>
      </c>
      <c r="D3092" t="s">
        <v>7332</v>
      </c>
      <c r="E3092">
        <v>2076640695</v>
      </c>
      <c r="F3092" t="s">
        <v>569</v>
      </c>
      <c r="G3092" t="s">
        <v>570</v>
      </c>
      <c r="I3092" t="s">
        <v>34</v>
      </c>
      <c r="J3092" s="13">
        <v>45994</v>
      </c>
      <c r="K3092" s="13">
        <v>46023</v>
      </c>
      <c r="L3092" t="s">
        <v>941</v>
      </c>
      <c r="M3092" t="s">
        <v>58</v>
      </c>
      <c r="N3092">
        <v>72382041</v>
      </c>
    </row>
    <row r="3093" spans="1:14" x14ac:dyDescent="0.25">
      <c r="A3093">
        <v>58593752</v>
      </c>
      <c r="B3093" t="s">
        <v>7333</v>
      </c>
      <c r="C3093" t="s">
        <v>2894</v>
      </c>
      <c r="D3093" t="s">
        <v>7334</v>
      </c>
      <c r="E3093">
        <v>9018482154</v>
      </c>
      <c r="F3093" t="s">
        <v>842</v>
      </c>
      <c r="G3093" t="s">
        <v>843</v>
      </c>
      <c r="I3093" t="s">
        <v>98</v>
      </c>
      <c r="J3093" s="13">
        <v>45994</v>
      </c>
      <c r="K3093" s="13">
        <v>46023</v>
      </c>
      <c r="L3093" t="s">
        <v>479</v>
      </c>
      <c r="M3093" t="s">
        <v>59</v>
      </c>
      <c r="N3093">
        <v>72382043</v>
      </c>
    </row>
    <row r="3094" spans="1:14" x14ac:dyDescent="0.25">
      <c r="A3094">
        <v>58594053</v>
      </c>
      <c r="B3094" t="s">
        <v>1589</v>
      </c>
      <c r="C3094" t="s">
        <v>4115</v>
      </c>
      <c r="D3094" t="s">
        <v>7335</v>
      </c>
      <c r="E3094">
        <v>4708132884</v>
      </c>
      <c r="F3094" t="s">
        <v>628</v>
      </c>
      <c r="G3094" t="s">
        <v>629</v>
      </c>
      <c r="I3094" t="s">
        <v>24</v>
      </c>
      <c r="J3094" s="13">
        <v>45994</v>
      </c>
      <c r="K3094" s="13">
        <v>46023</v>
      </c>
      <c r="L3094" t="s">
        <v>621</v>
      </c>
      <c r="M3094" t="s">
        <v>60</v>
      </c>
      <c r="N3094">
        <v>72382232</v>
      </c>
    </row>
    <row r="3095" spans="1:14" x14ac:dyDescent="0.25">
      <c r="A3095">
        <v>58594393</v>
      </c>
      <c r="B3095" t="s">
        <v>801</v>
      </c>
      <c r="C3095" t="s">
        <v>7336</v>
      </c>
      <c r="D3095" t="s">
        <v>7337</v>
      </c>
      <c r="E3095">
        <v>7275655102</v>
      </c>
      <c r="F3095" t="s">
        <v>1345</v>
      </c>
      <c r="G3095" t="s">
        <v>799</v>
      </c>
      <c r="I3095" t="s">
        <v>47</v>
      </c>
      <c r="J3095" s="13">
        <v>45994</v>
      </c>
      <c r="K3095" s="13">
        <v>46023</v>
      </c>
      <c r="L3095" t="s">
        <v>497</v>
      </c>
      <c r="M3095" t="s">
        <v>56</v>
      </c>
      <c r="N3095">
        <v>72382478</v>
      </c>
    </row>
    <row r="3096" spans="1:14" x14ac:dyDescent="0.25">
      <c r="A3096">
        <v>58594483</v>
      </c>
      <c r="B3096" t="s">
        <v>1033</v>
      </c>
      <c r="C3096" t="s">
        <v>7338</v>
      </c>
      <c r="D3096" t="s">
        <v>7339</v>
      </c>
      <c r="E3096">
        <v>4172685318</v>
      </c>
      <c r="F3096" t="s">
        <v>474</v>
      </c>
      <c r="G3096" t="s">
        <v>475</v>
      </c>
      <c r="I3096" t="s">
        <v>132</v>
      </c>
      <c r="J3096" s="13">
        <v>45994</v>
      </c>
      <c r="K3096" s="13">
        <v>46023</v>
      </c>
      <c r="L3096" t="s">
        <v>434</v>
      </c>
      <c r="M3096" t="s">
        <v>56</v>
      </c>
      <c r="N3096">
        <v>72382548</v>
      </c>
    </row>
    <row r="3097" spans="1:14" x14ac:dyDescent="0.25">
      <c r="A3097">
        <v>58594715</v>
      </c>
      <c r="B3097" t="s">
        <v>1106</v>
      </c>
      <c r="C3097" t="s">
        <v>6434</v>
      </c>
      <c r="D3097" t="s">
        <v>7340</v>
      </c>
      <c r="E3097">
        <v>9033741458</v>
      </c>
      <c r="F3097" t="s">
        <v>574</v>
      </c>
      <c r="G3097" t="s">
        <v>575</v>
      </c>
      <c r="I3097" t="s">
        <v>14</v>
      </c>
      <c r="J3097" s="13">
        <v>45994</v>
      </c>
      <c r="K3097" s="13">
        <v>46023</v>
      </c>
      <c r="L3097" t="s">
        <v>444</v>
      </c>
      <c r="M3097" t="s">
        <v>56</v>
      </c>
      <c r="N3097">
        <v>72382693</v>
      </c>
    </row>
    <row r="3098" spans="1:14" x14ac:dyDescent="0.25">
      <c r="A3098">
        <v>58595171</v>
      </c>
      <c r="B3098" t="s">
        <v>1784</v>
      </c>
      <c r="C3098" t="s">
        <v>7341</v>
      </c>
      <c r="D3098" t="s">
        <v>7342</v>
      </c>
      <c r="E3098">
        <v>9108820099</v>
      </c>
      <c r="F3098" t="s">
        <v>649</v>
      </c>
      <c r="G3098" t="s">
        <v>650</v>
      </c>
      <c r="I3098" t="s">
        <v>28</v>
      </c>
      <c r="J3098" s="13">
        <v>45994</v>
      </c>
      <c r="K3098" s="13">
        <v>46023</v>
      </c>
      <c r="L3098" t="s">
        <v>603</v>
      </c>
      <c r="M3098" t="s">
        <v>61</v>
      </c>
      <c r="N3098">
        <v>72382959</v>
      </c>
    </row>
    <row r="3099" spans="1:14" x14ac:dyDescent="0.25">
      <c r="A3099">
        <v>58595202</v>
      </c>
      <c r="B3099" t="s">
        <v>702</v>
      </c>
      <c r="C3099" t="s">
        <v>3144</v>
      </c>
      <c r="D3099" t="s">
        <v>7343</v>
      </c>
      <c r="E3099">
        <v>7728121463</v>
      </c>
      <c r="F3099" t="s">
        <v>462</v>
      </c>
      <c r="G3099" t="s">
        <v>463</v>
      </c>
      <c r="I3099" t="s">
        <v>39</v>
      </c>
      <c r="J3099" s="13">
        <v>45994</v>
      </c>
      <c r="K3099" s="13">
        <v>46023</v>
      </c>
      <c r="L3099" t="s">
        <v>497</v>
      </c>
      <c r="M3099" t="s">
        <v>56</v>
      </c>
      <c r="N3099">
        <v>72382980</v>
      </c>
    </row>
    <row r="3100" spans="1:14" x14ac:dyDescent="0.25">
      <c r="A3100">
        <v>58595296</v>
      </c>
      <c r="B3100" t="s">
        <v>522</v>
      </c>
      <c r="C3100" t="s">
        <v>7344</v>
      </c>
      <c r="D3100" t="s">
        <v>7345</v>
      </c>
      <c r="E3100">
        <v>8153412311</v>
      </c>
      <c r="F3100" t="s">
        <v>578</v>
      </c>
      <c r="G3100" t="s">
        <v>579</v>
      </c>
      <c r="I3100" t="s">
        <v>15</v>
      </c>
      <c r="J3100" s="13">
        <v>45994</v>
      </c>
      <c r="K3100" s="13">
        <v>46023</v>
      </c>
      <c r="L3100" t="s">
        <v>470</v>
      </c>
      <c r="M3100" t="s">
        <v>62</v>
      </c>
      <c r="N3100">
        <v>72382999</v>
      </c>
    </row>
    <row r="3101" spans="1:14" x14ac:dyDescent="0.25">
      <c r="A3101">
        <v>58596284</v>
      </c>
      <c r="B3101" t="s">
        <v>431</v>
      </c>
      <c r="C3101" t="s">
        <v>2608</v>
      </c>
      <c r="D3101" t="s">
        <v>7346</v>
      </c>
      <c r="E3101">
        <v>4802004816</v>
      </c>
      <c r="F3101" t="s">
        <v>423</v>
      </c>
      <c r="G3101" t="s">
        <v>424</v>
      </c>
      <c r="I3101" t="s">
        <v>46</v>
      </c>
      <c r="J3101" s="13">
        <v>45994</v>
      </c>
      <c r="K3101" s="13">
        <v>46023</v>
      </c>
      <c r="L3101" t="s">
        <v>1179</v>
      </c>
      <c r="M3101" t="s">
        <v>59</v>
      </c>
      <c r="N3101">
        <v>72383146</v>
      </c>
    </row>
    <row r="3102" spans="1:14" x14ac:dyDescent="0.25">
      <c r="A3102">
        <v>58596170</v>
      </c>
      <c r="B3102" t="s">
        <v>7347</v>
      </c>
      <c r="C3102" t="s">
        <v>7348</v>
      </c>
      <c r="D3102" t="s">
        <v>7349</v>
      </c>
      <c r="E3102">
        <v>9544403315</v>
      </c>
      <c r="F3102" t="s">
        <v>775</v>
      </c>
      <c r="G3102" t="s">
        <v>776</v>
      </c>
      <c r="I3102" t="s">
        <v>22</v>
      </c>
      <c r="J3102" s="13">
        <v>45994</v>
      </c>
      <c r="K3102" s="13">
        <v>46023</v>
      </c>
      <c r="L3102" t="s">
        <v>497</v>
      </c>
      <c r="M3102" t="s">
        <v>56</v>
      </c>
      <c r="N3102">
        <v>72383672</v>
      </c>
    </row>
    <row r="3103" spans="1:14" x14ac:dyDescent="0.25">
      <c r="A3103">
        <v>58603247</v>
      </c>
      <c r="B3103" t="s">
        <v>445</v>
      </c>
      <c r="C3103" t="s">
        <v>4859</v>
      </c>
      <c r="D3103" t="s">
        <v>7350</v>
      </c>
      <c r="E3103">
        <v>6067921426</v>
      </c>
      <c r="F3103" t="s">
        <v>842</v>
      </c>
      <c r="G3103" t="s">
        <v>843</v>
      </c>
      <c r="I3103" t="s">
        <v>98</v>
      </c>
      <c r="J3103" s="13">
        <v>45994</v>
      </c>
      <c r="K3103" s="13">
        <v>46023</v>
      </c>
      <c r="L3103" t="s">
        <v>490</v>
      </c>
      <c r="M3103" t="s">
        <v>56</v>
      </c>
      <c r="N3103">
        <v>72383902</v>
      </c>
    </row>
    <row r="3104" spans="1:14" x14ac:dyDescent="0.25">
      <c r="A3104">
        <v>58596604</v>
      </c>
      <c r="B3104" t="s">
        <v>476</v>
      </c>
      <c r="C3104" t="s">
        <v>7351</v>
      </c>
      <c r="D3104" t="s">
        <v>7352</v>
      </c>
      <c r="E3104">
        <v>8596848021</v>
      </c>
      <c r="F3104" t="s">
        <v>798</v>
      </c>
      <c r="G3104" t="s">
        <v>799</v>
      </c>
      <c r="I3104" t="s">
        <v>800</v>
      </c>
      <c r="J3104" s="13">
        <v>45994</v>
      </c>
      <c r="K3104" s="13">
        <v>46023</v>
      </c>
      <c r="L3104" t="s">
        <v>490</v>
      </c>
      <c r="M3104" t="s">
        <v>61</v>
      </c>
      <c r="N3104">
        <v>72383924</v>
      </c>
    </row>
    <row r="3105" spans="1:14" x14ac:dyDescent="0.25">
      <c r="A3105">
        <v>58596670</v>
      </c>
      <c r="B3105" t="s">
        <v>476</v>
      </c>
      <c r="C3105" t="s">
        <v>4650</v>
      </c>
      <c r="D3105" t="s">
        <v>7353</v>
      </c>
      <c r="E3105">
        <v>3049016155</v>
      </c>
      <c r="F3105" t="s">
        <v>790</v>
      </c>
      <c r="G3105" t="s">
        <v>791</v>
      </c>
      <c r="I3105" t="s">
        <v>119</v>
      </c>
      <c r="J3105" s="13">
        <v>45994</v>
      </c>
      <c r="K3105" s="13">
        <v>46023</v>
      </c>
      <c r="L3105" t="s">
        <v>1188</v>
      </c>
      <c r="M3105" t="s">
        <v>56</v>
      </c>
      <c r="N3105">
        <v>72383946</v>
      </c>
    </row>
    <row r="3106" spans="1:14" x14ac:dyDescent="0.25">
      <c r="A3106">
        <v>58596990</v>
      </c>
      <c r="B3106" t="s">
        <v>7354</v>
      </c>
      <c r="C3106" t="s">
        <v>7355</v>
      </c>
      <c r="D3106" t="s">
        <v>7356</v>
      </c>
      <c r="E3106">
        <v>8654437166</v>
      </c>
      <c r="F3106" t="s">
        <v>957</v>
      </c>
      <c r="G3106" t="s">
        <v>958</v>
      </c>
      <c r="H3106" t="s">
        <v>959</v>
      </c>
      <c r="I3106" t="s">
        <v>960</v>
      </c>
      <c r="J3106" s="13">
        <v>45994</v>
      </c>
      <c r="K3106" s="13">
        <v>46023</v>
      </c>
      <c r="L3106" t="s">
        <v>490</v>
      </c>
      <c r="M3106" t="s">
        <v>56</v>
      </c>
      <c r="N3106">
        <v>72384165</v>
      </c>
    </row>
    <row r="3107" spans="1:14" x14ac:dyDescent="0.25">
      <c r="A3107">
        <v>58597107</v>
      </c>
      <c r="B3107" t="s">
        <v>5261</v>
      </c>
      <c r="C3107" t="s">
        <v>7357</v>
      </c>
      <c r="D3107" t="s">
        <v>7358</v>
      </c>
      <c r="E3107">
        <v>3176905143</v>
      </c>
      <c r="F3107" t="s">
        <v>494</v>
      </c>
      <c r="G3107" t="s">
        <v>495</v>
      </c>
      <c r="I3107" t="s">
        <v>496</v>
      </c>
      <c r="J3107" s="13">
        <v>45994</v>
      </c>
      <c r="K3107" s="13">
        <v>46023</v>
      </c>
      <c r="L3107" t="s">
        <v>440</v>
      </c>
      <c r="M3107" t="s">
        <v>62</v>
      </c>
      <c r="N3107">
        <v>72384257</v>
      </c>
    </row>
    <row r="3108" spans="1:14" x14ac:dyDescent="0.25">
      <c r="A3108">
        <v>58598046</v>
      </c>
      <c r="B3108" t="s">
        <v>5123</v>
      </c>
      <c r="C3108" t="s">
        <v>1203</v>
      </c>
      <c r="D3108" t="s">
        <v>7359</v>
      </c>
      <c r="E3108">
        <v>3123832581</v>
      </c>
      <c r="F3108" t="s">
        <v>1147</v>
      </c>
      <c r="G3108" t="s">
        <v>1148</v>
      </c>
      <c r="I3108" t="s">
        <v>41</v>
      </c>
      <c r="J3108" s="13">
        <v>45994</v>
      </c>
      <c r="K3108" s="13">
        <v>46023</v>
      </c>
      <c r="L3108" t="s">
        <v>470</v>
      </c>
      <c r="M3108" t="s">
        <v>62</v>
      </c>
      <c r="N3108">
        <v>72384764</v>
      </c>
    </row>
    <row r="3109" spans="1:14" x14ac:dyDescent="0.25">
      <c r="A3109">
        <v>58598223</v>
      </c>
      <c r="B3109" t="s">
        <v>833</v>
      </c>
      <c r="C3109" t="s">
        <v>2304</v>
      </c>
      <c r="D3109" t="s">
        <v>7360</v>
      </c>
      <c r="E3109">
        <v>3182785775</v>
      </c>
      <c r="F3109" t="s">
        <v>1013</v>
      </c>
      <c r="G3109" t="s">
        <v>1014</v>
      </c>
      <c r="I3109" t="s">
        <v>43</v>
      </c>
      <c r="J3109" s="13">
        <v>45994</v>
      </c>
      <c r="K3109" s="13">
        <v>46023</v>
      </c>
      <c r="L3109" t="s">
        <v>612</v>
      </c>
      <c r="M3109" t="s">
        <v>56</v>
      </c>
      <c r="N3109">
        <v>72384810</v>
      </c>
    </row>
    <row r="3110" spans="1:14" x14ac:dyDescent="0.25">
      <c r="A3110">
        <v>58598803</v>
      </c>
      <c r="B3110" t="s">
        <v>1482</v>
      </c>
      <c r="C3110" t="s">
        <v>4583</v>
      </c>
      <c r="D3110" t="s">
        <v>7361</v>
      </c>
      <c r="E3110">
        <v>6067921426</v>
      </c>
      <c r="F3110" t="s">
        <v>842</v>
      </c>
      <c r="G3110" t="s">
        <v>843</v>
      </c>
      <c r="I3110" t="s">
        <v>98</v>
      </c>
      <c r="J3110" s="13">
        <v>45994</v>
      </c>
      <c r="K3110" s="13">
        <v>46023</v>
      </c>
      <c r="L3110" t="s">
        <v>490</v>
      </c>
      <c r="M3110" t="s">
        <v>56</v>
      </c>
      <c r="N3110">
        <v>72384894</v>
      </c>
    </row>
    <row r="3111" spans="1:14" x14ac:dyDescent="0.25">
      <c r="A3111">
        <v>58601771</v>
      </c>
      <c r="B3111" t="s">
        <v>712</v>
      </c>
      <c r="C3111" t="s">
        <v>7362</v>
      </c>
      <c r="D3111" t="s">
        <v>7363</v>
      </c>
      <c r="E3111">
        <v>5617040265</v>
      </c>
      <c r="F3111" t="s">
        <v>7023</v>
      </c>
      <c r="G3111" t="s">
        <v>7024</v>
      </c>
      <c r="I3111" t="s">
        <v>7025</v>
      </c>
      <c r="J3111" s="13">
        <v>45994</v>
      </c>
      <c r="K3111" s="13">
        <v>46023</v>
      </c>
      <c r="L3111" t="s">
        <v>497</v>
      </c>
      <c r="M3111" t="s">
        <v>54</v>
      </c>
      <c r="N3111">
        <v>72385235</v>
      </c>
    </row>
    <row r="3112" spans="1:14" x14ac:dyDescent="0.25">
      <c r="A3112">
        <v>58599192</v>
      </c>
      <c r="B3112" t="s">
        <v>7125</v>
      </c>
      <c r="C3112" t="s">
        <v>7364</v>
      </c>
      <c r="D3112" t="s">
        <v>7365</v>
      </c>
      <c r="E3112">
        <v>9565949872</v>
      </c>
      <c r="F3112" t="s">
        <v>615</v>
      </c>
      <c r="G3112" t="s">
        <v>616</v>
      </c>
      <c r="I3112" t="s">
        <v>617</v>
      </c>
      <c r="J3112" s="13">
        <v>45994</v>
      </c>
      <c r="K3112" s="13">
        <v>46023</v>
      </c>
      <c r="L3112" t="s">
        <v>444</v>
      </c>
      <c r="M3112" t="s">
        <v>58</v>
      </c>
      <c r="N3112">
        <v>72385291</v>
      </c>
    </row>
    <row r="3113" spans="1:14" x14ac:dyDescent="0.25">
      <c r="A3113">
        <v>58599857</v>
      </c>
      <c r="B3113" t="s">
        <v>3451</v>
      </c>
      <c r="C3113" t="s">
        <v>7366</v>
      </c>
      <c r="D3113" t="s">
        <v>7367</v>
      </c>
      <c r="E3113">
        <v>8138122803</v>
      </c>
      <c r="F3113" t="s">
        <v>1142</v>
      </c>
      <c r="G3113" t="s">
        <v>1143</v>
      </c>
      <c r="I3113" t="s">
        <v>124</v>
      </c>
      <c r="J3113" s="13">
        <v>45994</v>
      </c>
      <c r="K3113" s="13">
        <v>46023</v>
      </c>
      <c r="L3113" t="s">
        <v>450</v>
      </c>
      <c r="M3113" t="s">
        <v>59</v>
      </c>
      <c r="N3113">
        <v>72385738</v>
      </c>
    </row>
    <row r="3114" spans="1:14" x14ac:dyDescent="0.25">
      <c r="A3114">
        <v>58600975</v>
      </c>
      <c r="B3114" t="s">
        <v>879</v>
      </c>
      <c r="C3114" t="s">
        <v>7368</v>
      </c>
      <c r="D3114" t="s">
        <v>7369</v>
      </c>
      <c r="E3114">
        <v>3373497134</v>
      </c>
      <c r="F3114" t="s">
        <v>592</v>
      </c>
      <c r="G3114" t="s">
        <v>593</v>
      </c>
      <c r="I3114" t="s">
        <v>115</v>
      </c>
      <c r="J3114" s="13">
        <v>45994</v>
      </c>
      <c r="K3114" s="13">
        <v>46023</v>
      </c>
      <c r="L3114" t="s">
        <v>612</v>
      </c>
      <c r="M3114" t="s">
        <v>56</v>
      </c>
      <c r="N3114">
        <v>72386478</v>
      </c>
    </row>
    <row r="3115" spans="1:14" x14ac:dyDescent="0.25">
      <c r="A3115">
        <v>58602072</v>
      </c>
      <c r="B3115" t="s">
        <v>3397</v>
      </c>
      <c r="C3115" t="s">
        <v>7370</v>
      </c>
      <c r="D3115" t="s">
        <v>7371</v>
      </c>
      <c r="E3115">
        <v>5615124267</v>
      </c>
      <c r="F3115" t="s">
        <v>423</v>
      </c>
      <c r="G3115" t="s">
        <v>424</v>
      </c>
      <c r="I3115" t="s">
        <v>46</v>
      </c>
      <c r="J3115" s="13">
        <v>45994</v>
      </c>
      <c r="K3115" s="13">
        <v>46023</v>
      </c>
      <c r="L3115" t="s">
        <v>497</v>
      </c>
      <c r="M3115" t="s">
        <v>54</v>
      </c>
      <c r="N3115">
        <v>72386824</v>
      </c>
    </row>
    <row r="3116" spans="1:14" x14ac:dyDescent="0.25">
      <c r="A3116">
        <v>58602652</v>
      </c>
      <c r="B3116" t="s">
        <v>1316</v>
      </c>
      <c r="C3116" t="s">
        <v>643</v>
      </c>
      <c r="D3116" t="s">
        <v>7372</v>
      </c>
      <c r="E3116">
        <v>7734031300</v>
      </c>
      <c r="F3116" t="s">
        <v>474</v>
      </c>
      <c r="G3116" t="s">
        <v>475</v>
      </c>
      <c r="I3116" t="s">
        <v>132</v>
      </c>
      <c r="J3116" s="13">
        <v>45994</v>
      </c>
      <c r="K3116" s="13">
        <v>46023</v>
      </c>
      <c r="L3116" t="s">
        <v>470</v>
      </c>
      <c r="M3116" t="s">
        <v>62</v>
      </c>
      <c r="N3116">
        <v>72387519</v>
      </c>
    </row>
    <row r="3117" spans="1:14" x14ac:dyDescent="0.25">
      <c r="A3117">
        <v>58604159</v>
      </c>
      <c r="B3117" t="s">
        <v>7373</v>
      </c>
      <c r="C3117" t="s">
        <v>5025</v>
      </c>
      <c r="D3117" t="s">
        <v>7374</v>
      </c>
      <c r="E3117">
        <v>6022567361</v>
      </c>
      <c r="F3117" t="s">
        <v>842</v>
      </c>
      <c r="G3117" t="s">
        <v>1213</v>
      </c>
      <c r="I3117" t="s">
        <v>1214</v>
      </c>
      <c r="J3117" s="13">
        <v>45994</v>
      </c>
      <c r="K3117" s="13">
        <v>46023</v>
      </c>
      <c r="L3117" t="s">
        <v>1179</v>
      </c>
      <c r="M3117" t="s">
        <v>61</v>
      </c>
      <c r="N3117">
        <v>72388326</v>
      </c>
    </row>
    <row r="3118" spans="1:14" x14ac:dyDescent="0.25">
      <c r="A3118">
        <v>58605176</v>
      </c>
      <c r="B3118" t="s">
        <v>2676</v>
      </c>
      <c r="C3118" t="s">
        <v>2667</v>
      </c>
      <c r="D3118" t="s">
        <v>7375</v>
      </c>
      <c r="E3118">
        <v>8034587853</v>
      </c>
      <c r="F3118" t="s">
        <v>551</v>
      </c>
      <c r="G3118" t="s">
        <v>552</v>
      </c>
      <c r="I3118" t="s">
        <v>42</v>
      </c>
      <c r="J3118" s="13">
        <v>45994</v>
      </c>
      <c r="K3118" s="13">
        <v>46023</v>
      </c>
      <c r="L3118" t="s">
        <v>533</v>
      </c>
      <c r="M3118" t="s">
        <v>56</v>
      </c>
      <c r="N3118">
        <v>72388556</v>
      </c>
    </row>
    <row r="3119" spans="1:14" x14ac:dyDescent="0.25">
      <c r="A3119">
        <v>58605683</v>
      </c>
      <c r="B3119" t="s">
        <v>431</v>
      </c>
      <c r="C3119" t="s">
        <v>7376</v>
      </c>
      <c r="D3119" t="s">
        <v>7377</v>
      </c>
      <c r="E3119">
        <v>5202754157</v>
      </c>
      <c r="F3119" t="s">
        <v>4853</v>
      </c>
      <c r="G3119" t="s">
        <v>5017</v>
      </c>
      <c r="I3119" t="s">
        <v>5018</v>
      </c>
      <c r="J3119" s="13">
        <v>45994</v>
      </c>
      <c r="K3119" s="13">
        <v>46023</v>
      </c>
      <c r="L3119" t="s">
        <v>1179</v>
      </c>
      <c r="M3119" t="s">
        <v>54</v>
      </c>
      <c r="N3119">
        <v>72388771</v>
      </c>
    </row>
    <row r="3120" spans="1:14" x14ac:dyDescent="0.25">
      <c r="A3120">
        <v>58606200</v>
      </c>
      <c r="B3120" t="s">
        <v>3686</v>
      </c>
      <c r="C3120" t="s">
        <v>3467</v>
      </c>
      <c r="D3120" t="s">
        <v>7378</v>
      </c>
      <c r="E3120">
        <v>3186141657</v>
      </c>
      <c r="F3120" t="s">
        <v>815</v>
      </c>
      <c r="G3120" t="s">
        <v>816</v>
      </c>
      <c r="I3120" t="s">
        <v>23</v>
      </c>
      <c r="J3120" s="13">
        <v>45994</v>
      </c>
      <c r="K3120" s="13">
        <v>46023</v>
      </c>
      <c r="L3120" t="s">
        <v>612</v>
      </c>
      <c r="M3120" t="s">
        <v>58</v>
      </c>
      <c r="N3120">
        <v>72388937</v>
      </c>
    </row>
    <row r="3121" spans="1:14" x14ac:dyDescent="0.25">
      <c r="A3121">
        <v>58606336</v>
      </c>
      <c r="B3121" t="s">
        <v>7379</v>
      </c>
      <c r="C3121" t="s">
        <v>2013</v>
      </c>
      <c r="D3121" t="s">
        <v>7380</v>
      </c>
      <c r="E3121">
        <v>5738404088</v>
      </c>
      <c r="F3121" t="s">
        <v>448</v>
      </c>
      <c r="G3121" t="s">
        <v>449</v>
      </c>
      <c r="I3121" t="s">
        <v>31</v>
      </c>
      <c r="J3121" s="13">
        <v>45994</v>
      </c>
      <c r="K3121" s="13">
        <v>46023</v>
      </c>
      <c r="L3121" t="s">
        <v>434</v>
      </c>
      <c r="M3121" t="s">
        <v>58</v>
      </c>
      <c r="N3121">
        <v>72388972</v>
      </c>
    </row>
    <row r="3122" spans="1:14" x14ac:dyDescent="0.25">
      <c r="A3122">
        <v>58606405</v>
      </c>
      <c r="B3122" t="s">
        <v>702</v>
      </c>
      <c r="C3122" t="s">
        <v>7381</v>
      </c>
      <c r="D3122" t="s">
        <v>7382</v>
      </c>
      <c r="E3122">
        <v>8165911063</v>
      </c>
      <c r="F3122" t="s">
        <v>1013</v>
      </c>
      <c r="G3122" t="s">
        <v>1014</v>
      </c>
      <c r="I3122" t="s">
        <v>43</v>
      </c>
      <c r="J3122" s="13">
        <v>45994</v>
      </c>
      <c r="K3122" s="13">
        <v>46023</v>
      </c>
      <c r="L3122" t="s">
        <v>434</v>
      </c>
      <c r="M3122" t="s">
        <v>56</v>
      </c>
      <c r="N3122">
        <v>72388991</v>
      </c>
    </row>
    <row r="3123" spans="1:14" x14ac:dyDescent="0.25">
      <c r="A3123">
        <v>58606950</v>
      </c>
      <c r="B3123" t="s">
        <v>7383</v>
      </c>
      <c r="C3123" t="s">
        <v>7384</v>
      </c>
      <c r="D3123" t="s">
        <v>7385</v>
      </c>
      <c r="E3123">
        <v>7542688728</v>
      </c>
      <c r="F3123" t="s">
        <v>462</v>
      </c>
      <c r="G3123" t="s">
        <v>463</v>
      </c>
      <c r="I3123" t="s">
        <v>39</v>
      </c>
      <c r="J3123" s="13">
        <v>45994</v>
      </c>
      <c r="K3123" s="13">
        <v>46023</v>
      </c>
      <c r="L3123" t="s">
        <v>497</v>
      </c>
      <c r="M3123" t="s">
        <v>54</v>
      </c>
      <c r="N3123">
        <v>72389151</v>
      </c>
    </row>
    <row r="3124" spans="1:14" x14ac:dyDescent="0.25">
      <c r="A3124">
        <v>58607733</v>
      </c>
      <c r="B3124" t="s">
        <v>7386</v>
      </c>
      <c r="C3124" t="s">
        <v>7387</v>
      </c>
      <c r="D3124" t="s">
        <v>7388</v>
      </c>
      <c r="E3124">
        <v>3313991231</v>
      </c>
      <c r="F3124" t="s">
        <v>705</v>
      </c>
      <c r="G3124" t="s">
        <v>706</v>
      </c>
      <c r="I3124" t="s">
        <v>12</v>
      </c>
      <c r="J3124" s="13">
        <v>45994</v>
      </c>
      <c r="K3124" s="13">
        <v>46023</v>
      </c>
      <c r="L3124" t="s">
        <v>470</v>
      </c>
      <c r="M3124" t="s">
        <v>60</v>
      </c>
      <c r="N3124">
        <v>72389347</v>
      </c>
    </row>
    <row r="3125" spans="1:14" x14ac:dyDescent="0.25">
      <c r="A3125">
        <v>58610162</v>
      </c>
      <c r="B3125" t="s">
        <v>925</v>
      </c>
      <c r="C3125" t="s">
        <v>7389</v>
      </c>
      <c r="D3125" t="s">
        <v>7390</v>
      </c>
      <c r="E3125" t="s">
        <v>7391</v>
      </c>
      <c r="F3125" t="s">
        <v>423</v>
      </c>
      <c r="G3125" t="s">
        <v>424</v>
      </c>
      <c r="I3125" t="s">
        <v>46</v>
      </c>
      <c r="J3125" s="13">
        <v>45994</v>
      </c>
      <c r="K3125" s="13">
        <v>46023</v>
      </c>
      <c r="L3125" t="s">
        <v>497</v>
      </c>
      <c r="M3125" t="s">
        <v>54</v>
      </c>
      <c r="N3125">
        <v>72389740</v>
      </c>
    </row>
    <row r="3126" spans="1:14" x14ac:dyDescent="0.25">
      <c r="A3126">
        <v>58609463</v>
      </c>
      <c r="B3126" t="s">
        <v>3593</v>
      </c>
      <c r="C3126" t="s">
        <v>1475</v>
      </c>
      <c r="D3126" t="s">
        <v>7392</v>
      </c>
      <c r="E3126">
        <v>4049665547</v>
      </c>
      <c r="F3126" t="s">
        <v>842</v>
      </c>
      <c r="G3126" t="s">
        <v>843</v>
      </c>
      <c r="I3126" t="s">
        <v>98</v>
      </c>
      <c r="J3126" s="13">
        <v>45994</v>
      </c>
      <c r="K3126" s="13">
        <v>46023</v>
      </c>
      <c r="L3126" t="s">
        <v>621</v>
      </c>
      <c r="M3126" t="s">
        <v>56</v>
      </c>
      <c r="N3126">
        <v>72389765</v>
      </c>
    </row>
    <row r="3127" spans="1:14" x14ac:dyDescent="0.25">
      <c r="A3127">
        <v>58610663</v>
      </c>
      <c r="B3127" t="s">
        <v>7333</v>
      </c>
      <c r="C3127" t="s">
        <v>7393</v>
      </c>
      <c r="D3127" t="s">
        <v>7394</v>
      </c>
      <c r="E3127">
        <v>3174802369</v>
      </c>
      <c r="F3127" t="s">
        <v>1345</v>
      </c>
      <c r="G3127" t="s">
        <v>799</v>
      </c>
      <c r="I3127" t="s">
        <v>47</v>
      </c>
      <c r="J3127" s="13">
        <v>45994</v>
      </c>
      <c r="K3127" s="13">
        <v>46023</v>
      </c>
      <c r="L3127" t="s">
        <v>497</v>
      </c>
      <c r="M3127" t="s">
        <v>54</v>
      </c>
      <c r="N3127">
        <v>72390001</v>
      </c>
    </row>
    <row r="3128" spans="1:14" x14ac:dyDescent="0.25">
      <c r="A3128">
        <v>58612573</v>
      </c>
      <c r="B3128" t="s">
        <v>7395</v>
      </c>
      <c r="C3128" t="s">
        <v>7396</v>
      </c>
      <c r="D3128" t="s">
        <v>7397</v>
      </c>
      <c r="E3128">
        <v>9285945330</v>
      </c>
      <c r="F3128" t="s">
        <v>416</v>
      </c>
      <c r="G3128" t="s">
        <v>417</v>
      </c>
      <c r="I3128" t="s">
        <v>26</v>
      </c>
      <c r="J3128" s="13">
        <v>45994</v>
      </c>
      <c r="K3128" s="13">
        <v>46023</v>
      </c>
      <c r="L3128" t="s">
        <v>1179</v>
      </c>
      <c r="M3128" t="s">
        <v>54</v>
      </c>
      <c r="N3128">
        <v>72390668</v>
      </c>
    </row>
    <row r="3129" spans="1:14" x14ac:dyDescent="0.25">
      <c r="A3129">
        <v>58613077</v>
      </c>
      <c r="B3129" t="s">
        <v>7398</v>
      </c>
      <c r="C3129" t="s">
        <v>3839</v>
      </c>
      <c r="D3129" t="s">
        <v>7399</v>
      </c>
      <c r="E3129">
        <v>8704500914</v>
      </c>
      <c r="F3129" t="s">
        <v>628</v>
      </c>
      <c r="G3129" t="s">
        <v>629</v>
      </c>
      <c r="I3129" t="s">
        <v>24</v>
      </c>
      <c r="J3129" s="13">
        <v>45994</v>
      </c>
      <c r="K3129" s="13">
        <v>46023</v>
      </c>
      <c r="L3129" t="s">
        <v>553</v>
      </c>
      <c r="M3129" t="s">
        <v>58</v>
      </c>
      <c r="N3129">
        <v>72391004</v>
      </c>
    </row>
    <row r="3130" spans="1:14" x14ac:dyDescent="0.25">
      <c r="A3130">
        <v>58619187</v>
      </c>
      <c r="B3130" t="s">
        <v>1197</v>
      </c>
      <c r="C3130" t="s">
        <v>7400</v>
      </c>
      <c r="D3130" t="s">
        <v>7401</v>
      </c>
      <c r="E3130">
        <v>9544403315</v>
      </c>
      <c r="F3130" t="s">
        <v>775</v>
      </c>
      <c r="G3130" t="s">
        <v>776</v>
      </c>
      <c r="I3130" t="s">
        <v>22</v>
      </c>
      <c r="J3130" s="13">
        <v>45994</v>
      </c>
      <c r="K3130" s="13">
        <v>46023</v>
      </c>
      <c r="L3130" t="s">
        <v>497</v>
      </c>
      <c r="M3130" t="s">
        <v>56</v>
      </c>
      <c r="N3130">
        <v>72391894</v>
      </c>
    </row>
    <row r="3131" spans="1:14" x14ac:dyDescent="0.25">
      <c r="A3131">
        <v>58615772</v>
      </c>
      <c r="B3131" t="s">
        <v>4327</v>
      </c>
      <c r="C3131" t="s">
        <v>7402</v>
      </c>
      <c r="D3131" t="s">
        <v>7403</v>
      </c>
      <c r="E3131">
        <v>3174576137</v>
      </c>
      <c r="F3131" t="s">
        <v>494</v>
      </c>
      <c r="G3131" t="s">
        <v>495</v>
      </c>
      <c r="I3131" t="s">
        <v>496</v>
      </c>
      <c r="J3131" s="13">
        <v>45994</v>
      </c>
      <c r="K3131" s="13">
        <v>46023</v>
      </c>
      <c r="L3131" t="s">
        <v>440</v>
      </c>
      <c r="M3131" t="s">
        <v>62</v>
      </c>
      <c r="N3131">
        <v>72392072</v>
      </c>
    </row>
    <row r="3132" spans="1:14" x14ac:dyDescent="0.25">
      <c r="A3132">
        <v>58616156</v>
      </c>
      <c r="B3132" t="s">
        <v>431</v>
      </c>
      <c r="C3132" t="s">
        <v>5198</v>
      </c>
      <c r="D3132" t="s">
        <v>7404</v>
      </c>
      <c r="E3132">
        <v>5202705461</v>
      </c>
      <c r="F3132" t="s">
        <v>448</v>
      </c>
      <c r="G3132" t="s">
        <v>449</v>
      </c>
      <c r="I3132" t="s">
        <v>31</v>
      </c>
      <c r="J3132" s="13">
        <v>45994</v>
      </c>
      <c r="K3132" s="13">
        <v>46023</v>
      </c>
      <c r="L3132" t="s">
        <v>1179</v>
      </c>
      <c r="M3132" t="s">
        <v>59</v>
      </c>
      <c r="N3132">
        <v>72392227</v>
      </c>
    </row>
    <row r="3133" spans="1:14" x14ac:dyDescent="0.25">
      <c r="A3133">
        <v>58617577</v>
      </c>
      <c r="B3133" t="s">
        <v>7405</v>
      </c>
      <c r="C3133" t="s">
        <v>7406</v>
      </c>
      <c r="D3133" t="s">
        <v>7407</v>
      </c>
      <c r="E3133">
        <v>5026440405</v>
      </c>
      <c r="F3133" t="s">
        <v>842</v>
      </c>
      <c r="G3133" t="s">
        <v>843</v>
      </c>
      <c r="I3133" t="s">
        <v>98</v>
      </c>
      <c r="J3133" s="13">
        <v>45994</v>
      </c>
      <c r="K3133" s="13">
        <v>46023</v>
      </c>
      <c r="L3133" t="s">
        <v>490</v>
      </c>
      <c r="M3133" t="s">
        <v>56</v>
      </c>
      <c r="N3133">
        <v>72392675</v>
      </c>
    </row>
    <row r="3134" spans="1:14" x14ac:dyDescent="0.25">
      <c r="A3134">
        <v>58618713</v>
      </c>
      <c r="B3134" t="s">
        <v>445</v>
      </c>
      <c r="C3134" t="s">
        <v>546</v>
      </c>
      <c r="D3134" t="s">
        <v>7408</v>
      </c>
      <c r="E3134">
        <v>4807645906</v>
      </c>
      <c r="F3134" t="s">
        <v>423</v>
      </c>
      <c r="G3134" t="s">
        <v>424</v>
      </c>
      <c r="I3134" t="s">
        <v>46</v>
      </c>
      <c r="J3134" s="13">
        <v>45994</v>
      </c>
      <c r="K3134" s="13">
        <v>46023</v>
      </c>
      <c r="L3134" t="s">
        <v>1179</v>
      </c>
      <c r="M3134" t="s">
        <v>55</v>
      </c>
      <c r="N3134">
        <v>72392930</v>
      </c>
    </row>
    <row r="3135" spans="1:14" x14ac:dyDescent="0.25">
      <c r="A3135">
        <v>58619311</v>
      </c>
      <c r="B3135" t="s">
        <v>7409</v>
      </c>
      <c r="C3135" t="s">
        <v>3002</v>
      </c>
      <c r="D3135" t="s">
        <v>7410</v>
      </c>
      <c r="E3135">
        <v>6232232873</v>
      </c>
      <c r="F3135" t="s">
        <v>551</v>
      </c>
      <c r="G3135" t="s">
        <v>552</v>
      </c>
      <c r="I3135" t="s">
        <v>42</v>
      </c>
      <c r="J3135" s="13">
        <v>45994</v>
      </c>
      <c r="K3135" s="13">
        <v>46023</v>
      </c>
      <c r="L3135" t="s">
        <v>1179</v>
      </c>
      <c r="M3135" t="s">
        <v>56</v>
      </c>
      <c r="N3135">
        <v>72393778</v>
      </c>
    </row>
    <row r="3136" spans="1:14" x14ac:dyDescent="0.25">
      <c r="A3136">
        <v>58618913</v>
      </c>
      <c r="B3136" t="s">
        <v>1170</v>
      </c>
      <c r="C3136" t="s">
        <v>7411</v>
      </c>
      <c r="D3136" t="s">
        <v>7412</v>
      </c>
      <c r="E3136">
        <v>7276417673</v>
      </c>
      <c r="F3136" t="s">
        <v>798</v>
      </c>
      <c r="G3136" t="s">
        <v>799</v>
      </c>
      <c r="I3136" t="s">
        <v>800</v>
      </c>
      <c r="J3136" s="13">
        <v>45994</v>
      </c>
      <c r="K3136" s="13">
        <v>46023</v>
      </c>
      <c r="L3136" t="s">
        <v>497</v>
      </c>
      <c r="M3136" t="s">
        <v>56</v>
      </c>
      <c r="N3136">
        <v>72393992</v>
      </c>
    </row>
    <row r="3137" spans="1:14" x14ac:dyDescent="0.25">
      <c r="A3137">
        <v>58620964</v>
      </c>
      <c r="B3137" t="s">
        <v>548</v>
      </c>
      <c r="C3137" t="s">
        <v>7413</v>
      </c>
      <c r="D3137" t="s">
        <v>7414</v>
      </c>
      <c r="E3137">
        <v>5405143898</v>
      </c>
      <c r="F3137" t="s">
        <v>615</v>
      </c>
      <c r="G3137" t="s">
        <v>616</v>
      </c>
      <c r="I3137" t="s">
        <v>617</v>
      </c>
      <c r="J3137" s="13">
        <v>45994</v>
      </c>
      <c r="K3137" s="13">
        <v>46023</v>
      </c>
      <c r="L3137" t="s">
        <v>1188</v>
      </c>
      <c r="M3137" t="s">
        <v>56</v>
      </c>
      <c r="N3137">
        <v>72395879</v>
      </c>
    </row>
    <row r="3138" spans="1:14" x14ac:dyDescent="0.25">
      <c r="A3138">
        <v>58621531</v>
      </c>
      <c r="B3138" t="s">
        <v>2022</v>
      </c>
      <c r="C3138" t="s">
        <v>7415</v>
      </c>
      <c r="D3138" t="s">
        <v>7416</v>
      </c>
      <c r="E3138">
        <v>7084757922</v>
      </c>
      <c r="F3138" t="s">
        <v>578</v>
      </c>
      <c r="G3138" t="s">
        <v>579</v>
      </c>
      <c r="I3138" t="s">
        <v>15</v>
      </c>
      <c r="J3138" s="13">
        <v>45994</v>
      </c>
      <c r="K3138" s="13">
        <v>46023</v>
      </c>
      <c r="L3138" t="s">
        <v>470</v>
      </c>
      <c r="M3138" t="s">
        <v>62</v>
      </c>
      <c r="N3138">
        <v>72396394</v>
      </c>
    </row>
    <row r="3139" spans="1:14" x14ac:dyDescent="0.25">
      <c r="A3139">
        <v>58622167</v>
      </c>
      <c r="B3139" t="s">
        <v>501</v>
      </c>
      <c r="C3139" t="s">
        <v>7417</v>
      </c>
      <c r="D3139" t="s">
        <v>7418</v>
      </c>
      <c r="E3139">
        <v>5049083550</v>
      </c>
      <c r="F3139" t="s">
        <v>828</v>
      </c>
      <c r="G3139" t="s">
        <v>1148</v>
      </c>
      <c r="I3139" t="s">
        <v>17</v>
      </c>
      <c r="J3139" s="13">
        <v>45994</v>
      </c>
      <c r="K3139" s="13">
        <v>46023</v>
      </c>
      <c r="L3139" t="s">
        <v>612</v>
      </c>
      <c r="M3139" t="s">
        <v>59</v>
      </c>
      <c r="N3139">
        <v>72397130</v>
      </c>
    </row>
    <row r="3140" spans="1:14" x14ac:dyDescent="0.25">
      <c r="A3140">
        <v>58622350</v>
      </c>
      <c r="B3140" t="s">
        <v>7419</v>
      </c>
      <c r="C3140" t="s">
        <v>7420</v>
      </c>
      <c r="D3140" t="s">
        <v>7421</v>
      </c>
      <c r="E3140">
        <v>6027416519</v>
      </c>
      <c r="F3140" t="s">
        <v>7023</v>
      </c>
      <c r="G3140" t="s">
        <v>7024</v>
      </c>
      <c r="I3140" t="s">
        <v>7025</v>
      </c>
      <c r="J3140" s="13">
        <v>45994</v>
      </c>
      <c r="K3140" s="13">
        <v>46023</v>
      </c>
      <c r="L3140" t="s">
        <v>1179</v>
      </c>
      <c r="M3140" t="s">
        <v>54</v>
      </c>
      <c r="N3140">
        <v>72397167</v>
      </c>
    </row>
    <row r="3141" spans="1:14" x14ac:dyDescent="0.25">
      <c r="A3141">
        <v>58623427</v>
      </c>
      <c r="B3141" t="s">
        <v>1566</v>
      </c>
      <c r="C3141" t="s">
        <v>7422</v>
      </c>
      <c r="D3141" t="s">
        <v>7423</v>
      </c>
      <c r="E3141">
        <v>3363002612</v>
      </c>
      <c r="F3141" t="s">
        <v>537</v>
      </c>
      <c r="G3141" t="s">
        <v>538</v>
      </c>
      <c r="I3141" t="s">
        <v>49</v>
      </c>
      <c r="J3141" s="13">
        <v>45994</v>
      </c>
      <c r="K3141" s="13">
        <v>46023</v>
      </c>
      <c r="L3141" t="s">
        <v>603</v>
      </c>
      <c r="M3141" t="s">
        <v>56</v>
      </c>
      <c r="N3141">
        <v>72398290</v>
      </c>
    </row>
    <row r="3142" spans="1:14" x14ac:dyDescent="0.25">
      <c r="A3142">
        <v>58623517</v>
      </c>
      <c r="B3142" t="s">
        <v>7424</v>
      </c>
      <c r="C3142" t="s">
        <v>7425</v>
      </c>
      <c r="D3142" t="s">
        <v>7426</v>
      </c>
      <c r="E3142">
        <v>3039465035</v>
      </c>
      <c r="F3142" t="s">
        <v>649</v>
      </c>
      <c r="G3142" t="s">
        <v>650</v>
      </c>
      <c r="I3142" t="s">
        <v>28</v>
      </c>
      <c r="J3142" s="13">
        <v>45994</v>
      </c>
      <c r="K3142" s="13">
        <v>46023</v>
      </c>
      <c r="L3142" t="s">
        <v>1179</v>
      </c>
      <c r="M3142" t="s">
        <v>55</v>
      </c>
      <c r="N3142">
        <v>72398338</v>
      </c>
    </row>
    <row r="3143" spans="1:14" x14ac:dyDescent="0.25">
      <c r="A3143">
        <v>58624055</v>
      </c>
      <c r="B3143" t="s">
        <v>980</v>
      </c>
      <c r="C3143" t="s">
        <v>7427</v>
      </c>
      <c r="D3143" t="s">
        <v>7428</v>
      </c>
      <c r="E3143">
        <v>7729853731</v>
      </c>
      <c r="F3143" t="s">
        <v>423</v>
      </c>
      <c r="G3143" t="s">
        <v>424</v>
      </c>
      <c r="I3143" t="s">
        <v>46</v>
      </c>
      <c r="J3143" s="13">
        <v>45994</v>
      </c>
      <c r="K3143" s="13">
        <v>46023</v>
      </c>
      <c r="L3143" t="s">
        <v>497</v>
      </c>
      <c r="M3143" t="s">
        <v>56</v>
      </c>
      <c r="N3143">
        <v>72398430</v>
      </c>
    </row>
    <row r="3144" spans="1:14" x14ac:dyDescent="0.25">
      <c r="A3144">
        <v>58623895</v>
      </c>
      <c r="B3144" t="s">
        <v>5552</v>
      </c>
      <c r="C3144" t="s">
        <v>7429</v>
      </c>
      <c r="D3144" t="s">
        <v>7430</v>
      </c>
      <c r="E3144">
        <v>5204408297</v>
      </c>
      <c r="F3144" t="s">
        <v>1142</v>
      </c>
      <c r="G3144" t="s">
        <v>1143</v>
      </c>
      <c r="I3144" t="s">
        <v>124</v>
      </c>
      <c r="J3144" s="13">
        <v>45994</v>
      </c>
      <c r="K3144" s="13">
        <v>46023</v>
      </c>
      <c r="L3144" t="s">
        <v>1179</v>
      </c>
      <c r="M3144" t="s">
        <v>59</v>
      </c>
      <c r="N3144">
        <v>72398589</v>
      </c>
    </row>
    <row r="3145" spans="1:14" x14ac:dyDescent="0.25">
      <c r="A3145">
        <v>58624785</v>
      </c>
      <c r="B3145" t="s">
        <v>7431</v>
      </c>
      <c r="C3145" t="s">
        <v>7432</v>
      </c>
      <c r="D3145" t="s">
        <v>7433</v>
      </c>
      <c r="E3145">
        <v>8597079450</v>
      </c>
      <c r="F3145" t="s">
        <v>842</v>
      </c>
      <c r="G3145" t="s">
        <v>843</v>
      </c>
      <c r="I3145" t="s">
        <v>98</v>
      </c>
      <c r="J3145" s="13">
        <v>45994</v>
      </c>
      <c r="K3145" s="13">
        <v>46023</v>
      </c>
      <c r="L3145" t="s">
        <v>490</v>
      </c>
      <c r="M3145" t="s">
        <v>59</v>
      </c>
      <c r="N3145">
        <v>72399301</v>
      </c>
    </row>
    <row r="3146" spans="1:14" x14ac:dyDescent="0.25">
      <c r="A3146">
        <v>58625606</v>
      </c>
      <c r="B3146" t="s">
        <v>3075</v>
      </c>
      <c r="C3146" t="s">
        <v>572</v>
      </c>
      <c r="D3146" t="s">
        <v>7434</v>
      </c>
      <c r="E3146">
        <v>7275198274</v>
      </c>
      <c r="F3146" t="s">
        <v>1345</v>
      </c>
      <c r="G3146" t="s">
        <v>799</v>
      </c>
      <c r="I3146" t="s">
        <v>47</v>
      </c>
      <c r="J3146" s="13">
        <v>45994</v>
      </c>
      <c r="K3146" s="13">
        <v>46023</v>
      </c>
      <c r="L3146" t="s">
        <v>497</v>
      </c>
      <c r="M3146" t="s">
        <v>54</v>
      </c>
      <c r="N3146">
        <v>72400098</v>
      </c>
    </row>
    <row r="3147" spans="1:14" x14ac:dyDescent="0.25">
      <c r="A3147">
        <v>58625899</v>
      </c>
      <c r="B3147" t="s">
        <v>1316</v>
      </c>
      <c r="C3147" t="s">
        <v>7435</v>
      </c>
      <c r="D3147" t="s">
        <v>7436</v>
      </c>
      <c r="E3147">
        <v>8303273734</v>
      </c>
      <c r="F3147" t="s">
        <v>7039</v>
      </c>
      <c r="G3147" t="s">
        <v>1167</v>
      </c>
      <c r="I3147" t="s">
        <v>91</v>
      </c>
      <c r="J3147" s="13">
        <v>45994</v>
      </c>
      <c r="K3147" s="13">
        <v>46023</v>
      </c>
      <c r="L3147" t="s">
        <v>444</v>
      </c>
      <c r="M3147" t="s">
        <v>55</v>
      </c>
      <c r="N3147">
        <v>72400299</v>
      </c>
    </row>
    <row r="3148" spans="1:14" x14ac:dyDescent="0.25">
      <c r="A3148">
        <v>58627255</v>
      </c>
      <c r="B3148" t="s">
        <v>2731</v>
      </c>
      <c r="C3148" t="s">
        <v>2866</v>
      </c>
      <c r="D3148" t="s">
        <v>7437</v>
      </c>
      <c r="E3148">
        <v>6025617850</v>
      </c>
      <c r="F3148" t="s">
        <v>448</v>
      </c>
      <c r="G3148" t="s">
        <v>449</v>
      </c>
      <c r="I3148" t="s">
        <v>31</v>
      </c>
      <c r="J3148" s="13">
        <v>45994</v>
      </c>
      <c r="K3148" s="13">
        <v>46023</v>
      </c>
      <c r="L3148" t="s">
        <v>1179</v>
      </c>
      <c r="M3148" t="s">
        <v>56</v>
      </c>
      <c r="N3148">
        <v>72401915</v>
      </c>
    </row>
    <row r="3149" spans="1:14" x14ac:dyDescent="0.25">
      <c r="A3149">
        <v>58627684</v>
      </c>
      <c r="B3149" t="s">
        <v>7438</v>
      </c>
      <c r="C3149" t="s">
        <v>4853</v>
      </c>
      <c r="D3149" t="s">
        <v>7439</v>
      </c>
      <c r="E3149">
        <v>9412242435</v>
      </c>
      <c r="F3149" t="s">
        <v>957</v>
      </c>
      <c r="G3149" t="s">
        <v>958</v>
      </c>
      <c r="H3149" t="s">
        <v>959</v>
      </c>
      <c r="I3149" t="s">
        <v>960</v>
      </c>
      <c r="J3149" s="13">
        <v>45994</v>
      </c>
      <c r="K3149" s="13">
        <v>46023</v>
      </c>
      <c r="L3149" t="s">
        <v>520</v>
      </c>
      <c r="M3149" t="s">
        <v>59</v>
      </c>
      <c r="N3149">
        <v>72401921</v>
      </c>
    </row>
    <row r="3150" spans="1:14" x14ac:dyDescent="0.25">
      <c r="A3150">
        <v>58627563</v>
      </c>
      <c r="B3150" t="s">
        <v>1041</v>
      </c>
      <c r="C3150" t="s">
        <v>7440</v>
      </c>
      <c r="D3150" t="s">
        <v>7441</v>
      </c>
      <c r="E3150">
        <v>3142774013</v>
      </c>
      <c r="F3150" t="s">
        <v>551</v>
      </c>
      <c r="G3150" t="s">
        <v>552</v>
      </c>
      <c r="I3150" t="s">
        <v>42</v>
      </c>
      <c r="J3150" s="13">
        <v>45994</v>
      </c>
      <c r="K3150" s="13">
        <v>46023</v>
      </c>
      <c r="L3150" t="s">
        <v>434</v>
      </c>
      <c r="M3150" t="s">
        <v>56</v>
      </c>
      <c r="N3150">
        <v>72402066</v>
      </c>
    </row>
    <row r="3151" spans="1:14" x14ac:dyDescent="0.25">
      <c r="A3151">
        <v>58628812</v>
      </c>
      <c r="B3151" t="s">
        <v>1370</v>
      </c>
      <c r="C3151" t="s">
        <v>7442</v>
      </c>
      <c r="D3151" t="s">
        <v>7443</v>
      </c>
      <c r="E3151">
        <v>9544644913</v>
      </c>
      <c r="F3151" t="s">
        <v>462</v>
      </c>
      <c r="G3151" t="s">
        <v>463</v>
      </c>
      <c r="I3151" t="s">
        <v>39</v>
      </c>
      <c r="J3151" s="13">
        <v>45994</v>
      </c>
      <c r="K3151" s="13">
        <v>46023</v>
      </c>
      <c r="L3151" t="s">
        <v>497</v>
      </c>
      <c r="M3151" t="s">
        <v>54</v>
      </c>
      <c r="N3151">
        <v>72402945</v>
      </c>
    </row>
    <row r="3152" spans="1:14" x14ac:dyDescent="0.25">
      <c r="A3152">
        <v>58628826</v>
      </c>
      <c r="B3152" t="s">
        <v>521</v>
      </c>
      <c r="C3152" t="s">
        <v>7444</v>
      </c>
      <c r="D3152" t="s">
        <v>7445</v>
      </c>
      <c r="E3152">
        <v>6189464360</v>
      </c>
      <c r="F3152" t="s">
        <v>798</v>
      </c>
      <c r="G3152" t="s">
        <v>799</v>
      </c>
      <c r="I3152" t="s">
        <v>800</v>
      </c>
      <c r="J3152" s="13">
        <v>45994</v>
      </c>
      <c r="K3152" s="13">
        <v>46023</v>
      </c>
      <c r="L3152" t="s">
        <v>470</v>
      </c>
      <c r="M3152" t="s">
        <v>61</v>
      </c>
      <c r="N3152">
        <v>72402956</v>
      </c>
    </row>
    <row r="3153" spans="1:14" x14ac:dyDescent="0.25">
      <c r="A3153">
        <v>58629012</v>
      </c>
      <c r="B3153" t="s">
        <v>1518</v>
      </c>
      <c r="C3153" t="s">
        <v>7446</v>
      </c>
      <c r="D3153" t="s">
        <v>7447</v>
      </c>
      <c r="E3153">
        <v>4072525852</v>
      </c>
      <c r="F3153" t="s">
        <v>474</v>
      </c>
      <c r="G3153" t="s">
        <v>475</v>
      </c>
      <c r="I3153" t="s">
        <v>132</v>
      </c>
      <c r="J3153" s="13">
        <v>45994</v>
      </c>
      <c r="K3153" s="13">
        <v>46023</v>
      </c>
      <c r="L3153" t="s">
        <v>497</v>
      </c>
      <c r="M3153" t="s">
        <v>56</v>
      </c>
      <c r="N3153">
        <v>72403058</v>
      </c>
    </row>
    <row r="3154" spans="1:14" x14ac:dyDescent="0.25">
      <c r="A3154">
        <v>58630351</v>
      </c>
      <c r="B3154" t="s">
        <v>554</v>
      </c>
      <c r="C3154" t="s">
        <v>1721</v>
      </c>
      <c r="D3154" t="s">
        <v>7448</v>
      </c>
      <c r="E3154">
        <v>3033256860</v>
      </c>
      <c r="F3154" t="s">
        <v>957</v>
      </c>
      <c r="G3154" t="s">
        <v>958</v>
      </c>
      <c r="H3154" t="s">
        <v>959</v>
      </c>
      <c r="I3154" t="s">
        <v>960</v>
      </c>
      <c r="J3154" s="13">
        <v>45994</v>
      </c>
      <c r="K3154" s="13">
        <v>46023</v>
      </c>
      <c r="L3154" t="s">
        <v>539</v>
      </c>
      <c r="M3154" t="s">
        <v>56</v>
      </c>
      <c r="N3154">
        <v>72403273</v>
      </c>
    </row>
    <row r="3155" spans="1:14" x14ac:dyDescent="0.25">
      <c r="A3155">
        <v>58629953</v>
      </c>
      <c r="B3155" t="s">
        <v>7449</v>
      </c>
      <c r="C3155" t="s">
        <v>768</v>
      </c>
      <c r="D3155" t="s">
        <v>7450</v>
      </c>
      <c r="E3155">
        <v>9855704150</v>
      </c>
      <c r="F3155" t="s">
        <v>1013</v>
      </c>
      <c r="G3155" t="s">
        <v>1014</v>
      </c>
      <c r="I3155" t="s">
        <v>43</v>
      </c>
      <c r="J3155" s="13">
        <v>45994</v>
      </c>
      <c r="K3155" s="13">
        <v>46023</v>
      </c>
      <c r="L3155" t="s">
        <v>612</v>
      </c>
      <c r="M3155" t="s">
        <v>58</v>
      </c>
      <c r="N3155">
        <v>72403650</v>
      </c>
    </row>
    <row r="3156" spans="1:14" x14ac:dyDescent="0.25">
      <c r="A3156">
        <v>58631850</v>
      </c>
      <c r="B3156" t="s">
        <v>3014</v>
      </c>
      <c r="C3156" t="s">
        <v>549</v>
      </c>
      <c r="D3156" t="s">
        <v>7451</v>
      </c>
      <c r="E3156">
        <v>5042355087</v>
      </c>
      <c r="F3156" t="s">
        <v>592</v>
      </c>
      <c r="G3156" t="s">
        <v>593</v>
      </c>
      <c r="I3156" t="s">
        <v>115</v>
      </c>
      <c r="J3156" s="13">
        <v>45994</v>
      </c>
      <c r="K3156" s="13">
        <v>46023</v>
      </c>
      <c r="L3156" t="s">
        <v>612</v>
      </c>
      <c r="M3156" t="s">
        <v>59</v>
      </c>
      <c r="N3156">
        <v>72404380</v>
      </c>
    </row>
    <row r="3157" spans="1:14" x14ac:dyDescent="0.25">
      <c r="A3157">
        <v>58632256</v>
      </c>
      <c r="B3157" t="s">
        <v>6294</v>
      </c>
      <c r="C3157" t="s">
        <v>7452</v>
      </c>
      <c r="D3157" t="s">
        <v>7453</v>
      </c>
      <c r="E3157" t="s">
        <v>7454</v>
      </c>
      <c r="F3157" t="s">
        <v>705</v>
      </c>
      <c r="G3157" t="s">
        <v>706</v>
      </c>
      <c r="I3157" t="s">
        <v>12</v>
      </c>
      <c r="J3157" s="13">
        <v>45994</v>
      </c>
      <c r="K3157" s="13">
        <v>46023</v>
      </c>
      <c r="L3157" t="s">
        <v>1179</v>
      </c>
      <c r="M3157" t="s">
        <v>58</v>
      </c>
      <c r="N3157">
        <v>72404471</v>
      </c>
    </row>
    <row r="3158" spans="1:14" x14ac:dyDescent="0.25">
      <c r="A3158">
        <v>58633187</v>
      </c>
      <c r="B3158" t="s">
        <v>7455</v>
      </c>
      <c r="C3158" t="s">
        <v>1839</v>
      </c>
      <c r="D3158" t="s">
        <v>7456</v>
      </c>
      <c r="E3158" t="s">
        <v>7457</v>
      </c>
      <c r="F3158" t="s">
        <v>423</v>
      </c>
      <c r="G3158" t="s">
        <v>424</v>
      </c>
      <c r="I3158" t="s">
        <v>46</v>
      </c>
      <c r="J3158" s="13">
        <v>45994</v>
      </c>
      <c r="K3158" s="13">
        <v>46023</v>
      </c>
      <c r="L3158" t="s">
        <v>1179</v>
      </c>
      <c r="M3158" t="s">
        <v>54</v>
      </c>
      <c r="N3158">
        <v>72404713</v>
      </c>
    </row>
    <row r="3159" spans="1:14" x14ac:dyDescent="0.25">
      <c r="A3159">
        <v>58632939</v>
      </c>
      <c r="B3159" t="s">
        <v>1527</v>
      </c>
      <c r="C3159" t="s">
        <v>7458</v>
      </c>
      <c r="D3159" t="s">
        <v>7459</v>
      </c>
      <c r="E3159" t="s">
        <v>7460</v>
      </c>
      <c r="F3159" t="s">
        <v>569</v>
      </c>
      <c r="G3159" t="s">
        <v>570</v>
      </c>
      <c r="I3159" t="s">
        <v>34</v>
      </c>
      <c r="J3159" s="13">
        <v>45994</v>
      </c>
      <c r="K3159" s="13">
        <v>46023</v>
      </c>
      <c r="L3159" t="s">
        <v>497</v>
      </c>
      <c r="M3159" t="s">
        <v>56</v>
      </c>
      <c r="N3159">
        <v>72404820</v>
      </c>
    </row>
    <row r="3160" spans="1:14" x14ac:dyDescent="0.25">
      <c r="A3160">
        <v>62606952</v>
      </c>
      <c r="B3160" t="s">
        <v>7461</v>
      </c>
      <c r="C3160" t="s">
        <v>7462</v>
      </c>
      <c r="D3160" t="s">
        <v>7463</v>
      </c>
      <c r="E3160">
        <v>8284434294</v>
      </c>
      <c r="F3160" t="s">
        <v>474</v>
      </c>
      <c r="G3160" t="s">
        <v>475</v>
      </c>
      <c r="I3160" t="s">
        <v>132</v>
      </c>
      <c r="J3160" s="13">
        <v>46121</v>
      </c>
      <c r="K3160" s="13">
        <v>46143</v>
      </c>
      <c r="L3160" t="s">
        <v>603</v>
      </c>
      <c r="M3160" t="s">
        <v>58</v>
      </c>
      <c r="N3160">
        <v>72405469</v>
      </c>
    </row>
    <row r="3161" spans="1:14" x14ac:dyDescent="0.25">
      <c r="A3161">
        <v>58634049</v>
      </c>
      <c r="B3161" t="s">
        <v>1228</v>
      </c>
      <c r="C3161" t="s">
        <v>7464</v>
      </c>
      <c r="D3161" t="s">
        <v>7465</v>
      </c>
      <c r="E3161">
        <v>5613297649</v>
      </c>
      <c r="F3161" t="s">
        <v>775</v>
      </c>
      <c r="G3161" t="s">
        <v>776</v>
      </c>
      <c r="I3161" t="s">
        <v>22</v>
      </c>
      <c r="J3161" s="13">
        <v>45994</v>
      </c>
      <c r="K3161" s="13">
        <v>46023</v>
      </c>
      <c r="L3161" t="s">
        <v>497</v>
      </c>
      <c r="M3161" t="s">
        <v>56</v>
      </c>
      <c r="N3161">
        <v>72405637</v>
      </c>
    </row>
    <row r="3162" spans="1:14" x14ac:dyDescent="0.25">
      <c r="A3162">
        <v>58634928</v>
      </c>
      <c r="B3162" t="s">
        <v>7466</v>
      </c>
      <c r="C3162" t="s">
        <v>7467</v>
      </c>
      <c r="D3162" t="s">
        <v>7468</v>
      </c>
      <c r="E3162">
        <v>3124397933</v>
      </c>
      <c r="F3162" t="s">
        <v>448</v>
      </c>
      <c r="G3162" t="s">
        <v>449</v>
      </c>
      <c r="I3162" t="s">
        <v>31</v>
      </c>
      <c r="J3162" s="13">
        <v>45994</v>
      </c>
      <c r="K3162" s="13">
        <v>46023</v>
      </c>
      <c r="L3162" t="s">
        <v>470</v>
      </c>
      <c r="M3162" t="s">
        <v>56</v>
      </c>
      <c r="N3162">
        <v>72406229</v>
      </c>
    </row>
    <row r="3163" spans="1:14" x14ac:dyDescent="0.25">
      <c r="A3163">
        <v>58635519</v>
      </c>
      <c r="B3163" t="s">
        <v>5058</v>
      </c>
      <c r="C3163" t="s">
        <v>7469</v>
      </c>
      <c r="D3163" t="s">
        <v>7470</v>
      </c>
      <c r="E3163">
        <v>2056122273</v>
      </c>
      <c r="F3163" t="s">
        <v>628</v>
      </c>
      <c r="G3163" t="s">
        <v>629</v>
      </c>
      <c r="I3163" t="s">
        <v>24</v>
      </c>
      <c r="J3163" s="13">
        <v>45994</v>
      </c>
      <c r="K3163" s="13">
        <v>46023</v>
      </c>
      <c r="L3163" t="s">
        <v>450</v>
      </c>
      <c r="M3163" t="s">
        <v>55</v>
      </c>
      <c r="N3163">
        <v>72406596</v>
      </c>
    </row>
    <row r="3164" spans="1:14" x14ac:dyDescent="0.25">
      <c r="A3164">
        <v>58635812</v>
      </c>
      <c r="B3164" t="s">
        <v>2721</v>
      </c>
      <c r="C3164" t="s">
        <v>7471</v>
      </c>
      <c r="D3164" t="s">
        <v>7472</v>
      </c>
      <c r="E3164">
        <v>9544495952</v>
      </c>
      <c r="F3164" t="s">
        <v>423</v>
      </c>
      <c r="G3164" t="s">
        <v>424</v>
      </c>
      <c r="I3164" t="s">
        <v>46</v>
      </c>
      <c r="J3164" s="13">
        <v>45994</v>
      </c>
      <c r="K3164" s="13">
        <v>46023</v>
      </c>
      <c r="L3164" t="s">
        <v>497</v>
      </c>
      <c r="M3164" t="s">
        <v>56</v>
      </c>
      <c r="N3164">
        <v>72406644</v>
      </c>
    </row>
    <row r="3165" spans="1:14" x14ac:dyDescent="0.25">
      <c r="A3165">
        <v>58635805</v>
      </c>
      <c r="B3165" t="s">
        <v>2128</v>
      </c>
      <c r="C3165" t="s">
        <v>1368</v>
      </c>
      <c r="D3165" t="s">
        <v>7473</v>
      </c>
      <c r="E3165">
        <v>5205965725</v>
      </c>
      <c r="F3165" t="s">
        <v>1067</v>
      </c>
      <c r="G3165" t="s">
        <v>1068</v>
      </c>
      <c r="I3165" t="s">
        <v>35</v>
      </c>
      <c r="J3165" s="13">
        <v>45994</v>
      </c>
      <c r="K3165" s="13">
        <v>46023</v>
      </c>
      <c r="L3165" t="s">
        <v>497</v>
      </c>
      <c r="M3165" t="s">
        <v>56</v>
      </c>
      <c r="N3165">
        <v>72406721</v>
      </c>
    </row>
    <row r="3166" spans="1:14" x14ac:dyDescent="0.25">
      <c r="A3166">
        <v>58635991</v>
      </c>
      <c r="B3166" t="s">
        <v>548</v>
      </c>
      <c r="C3166" t="s">
        <v>7474</v>
      </c>
      <c r="D3166" t="s">
        <v>7475</v>
      </c>
      <c r="E3166">
        <v>6028751227</v>
      </c>
      <c r="F3166" t="s">
        <v>7018</v>
      </c>
      <c r="G3166" t="s">
        <v>7019</v>
      </c>
      <c r="I3166" t="s">
        <v>131</v>
      </c>
      <c r="J3166" s="13">
        <v>45994</v>
      </c>
      <c r="K3166" s="13">
        <v>46023</v>
      </c>
      <c r="L3166" t="s">
        <v>1179</v>
      </c>
      <c r="M3166" t="s">
        <v>58</v>
      </c>
      <c r="N3166">
        <v>72406823</v>
      </c>
    </row>
    <row r="3167" spans="1:14" x14ac:dyDescent="0.25">
      <c r="A3167">
        <v>58636259</v>
      </c>
      <c r="B3167" t="s">
        <v>7476</v>
      </c>
      <c r="C3167" t="s">
        <v>7477</v>
      </c>
      <c r="D3167" t="s">
        <v>7478</v>
      </c>
      <c r="E3167">
        <v>8133692400</v>
      </c>
      <c r="F3167" t="s">
        <v>416</v>
      </c>
      <c r="G3167" t="s">
        <v>417</v>
      </c>
      <c r="I3167" t="s">
        <v>26</v>
      </c>
      <c r="J3167" s="13">
        <v>45994</v>
      </c>
      <c r="K3167" s="13">
        <v>46023</v>
      </c>
      <c r="L3167" t="s">
        <v>497</v>
      </c>
      <c r="M3167" t="s">
        <v>59</v>
      </c>
      <c r="N3167">
        <v>72406938</v>
      </c>
    </row>
    <row r="3168" spans="1:14" x14ac:dyDescent="0.25">
      <c r="A3168">
        <v>58636614</v>
      </c>
      <c r="B3168" t="s">
        <v>1464</v>
      </c>
      <c r="C3168" t="s">
        <v>7479</v>
      </c>
      <c r="D3168" t="s">
        <v>7480</v>
      </c>
      <c r="E3168">
        <v>4808626476</v>
      </c>
      <c r="F3168" t="s">
        <v>1345</v>
      </c>
      <c r="G3168" t="s">
        <v>799</v>
      </c>
      <c r="I3168" t="s">
        <v>47</v>
      </c>
      <c r="J3168" s="13">
        <v>45994</v>
      </c>
      <c r="K3168" s="13">
        <v>46023</v>
      </c>
      <c r="L3168" t="s">
        <v>1179</v>
      </c>
      <c r="M3168" t="s">
        <v>54</v>
      </c>
      <c r="N3168">
        <v>72407279</v>
      </c>
    </row>
    <row r="3169" spans="1:14" x14ac:dyDescent="0.25">
      <c r="A3169">
        <v>58636726</v>
      </c>
      <c r="B3169" t="s">
        <v>1406</v>
      </c>
      <c r="C3169" t="s">
        <v>7481</v>
      </c>
      <c r="D3169" t="s">
        <v>7482</v>
      </c>
      <c r="E3169">
        <v>5019443519</v>
      </c>
      <c r="F3169" t="s">
        <v>842</v>
      </c>
      <c r="G3169" t="s">
        <v>843</v>
      </c>
      <c r="I3169" t="s">
        <v>98</v>
      </c>
      <c r="J3169" s="13">
        <v>45994</v>
      </c>
      <c r="K3169" s="13">
        <v>46023</v>
      </c>
      <c r="L3169" t="s">
        <v>553</v>
      </c>
      <c r="M3169" t="s">
        <v>56</v>
      </c>
      <c r="N3169">
        <v>72407356</v>
      </c>
    </row>
    <row r="3170" spans="1:14" x14ac:dyDescent="0.25">
      <c r="A3170">
        <v>58637014</v>
      </c>
      <c r="B3170" t="s">
        <v>498</v>
      </c>
      <c r="C3170" t="s">
        <v>7483</v>
      </c>
      <c r="D3170" t="s">
        <v>7484</v>
      </c>
      <c r="E3170">
        <v>6024608740</v>
      </c>
      <c r="F3170" t="s">
        <v>6098</v>
      </c>
      <c r="G3170" t="s">
        <v>1213</v>
      </c>
      <c r="I3170" t="s">
        <v>21</v>
      </c>
      <c r="J3170" s="13">
        <v>45994</v>
      </c>
      <c r="K3170" s="13">
        <v>46023</v>
      </c>
      <c r="L3170" t="s">
        <v>1179</v>
      </c>
      <c r="M3170" t="s">
        <v>54</v>
      </c>
      <c r="N3170">
        <v>72407505</v>
      </c>
    </row>
    <row r="3171" spans="1:14" x14ac:dyDescent="0.25">
      <c r="A3171">
        <v>58637003</v>
      </c>
      <c r="B3171" t="s">
        <v>3231</v>
      </c>
      <c r="C3171" t="s">
        <v>7485</v>
      </c>
      <c r="D3171" t="s">
        <v>7486</v>
      </c>
      <c r="E3171">
        <v>5202332198</v>
      </c>
      <c r="F3171" t="s">
        <v>615</v>
      </c>
      <c r="G3171" t="s">
        <v>616</v>
      </c>
      <c r="I3171" t="s">
        <v>617</v>
      </c>
      <c r="J3171" s="13">
        <v>45994</v>
      </c>
      <c r="K3171" s="13">
        <v>46023</v>
      </c>
      <c r="L3171" t="s">
        <v>1179</v>
      </c>
      <c r="M3171" t="s">
        <v>59</v>
      </c>
      <c r="N3171">
        <v>72407526</v>
      </c>
    </row>
    <row r="3172" spans="1:14" x14ac:dyDescent="0.25">
      <c r="A3172">
        <v>58637801</v>
      </c>
      <c r="B3172" t="s">
        <v>1316</v>
      </c>
      <c r="C3172" t="s">
        <v>2470</v>
      </c>
      <c r="D3172" t="s">
        <v>7487</v>
      </c>
      <c r="E3172">
        <v>9047691131</v>
      </c>
      <c r="F3172" t="s">
        <v>815</v>
      </c>
      <c r="G3172" t="s">
        <v>816</v>
      </c>
      <c r="I3172" t="s">
        <v>23</v>
      </c>
      <c r="J3172" s="13">
        <v>45994</v>
      </c>
      <c r="K3172" s="13">
        <v>46023</v>
      </c>
      <c r="L3172" t="s">
        <v>497</v>
      </c>
      <c r="M3172" t="s">
        <v>56</v>
      </c>
      <c r="N3172">
        <v>72408088</v>
      </c>
    </row>
    <row r="3173" spans="1:14" x14ac:dyDescent="0.25">
      <c r="A3173">
        <v>58637942</v>
      </c>
      <c r="B3173" t="s">
        <v>548</v>
      </c>
      <c r="C3173" t="s">
        <v>980</v>
      </c>
      <c r="D3173" t="s">
        <v>7488</v>
      </c>
      <c r="E3173">
        <v>3374424955</v>
      </c>
      <c r="F3173" t="s">
        <v>828</v>
      </c>
      <c r="G3173" t="s">
        <v>1148</v>
      </c>
      <c r="I3173" t="s">
        <v>17</v>
      </c>
      <c r="J3173" s="13">
        <v>45994</v>
      </c>
      <c r="K3173" s="13">
        <v>46023</v>
      </c>
      <c r="L3173" t="s">
        <v>612</v>
      </c>
      <c r="M3173" t="s">
        <v>60</v>
      </c>
      <c r="N3173">
        <v>72408167</v>
      </c>
    </row>
    <row r="3174" spans="1:14" x14ac:dyDescent="0.25">
      <c r="A3174">
        <v>58638445</v>
      </c>
      <c r="B3174" t="s">
        <v>5687</v>
      </c>
      <c r="C3174" t="s">
        <v>7489</v>
      </c>
      <c r="D3174" t="s">
        <v>7490</v>
      </c>
      <c r="E3174">
        <v>6028101337</v>
      </c>
      <c r="F3174" t="s">
        <v>4853</v>
      </c>
      <c r="G3174" t="s">
        <v>5017</v>
      </c>
      <c r="I3174" t="s">
        <v>5018</v>
      </c>
      <c r="J3174" s="13">
        <v>45994</v>
      </c>
      <c r="K3174" s="13">
        <v>46023</v>
      </c>
      <c r="L3174" t="s">
        <v>1179</v>
      </c>
      <c r="M3174" t="s">
        <v>54</v>
      </c>
      <c r="N3174">
        <v>72409216</v>
      </c>
    </row>
    <row r="3175" spans="1:14" x14ac:dyDescent="0.25">
      <c r="A3175">
        <v>58639156</v>
      </c>
      <c r="B3175" t="s">
        <v>2019</v>
      </c>
      <c r="C3175" t="s">
        <v>7491</v>
      </c>
      <c r="D3175" t="s">
        <v>7492</v>
      </c>
      <c r="E3175">
        <v>7734404512</v>
      </c>
      <c r="F3175" t="s">
        <v>578</v>
      </c>
      <c r="G3175" t="s">
        <v>579</v>
      </c>
      <c r="I3175" t="s">
        <v>15</v>
      </c>
      <c r="J3175" s="13">
        <v>45994</v>
      </c>
      <c r="K3175" s="13">
        <v>46023</v>
      </c>
      <c r="L3175" t="s">
        <v>470</v>
      </c>
      <c r="M3175" t="s">
        <v>62</v>
      </c>
      <c r="N3175">
        <v>72409787</v>
      </c>
    </row>
    <row r="3176" spans="1:14" x14ac:dyDescent="0.25">
      <c r="A3176">
        <v>58639201</v>
      </c>
      <c r="B3176" t="s">
        <v>5592</v>
      </c>
      <c r="C3176" t="s">
        <v>2482</v>
      </c>
      <c r="D3176" t="s">
        <v>7493</v>
      </c>
      <c r="E3176">
        <v>4805122276</v>
      </c>
      <c r="F3176" t="s">
        <v>416</v>
      </c>
      <c r="G3176" t="s">
        <v>417</v>
      </c>
      <c r="I3176" t="s">
        <v>26</v>
      </c>
      <c r="J3176" s="13">
        <v>45994</v>
      </c>
      <c r="K3176" s="13">
        <v>46023</v>
      </c>
      <c r="L3176" t="s">
        <v>1179</v>
      </c>
      <c r="M3176" t="s">
        <v>54</v>
      </c>
      <c r="N3176">
        <v>72409809</v>
      </c>
    </row>
    <row r="3177" spans="1:14" x14ac:dyDescent="0.25">
      <c r="A3177">
        <v>58639229</v>
      </c>
      <c r="B3177" t="s">
        <v>4833</v>
      </c>
      <c r="C3177" t="s">
        <v>7494</v>
      </c>
      <c r="D3177" t="s">
        <v>7495</v>
      </c>
      <c r="E3177">
        <v>7724044124</v>
      </c>
      <c r="F3177" t="s">
        <v>798</v>
      </c>
      <c r="G3177" t="s">
        <v>799</v>
      </c>
      <c r="I3177" t="s">
        <v>800</v>
      </c>
      <c r="J3177" s="13">
        <v>45994</v>
      </c>
      <c r="K3177" s="13">
        <v>46023</v>
      </c>
      <c r="L3177" t="s">
        <v>497</v>
      </c>
      <c r="M3177" t="s">
        <v>56</v>
      </c>
      <c r="N3177">
        <v>72409842</v>
      </c>
    </row>
    <row r="3178" spans="1:14" x14ac:dyDescent="0.25">
      <c r="A3178">
        <v>58639764</v>
      </c>
      <c r="B3178" t="s">
        <v>7496</v>
      </c>
      <c r="C3178" t="s">
        <v>7497</v>
      </c>
      <c r="D3178" t="s">
        <v>7498</v>
      </c>
      <c r="E3178">
        <v>6022920760</v>
      </c>
      <c r="F3178" t="s">
        <v>7023</v>
      </c>
      <c r="G3178" t="s">
        <v>7024</v>
      </c>
      <c r="I3178" t="s">
        <v>7025</v>
      </c>
      <c r="J3178" s="13">
        <v>45994</v>
      </c>
      <c r="K3178" s="13">
        <v>46023</v>
      </c>
      <c r="L3178" t="s">
        <v>1179</v>
      </c>
      <c r="M3178" t="s">
        <v>54</v>
      </c>
      <c r="N3178">
        <v>72410204</v>
      </c>
    </row>
    <row r="3179" spans="1:14" x14ac:dyDescent="0.25">
      <c r="A3179">
        <v>58640007</v>
      </c>
      <c r="B3179" t="s">
        <v>1635</v>
      </c>
      <c r="C3179" t="s">
        <v>7499</v>
      </c>
      <c r="D3179" t="s">
        <v>7500</v>
      </c>
      <c r="E3179">
        <v>2707032366</v>
      </c>
      <c r="F3179" t="s">
        <v>423</v>
      </c>
      <c r="G3179" t="s">
        <v>424</v>
      </c>
      <c r="I3179" t="s">
        <v>46</v>
      </c>
      <c r="J3179" s="13">
        <v>45994</v>
      </c>
      <c r="K3179" s="13">
        <v>46023</v>
      </c>
      <c r="L3179" t="s">
        <v>418</v>
      </c>
      <c r="M3179" t="s">
        <v>60</v>
      </c>
      <c r="N3179">
        <v>72410294</v>
      </c>
    </row>
    <row r="3180" spans="1:14" x14ac:dyDescent="0.25">
      <c r="A3180">
        <v>58640088</v>
      </c>
      <c r="B3180" t="s">
        <v>7501</v>
      </c>
      <c r="C3180" t="s">
        <v>1598</v>
      </c>
      <c r="D3180" t="s">
        <v>7502</v>
      </c>
      <c r="E3180">
        <v>5202806610</v>
      </c>
      <c r="F3180" t="s">
        <v>957</v>
      </c>
      <c r="G3180" t="s">
        <v>958</v>
      </c>
      <c r="H3180" t="s">
        <v>959</v>
      </c>
      <c r="I3180" t="s">
        <v>960</v>
      </c>
      <c r="J3180" s="13">
        <v>45994</v>
      </c>
      <c r="K3180" s="13">
        <v>46023</v>
      </c>
      <c r="L3180" t="s">
        <v>1179</v>
      </c>
      <c r="M3180" t="s">
        <v>55</v>
      </c>
      <c r="N3180">
        <v>72410444</v>
      </c>
    </row>
    <row r="3181" spans="1:14" x14ac:dyDescent="0.25">
      <c r="A3181">
        <v>58640098</v>
      </c>
      <c r="B3181" t="s">
        <v>3737</v>
      </c>
      <c r="C3181" t="s">
        <v>1865</v>
      </c>
      <c r="D3181" t="s">
        <v>7503</v>
      </c>
      <c r="E3181">
        <v>8283803709</v>
      </c>
      <c r="F3181" t="s">
        <v>705</v>
      </c>
      <c r="G3181" t="s">
        <v>706</v>
      </c>
      <c r="I3181" t="s">
        <v>12</v>
      </c>
      <c r="J3181" s="13">
        <v>45994</v>
      </c>
      <c r="K3181" s="13">
        <v>46023</v>
      </c>
      <c r="L3181" t="s">
        <v>450</v>
      </c>
      <c r="M3181" t="s">
        <v>59</v>
      </c>
      <c r="N3181">
        <v>72410482</v>
      </c>
    </row>
    <row r="3182" spans="1:14" x14ac:dyDescent="0.25">
      <c r="A3182">
        <v>58640587</v>
      </c>
      <c r="B3182" t="s">
        <v>566</v>
      </c>
      <c r="C3182" t="s">
        <v>7198</v>
      </c>
      <c r="D3182" t="s">
        <v>7504</v>
      </c>
      <c r="E3182">
        <v>8132953223</v>
      </c>
      <c r="F3182" t="s">
        <v>775</v>
      </c>
      <c r="G3182" t="s">
        <v>776</v>
      </c>
      <c r="I3182" t="s">
        <v>22</v>
      </c>
      <c r="J3182" s="13">
        <v>45994</v>
      </c>
      <c r="K3182" s="13">
        <v>46023</v>
      </c>
      <c r="L3182" t="s">
        <v>497</v>
      </c>
      <c r="M3182" t="s">
        <v>56</v>
      </c>
      <c r="N3182">
        <v>72410844</v>
      </c>
    </row>
    <row r="3183" spans="1:14" x14ac:dyDescent="0.25">
      <c r="A3183">
        <v>58641302</v>
      </c>
      <c r="B3183" t="s">
        <v>476</v>
      </c>
      <c r="C3183" t="s">
        <v>7505</v>
      </c>
      <c r="D3183" t="s">
        <v>7506</v>
      </c>
      <c r="E3183">
        <v>3374017834</v>
      </c>
      <c r="F3183" t="s">
        <v>649</v>
      </c>
      <c r="G3183" t="s">
        <v>650</v>
      </c>
      <c r="I3183" t="s">
        <v>28</v>
      </c>
      <c r="J3183" s="13">
        <v>45994</v>
      </c>
      <c r="K3183" s="13">
        <v>46023</v>
      </c>
      <c r="L3183" t="s">
        <v>612</v>
      </c>
      <c r="M3183" t="s">
        <v>56</v>
      </c>
      <c r="N3183">
        <v>72411362</v>
      </c>
    </row>
    <row r="3184" spans="1:14" x14ac:dyDescent="0.25">
      <c r="A3184">
        <v>58641862</v>
      </c>
      <c r="B3184" t="s">
        <v>3792</v>
      </c>
      <c r="C3184" t="s">
        <v>3088</v>
      </c>
      <c r="D3184" t="s">
        <v>7507</v>
      </c>
      <c r="E3184">
        <v>6233061964</v>
      </c>
      <c r="F3184" t="s">
        <v>1345</v>
      </c>
      <c r="G3184" t="s">
        <v>799</v>
      </c>
      <c r="I3184" t="s">
        <v>47</v>
      </c>
      <c r="J3184" s="13">
        <v>45994</v>
      </c>
      <c r="K3184" s="13">
        <v>46023</v>
      </c>
      <c r="L3184" t="s">
        <v>1179</v>
      </c>
      <c r="M3184" t="s">
        <v>54</v>
      </c>
      <c r="N3184">
        <v>72411795</v>
      </c>
    </row>
    <row r="3185" spans="1:14" x14ac:dyDescent="0.25">
      <c r="A3185">
        <v>58642767</v>
      </c>
      <c r="B3185" t="s">
        <v>7508</v>
      </c>
      <c r="C3185" t="s">
        <v>7509</v>
      </c>
      <c r="D3185" t="s">
        <v>7510</v>
      </c>
      <c r="E3185">
        <v>5202449368</v>
      </c>
      <c r="F3185" t="s">
        <v>7018</v>
      </c>
      <c r="G3185" t="s">
        <v>7019</v>
      </c>
      <c r="I3185" t="s">
        <v>131</v>
      </c>
      <c r="J3185" s="13">
        <v>45994</v>
      </c>
      <c r="K3185" s="13">
        <v>46023</v>
      </c>
      <c r="L3185" t="s">
        <v>1179</v>
      </c>
      <c r="M3185" t="s">
        <v>54</v>
      </c>
      <c r="N3185">
        <v>72412496</v>
      </c>
    </row>
    <row r="3186" spans="1:14" x14ac:dyDescent="0.25">
      <c r="A3186">
        <v>58643076</v>
      </c>
      <c r="B3186" t="s">
        <v>5349</v>
      </c>
      <c r="C3186" t="s">
        <v>7511</v>
      </c>
      <c r="D3186" t="s">
        <v>7512</v>
      </c>
      <c r="E3186">
        <v>7204129747</v>
      </c>
      <c r="F3186" t="s">
        <v>592</v>
      </c>
      <c r="G3186" t="s">
        <v>593</v>
      </c>
      <c r="I3186" t="s">
        <v>115</v>
      </c>
      <c r="J3186" s="13">
        <v>45994</v>
      </c>
      <c r="K3186" s="13">
        <v>46023</v>
      </c>
      <c r="L3186" t="s">
        <v>539</v>
      </c>
      <c r="M3186" t="s">
        <v>56</v>
      </c>
      <c r="N3186">
        <v>72412770</v>
      </c>
    </row>
    <row r="3187" spans="1:14" x14ac:dyDescent="0.25">
      <c r="A3187">
        <v>58643347</v>
      </c>
      <c r="B3187" t="s">
        <v>7513</v>
      </c>
      <c r="C3187" t="s">
        <v>7514</v>
      </c>
      <c r="D3187" t="s">
        <v>7515</v>
      </c>
      <c r="E3187">
        <v>7865158743</v>
      </c>
      <c r="F3187" t="s">
        <v>416</v>
      </c>
      <c r="G3187" t="s">
        <v>417</v>
      </c>
      <c r="I3187" t="s">
        <v>26</v>
      </c>
      <c r="J3187" s="13">
        <v>45994</v>
      </c>
      <c r="K3187" s="13">
        <v>46023</v>
      </c>
      <c r="L3187" t="s">
        <v>497</v>
      </c>
      <c r="M3187" t="s">
        <v>54</v>
      </c>
      <c r="N3187">
        <v>72412969</v>
      </c>
    </row>
    <row r="3188" spans="1:14" x14ac:dyDescent="0.25">
      <c r="A3188">
        <v>58643729</v>
      </c>
      <c r="B3188" t="s">
        <v>1226</v>
      </c>
      <c r="C3188" t="s">
        <v>7516</v>
      </c>
      <c r="D3188" t="s">
        <v>7517</v>
      </c>
      <c r="E3188">
        <v>6168944286</v>
      </c>
      <c r="F3188" t="s">
        <v>569</v>
      </c>
      <c r="G3188" t="s">
        <v>570</v>
      </c>
      <c r="I3188" t="s">
        <v>34</v>
      </c>
      <c r="J3188" s="13">
        <v>45994</v>
      </c>
      <c r="K3188" s="13">
        <v>46023</v>
      </c>
      <c r="L3188" t="s">
        <v>450</v>
      </c>
      <c r="M3188" t="s">
        <v>55</v>
      </c>
      <c r="N3188">
        <v>72413219</v>
      </c>
    </row>
    <row r="3189" spans="1:14" x14ac:dyDescent="0.25">
      <c r="A3189">
        <v>58645656</v>
      </c>
      <c r="B3189" t="s">
        <v>730</v>
      </c>
      <c r="C3189" t="s">
        <v>4536</v>
      </c>
      <c r="D3189" t="s">
        <v>7518</v>
      </c>
      <c r="E3189">
        <v>3372812663</v>
      </c>
      <c r="F3189" t="s">
        <v>957</v>
      </c>
      <c r="G3189" t="s">
        <v>958</v>
      </c>
      <c r="H3189" t="s">
        <v>959</v>
      </c>
      <c r="I3189" t="s">
        <v>960</v>
      </c>
      <c r="J3189" s="13">
        <v>45994</v>
      </c>
      <c r="K3189" s="13">
        <v>46023</v>
      </c>
      <c r="L3189" t="s">
        <v>612</v>
      </c>
      <c r="M3189" t="s">
        <v>58</v>
      </c>
      <c r="N3189">
        <v>72413929</v>
      </c>
    </row>
    <row r="3190" spans="1:14" x14ac:dyDescent="0.25">
      <c r="A3190">
        <v>58648551</v>
      </c>
      <c r="B3190" t="s">
        <v>1856</v>
      </c>
      <c r="C3190" t="s">
        <v>7519</v>
      </c>
      <c r="D3190" t="s">
        <v>7520</v>
      </c>
      <c r="E3190">
        <v>6307121617</v>
      </c>
      <c r="F3190" t="s">
        <v>1147</v>
      </c>
      <c r="G3190" t="s">
        <v>1148</v>
      </c>
      <c r="I3190" t="s">
        <v>41</v>
      </c>
      <c r="J3190" s="13">
        <v>45994</v>
      </c>
      <c r="K3190" s="13">
        <v>46023</v>
      </c>
      <c r="L3190" t="s">
        <v>470</v>
      </c>
      <c r="M3190" t="s">
        <v>62</v>
      </c>
      <c r="N3190">
        <v>72414771</v>
      </c>
    </row>
    <row r="3191" spans="1:14" x14ac:dyDescent="0.25">
      <c r="A3191">
        <v>58648610</v>
      </c>
      <c r="B3191" t="s">
        <v>2254</v>
      </c>
      <c r="C3191" t="s">
        <v>3895</v>
      </c>
      <c r="D3191" t="s">
        <v>7521</v>
      </c>
      <c r="E3191">
        <v>4809015830</v>
      </c>
      <c r="F3191" t="s">
        <v>7018</v>
      </c>
      <c r="G3191" t="s">
        <v>7019</v>
      </c>
      <c r="I3191" t="s">
        <v>131</v>
      </c>
      <c r="J3191" s="13">
        <v>45994</v>
      </c>
      <c r="K3191" s="13">
        <v>46023</v>
      </c>
      <c r="L3191" t="s">
        <v>1179</v>
      </c>
      <c r="M3191" t="s">
        <v>54</v>
      </c>
      <c r="N3191">
        <v>72414812</v>
      </c>
    </row>
    <row r="3192" spans="1:14" x14ac:dyDescent="0.25">
      <c r="A3192">
        <v>58655851</v>
      </c>
      <c r="B3192" t="s">
        <v>1643</v>
      </c>
      <c r="C3192" t="s">
        <v>7522</v>
      </c>
      <c r="D3192" t="s">
        <v>7523</v>
      </c>
      <c r="E3192">
        <v>6319877417</v>
      </c>
      <c r="F3192" t="s">
        <v>551</v>
      </c>
      <c r="G3192" t="s">
        <v>552</v>
      </c>
      <c r="I3192" t="s">
        <v>42</v>
      </c>
      <c r="J3192" s="13">
        <v>45995</v>
      </c>
      <c r="K3192" s="13">
        <v>46023</v>
      </c>
      <c r="L3192" t="s">
        <v>497</v>
      </c>
      <c r="M3192" t="s">
        <v>56</v>
      </c>
      <c r="N3192">
        <v>72420626</v>
      </c>
    </row>
    <row r="3193" spans="1:14" x14ac:dyDescent="0.25">
      <c r="A3193">
        <v>58657213</v>
      </c>
      <c r="B3193" t="s">
        <v>7524</v>
      </c>
      <c r="C3193" t="s">
        <v>2215</v>
      </c>
      <c r="D3193" t="s">
        <v>7525</v>
      </c>
      <c r="E3193">
        <v>5612550452</v>
      </c>
      <c r="F3193" t="s">
        <v>416</v>
      </c>
      <c r="G3193" t="s">
        <v>417</v>
      </c>
      <c r="I3193" t="s">
        <v>26</v>
      </c>
      <c r="J3193" s="13">
        <v>45995</v>
      </c>
      <c r="K3193" s="13">
        <v>46023</v>
      </c>
      <c r="L3193" t="s">
        <v>497</v>
      </c>
      <c r="M3193" t="s">
        <v>56</v>
      </c>
      <c r="N3193">
        <v>72421387</v>
      </c>
    </row>
    <row r="3194" spans="1:14" x14ac:dyDescent="0.25">
      <c r="A3194">
        <v>58657356</v>
      </c>
      <c r="B3194" t="s">
        <v>2972</v>
      </c>
      <c r="C3194" t="s">
        <v>7526</v>
      </c>
      <c r="D3194" t="s">
        <v>7527</v>
      </c>
      <c r="E3194">
        <v>6824239238</v>
      </c>
      <c r="F3194" t="s">
        <v>1013</v>
      </c>
      <c r="G3194" t="s">
        <v>1014</v>
      </c>
      <c r="I3194" t="s">
        <v>43</v>
      </c>
      <c r="J3194" s="13">
        <v>45995</v>
      </c>
      <c r="K3194" s="13">
        <v>46023</v>
      </c>
      <c r="L3194" t="s">
        <v>444</v>
      </c>
      <c r="M3194" t="s">
        <v>56</v>
      </c>
      <c r="N3194">
        <v>72421658</v>
      </c>
    </row>
    <row r="3195" spans="1:14" x14ac:dyDescent="0.25">
      <c r="A3195">
        <v>58657374</v>
      </c>
      <c r="B3195" t="s">
        <v>7528</v>
      </c>
      <c r="C3195" t="s">
        <v>2544</v>
      </c>
      <c r="D3195" t="s">
        <v>7529</v>
      </c>
      <c r="E3195">
        <v>2286963016</v>
      </c>
      <c r="F3195" t="s">
        <v>628</v>
      </c>
      <c r="G3195" t="s">
        <v>629</v>
      </c>
      <c r="I3195" t="s">
        <v>24</v>
      </c>
      <c r="J3195" s="13">
        <v>45995</v>
      </c>
      <c r="K3195" s="13">
        <v>46023</v>
      </c>
      <c r="L3195" t="s">
        <v>450</v>
      </c>
      <c r="M3195" t="s">
        <v>59</v>
      </c>
      <c r="N3195">
        <v>72421667</v>
      </c>
    </row>
    <row r="3196" spans="1:14" x14ac:dyDescent="0.25">
      <c r="A3196">
        <v>58658046</v>
      </c>
      <c r="B3196" t="s">
        <v>748</v>
      </c>
      <c r="C3196" t="s">
        <v>7530</v>
      </c>
      <c r="D3196" t="s">
        <v>7531</v>
      </c>
      <c r="E3196">
        <v>7273038093</v>
      </c>
      <c r="F3196" t="s">
        <v>537</v>
      </c>
      <c r="G3196" t="s">
        <v>538</v>
      </c>
      <c r="I3196" t="s">
        <v>49</v>
      </c>
      <c r="J3196" s="13">
        <v>45995</v>
      </c>
      <c r="K3196" s="13">
        <v>46023</v>
      </c>
      <c r="L3196" t="s">
        <v>497</v>
      </c>
      <c r="M3196" t="s">
        <v>56</v>
      </c>
      <c r="N3196">
        <v>72422129</v>
      </c>
    </row>
    <row r="3197" spans="1:14" x14ac:dyDescent="0.25">
      <c r="A3197">
        <v>58659225</v>
      </c>
      <c r="B3197" t="s">
        <v>6138</v>
      </c>
      <c r="C3197" t="s">
        <v>7522</v>
      </c>
      <c r="D3197" t="s">
        <v>7532</v>
      </c>
      <c r="E3197">
        <v>3865244061</v>
      </c>
      <c r="F3197" t="s">
        <v>551</v>
      </c>
      <c r="G3197" t="s">
        <v>552</v>
      </c>
      <c r="I3197" t="s">
        <v>42</v>
      </c>
      <c r="J3197" s="13">
        <v>45995</v>
      </c>
      <c r="K3197" s="13">
        <v>46023</v>
      </c>
      <c r="L3197" t="s">
        <v>497</v>
      </c>
      <c r="M3197" t="s">
        <v>56</v>
      </c>
      <c r="N3197">
        <v>72422807</v>
      </c>
    </row>
    <row r="3198" spans="1:14" x14ac:dyDescent="0.25">
      <c r="A3198">
        <v>58659196</v>
      </c>
      <c r="B3198" t="s">
        <v>980</v>
      </c>
      <c r="C3198" t="s">
        <v>7533</v>
      </c>
      <c r="D3198" t="s">
        <v>7534</v>
      </c>
      <c r="E3198">
        <v>4802523338</v>
      </c>
      <c r="F3198" t="s">
        <v>4853</v>
      </c>
      <c r="G3198" t="s">
        <v>5017</v>
      </c>
      <c r="I3198" t="s">
        <v>5018</v>
      </c>
      <c r="J3198" s="13">
        <v>45995</v>
      </c>
      <c r="K3198" s="13">
        <v>46023</v>
      </c>
      <c r="L3198" t="s">
        <v>1179</v>
      </c>
      <c r="M3198" t="s">
        <v>54</v>
      </c>
      <c r="N3198">
        <v>72422877</v>
      </c>
    </row>
    <row r="3199" spans="1:14" x14ac:dyDescent="0.25">
      <c r="A3199">
        <v>58659212</v>
      </c>
      <c r="B3199" t="s">
        <v>6760</v>
      </c>
      <c r="C3199" t="s">
        <v>4741</v>
      </c>
      <c r="D3199" t="s">
        <v>7535</v>
      </c>
      <c r="E3199">
        <v>8172666395</v>
      </c>
      <c r="F3199" t="s">
        <v>705</v>
      </c>
      <c r="G3199" t="s">
        <v>706</v>
      </c>
      <c r="I3199" t="s">
        <v>12</v>
      </c>
      <c r="J3199" s="13">
        <v>45995</v>
      </c>
      <c r="K3199" s="13">
        <v>46023</v>
      </c>
      <c r="L3199" t="s">
        <v>444</v>
      </c>
      <c r="M3199" t="s">
        <v>56</v>
      </c>
      <c r="N3199">
        <v>72422883</v>
      </c>
    </row>
    <row r="3200" spans="1:14" x14ac:dyDescent="0.25">
      <c r="A3200">
        <v>58659523</v>
      </c>
      <c r="B3200" t="s">
        <v>7536</v>
      </c>
      <c r="C3200" t="s">
        <v>1300</v>
      </c>
      <c r="D3200" t="s">
        <v>7537</v>
      </c>
      <c r="E3200">
        <v>3365751776</v>
      </c>
      <c r="F3200" t="s">
        <v>474</v>
      </c>
      <c r="G3200" t="s">
        <v>475</v>
      </c>
      <c r="I3200" t="s">
        <v>132</v>
      </c>
      <c r="J3200" s="13">
        <v>45995</v>
      </c>
      <c r="K3200" s="13">
        <v>46023</v>
      </c>
      <c r="L3200" t="s">
        <v>603</v>
      </c>
      <c r="M3200" t="s">
        <v>56</v>
      </c>
      <c r="N3200">
        <v>72423064</v>
      </c>
    </row>
    <row r="3201" spans="1:14" x14ac:dyDescent="0.25">
      <c r="A3201">
        <v>58660218</v>
      </c>
      <c r="B3201" t="s">
        <v>5267</v>
      </c>
      <c r="C3201" t="s">
        <v>7538</v>
      </c>
      <c r="D3201" t="s">
        <v>7539</v>
      </c>
      <c r="E3201">
        <v>4044015368</v>
      </c>
      <c r="F3201" t="s">
        <v>569</v>
      </c>
      <c r="G3201" t="s">
        <v>570</v>
      </c>
      <c r="I3201" t="s">
        <v>34</v>
      </c>
      <c r="J3201" s="13">
        <v>45995</v>
      </c>
      <c r="K3201" s="13">
        <v>46023</v>
      </c>
      <c r="L3201" t="s">
        <v>621</v>
      </c>
      <c r="M3201" t="s">
        <v>60</v>
      </c>
      <c r="N3201">
        <v>72423702</v>
      </c>
    </row>
    <row r="3202" spans="1:14" x14ac:dyDescent="0.25">
      <c r="A3202">
        <v>58660254</v>
      </c>
      <c r="B3202" t="s">
        <v>5067</v>
      </c>
      <c r="C3202" t="s">
        <v>7540</v>
      </c>
      <c r="D3202" t="s">
        <v>7541</v>
      </c>
      <c r="E3202">
        <v>6155684023</v>
      </c>
      <c r="F3202" t="s">
        <v>842</v>
      </c>
      <c r="G3202" t="s">
        <v>843</v>
      </c>
      <c r="I3202" t="s">
        <v>98</v>
      </c>
      <c r="J3202" s="13">
        <v>45995</v>
      </c>
      <c r="K3202" s="13">
        <v>46023</v>
      </c>
      <c r="L3202" t="s">
        <v>479</v>
      </c>
      <c r="M3202" t="s">
        <v>56</v>
      </c>
      <c r="N3202">
        <v>72423724</v>
      </c>
    </row>
    <row r="3203" spans="1:14" x14ac:dyDescent="0.25">
      <c r="A3203">
        <v>58660336</v>
      </c>
      <c r="B3203" t="s">
        <v>2418</v>
      </c>
      <c r="C3203" t="s">
        <v>7542</v>
      </c>
      <c r="D3203" t="s">
        <v>7543</v>
      </c>
      <c r="E3203">
        <v>2072080886</v>
      </c>
      <c r="F3203" t="s">
        <v>798</v>
      </c>
      <c r="G3203" t="s">
        <v>799</v>
      </c>
      <c r="I3203" t="s">
        <v>800</v>
      </c>
      <c r="J3203" s="13">
        <v>45995</v>
      </c>
      <c r="K3203" s="13">
        <v>46023</v>
      </c>
      <c r="L3203" t="s">
        <v>941</v>
      </c>
      <c r="M3203" t="s">
        <v>56</v>
      </c>
      <c r="N3203">
        <v>72423775</v>
      </c>
    </row>
    <row r="3204" spans="1:14" x14ac:dyDescent="0.25">
      <c r="A3204">
        <v>58660384</v>
      </c>
      <c r="B3204" t="s">
        <v>3542</v>
      </c>
      <c r="C3204" t="s">
        <v>7544</v>
      </c>
      <c r="D3204" t="s">
        <v>7545</v>
      </c>
      <c r="E3204">
        <v>4482075251</v>
      </c>
      <c r="F3204" t="s">
        <v>592</v>
      </c>
      <c r="G3204" t="s">
        <v>593</v>
      </c>
      <c r="I3204" t="s">
        <v>115</v>
      </c>
      <c r="J3204" s="13">
        <v>45995</v>
      </c>
      <c r="K3204" s="13">
        <v>46023</v>
      </c>
      <c r="L3204" t="s">
        <v>497</v>
      </c>
      <c r="M3204" t="s">
        <v>58</v>
      </c>
      <c r="N3204">
        <v>72423803</v>
      </c>
    </row>
    <row r="3205" spans="1:14" x14ac:dyDescent="0.25">
      <c r="A3205">
        <v>58660559</v>
      </c>
      <c r="B3205" t="s">
        <v>7546</v>
      </c>
      <c r="C3205" t="s">
        <v>3364</v>
      </c>
      <c r="D3205" t="s">
        <v>7547</v>
      </c>
      <c r="E3205">
        <v>7726661101</v>
      </c>
      <c r="F3205" t="s">
        <v>1067</v>
      </c>
      <c r="G3205" t="s">
        <v>1068</v>
      </c>
      <c r="I3205" t="s">
        <v>35</v>
      </c>
      <c r="J3205" s="13">
        <v>45995</v>
      </c>
      <c r="K3205" s="13">
        <v>46023</v>
      </c>
      <c r="L3205" t="s">
        <v>497</v>
      </c>
      <c r="M3205" t="s">
        <v>58</v>
      </c>
      <c r="N3205">
        <v>72423901</v>
      </c>
    </row>
    <row r="3206" spans="1:14" x14ac:dyDescent="0.25">
      <c r="A3206">
        <v>59300982</v>
      </c>
      <c r="B3206" t="s">
        <v>7548</v>
      </c>
      <c r="C3206" t="s">
        <v>2894</v>
      </c>
      <c r="D3206" t="s">
        <v>7549</v>
      </c>
      <c r="E3206">
        <v>6625712982</v>
      </c>
      <c r="F3206" t="s">
        <v>551</v>
      </c>
      <c r="G3206" t="s">
        <v>552</v>
      </c>
      <c r="I3206" t="s">
        <v>42</v>
      </c>
      <c r="J3206" s="13">
        <v>46028</v>
      </c>
      <c r="K3206" s="13">
        <v>46054</v>
      </c>
      <c r="L3206" t="s">
        <v>434</v>
      </c>
      <c r="M3206" t="s">
        <v>56</v>
      </c>
      <c r="N3206">
        <v>72424025</v>
      </c>
    </row>
    <row r="3207" spans="1:14" x14ac:dyDescent="0.25">
      <c r="A3207">
        <v>58662244</v>
      </c>
      <c r="B3207" t="s">
        <v>905</v>
      </c>
      <c r="C3207" t="s">
        <v>2482</v>
      </c>
      <c r="D3207" t="s">
        <v>7550</v>
      </c>
      <c r="E3207">
        <v>2149007335</v>
      </c>
      <c r="F3207" t="s">
        <v>790</v>
      </c>
      <c r="G3207" t="s">
        <v>791</v>
      </c>
      <c r="I3207" t="s">
        <v>119</v>
      </c>
      <c r="J3207" s="13">
        <v>45995</v>
      </c>
      <c r="K3207" s="13">
        <v>46023</v>
      </c>
      <c r="L3207" t="s">
        <v>444</v>
      </c>
      <c r="M3207" t="s">
        <v>419</v>
      </c>
      <c r="N3207">
        <v>72424189</v>
      </c>
    </row>
    <row r="3208" spans="1:14" x14ac:dyDescent="0.25">
      <c r="A3208">
        <v>58661387</v>
      </c>
      <c r="B3208" t="s">
        <v>7551</v>
      </c>
      <c r="C3208" t="s">
        <v>7552</v>
      </c>
      <c r="D3208" t="s">
        <v>7553</v>
      </c>
      <c r="E3208">
        <v>8159653786</v>
      </c>
      <c r="F3208" t="s">
        <v>578</v>
      </c>
      <c r="G3208" t="s">
        <v>579</v>
      </c>
      <c r="I3208" t="s">
        <v>15</v>
      </c>
      <c r="J3208" s="13">
        <v>45995</v>
      </c>
      <c r="K3208" s="13">
        <v>46023</v>
      </c>
      <c r="L3208" t="s">
        <v>470</v>
      </c>
      <c r="M3208" t="s">
        <v>62</v>
      </c>
      <c r="N3208">
        <v>72424346</v>
      </c>
    </row>
    <row r="3209" spans="1:14" x14ac:dyDescent="0.25">
      <c r="A3209">
        <v>58661785</v>
      </c>
      <c r="B3209" t="s">
        <v>637</v>
      </c>
      <c r="C3209" t="s">
        <v>643</v>
      </c>
      <c r="D3209" t="s">
        <v>7554</v>
      </c>
      <c r="E3209">
        <v>3184649718</v>
      </c>
      <c r="F3209" t="s">
        <v>957</v>
      </c>
      <c r="G3209" t="s">
        <v>958</v>
      </c>
      <c r="H3209" t="s">
        <v>959</v>
      </c>
      <c r="I3209" t="s">
        <v>960</v>
      </c>
      <c r="J3209" s="13">
        <v>45995</v>
      </c>
      <c r="K3209" s="13">
        <v>46023</v>
      </c>
      <c r="L3209" t="s">
        <v>612</v>
      </c>
      <c r="M3209" t="s">
        <v>56</v>
      </c>
      <c r="N3209">
        <v>72424561</v>
      </c>
    </row>
    <row r="3210" spans="1:14" x14ac:dyDescent="0.25">
      <c r="A3210">
        <v>58661841</v>
      </c>
      <c r="B3210" t="s">
        <v>622</v>
      </c>
      <c r="C3210" t="s">
        <v>7555</v>
      </c>
      <c r="D3210" t="s">
        <v>7556</v>
      </c>
      <c r="E3210">
        <v>4802316472</v>
      </c>
      <c r="F3210" t="s">
        <v>1013</v>
      </c>
      <c r="G3210" t="s">
        <v>1014</v>
      </c>
      <c r="I3210" t="s">
        <v>43</v>
      </c>
      <c r="J3210" s="13">
        <v>45995</v>
      </c>
      <c r="K3210" s="13">
        <v>46023</v>
      </c>
      <c r="L3210" t="s">
        <v>1179</v>
      </c>
      <c r="M3210" t="s">
        <v>55</v>
      </c>
      <c r="N3210">
        <v>72424650</v>
      </c>
    </row>
    <row r="3211" spans="1:14" x14ac:dyDescent="0.25">
      <c r="A3211">
        <v>58663059</v>
      </c>
      <c r="B3211" t="s">
        <v>2128</v>
      </c>
      <c r="C3211" t="s">
        <v>799</v>
      </c>
      <c r="D3211" t="s">
        <v>7557</v>
      </c>
      <c r="E3211">
        <v>3374995617</v>
      </c>
      <c r="F3211" t="s">
        <v>628</v>
      </c>
      <c r="G3211" t="s">
        <v>629</v>
      </c>
      <c r="I3211" t="s">
        <v>24</v>
      </c>
      <c r="J3211" s="13">
        <v>45995</v>
      </c>
      <c r="K3211" s="13">
        <v>46023</v>
      </c>
      <c r="L3211" t="s">
        <v>612</v>
      </c>
      <c r="M3211" t="s">
        <v>60</v>
      </c>
      <c r="N3211">
        <v>72425378</v>
      </c>
    </row>
    <row r="3212" spans="1:14" x14ac:dyDescent="0.25">
      <c r="A3212">
        <v>58663361</v>
      </c>
      <c r="B3212" t="s">
        <v>1157</v>
      </c>
      <c r="C3212" t="s">
        <v>1292</v>
      </c>
      <c r="D3212" t="s">
        <v>7558</v>
      </c>
      <c r="E3212">
        <v>9044450590</v>
      </c>
      <c r="F3212" t="s">
        <v>6098</v>
      </c>
      <c r="G3212" t="s">
        <v>1213</v>
      </c>
      <c r="I3212" t="s">
        <v>21</v>
      </c>
      <c r="J3212" s="13">
        <v>45995</v>
      </c>
      <c r="K3212" s="13">
        <v>46023</v>
      </c>
      <c r="L3212" t="s">
        <v>497</v>
      </c>
      <c r="M3212" t="s">
        <v>58</v>
      </c>
      <c r="N3212">
        <v>72425514</v>
      </c>
    </row>
    <row r="3213" spans="1:14" x14ac:dyDescent="0.25">
      <c r="A3213">
        <v>58663369</v>
      </c>
      <c r="B3213" t="s">
        <v>1052</v>
      </c>
      <c r="C3213" t="s">
        <v>7559</v>
      </c>
      <c r="D3213" t="s">
        <v>7560</v>
      </c>
      <c r="E3213">
        <v>3215127943</v>
      </c>
      <c r="F3213" t="s">
        <v>775</v>
      </c>
      <c r="G3213" t="s">
        <v>776</v>
      </c>
      <c r="I3213" t="s">
        <v>22</v>
      </c>
      <c r="J3213" s="13">
        <v>45995</v>
      </c>
      <c r="K3213" s="13">
        <v>46023</v>
      </c>
      <c r="L3213" t="s">
        <v>497</v>
      </c>
      <c r="M3213" t="s">
        <v>56</v>
      </c>
      <c r="N3213">
        <v>72425518</v>
      </c>
    </row>
    <row r="3214" spans="1:14" x14ac:dyDescent="0.25">
      <c r="A3214">
        <v>58663788</v>
      </c>
      <c r="B3214" t="s">
        <v>7561</v>
      </c>
      <c r="C3214" t="s">
        <v>7562</v>
      </c>
      <c r="D3214" t="s">
        <v>7563</v>
      </c>
      <c r="E3214">
        <v>6025701693</v>
      </c>
      <c r="F3214" t="s">
        <v>416</v>
      </c>
      <c r="G3214" t="s">
        <v>417</v>
      </c>
      <c r="I3214" t="s">
        <v>26</v>
      </c>
      <c r="J3214" s="13">
        <v>45995</v>
      </c>
      <c r="K3214" s="13">
        <v>46023</v>
      </c>
      <c r="L3214" t="s">
        <v>1179</v>
      </c>
      <c r="M3214" t="s">
        <v>54</v>
      </c>
      <c r="N3214">
        <v>72425716</v>
      </c>
    </row>
    <row r="3215" spans="1:14" x14ac:dyDescent="0.25">
      <c r="A3215">
        <v>58664172</v>
      </c>
      <c r="B3215" t="s">
        <v>498</v>
      </c>
      <c r="C3215" t="s">
        <v>7564</v>
      </c>
      <c r="D3215" t="s">
        <v>7565</v>
      </c>
      <c r="E3215">
        <v>6029183558</v>
      </c>
      <c r="F3215" t="s">
        <v>1345</v>
      </c>
      <c r="G3215" t="s">
        <v>799</v>
      </c>
      <c r="I3215" t="s">
        <v>47</v>
      </c>
      <c r="J3215" s="13">
        <v>45995</v>
      </c>
      <c r="K3215" s="13">
        <v>46023</v>
      </c>
      <c r="L3215" t="s">
        <v>1179</v>
      </c>
      <c r="M3215" t="s">
        <v>54</v>
      </c>
      <c r="N3215">
        <v>72425966</v>
      </c>
    </row>
    <row r="3216" spans="1:14" x14ac:dyDescent="0.25">
      <c r="A3216">
        <v>58665143</v>
      </c>
      <c r="B3216" t="s">
        <v>7566</v>
      </c>
      <c r="C3216" t="s">
        <v>7567</v>
      </c>
      <c r="D3216" t="s">
        <v>7568</v>
      </c>
      <c r="E3216">
        <v>7405041542</v>
      </c>
      <c r="F3216" t="s">
        <v>4853</v>
      </c>
      <c r="G3216" t="s">
        <v>5017</v>
      </c>
      <c r="I3216" t="s">
        <v>5018</v>
      </c>
      <c r="J3216" s="13">
        <v>45995</v>
      </c>
      <c r="K3216" s="13">
        <v>46023</v>
      </c>
      <c r="L3216" t="s">
        <v>1179</v>
      </c>
      <c r="M3216" t="s">
        <v>55</v>
      </c>
      <c r="N3216">
        <v>72426473</v>
      </c>
    </row>
    <row r="3217" spans="1:14" x14ac:dyDescent="0.25">
      <c r="A3217">
        <v>58665416</v>
      </c>
      <c r="B3217" t="s">
        <v>2532</v>
      </c>
      <c r="C3217" t="s">
        <v>964</v>
      </c>
      <c r="D3217" t="s">
        <v>7569</v>
      </c>
      <c r="E3217">
        <v>8703071785</v>
      </c>
      <c r="F3217" t="s">
        <v>842</v>
      </c>
      <c r="G3217" t="s">
        <v>843</v>
      </c>
      <c r="I3217" t="s">
        <v>98</v>
      </c>
      <c r="J3217" s="13">
        <v>45995</v>
      </c>
      <c r="K3217" s="13">
        <v>46023</v>
      </c>
      <c r="L3217" t="s">
        <v>553</v>
      </c>
      <c r="M3217" t="s">
        <v>56</v>
      </c>
      <c r="N3217">
        <v>72426638</v>
      </c>
    </row>
    <row r="3218" spans="1:14" x14ac:dyDescent="0.25">
      <c r="A3218">
        <v>58665795</v>
      </c>
      <c r="B3218" t="s">
        <v>1292</v>
      </c>
      <c r="C3218" t="s">
        <v>7570</v>
      </c>
      <c r="D3218" t="s">
        <v>7571</v>
      </c>
      <c r="E3218">
        <v>3129521403</v>
      </c>
      <c r="F3218" t="s">
        <v>494</v>
      </c>
      <c r="G3218" t="s">
        <v>495</v>
      </c>
      <c r="I3218" t="s">
        <v>496</v>
      </c>
      <c r="J3218" s="13">
        <v>45995</v>
      </c>
      <c r="K3218" s="13">
        <v>46023</v>
      </c>
      <c r="L3218" t="s">
        <v>440</v>
      </c>
      <c r="M3218" t="s">
        <v>62</v>
      </c>
      <c r="N3218">
        <v>72426866</v>
      </c>
    </row>
    <row r="3219" spans="1:14" x14ac:dyDescent="0.25">
      <c r="A3219">
        <v>58666493</v>
      </c>
      <c r="B3219" t="s">
        <v>609</v>
      </c>
      <c r="C3219" t="s">
        <v>7572</v>
      </c>
      <c r="D3219" t="s">
        <v>7573</v>
      </c>
      <c r="E3219">
        <v>4013186283</v>
      </c>
      <c r="F3219" t="s">
        <v>569</v>
      </c>
      <c r="G3219" t="s">
        <v>570</v>
      </c>
      <c r="I3219" t="s">
        <v>34</v>
      </c>
      <c r="J3219" s="13">
        <v>45995</v>
      </c>
      <c r="K3219" s="13">
        <v>46023</v>
      </c>
      <c r="L3219" t="s">
        <v>1188</v>
      </c>
      <c r="M3219" t="s">
        <v>56</v>
      </c>
      <c r="N3219">
        <v>72427297</v>
      </c>
    </row>
    <row r="3220" spans="1:14" x14ac:dyDescent="0.25">
      <c r="A3220">
        <v>58668205</v>
      </c>
      <c r="B3220" t="s">
        <v>7574</v>
      </c>
      <c r="C3220" t="s">
        <v>7575</v>
      </c>
      <c r="D3220" t="s">
        <v>7576</v>
      </c>
      <c r="E3220">
        <v>8645594645</v>
      </c>
      <c r="F3220" t="s">
        <v>780</v>
      </c>
      <c r="G3220" t="s">
        <v>781</v>
      </c>
      <c r="I3220" t="s">
        <v>20</v>
      </c>
      <c r="J3220" s="13">
        <v>45995</v>
      </c>
      <c r="K3220" s="13">
        <v>46023</v>
      </c>
      <c r="L3220" t="s">
        <v>497</v>
      </c>
      <c r="M3220" t="s">
        <v>56</v>
      </c>
      <c r="N3220">
        <v>72428421</v>
      </c>
    </row>
    <row r="3221" spans="1:14" x14ac:dyDescent="0.25">
      <c r="A3221">
        <v>58668347</v>
      </c>
      <c r="B3221" t="s">
        <v>2214</v>
      </c>
      <c r="C3221" t="s">
        <v>7577</v>
      </c>
      <c r="D3221" t="s">
        <v>7578</v>
      </c>
      <c r="E3221">
        <v>2079514040</v>
      </c>
      <c r="F3221" t="s">
        <v>798</v>
      </c>
      <c r="G3221" t="s">
        <v>799</v>
      </c>
      <c r="I3221" t="s">
        <v>800</v>
      </c>
      <c r="J3221" s="13">
        <v>45995</v>
      </c>
      <c r="K3221" s="13">
        <v>46023</v>
      </c>
      <c r="L3221" t="s">
        <v>444</v>
      </c>
      <c r="M3221" t="s">
        <v>55</v>
      </c>
      <c r="N3221">
        <v>72428518</v>
      </c>
    </row>
    <row r="3222" spans="1:14" x14ac:dyDescent="0.25">
      <c r="A3222">
        <v>58669567</v>
      </c>
      <c r="B3222" t="s">
        <v>990</v>
      </c>
      <c r="C3222" t="s">
        <v>2943</v>
      </c>
      <c r="D3222" t="s">
        <v>7579</v>
      </c>
      <c r="E3222">
        <v>8708092750</v>
      </c>
      <c r="F3222" t="s">
        <v>1067</v>
      </c>
      <c r="G3222" t="s">
        <v>1068</v>
      </c>
      <c r="I3222" t="s">
        <v>35</v>
      </c>
      <c r="J3222" s="13">
        <v>45995</v>
      </c>
      <c r="K3222" s="13">
        <v>46023</v>
      </c>
      <c r="L3222" t="s">
        <v>553</v>
      </c>
      <c r="M3222" t="s">
        <v>58</v>
      </c>
      <c r="N3222">
        <v>72429511</v>
      </c>
    </row>
    <row r="3223" spans="1:14" x14ac:dyDescent="0.25">
      <c r="A3223">
        <v>58670484</v>
      </c>
      <c r="B3223" t="s">
        <v>7580</v>
      </c>
      <c r="C3223" t="s">
        <v>7581</v>
      </c>
      <c r="D3223" t="s">
        <v>7582</v>
      </c>
      <c r="E3223">
        <v>6023910193</v>
      </c>
      <c r="F3223" t="s">
        <v>448</v>
      </c>
      <c r="G3223" t="s">
        <v>449</v>
      </c>
      <c r="I3223" t="s">
        <v>31</v>
      </c>
      <c r="J3223" s="13">
        <v>45995</v>
      </c>
      <c r="K3223" s="13">
        <v>46023</v>
      </c>
      <c r="L3223" t="s">
        <v>1179</v>
      </c>
      <c r="M3223" t="s">
        <v>56</v>
      </c>
      <c r="N3223">
        <v>72430113</v>
      </c>
    </row>
    <row r="3224" spans="1:14" x14ac:dyDescent="0.25">
      <c r="A3224">
        <v>58670622</v>
      </c>
      <c r="B3224" t="s">
        <v>2436</v>
      </c>
      <c r="C3224" t="s">
        <v>7425</v>
      </c>
      <c r="D3224" t="s">
        <v>7583</v>
      </c>
      <c r="E3224">
        <v>7275175438</v>
      </c>
      <c r="F3224" t="s">
        <v>462</v>
      </c>
      <c r="G3224" t="s">
        <v>463</v>
      </c>
      <c r="I3224" t="s">
        <v>39</v>
      </c>
      <c r="J3224" s="13">
        <v>45995</v>
      </c>
      <c r="K3224" s="13">
        <v>46023</v>
      </c>
      <c r="L3224" t="s">
        <v>497</v>
      </c>
      <c r="M3224" t="s">
        <v>54</v>
      </c>
      <c r="N3224">
        <v>72430198</v>
      </c>
    </row>
    <row r="3225" spans="1:14" x14ac:dyDescent="0.25">
      <c r="A3225">
        <v>58670949</v>
      </c>
      <c r="B3225" t="s">
        <v>2600</v>
      </c>
      <c r="C3225" t="s">
        <v>7584</v>
      </c>
      <c r="D3225" t="s">
        <v>7585</v>
      </c>
      <c r="E3225">
        <v>2074680023</v>
      </c>
      <c r="F3225" t="s">
        <v>592</v>
      </c>
      <c r="G3225" t="s">
        <v>593</v>
      </c>
      <c r="I3225" t="s">
        <v>115</v>
      </c>
      <c r="J3225" s="13">
        <v>45995</v>
      </c>
      <c r="K3225" s="13">
        <v>46023</v>
      </c>
      <c r="L3225" t="s">
        <v>497</v>
      </c>
      <c r="M3225" t="s">
        <v>56</v>
      </c>
      <c r="N3225">
        <v>72430385</v>
      </c>
    </row>
    <row r="3226" spans="1:14" x14ac:dyDescent="0.25">
      <c r="A3226">
        <v>58671154</v>
      </c>
      <c r="B3226" t="s">
        <v>799</v>
      </c>
      <c r="C3226" t="s">
        <v>7586</v>
      </c>
      <c r="D3226" t="s">
        <v>7587</v>
      </c>
      <c r="E3226">
        <v>3042817935</v>
      </c>
      <c r="F3226" t="s">
        <v>1142</v>
      </c>
      <c r="G3226" t="s">
        <v>1143</v>
      </c>
      <c r="I3226" t="s">
        <v>124</v>
      </c>
      <c r="J3226" s="13">
        <v>45995</v>
      </c>
      <c r="K3226" s="13">
        <v>46023</v>
      </c>
      <c r="L3226" t="s">
        <v>1188</v>
      </c>
      <c r="M3226" t="s">
        <v>56</v>
      </c>
      <c r="N3226">
        <v>72430505</v>
      </c>
    </row>
    <row r="3227" spans="1:14" x14ac:dyDescent="0.25">
      <c r="A3227">
        <v>58671231</v>
      </c>
      <c r="B3227" t="s">
        <v>669</v>
      </c>
      <c r="C3227" t="s">
        <v>7588</v>
      </c>
      <c r="D3227" t="s">
        <v>7589</v>
      </c>
      <c r="E3227">
        <v>8639346027</v>
      </c>
      <c r="F3227" t="s">
        <v>1142</v>
      </c>
      <c r="G3227" t="s">
        <v>1143</v>
      </c>
      <c r="I3227" t="s">
        <v>124</v>
      </c>
      <c r="J3227" s="13">
        <v>45995</v>
      </c>
      <c r="K3227" s="13">
        <v>46023</v>
      </c>
      <c r="L3227" t="s">
        <v>497</v>
      </c>
      <c r="M3227" t="s">
        <v>59</v>
      </c>
      <c r="N3227">
        <v>72430550</v>
      </c>
    </row>
    <row r="3228" spans="1:14" x14ac:dyDescent="0.25">
      <c r="A3228">
        <v>58671309</v>
      </c>
      <c r="B3228" t="s">
        <v>1751</v>
      </c>
      <c r="C3228" t="s">
        <v>7590</v>
      </c>
      <c r="D3228" t="s">
        <v>7591</v>
      </c>
      <c r="E3228">
        <v>8505418899</v>
      </c>
      <c r="F3228" t="s">
        <v>615</v>
      </c>
      <c r="G3228" t="s">
        <v>616</v>
      </c>
      <c r="I3228" t="s">
        <v>617</v>
      </c>
      <c r="J3228" s="13">
        <v>45995</v>
      </c>
      <c r="K3228" s="13">
        <v>46023</v>
      </c>
      <c r="L3228" t="s">
        <v>497</v>
      </c>
      <c r="M3228" t="s">
        <v>58</v>
      </c>
      <c r="N3228">
        <v>72430597</v>
      </c>
    </row>
    <row r="3229" spans="1:14" x14ac:dyDescent="0.25">
      <c r="A3229">
        <v>58671409</v>
      </c>
      <c r="B3229" t="s">
        <v>3737</v>
      </c>
      <c r="C3229" t="s">
        <v>7592</v>
      </c>
      <c r="D3229" t="s">
        <v>7593</v>
      </c>
      <c r="E3229">
        <v>7605744990</v>
      </c>
      <c r="F3229" t="s">
        <v>842</v>
      </c>
      <c r="G3229" t="s">
        <v>1213</v>
      </c>
      <c r="I3229" t="s">
        <v>1214</v>
      </c>
      <c r="J3229" s="13">
        <v>45995</v>
      </c>
      <c r="K3229" s="13">
        <v>46023</v>
      </c>
      <c r="L3229" t="s">
        <v>1179</v>
      </c>
      <c r="M3229" t="s">
        <v>54</v>
      </c>
      <c r="N3229">
        <v>72430680</v>
      </c>
    </row>
    <row r="3230" spans="1:14" x14ac:dyDescent="0.25">
      <c r="A3230">
        <v>58672900</v>
      </c>
      <c r="B3230" t="s">
        <v>1406</v>
      </c>
      <c r="C3230" t="s">
        <v>7594</v>
      </c>
      <c r="D3230" t="s">
        <v>7595</v>
      </c>
      <c r="E3230">
        <v>4809834410</v>
      </c>
      <c r="F3230" t="s">
        <v>474</v>
      </c>
      <c r="G3230" t="s">
        <v>475</v>
      </c>
      <c r="I3230" t="s">
        <v>132</v>
      </c>
      <c r="J3230" s="13">
        <v>45995</v>
      </c>
      <c r="K3230" s="13">
        <v>46023</v>
      </c>
      <c r="L3230" t="s">
        <v>1179</v>
      </c>
      <c r="M3230" t="s">
        <v>56</v>
      </c>
      <c r="N3230">
        <v>72431557</v>
      </c>
    </row>
    <row r="3231" spans="1:14" x14ac:dyDescent="0.25">
      <c r="A3231">
        <v>58673060</v>
      </c>
      <c r="B3231" t="s">
        <v>7596</v>
      </c>
      <c r="C3231" t="s">
        <v>7597</v>
      </c>
      <c r="D3231" t="s">
        <v>7598</v>
      </c>
      <c r="F3231" t="s">
        <v>649</v>
      </c>
      <c r="G3231" t="s">
        <v>650</v>
      </c>
      <c r="I3231" t="s">
        <v>28</v>
      </c>
      <c r="J3231" s="13">
        <v>45995</v>
      </c>
      <c r="K3231" s="13">
        <v>46023</v>
      </c>
      <c r="L3231" t="s">
        <v>1179</v>
      </c>
      <c r="M3231" t="s">
        <v>56</v>
      </c>
      <c r="N3231">
        <v>72431672</v>
      </c>
    </row>
    <row r="3232" spans="1:14" x14ac:dyDescent="0.25">
      <c r="A3232">
        <v>58673376</v>
      </c>
      <c r="B3232" t="s">
        <v>672</v>
      </c>
      <c r="C3232" t="s">
        <v>7599</v>
      </c>
      <c r="D3232" t="s">
        <v>7600</v>
      </c>
      <c r="E3232">
        <v>6026373655</v>
      </c>
      <c r="F3232" t="s">
        <v>628</v>
      </c>
      <c r="G3232" t="s">
        <v>629</v>
      </c>
      <c r="I3232" t="s">
        <v>24</v>
      </c>
      <c r="J3232" s="13">
        <v>45995</v>
      </c>
      <c r="K3232" s="13">
        <v>46023</v>
      </c>
      <c r="L3232" t="s">
        <v>1179</v>
      </c>
      <c r="M3232" t="s">
        <v>55</v>
      </c>
      <c r="N3232">
        <v>72431908</v>
      </c>
    </row>
    <row r="3233" spans="1:14" x14ac:dyDescent="0.25">
      <c r="A3233">
        <v>58674329</v>
      </c>
      <c r="B3233" t="s">
        <v>7601</v>
      </c>
      <c r="C3233" t="s">
        <v>2291</v>
      </c>
      <c r="D3233" t="s">
        <v>7602</v>
      </c>
      <c r="E3233">
        <v>6023399095</v>
      </c>
      <c r="F3233" t="s">
        <v>705</v>
      </c>
      <c r="G3233" t="s">
        <v>706</v>
      </c>
      <c r="I3233" t="s">
        <v>12</v>
      </c>
      <c r="J3233" s="13">
        <v>45995</v>
      </c>
      <c r="K3233" s="13">
        <v>46023</v>
      </c>
      <c r="L3233" t="s">
        <v>1179</v>
      </c>
      <c r="M3233" t="s">
        <v>55</v>
      </c>
      <c r="N3233">
        <v>72432479</v>
      </c>
    </row>
    <row r="3234" spans="1:14" x14ac:dyDescent="0.25">
      <c r="A3234">
        <v>58674533</v>
      </c>
      <c r="B3234" t="s">
        <v>1273</v>
      </c>
      <c r="C3234" t="s">
        <v>4669</v>
      </c>
      <c r="D3234" t="s">
        <v>7603</v>
      </c>
      <c r="E3234">
        <v>7273966402</v>
      </c>
      <c r="F3234" t="s">
        <v>423</v>
      </c>
      <c r="G3234" t="s">
        <v>424</v>
      </c>
      <c r="I3234" t="s">
        <v>46</v>
      </c>
      <c r="J3234" s="13">
        <v>45995</v>
      </c>
      <c r="K3234" s="13">
        <v>46023</v>
      </c>
      <c r="L3234" t="s">
        <v>497</v>
      </c>
      <c r="M3234" t="s">
        <v>54</v>
      </c>
      <c r="N3234">
        <v>72432559</v>
      </c>
    </row>
    <row r="3235" spans="1:14" x14ac:dyDescent="0.25">
      <c r="A3235">
        <v>58674675</v>
      </c>
      <c r="B3235" t="s">
        <v>7604</v>
      </c>
      <c r="C3235" t="s">
        <v>7605</v>
      </c>
      <c r="D3235" t="s">
        <v>7606</v>
      </c>
      <c r="E3235">
        <v>7202126875</v>
      </c>
      <c r="F3235" t="s">
        <v>842</v>
      </c>
      <c r="G3235" t="s">
        <v>843</v>
      </c>
      <c r="I3235" t="s">
        <v>98</v>
      </c>
      <c r="J3235" s="13">
        <v>45995</v>
      </c>
      <c r="K3235" s="13">
        <v>46023</v>
      </c>
      <c r="L3235" t="s">
        <v>539</v>
      </c>
      <c r="M3235" t="s">
        <v>56</v>
      </c>
      <c r="N3235">
        <v>72432655</v>
      </c>
    </row>
    <row r="3236" spans="1:14" x14ac:dyDescent="0.25">
      <c r="A3236">
        <v>58675250</v>
      </c>
      <c r="B3236" t="s">
        <v>480</v>
      </c>
      <c r="C3236" t="s">
        <v>7607</v>
      </c>
      <c r="D3236" t="s">
        <v>7608</v>
      </c>
      <c r="E3236">
        <v>7274959418</v>
      </c>
      <c r="F3236" t="s">
        <v>815</v>
      </c>
      <c r="G3236" t="s">
        <v>816</v>
      </c>
      <c r="I3236" t="s">
        <v>23</v>
      </c>
      <c r="J3236" s="13">
        <v>45995</v>
      </c>
      <c r="K3236" s="13">
        <v>46023</v>
      </c>
      <c r="L3236" t="s">
        <v>497</v>
      </c>
      <c r="M3236" t="s">
        <v>56</v>
      </c>
      <c r="N3236">
        <v>72432960</v>
      </c>
    </row>
    <row r="3237" spans="1:14" x14ac:dyDescent="0.25">
      <c r="A3237">
        <v>58675364</v>
      </c>
      <c r="B3237" t="s">
        <v>476</v>
      </c>
      <c r="C3237" t="s">
        <v>7609</v>
      </c>
      <c r="D3237" t="s">
        <v>7610</v>
      </c>
      <c r="E3237">
        <v>8126700199</v>
      </c>
      <c r="F3237" t="s">
        <v>592</v>
      </c>
      <c r="G3237" t="s">
        <v>593</v>
      </c>
      <c r="I3237" t="s">
        <v>115</v>
      </c>
      <c r="J3237" s="13">
        <v>45995</v>
      </c>
      <c r="K3237" s="13">
        <v>46023</v>
      </c>
      <c r="L3237" t="s">
        <v>440</v>
      </c>
      <c r="M3237" t="s">
        <v>56</v>
      </c>
      <c r="N3237">
        <v>72433022</v>
      </c>
    </row>
    <row r="3238" spans="1:14" x14ac:dyDescent="0.25">
      <c r="A3238">
        <v>58675539</v>
      </c>
      <c r="B3238" t="s">
        <v>2442</v>
      </c>
      <c r="C3238" t="s">
        <v>7611</v>
      </c>
      <c r="D3238" t="s">
        <v>7612</v>
      </c>
      <c r="E3238">
        <v>5614102189</v>
      </c>
      <c r="F3238" t="s">
        <v>416</v>
      </c>
      <c r="G3238" t="s">
        <v>417</v>
      </c>
      <c r="I3238" t="s">
        <v>26</v>
      </c>
      <c r="J3238" s="13">
        <v>45995</v>
      </c>
      <c r="K3238" s="13">
        <v>46023</v>
      </c>
      <c r="L3238" t="s">
        <v>497</v>
      </c>
      <c r="M3238" t="s">
        <v>56</v>
      </c>
      <c r="N3238">
        <v>72433096</v>
      </c>
    </row>
    <row r="3239" spans="1:14" x14ac:dyDescent="0.25">
      <c r="A3239">
        <v>58675702</v>
      </c>
      <c r="B3239" t="s">
        <v>1900</v>
      </c>
      <c r="C3239" t="s">
        <v>7613</v>
      </c>
      <c r="D3239" t="s">
        <v>7614</v>
      </c>
      <c r="E3239">
        <v>6024614751</v>
      </c>
      <c r="F3239" t="s">
        <v>462</v>
      </c>
      <c r="G3239" t="s">
        <v>463</v>
      </c>
      <c r="I3239" t="s">
        <v>39</v>
      </c>
      <c r="J3239" s="13">
        <v>45995</v>
      </c>
      <c r="K3239" s="13">
        <v>46023</v>
      </c>
      <c r="L3239" t="s">
        <v>1179</v>
      </c>
      <c r="M3239" t="s">
        <v>59</v>
      </c>
      <c r="N3239">
        <v>72433165</v>
      </c>
    </row>
    <row r="3240" spans="1:14" x14ac:dyDescent="0.25">
      <c r="A3240">
        <v>58675816</v>
      </c>
      <c r="B3240" t="s">
        <v>7615</v>
      </c>
      <c r="C3240" t="s">
        <v>7616</v>
      </c>
      <c r="D3240" t="s">
        <v>7617</v>
      </c>
      <c r="E3240">
        <v>8703272217</v>
      </c>
      <c r="F3240" t="s">
        <v>569</v>
      </c>
      <c r="G3240" t="s">
        <v>570</v>
      </c>
      <c r="I3240" t="s">
        <v>34</v>
      </c>
      <c r="J3240" s="13">
        <v>45995</v>
      </c>
      <c r="K3240" s="13">
        <v>46023</v>
      </c>
      <c r="L3240" t="s">
        <v>553</v>
      </c>
      <c r="M3240" t="s">
        <v>55</v>
      </c>
      <c r="N3240">
        <v>72433233</v>
      </c>
    </row>
    <row r="3241" spans="1:14" x14ac:dyDescent="0.25">
      <c r="A3241">
        <v>58675953</v>
      </c>
      <c r="B3241" t="s">
        <v>7618</v>
      </c>
      <c r="C3241" t="s">
        <v>7619</v>
      </c>
      <c r="D3241" t="s">
        <v>7620</v>
      </c>
      <c r="E3241">
        <v>4077178156</v>
      </c>
      <c r="F3241" t="s">
        <v>1067</v>
      </c>
      <c r="G3241" t="s">
        <v>1068</v>
      </c>
      <c r="I3241" t="s">
        <v>35</v>
      </c>
      <c r="J3241" s="13">
        <v>45995</v>
      </c>
      <c r="K3241" s="13">
        <v>46023</v>
      </c>
      <c r="L3241" t="s">
        <v>497</v>
      </c>
      <c r="M3241" t="s">
        <v>58</v>
      </c>
      <c r="N3241">
        <v>72433331</v>
      </c>
    </row>
    <row r="3242" spans="1:14" x14ac:dyDescent="0.25">
      <c r="A3242">
        <v>58676893</v>
      </c>
      <c r="B3242" t="s">
        <v>3561</v>
      </c>
      <c r="C3242" t="s">
        <v>7621</v>
      </c>
      <c r="D3242" t="s">
        <v>7622</v>
      </c>
      <c r="F3242" t="s">
        <v>592</v>
      </c>
      <c r="G3242" t="s">
        <v>593</v>
      </c>
      <c r="I3242" t="s">
        <v>115</v>
      </c>
      <c r="J3242" s="13">
        <v>45995</v>
      </c>
      <c r="K3242" s="13">
        <v>46023</v>
      </c>
      <c r="L3242" t="s">
        <v>440</v>
      </c>
      <c r="M3242" t="s">
        <v>56</v>
      </c>
      <c r="N3242">
        <v>72434721</v>
      </c>
    </row>
    <row r="3243" spans="1:14" x14ac:dyDescent="0.25">
      <c r="A3243">
        <v>58677672</v>
      </c>
      <c r="B3243" t="s">
        <v>3643</v>
      </c>
      <c r="C3243" t="s">
        <v>7623</v>
      </c>
      <c r="D3243" t="s">
        <v>7624</v>
      </c>
      <c r="E3243">
        <v>8708281536</v>
      </c>
      <c r="F3243" t="s">
        <v>448</v>
      </c>
      <c r="G3243" t="s">
        <v>449</v>
      </c>
      <c r="I3243" t="s">
        <v>31</v>
      </c>
      <c r="J3243" s="13">
        <v>45995</v>
      </c>
      <c r="K3243" s="13">
        <v>46023</v>
      </c>
      <c r="L3243" t="s">
        <v>553</v>
      </c>
      <c r="M3243" t="s">
        <v>56</v>
      </c>
      <c r="N3243">
        <v>72435255</v>
      </c>
    </row>
    <row r="3244" spans="1:14" x14ac:dyDescent="0.25">
      <c r="A3244">
        <v>58677673</v>
      </c>
      <c r="B3244" t="s">
        <v>1041</v>
      </c>
      <c r="C3244" t="s">
        <v>7625</v>
      </c>
      <c r="D3244" t="s">
        <v>7626</v>
      </c>
      <c r="E3244">
        <v>7272229424</v>
      </c>
      <c r="F3244" t="s">
        <v>775</v>
      </c>
      <c r="G3244" t="s">
        <v>776</v>
      </c>
      <c r="I3244" t="s">
        <v>22</v>
      </c>
      <c r="J3244" s="13">
        <v>45995</v>
      </c>
      <c r="K3244" s="13">
        <v>46023</v>
      </c>
      <c r="L3244" t="s">
        <v>497</v>
      </c>
      <c r="M3244" t="s">
        <v>56</v>
      </c>
      <c r="N3244">
        <v>72435256</v>
      </c>
    </row>
    <row r="3245" spans="1:14" x14ac:dyDescent="0.25">
      <c r="A3245">
        <v>58677761</v>
      </c>
      <c r="B3245" t="s">
        <v>1554</v>
      </c>
      <c r="C3245" t="s">
        <v>7627</v>
      </c>
      <c r="D3245" t="s">
        <v>7628</v>
      </c>
      <c r="E3245">
        <v>7279067718</v>
      </c>
      <c r="F3245" t="s">
        <v>423</v>
      </c>
      <c r="G3245" t="s">
        <v>424</v>
      </c>
      <c r="I3245" t="s">
        <v>46</v>
      </c>
      <c r="J3245" s="13">
        <v>45995</v>
      </c>
      <c r="K3245" s="13">
        <v>46023</v>
      </c>
      <c r="L3245" t="s">
        <v>497</v>
      </c>
      <c r="M3245" t="s">
        <v>54</v>
      </c>
      <c r="N3245">
        <v>72435277</v>
      </c>
    </row>
    <row r="3246" spans="1:14" x14ac:dyDescent="0.25">
      <c r="A3246">
        <v>58677877</v>
      </c>
      <c r="B3246" t="s">
        <v>1097</v>
      </c>
      <c r="C3246" t="s">
        <v>7629</v>
      </c>
      <c r="D3246" t="s">
        <v>7630</v>
      </c>
      <c r="E3246">
        <v>7542468928</v>
      </c>
      <c r="F3246" t="s">
        <v>1345</v>
      </c>
      <c r="G3246" t="s">
        <v>799</v>
      </c>
      <c r="I3246" t="s">
        <v>47</v>
      </c>
      <c r="J3246" s="13">
        <v>45995</v>
      </c>
      <c r="K3246" s="13">
        <v>46023</v>
      </c>
      <c r="L3246" t="s">
        <v>497</v>
      </c>
      <c r="M3246" t="s">
        <v>56</v>
      </c>
      <c r="N3246">
        <v>72435373</v>
      </c>
    </row>
    <row r="3247" spans="1:14" x14ac:dyDescent="0.25">
      <c r="A3247">
        <v>58678917</v>
      </c>
      <c r="B3247" t="s">
        <v>2885</v>
      </c>
      <c r="C3247" t="s">
        <v>7631</v>
      </c>
      <c r="D3247" t="s">
        <v>7632</v>
      </c>
      <c r="E3247">
        <v>4803721099</v>
      </c>
      <c r="F3247" t="s">
        <v>4853</v>
      </c>
      <c r="G3247" t="s">
        <v>5017</v>
      </c>
      <c r="I3247" t="s">
        <v>5018</v>
      </c>
      <c r="J3247" s="13">
        <v>45995</v>
      </c>
      <c r="K3247" s="13">
        <v>46023</v>
      </c>
      <c r="L3247" t="s">
        <v>1179</v>
      </c>
      <c r="M3247" t="s">
        <v>59</v>
      </c>
      <c r="N3247">
        <v>72435958</v>
      </c>
    </row>
    <row r="3248" spans="1:14" x14ac:dyDescent="0.25">
      <c r="A3248">
        <v>58680874</v>
      </c>
      <c r="B3248" t="s">
        <v>7633</v>
      </c>
      <c r="C3248" t="s">
        <v>7634</v>
      </c>
      <c r="D3248" t="s">
        <v>7635</v>
      </c>
      <c r="E3248">
        <v>4193027099</v>
      </c>
      <c r="F3248" t="s">
        <v>7039</v>
      </c>
      <c r="G3248" t="s">
        <v>1167</v>
      </c>
      <c r="I3248" t="s">
        <v>91</v>
      </c>
      <c r="J3248" s="13">
        <v>45995</v>
      </c>
      <c r="K3248" s="13">
        <v>46023</v>
      </c>
      <c r="L3248" t="s">
        <v>497</v>
      </c>
      <c r="M3248" t="s">
        <v>56</v>
      </c>
      <c r="N3248">
        <v>72437141</v>
      </c>
    </row>
    <row r="3249" spans="1:14" x14ac:dyDescent="0.25">
      <c r="A3249">
        <v>58681009</v>
      </c>
      <c r="B3249" t="s">
        <v>879</v>
      </c>
      <c r="C3249" t="s">
        <v>3960</v>
      </c>
      <c r="D3249" t="s">
        <v>7636</v>
      </c>
      <c r="E3249">
        <v>9013552567</v>
      </c>
      <c r="F3249" t="s">
        <v>569</v>
      </c>
      <c r="G3249" t="s">
        <v>570</v>
      </c>
      <c r="I3249" t="s">
        <v>34</v>
      </c>
      <c r="J3249" s="13">
        <v>45995</v>
      </c>
      <c r="K3249" s="13">
        <v>46023</v>
      </c>
      <c r="L3249" t="s">
        <v>479</v>
      </c>
      <c r="M3249" t="s">
        <v>62</v>
      </c>
      <c r="N3249">
        <v>72437207</v>
      </c>
    </row>
    <row r="3250" spans="1:14" x14ac:dyDescent="0.25">
      <c r="A3250">
        <v>58681043</v>
      </c>
      <c r="B3250" t="s">
        <v>1978</v>
      </c>
      <c r="C3250" t="s">
        <v>7637</v>
      </c>
      <c r="D3250" t="s">
        <v>7638</v>
      </c>
      <c r="E3250">
        <v>8507402049</v>
      </c>
      <c r="F3250" t="s">
        <v>780</v>
      </c>
      <c r="G3250" t="s">
        <v>781</v>
      </c>
      <c r="I3250" t="s">
        <v>20</v>
      </c>
      <c r="J3250" s="13">
        <v>45995</v>
      </c>
      <c r="K3250" s="13">
        <v>46023</v>
      </c>
      <c r="L3250" t="s">
        <v>497</v>
      </c>
      <c r="M3250" t="s">
        <v>56</v>
      </c>
      <c r="N3250">
        <v>72437227</v>
      </c>
    </row>
    <row r="3251" spans="1:14" x14ac:dyDescent="0.25">
      <c r="A3251">
        <v>58681247</v>
      </c>
      <c r="B3251" t="s">
        <v>7639</v>
      </c>
      <c r="C3251" t="s">
        <v>7640</v>
      </c>
      <c r="D3251" t="s">
        <v>7641</v>
      </c>
      <c r="E3251">
        <v>4173819107</v>
      </c>
      <c r="F3251" t="s">
        <v>615</v>
      </c>
      <c r="G3251" t="s">
        <v>616</v>
      </c>
      <c r="I3251" t="s">
        <v>617</v>
      </c>
      <c r="J3251" s="13">
        <v>45995</v>
      </c>
      <c r="K3251" s="13">
        <v>46023</v>
      </c>
      <c r="L3251" t="s">
        <v>434</v>
      </c>
      <c r="M3251" t="s">
        <v>56</v>
      </c>
      <c r="N3251">
        <v>72437347</v>
      </c>
    </row>
    <row r="3252" spans="1:14" x14ac:dyDescent="0.25">
      <c r="A3252">
        <v>58681398</v>
      </c>
      <c r="B3252" t="s">
        <v>552</v>
      </c>
      <c r="C3252" t="s">
        <v>6723</v>
      </c>
      <c r="D3252" t="s">
        <v>7642</v>
      </c>
      <c r="F3252" t="s">
        <v>649</v>
      </c>
      <c r="G3252" t="s">
        <v>650</v>
      </c>
      <c r="I3252" t="s">
        <v>28</v>
      </c>
      <c r="J3252" s="13">
        <v>45995</v>
      </c>
      <c r="K3252" s="13">
        <v>46023</v>
      </c>
      <c r="L3252" t="s">
        <v>434</v>
      </c>
      <c r="M3252" t="s">
        <v>56</v>
      </c>
      <c r="N3252">
        <v>72437435</v>
      </c>
    </row>
    <row r="3253" spans="1:14" x14ac:dyDescent="0.25">
      <c r="A3253">
        <v>58681923</v>
      </c>
      <c r="B3253" t="s">
        <v>3335</v>
      </c>
      <c r="C3253" t="s">
        <v>7643</v>
      </c>
      <c r="D3253" t="s">
        <v>7644</v>
      </c>
      <c r="E3253">
        <v>2149148747</v>
      </c>
      <c r="F3253" t="s">
        <v>1013</v>
      </c>
      <c r="G3253" t="s">
        <v>1014</v>
      </c>
      <c r="I3253" t="s">
        <v>43</v>
      </c>
      <c r="J3253" s="13">
        <v>45995</v>
      </c>
      <c r="K3253" s="13">
        <v>46023</v>
      </c>
      <c r="L3253" t="s">
        <v>444</v>
      </c>
      <c r="M3253" t="s">
        <v>58</v>
      </c>
      <c r="N3253">
        <v>72437596</v>
      </c>
    </row>
    <row r="3254" spans="1:14" x14ac:dyDescent="0.25">
      <c r="A3254">
        <v>58682967</v>
      </c>
      <c r="B3254" t="s">
        <v>3587</v>
      </c>
      <c r="C3254" t="s">
        <v>7645</v>
      </c>
      <c r="D3254" t="s">
        <v>7646</v>
      </c>
      <c r="E3254">
        <v>5015808187</v>
      </c>
      <c r="F3254" t="s">
        <v>1067</v>
      </c>
      <c r="G3254" t="s">
        <v>1068</v>
      </c>
      <c r="I3254" t="s">
        <v>35</v>
      </c>
      <c r="J3254" s="13">
        <v>45995</v>
      </c>
      <c r="K3254" s="13">
        <v>46023</v>
      </c>
      <c r="L3254" t="s">
        <v>553</v>
      </c>
      <c r="M3254" t="s">
        <v>56</v>
      </c>
      <c r="N3254">
        <v>72438032</v>
      </c>
    </row>
    <row r="3255" spans="1:14" x14ac:dyDescent="0.25">
      <c r="A3255">
        <v>58683138</v>
      </c>
      <c r="B3255" t="s">
        <v>990</v>
      </c>
      <c r="C3255" t="s">
        <v>564</v>
      </c>
      <c r="D3255" t="s">
        <v>7647</v>
      </c>
      <c r="E3255">
        <v>8136950107</v>
      </c>
      <c r="F3255" t="s">
        <v>551</v>
      </c>
      <c r="G3255" t="s">
        <v>552</v>
      </c>
      <c r="I3255" t="s">
        <v>42</v>
      </c>
      <c r="J3255" s="13">
        <v>45995</v>
      </c>
      <c r="K3255" s="13">
        <v>46023</v>
      </c>
      <c r="L3255" t="s">
        <v>497</v>
      </c>
      <c r="M3255" t="s">
        <v>56</v>
      </c>
      <c r="N3255">
        <v>72438111</v>
      </c>
    </row>
    <row r="3256" spans="1:14" x14ac:dyDescent="0.25">
      <c r="A3256">
        <v>58683126</v>
      </c>
      <c r="B3256" t="s">
        <v>7648</v>
      </c>
      <c r="C3256" t="s">
        <v>2627</v>
      </c>
      <c r="D3256" t="s">
        <v>7649</v>
      </c>
      <c r="E3256">
        <v>7735560685</v>
      </c>
      <c r="F3256" t="s">
        <v>578</v>
      </c>
      <c r="G3256" t="s">
        <v>579</v>
      </c>
      <c r="I3256" t="s">
        <v>15</v>
      </c>
      <c r="J3256" s="13">
        <v>45995</v>
      </c>
      <c r="K3256" s="13">
        <v>46023</v>
      </c>
      <c r="L3256" t="s">
        <v>470</v>
      </c>
      <c r="M3256" t="s">
        <v>62</v>
      </c>
      <c r="N3256">
        <v>72438119</v>
      </c>
    </row>
    <row r="3257" spans="1:14" x14ac:dyDescent="0.25">
      <c r="A3257">
        <v>58683296</v>
      </c>
      <c r="B3257" t="s">
        <v>524</v>
      </c>
      <c r="C3257" t="s">
        <v>1587</v>
      </c>
      <c r="D3257" t="s">
        <v>7650</v>
      </c>
      <c r="E3257">
        <v>3344245623</v>
      </c>
      <c r="F3257" t="s">
        <v>790</v>
      </c>
      <c r="G3257" t="s">
        <v>791</v>
      </c>
      <c r="I3257" t="s">
        <v>119</v>
      </c>
      <c r="J3257" s="13">
        <v>45995</v>
      </c>
      <c r="K3257" s="13">
        <v>46023</v>
      </c>
      <c r="L3257" t="s">
        <v>450</v>
      </c>
      <c r="M3257" t="s">
        <v>56</v>
      </c>
      <c r="N3257">
        <v>72438237</v>
      </c>
    </row>
    <row r="3258" spans="1:14" x14ac:dyDescent="0.25">
      <c r="A3258">
        <v>58683768</v>
      </c>
      <c r="B3258" t="s">
        <v>1777</v>
      </c>
      <c r="C3258" t="s">
        <v>5670</v>
      </c>
      <c r="D3258" t="s">
        <v>7651</v>
      </c>
      <c r="E3258">
        <v>6236947428</v>
      </c>
      <c r="F3258" t="s">
        <v>416</v>
      </c>
      <c r="G3258" t="s">
        <v>417</v>
      </c>
      <c r="I3258" t="s">
        <v>26</v>
      </c>
      <c r="J3258" s="13">
        <v>45995</v>
      </c>
      <c r="K3258" s="13">
        <v>46023</v>
      </c>
      <c r="L3258" t="s">
        <v>1179</v>
      </c>
      <c r="M3258" t="s">
        <v>56</v>
      </c>
      <c r="N3258">
        <v>72438451</v>
      </c>
    </row>
    <row r="3259" spans="1:14" x14ac:dyDescent="0.25">
      <c r="A3259">
        <v>58685124</v>
      </c>
      <c r="B3259" t="s">
        <v>879</v>
      </c>
      <c r="C3259" t="s">
        <v>1203</v>
      </c>
      <c r="D3259" t="s">
        <v>7652</v>
      </c>
      <c r="E3259">
        <v>4043960135</v>
      </c>
      <c r="F3259" t="s">
        <v>569</v>
      </c>
      <c r="G3259" t="s">
        <v>570</v>
      </c>
      <c r="I3259" t="s">
        <v>34</v>
      </c>
      <c r="J3259" s="13">
        <v>45995</v>
      </c>
      <c r="K3259" s="13">
        <v>46023</v>
      </c>
      <c r="L3259" t="s">
        <v>621</v>
      </c>
      <c r="M3259" t="s">
        <v>60</v>
      </c>
      <c r="N3259">
        <v>72439146</v>
      </c>
    </row>
    <row r="3260" spans="1:14" x14ac:dyDescent="0.25">
      <c r="A3260">
        <v>58685343</v>
      </c>
      <c r="B3260" t="s">
        <v>4887</v>
      </c>
      <c r="C3260" t="s">
        <v>7653</v>
      </c>
      <c r="D3260" t="s">
        <v>7654</v>
      </c>
      <c r="E3260">
        <v>6029978388</v>
      </c>
      <c r="F3260" t="s">
        <v>842</v>
      </c>
      <c r="G3260" t="s">
        <v>1213</v>
      </c>
      <c r="I3260" t="s">
        <v>1214</v>
      </c>
      <c r="J3260" s="13">
        <v>45995</v>
      </c>
      <c r="K3260" s="13">
        <v>46023</v>
      </c>
      <c r="L3260" t="s">
        <v>1179</v>
      </c>
      <c r="M3260" t="s">
        <v>55</v>
      </c>
      <c r="N3260">
        <v>72439235</v>
      </c>
    </row>
    <row r="3261" spans="1:14" x14ac:dyDescent="0.25">
      <c r="A3261">
        <v>58686800</v>
      </c>
      <c r="B3261" t="s">
        <v>2296</v>
      </c>
      <c r="C3261" t="s">
        <v>923</v>
      </c>
      <c r="D3261" t="s">
        <v>7655</v>
      </c>
      <c r="E3261">
        <v>5012767563</v>
      </c>
      <c r="F3261" t="s">
        <v>1142</v>
      </c>
      <c r="G3261" t="s">
        <v>1143</v>
      </c>
      <c r="I3261" t="s">
        <v>124</v>
      </c>
      <c r="J3261" s="13">
        <v>45995</v>
      </c>
      <c r="K3261" s="13">
        <v>46023</v>
      </c>
      <c r="L3261" t="s">
        <v>553</v>
      </c>
      <c r="M3261" t="s">
        <v>59</v>
      </c>
      <c r="N3261">
        <v>72440289</v>
      </c>
    </row>
    <row r="3262" spans="1:14" x14ac:dyDescent="0.25">
      <c r="A3262">
        <v>58686910</v>
      </c>
      <c r="B3262" t="s">
        <v>7656</v>
      </c>
      <c r="C3262" t="s">
        <v>7657</v>
      </c>
      <c r="D3262" t="s">
        <v>7658</v>
      </c>
      <c r="E3262">
        <v>3052445139</v>
      </c>
      <c r="F3262" t="s">
        <v>628</v>
      </c>
      <c r="G3262" t="s">
        <v>629</v>
      </c>
      <c r="I3262" t="s">
        <v>24</v>
      </c>
      <c r="J3262" s="13">
        <v>45995</v>
      </c>
      <c r="K3262" s="13">
        <v>46023</v>
      </c>
      <c r="L3262" t="s">
        <v>497</v>
      </c>
      <c r="M3262" t="s">
        <v>58</v>
      </c>
      <c r="N3262">
        <v>72440334</v>
      </c>
    </row>
    <row r="3263" spans="1:14" x14ac:dyDescent="0.25">
      <c r="A3263">
        <v>58686932</v>
      </c>
      <c r="B3263" t="s">
        <v>1872</v>
      </c>
      <c r="C3263" t="s">
        <v>7659</v>
      </c>
      <c r="D3263" t="s">
        <v>7660</v>
      </c>
      <c r="E3263">
        <v>3042030774</v>
      </c>
      <c r="F3263" t="s">
        <v>1142</v>
      </c>
      <c r="G3263" t="s">
        <v>1143</v>
      </c>
      <c r="I3263" t="s">
        <v>124</v>
      </c>
      <c r="J3263" s="13">
        <v>45995</v>
      </c>
      <c r="K3263" s="13">
        <v>46023</v>
      </c>
      <c r="L3263" t="s">
        <v>1188</v>
      </c>
      <c r="M3263" t="s">
        <v>56</v>
      </c>
      <c r="N3263">
        <v>72440341</v>
      </c>
    </row>
    <row r="3264" spans="1:14" x14ac:dyDescent="0.25">
      <c r="A3264">
        <v>58687546</v>
      </c>
      <c r="B3264" t="s">
        <v>2392</v>
      </c>
      <c r="C3264" t="s">
        <v>7661</v>
      </c>
      <c r="D3264" t="s">
        <v>7662</v>
      </c>
      <c r="E3264">
        <v>3188012951</v>
      </c>
      <c r="F3264" t="s">
        <v>1013</v>
      </c>
      <c r="G3264" t="s">
        <v>1014</v>
      </c>
      <c r="I3264" t="s">
        <v>43</v>
      </c>
      <c r="J3264" s="13">
        <v>45995</v>
      </c>
      <c r="K3264" s="13">
        <v>46023</v>
      </c>
      <c r="L3264" t="s">
        <v>612</v>
      </c>
      <c r="M3264" t="s">
        <v>419</v>
      </c>
      <c r="N3264">
        <v>72440650</v>
      </c>
    </row>
    <row r="3265" spans="1:14" x14ac:dyDescent="0.25">
      <c r="A3265">
        <v>58687869</v>
      </c>
      <c r="B3265" t="s">
        <v>4139</v>
      </c>
      <c r="C3265" t="s">
        <v>587</v>
      </c>
      <c r="D3265" t="s">
        <v>7663</v>
      </c>
      <c r="E3265">
        <v>2483721007</v>
      </c>
      <c r="F3265" t="s">
        <v>798</v>
      </c>
      <c r="G3265" t="s">
        <v>799</v>
      </c>
      <c r="I3265" t="s">
        <v>800</v>
      </c>
      <c r="J3265" s="13">
        <v>45995</v>
      </c>
      <c r="K3265" s="13">
        <v>46023</v>
      </c>
      <c r="L3265" t="s">
        <v>621</v>
      </c>
      <c r="M3265" t="s">
        <v>56</v>
      </c>
      <c r="N3265">
        <v>72440728</v>
      </c>
    </row>
    <row r="3266" spans="1:14" x14ac:dyDescent="0.25">
      <c r="A3266">
        <v>58688192</v>
      </c>
      <c r="B3266" t="s">
        <v>2128</v>
      </c>
      <c r="C3266" t="s">
        <v>5465</v>
      </c>
      <c r="D3266" t="s">
        <v>7664</v>
      </c>
      <c r="E3266">
        <v>8598670539</v>
      </c>
      <c r="F3266" t="s">
        <v>790</v>
      </c>
      <c r="G3266" t="s">
        <v>791</v>
      </c>
      <c r="I3266" t="s">
        <v>119</v>
      </c>
      <c r="J3266" s="13">
        <v>45995</v>
      </c>
      <c r="K3266" s="13">
        <v>46023</v>
      </c>
      <c r="L3266" t="s">
        <v>490</v>
      </c>
      <c r="M3266" t="s">
        <v>59</v>
      </c>
      <c r="N3266">
        <v>72440755</v>
      </c>
    </row>
    <row r="3267" spans="1:14" x14ac:dyDescent="0.25">
      <c r="A3267">
        <v>58688453</v>
      </c>
      <c r="B3267" t="s">
        <v>3488</v>
      </c>
      <c r="C3267" t="s">
        <v>7665</v>
      </c>
      <c r="D3267" t="s">
        <v>7666</v>
      </c>
      <c r="E3267">
        <v>6025566958</v>
      </c>
      <c r="F3267" t="s">
        <v>842</v>
      </c>
      <c r="G3267" t="s">
        <v>1213</v>
      </c>
      <c r="I3267" t="s">
        <v>1214</v>
      </c>
      <c r="J3267" s="13">
        <v>45995</v>
      </c>
      <c r="K3267" s="13">
        <v>46023</v>
      </c>
      <c r="L3267" t="s">
        <v>1179</v>
      </c>
      <c r="M3267" t="s">
        <v>54</v>
      </c>
      <c r="N3267">
        <v>72440858</v>
      </c>
    </row>
    <row r="3268" spans="1:14" x14ac:dyDescent="0.25">
      <c r="A3268">
        <v>58688468</v>
      </c>
      <c r="B3268" t="s">
        <v>5015</v>
      </c>
      <c r="C3268" t="s">
        <v>7667</v>
      </c>
      <c r="D3268" t="s">
        <v>7668</v>
      </c>
      <c r="F3268" t="s">
        <v>798</v>
      </c>
      <c r="G3268" t="s">
        <v>799</v>
      </c>
      <c r="I3268" t="s">
        <v>800</v>
      </c>
      <c r="J3268" s="13">
        <v>45995</v>
      </c>
      <c r="K3268" s="13">
        <v>46023</v>
      </c>
      <c r="L3268" t="s">
        <v>497</v>
      </c>
      <c r="M3268" t="s">
        <v>56</v>
      </c>
      <c r="N3268">
        <v>72440872</v>
      </c>
    </row>
    <row r="3269" spans="1:14" x14ac:dyDescent="0.25">
      <c r="A3269">
        <v>58689090</v>
      </c>
      <c r="B3269" t="s">
        <v>7669</v>
      </c>
      <c r="C3269" t="s">
        <v>5846</v>
      </c>
      <c r="D3269" t="s">
        <v>7670</v>
      </c>
      <c r="E3269">
        <v>9284466761</v>
      </c>
      <c r="F3269" t="s">
        <v>416</v>
      </c>
      <c r="G3269" t="s">
        <v>417</v>
      </c>
      <c r="I3269" t="s">
        <v>26</v>
      </c>
      <c r="J3269" s="13">
        <v>45995</v>
      </c>
      <c r="K3269" s="13">
        <v>46023</v>
      </c>
      <c r="L3269" t="s">
        <v>1179</v>
      </c>
      <c r="M3269" t="s">
        <v>54</v>
      </c>
      <c r="N3269">
        <v>72441306</v>
      </c>
    </row>
    <row r="3270" spans="1:14" x14ac:dyDescent="0.25">
      <c r="A3270">
        <v>58689480</v>
      </c>
      <c r="B3270" t="s">
        <v>7671</v>
      </c>
      <c r="C3270" t="s">
        <v>1702</v>
      </c>
      <c r="D3270" t="s">
        <v>7672</v>
      </c>
      <c r="E3270">
        <v>7133745207</v>
      </c>
      <c r="F3270" t="s">
        <v>649</v>
      </c>
      <c r="G3270" t="s">
        <v>650</v>
      </c>
      <c r="I3270" t="s">
        <v>28</v>
      </c>
      <c r="J3270" s="13">
        <v>45995</v>
      </c>
      <c r="K3270" s="13">
        <v>46023</v>
      </c>
      <c r="L3270" t="s">
        <v>444</v>
      </c>
      <c r="M3270" t="s">
        <v>59</v>
      </c>
      <c r="N3270">
        <v>72441494</v>
      </c>
    </row>
    <row r="3271" spans="1:14" x14ac:dyDescent="0.25">
      <c r="A3271">
        <v>58689523</v>
      </c>
      <c r="B3271" t="s">
        <v>1408</v>
      </c>
      <c r="C3271" t="s">
        <v>788</v>
      </c>
      <c r="D3271" t="s">
        <v>7673</v>
      </c>
      <c r="E3271">
        <v>2058358441</v>
      </c>
      <c r="F3271" t="s">
        <v>569</v>
      </c>
      <c r="G3271" t="s">
        <v>570</v>
      </c>
      <c r="I3271" t="s">
        <v>34</v>
      </c>
      <c r="J3271" s="13">
        <v>45995</v>
      </c>
      <c r="K3271" s="13">
        <v>46023</v>
      </c>
      <c r="L3271" t="s">
        <v>450</v>
      </c>
      <c r="M3271" t="s">
        <v>55</v>
      </c>
      <c r="N3271">
        <v>72441521</v>
      </c>
    </row>
    <row r="3272" spans="1:14" x14ac:dyDescent="0.25">
      <c r="A3272">
        <v>58695007</v>
      </c>
      <c r="B3272" t="s">
        <v>498</v>
      </c>
      <c r="C3272" t="s">
        <v>7674</v>
      </c>
      <c r="D3272" t="s">
        <v>7675</v>
      </c>
      <c r="E3272">
        <v>8045919357</v>
      </c>
      <c r="F3272" t="s">
        <v>928</v>
      </c>
      <c r="G3272" t="s">
        <v>929</v>
      </c>
      <c r="I3272" t="s">
        <v>30</v>
      </c>
      <c r="J3272" s="13">
        <v>45996</v>
      </c>
      <c r="K3272" s="13">
        <v>46023</v>
      </c>
      <c r="L3272" t="s">
        <v>454</v>
      </c>
      <c r="M3272" t="s">
        <v>55</v>
      </c>
      <c r="N3272">
        <v>72445537</v>
      </c>
    </row>
    <row r="3273" spans="1:14" x14ac:dyDescent="0.25">
      <c r="A3273">
        <v>58695742</v>
      </c>
      <c r="B3273" t="s">
        <v>1527</v>
      </c>
      <c r="C3273" t="s">
        <v>2219</v>
      </c>
      <c r="D3273" t="s">
        <v>7676</v>
      </c>
      <c r="E3273">
        <v>6026902167</v>
      </c>
      <c r="F3273" t="s">
        <v>4853</v>
      </c>
      <c r="G3273" t="s">
        <v>5017</v>
      </c>
      <c r="I3273" t="s">
        <v>5018</v>
      </c>
      <c r="J3273" s="13">
        <v>45996</v>
      </c>
      <c r="K3273" s="13">
        <v>46023</v>
      </c>
      <c r="L3273" t="s">
        <v>1179</v>
      </c>
      <c r="M3273" t="s">
        <v>55</v>
      </c>
      <c r="N3273">
        <v>72446986</v>
      </c>
    </row>
    <row r="3274" spans="1:14" x14ac:dyDescent="0.25">
      <c r="A3274">
        <v>58695752</v>
      </c>
      <c r="B3274" t="s">
        <v>5075</v>
      </c>
      <c r="C3274" t="s">
        <v>4853</v>
      </c>
      <c r="D3274" t="s">
        <v>7677</v>
      </c>
      <c r="E3274">
        <v>2563003445</v>
      </c>
      <c r="F3274" t="s">
        <v>474</v>
      </c>
      <c r="G3274" t="s">
        <v>475</v>
      </c>
      <c r="I3274" t="s">
        <v>132</v>
      </c>
      <c r="J3274" s="13">
        <v>45996</v>
      </c>
      <c r="K3274" s="13">
        <v>46023</v>
      </c>
      <c r="L3274" t="s">
        <v>450</v>
      </c>
      <c r="M3274" t="s">
        <v>60</v>
      </c>
      <c r="N3274">
        <v>72446991</v>
      </c>
    </row>
    <row r="3275" spans="1:14" x14ac:dyDescent="0.25">
      <c r="A3275">
        <v>58695768</v>
      </c>
      <c r="B3275" t="s">
        <v>7678</v>
      </c>
      <c r="C3275" t="s">
        <v>7679</v>
      </c>
      <c r="D3275" t="s">
        <v>7680</v>
      </c>
      <c r="E3275">
        <v>9416237322</v>
      </c>
      <c r="F3275" t="s">
        <v>1067</v>
      </c>
      <c r="G3275" t="s">
        <v>1068</v>
      </c>
      <c r="I3275" t="s">
        <v>35</v>
      </c>
      <c r="J3275" s="13">
        <v>45996</v>
      </c>
      <c r="K3275" s="13">
        <v>46023</v>
      </c>
      <c r="L3275" t="s">
        <v>497</v>
      </c>
      <c r="M3275" t="s">
        <v>56</v>
      </c>
      <c r="N3275">
        <v>72447000</v>
      </c>
    </row>
    <row r="3276" spans="1:14" x14ac:dyDescent="0.25">
      <c r="A3276">
        <v>58695802</v>
      </c>
      <c r="B3276" t="s">
        <v>548</v>
      </c>
      <c r="C3276" t="s">
        <v>7681</v>
      </c>
      <c r="D3276" t="s">
        <v>7682</v>
      </c>
      <c r="E3276">
        <v>8036073505</v>
      </c>
      <c r="F3276" t="s">
        <v>842</v>
      </c>
      <c r="G3276" t="s">
        <v>843</v>
      </c>
      <c r="I3276" t="s">
        <v>98</v>
      </c>
      <c r="J3276" s="13">
        <v>45996</v>
      </c>
      <c r="K3276" s="13">
        <v>46023</v>
      </c>
      <c r="L3276" t="s">
        <v>533</v>
      </c>
      <c r="M3276" t="s">
        <v>56</v>
      </c>
      <c r="N3276">
        <v>72447031</v>
      </c>
    </row>
    <row r="3277" spans="1:14" x14ac:dyDescent="0.25">
      <c r="A3277">
        <v>58696727</v>
      </c>
      <c r="B3277" t="s">
        <v>685</v>
      </c>
      <c r="C3277" t="s">
        <v>1941</v>
      </c>
      <c r="D3277" t="s">
        <v>7683</v>
      </c>
      <c r="F3277" t="s">
        <v>423</v>
      </c>
      <c r="G3277" t="s">
        <v>424</v>
      </c>
      <c r="I3277" t="s">
        <v>46</v>
      </c>
      <c r="J3277" s="13">
        <v>45996</v>
      </c>
      <c r="K3277" s="13">
        <v>46023</v>
      </c>
      <c r="L3277" t="s">
        <v>497</v>
      </c>
      <c r="M3277" t="s">
        <v>56</v>
      </c>
      <c r="N3277">
        <v>72447208</v>
      </c>
    </row>
    <row r="3278" spans="1:14" x14ac:dyDescent="0.25">
      <c r="A3278">
        <v>58696259</v>
      </c>
      <c r="B3278" t="s">
        <v>7684</v>
      </c>
      <c r="C3278" t="s">
        <v>1908</v>
      </c>
      <c r="D3278" t="s">
        <v>7685</v>
      </c>
      <c r="E3278">
        <v>7707804928</v>
      </c>
      <c r="F3278" t="s">
        <v>828</v>
      </c>
      <c r="G3278" t="s">
        <v>1148</v>
      </c>
      <c r="I3278" t="s">
        <v>17</v>
      </c>
      <c r="J3278" s="13">
        <v>45996</v>
      </c>
      <c r="K3278" s="13">
        <v>46023</v>
      </c>
      <c r="L3278" t="s">
        <v>621</v>
      </c>
      <c r="M3278" t="s">
        <v>60</v>
      </c>
      <c r="N3278">
        <v>72447299</v>
      </c>
    </row>
    <row r="3279" spans="1:14" x14ac:dyDescent="0.25">
      <c r="A3279">
        <v>58696413</v>
      </c>
      <c r="B3279" t="s">
        <v>2275</v>
      </c>
      <c r="C3279" t="s">
        <v>7686</v>
      </c>
      <c r="D3279" t="s">
        <v>7687</v>
      </c>
      <c r="E3279">
        <v>2074139468</v>
      </c>
      <c r="F3279" t="s">
        <v>537</v>
      </c>
      <c r="G3279" t="s">
        <v>538</v>
      </c>
      <c r="I3279" t="s">
        <v>49</v>
      </c>
      <c r="J3279" s="13">
        <v>45996</v>
      </c>
      <c r="K3279" s="13">
        <v>46023</v>
      </c>
      <c r="L3279" t="s">
        <v>941</v>
      </c>
      <c r="M3279" t="s">
        <v>58</v>
      </c>
      <c r="N3279">
        <v>72447395</v>
      </c>
    </row>
    <row r="3280" spans="1:14" x14ac:dyDescent="0.25">
      <c r="A3280">
        <v>58696808</v>
      </c>
      <c r="B3280" t="s">
        <v>3615</v>
      </c>
      <c r="C3280" t="s">
        <v>7688</v>
      </c>
      <c r="D3280" t="s">
        <v>7689</v>
      </c>
      <c r="E3280">
        <v>8137701815</v>
      </c>
      <c r="F3280" t="s">
        <v>592</v>
      </c>
      <c r="G3280" t="s">
        <v>593</v>
      </c>
      <c r="I3280" t="s">
        <v>115</v>
      </c>
      <c r="J3280" s="13">
        <v>45996</v>
      </c>
      <c r="K3280" s="13">
        <v>46023</v>
      </c>
      <c r="L3280" t="s">
        <v>497</v>
      </c>
      <c r="M3280" t="s">
        <v>56</v>
      </c>
      <c r="N3280">
        <v>72447662</v>
      </c>
    </row>
    <row r="3281" spans="1:14" x14ac:dyDescent="0.25">
      <c r="A3281">
        <v>58696891</v>
      </c>
      <c r="B3281" t="s">
        <v>7231</v>
      </c>
      <c r="C3281" t="s">
        <v>2521</v>
      </c>
      <c r="D3281" t="s">
        <v>7690</v>
      </c>
      <c r="E3281">
        <v>9545495643</v>
      </c>
      <c r="F3281" t="s">
        <v>775</v>
      </c>
      <c r="G3281" t="s">
        <v>776</v>
      </c>
      <c r="I3281" t="s">
        <v>22</v>
      </c>
      <c r="J3281" s="13">
        <v>45996</v>
      </c>
      <c r="K3281" s="13">
        <v>46023</v>
      </c>
      <c r="L3281" t="s">
        <v>497</v>
      </c>
      <c r="M3281" t="s">
        <v>56</v>
      </c>
      <c r="N3281">
        <v>72447711</v>
      </c>
    </row>
    <row r="3282" spans="1:14" x14ac:dyDescent="0.25">
      <c r="A3282">
        <v>58697525</v>
      </c>
      <c r="B3282" t="s">
        <v>7691</v>
      </c>
      <c r="C3282" t="s">
        <v>7692</v>
      </c>
      <c r="D3282" t="s">
        <v>7693</v>
      </c>
      <c r="E3282">
        <v>3093405950</v>
      </c>
      <c r="F3282" t="s">
        <v>705</v>
      </c>
      <c r="G3282" t="s">
        <v>706</v>
      </c>
      <c r="I3282" t="s">
        <v>12</v>
      </c>
      <c r="J3282" s="13">
        <v>45996</v>
      </c>
      <c r="K3282" s="13">
        <v>46023</v>
      </c>
      <c r="L3282" t="s">
        <v>470</v>
      </c>
      <c r="M3282" t="s">
        <v>61</v>
      </c>
      <c r="N3282">
        <v>72448077</v>
      </c>
    </row>
    <row r="3283" spans="1:14" x14ac:dyDescent="0.25">
      <c r="A3283">
        <v>58697567</v>
      </c>
      <c r="B3283" t="s">
        <v>445</v>
      </c>
      <c r="C3283" t="s">
        <v>1873</v>
      </c>
      <c r="D3283" t="s">
        <v>7694</v>
      </c>
      <c r="E3283">
        <v>3343541805</v>
      </c>
      <c r="F3283" t="s">
        <v>1013</v>
      </c>
      <c r="G3283" t="s">
        <v>1014</v>
      </c>
      <c r="I3283" t="s">
        <v>43</v>
      </c>
      <c r="J3283" s="13">
        <v>45996</v>
      </c>
      <c r="K3283" s="13">
        <v>46023</v>
      </c>
      <c r="L3283" t="s">
        <v>450</v>
      </c>
      <c r="M3283" t="s">
        <v>56</v>
      </c>
      <c r="N3283">
        <v>72448105</v>
      </c>
    </row>
    <row r="3284" spans="1:14" x14ac:dyDescent="0.25">
      <c r="A3284">
        <v>58698512</v>
      </c>
      <c r="B3284" t="s">
        <v>5362</v>
      </c>
      <c r="C3284" t="s">
        <v>7695</v>
      </c>
      <c r="D3284" t="s">
        <v>7696</v>
      </c>
      <c r="E3284">
        <v>2253244086</v>
      </c>
      <c r="F3284" t="s">
        <v>815</v>
      </c>
      <c r="G3284" t="s">
        <v>816</v>
      </c>
      <c r="I3284" t="s">
        <v>23</v>
      </c>
      <c r="J3284" s="13">
        <v>45996</v>
      </c>
      <c r="K3284" s="13">
        <v>46023</v>
      </c>
      <c r="L3284" t="s">
        <v>612</v>
      </c>
      <c r="M3284" t="s">
        <v>58</v>
      </c>
      <c r="N3284">
        <v>72451216</v>
      </c>
    </row>
    <row r="3285" spans="1:14" x14ac:dyDescent="0.25">
      <c r="A3285">
        <v>58699307</v>
      </c>
      <c r="B3285" t="s">
        <v>7697</v>
      </c>
      <c r="C3285" t="s">
        <v>1177</v>
      </c>
      <c r="D3285" t="s">
        <v>7698</v>
      </c>
      <c r="E3285" t="s">
        <v>7699</v>
      </c>
      <c r="F3285" t="s">
        <v>928</v>
      </c>
      <c r="G3285" t="s">
        <v>929</v>
      </c>
      <c r="I3285" t="s">
        <v>30</v>
      </c>
      <c r="J3285" s="13">
        <v>45996</v>
      </c>
      <c r="K3285" s="13">
        <v>46023</v>
      </c>
      <c r="L3285" t="s">
        <v>497</v>
      </c>
      <c r="M3285" t="s">
        <v>56</v>
      </c>
      <c r="N3285">
        <v>72452432</v>
      </c>
    </row>
    <row r="3286" spans="1:14" x14ac:dyDescent="0.25">
      <c r="A3286">
        <v>58699766</v>
      </c>
      <c r="B3286" t="s">
        <v>2311</v>
      </c>
      <c r="C3286" t="s">
        <v>7700</v>
      </c>
      <c r="D3286" t="s">
        <v>7701</v>
      </c>
      <c r="E3286">
        <v>8137538138</v>
      </c>
      <c r="F3286" t="s">
        <v>462</v>
      </c>
      <c r="G3286" t="s">
        <v>463</v>
      </c>
      <c r="I3286" t="s">
        <v>39</v>
      </c>
      <c r="J3286" s="13">
        <v>45996</v>
      </c>
      <c r="K3286" s="13">
        <v>46023</v>
      </c>
      <c r="L3286" t="s">
        <v>497</v>
      </c>
      <c r="M3286" t="s">
        <v>56</v>
      </c>
      <c r="N3286">
        <v>72454705</v>
      </c>
    </row>
    <row r="3287" spans="1:14" x14ac:dyDescent="0.25">
      <c r="A3287">
        <v>58699793</v>
      </c>
      <c r="B3287" t="s">
        <v>522</v>
      </c>
      <c r="C3287" t="s">
        <v>3553</v>
      </c>
      <c r="D3287" t="s">
        <v>7702</v>
      </c>
      <c r="E3287">
        <v>3183727782</v>
      </c>
      <c r="F3287" t="s">
        <v>798</v>
      </c>
      <c r="G3287" t="s">
        <v>799</v>
      </c>
      <c r="I3287" t="s">
        <v>800</v>
      </c>
      <c r="J3287" s="13">
        <v>45996</v>
      </c>
      <c r="K3287" s="13">
        <v>46023</v>
      </c>
      <c r="L3287" t="s">
        <v>612</v>
      </c>
      <c r="M3287" t="s">
        <v>56</v>
      </c>
      <c r="N3287">
        <v>72454758</v>
      </c>
    </row>
    <row r="3288" spans="1:14" x14ac:dyDescent="0.25">
      <c r="A3288">
        <v>58700025</v>
      </c>
      <c r="B3288" t="s">
        <v>718</v>
      </c>
      <c r="C3288" t="s">
        <v>7703</v>
      </c>
      <c r="D3288" t="s">
        <v>7704</v>
      </c>
      <c r="E3288">
        <v>7207517304</v>
      </c>
      <c r="F3288" t="s">
        <v>448</v>
      </c>
      <c r="G3288" t="s">
        <v>449</v>
      </c>
      <c r="I3288" t="s">
        <v>31</v>
      </c>
      <c r="J3288" s="13">
        <v>45996</v>
      </c>
      <c r="K3288" s="13">
        <v>46023</v>
      </c>
      <c r="L3288" t="s">
        <v>539</v>
      </c>
      <c r="M3288" t="s">
        <v>56</v>
      </c>
      <c r="N3288">
        <v>72456106</v>
      </c>
    </row>
    <row r="3289" spans="1:14" x14ac:dyDescent="0.25">
      <c r="A3289">
        <v>58700307</v>
      </c>
      <c r="B3289" t="s">
        <v>1038</v>
      </c>
      <c r="C3289" t="s">
        <v>7242</v>
      </c>
      <c r="D3289" t="s">
        <v>7705</v>
      </c>
      <c r="E3289">
        <v>9285086946</v>
      </c>
      <c r="F3289" t="s">
        <v>551</v>
      </c>
      <c r="G3289" t="s">
        <v>552</v>
      </c>
      <c r="I3289" t="s">
        <v>42</v>
      </c>
      <c r="J3289" s="13">
        <v>45996</v>
      </c>
      <c r="K3289" s="13">
        <v>46023</v>
      </c>
      <c r="L3289" t="s">
        <v>1179</v>
      </c>
      <c r="M3289" t="s">
        <v>56</v>
      </c>
      <c r="N3289">
        <v>72456624</v>
      </c>
    </row>
    <row r="3290" spans="1:14" x14ac:dyDescent="0.25">
      <c r="A3290">
        <v>58700381</v>
      </c>
      <c r="B3290" t="s">
        <v>7706</v>
      </c>
      <c r="C3290" t="s">
        <v>1475</v>
      </c>
      <c r="D3290" t="s">
        <v>7707</v>
      </c>
      <c r="E3290">
        <v>7204005032</v>
      </c>
      <c r="F3290" t="s">
        <v>790</v>
      </c>
      <c r="G3290" t="s">
        <v>791</v>
      </c>
      <c r="I3290" t="s">
        <v>119</v>
      </c>
      <c r="J3290" s="13">
        <v>45996</v>
      </c>
      <c r="K3290" s="13">
        <v>46023</v>
      </c>
      <c r="L3290" t="s">
        <v>539</v>
      </c>
      <c r="M3290" t="s">
        <v>419</v>
      </c>
      <c r="N3290">
        <v>72457638</v>
      </c>
    </row>
    <row r="3291" spans="1:14" x14ac:dyDescent="0.25">
      <c r="A3291">
        <v>58700366</v>
      </c>
      <c r="B3291" t="s">
        <v>7708</v>
      </c>
      <c r="C3291" t="s">
        <v>7709</v>
      </c>
      <c r="D3291" t="s">
        <v>7710</v>
      </c>
      <c r="E3291">
        <v>9545159205</v>
      </c>
      <c r="F3291" t="s">
        <v>1142</v>
      </c>
      <c r="G3291" t="s">
        <v>1143</v>
      </c>
      <c r="I3291" t="s">
        <v>124</v>
      </c>
      <c r="J3291" s="13">
        <v>45996</v>
      </c>
      <c r="K3291" s="13">
        <v>46023</v>
      </c>
      <c r="L3291" t="s">
        <v>497</v>
      </c>
      <c r="M3291" t="s">
        <v>56</v>
      </c>
      <c r="N3291">
        <v>72457692</v>
      </c>
    </row>
    <row r="3292" spans="1:14" x14ac:dyDescent="0.25">
      <c r="A3292">
        <v>58700731</v>
      </c>
      <c r="B3292" t="s">
        <v>1160</v>
      </c>
      <c r="C3292" t="s">
        <v>1177</v>
      </c>
      <c r="D3292" t="s">
        <v>7711</v>
      </c>
      <c r="E3292">
        <v>2602431958</v>
      </c>
      <c r="F3292" t="s">
        <v>928</v>
      </c>
      <c r="G3292" t="s">
        <v>929</v>
      </c>
      <c r="I3292" t="s">
        <v>30</v>
      </c>
      <c r="J3292" s="13">
        <v>45996</v>
      </c>
      <c r="K3292" s="13">
        <v>46023</v>
      </c>
      <c r="L3292" t="s">
        <v>497</v>
      </c>
      <c r="M3292" t="s">
        <v>58</v>
      </c>
      <c r="N3292">
        <v>72458119</v>
      </c>
    </row>
    <row r="3293" spans="1:14" x14ac:dyDescent="0.25">
      <c r="A3293">
        <v>58701123</v>
      </c>
      <c r="B3293" t="s">
        <v>548</v>
      </c>
      <c r="C3293" t="s">
        <v>2614</v>
      </c>
      <c r="D3293" t="s">
        <v>7712</v>
      </c>
      <c r="E3293">
        <v>8708074192</v>
      </c>
      <c r="F3293" t="s">
        <v>957</v>
      </c>
      <c r="G3293" t="s">
        <v>958</v>
      </c>
      <c r="H3293" t="s">
        <v>959</v>
      </c>
      <c r="I3293" t="s">
        <v>960</v>
      </c>
      <c r="J3293" s="13">
        <v>45996</v>
      </c>
      <c r="K3293" s="13">
        <v>46023</v>
      </c>
      <c r="L3293" t="s">
        <v>553</v>
      </c>
      <c r="M3293" t="s">
        <v>56</v>
      </c>
      <c r="N3293">
        <v>72458263</v>
      </c>
    </row>
    <row r="3294" spans="1:14" x14ac:dyDescent="0.25">
      <c r="A3294">
        <v>58701181</v>
      </c>
      <c r="B3294" t="s">
        <v>7713</v>
      </c>
      <c r="C3294" t="s">
        <v>7714</v>
      </c>
      <c r="D3294" t="s">
        <v>7715</v>
      </c>
      <c r="E3294">
        <v>9417631172</v>
      </c>
      <c r="F3294" t="s">
        <v>615</v>
      </c>
      <c r="G3294" t="s">
        <v>616</v>
      </c>
      <c r="I3294" t="s">
        <v>617</v>
      </c>
      <c r="J3294" s="13">
        <v>45996</v>
      </c>
      <c r="K3294" s="13">
        <v>46023</v>
      </c>
      <c r="L3294" t="s">
        <v>497</v>
      </c>
      <c r="M3294" t="s">
        <v>56</v>
      </c>
      <c r="N3294">
        <v>72458491</v>
      </c>
    </row>
    <row r="3295" spans="1:14" x14ac:dyDescent="0.25">
      <c r="A3295">
        <v>58701381</v>
      </c>
      <c r="B3295" t="s">
        <v>743</v>
      </c>
      <c r="C3295" t="s">
        <v>7716</v>
      </c>
      <c r="D3295" t="s">
        <v>7717</v>
      </c>
      <c r="E3295">
        <v>6024758587</v>
      </c>
      <c r="F3295" t="s">
        <v>780</v>
      </c>
      <c r="G3295" t="s">
        <v>781</v>
      </c>
      <c r="I3295" t="s">
        <v>20</v>
      </c>
      <c r="J3295" s="13">
        <v>45996</v>
      </c>
      <c r="K3295" s="13">
        <v>46023</v>
      </c>
      <c r="L3295" t="s">
        <v>1179</v>
      </c>
      <c r="M3295" t="s">
        <v>55</v>
      </c>
      <c r="N3295">
        <v>72459447</v>
      </c>
    </row>
    <row r="3296" spans="1:14" x14ac:dyDescent="0.25">
      <c r="A3296">
        <v>58701501</v>
      </c>
      <c r="B3296" t="s">
        <v>517</v>
      </c>
      <c r="C3296" t="s">
        <v>1167</v>
      </c>
      <c r="D3296" t="s">
        <v>7718</v>
      </c>
      <c r="E3296">
        <v>7204289395</v>
      </c>
      <c r="F3296" t="s">
        <v>828</v>
      </c>
      <c r="G3296" t="s">
        <v>1148</v>
      </c>
      <c r="I3296" t="s">
        <v>17</v>
      </c>
      <c r="J3296" s="13">
        <v>45996</v>
      </c>
      <c r="K3296" s="13">
        <v>46054</v>
      </c>
      <c r="L3296" t="s">
        <v>539</v>
      </c>
      <c r="M3296" t="s">
        <v>59</v>
      </c>
      <c r="N3296">
        <v>72460169</v>
      </c>
    </row>
    <row r="3297" spans="1:14" x14ac:dyDescent="0.25">
      <c r="A3297">
        <v>58702507</v>
      </c>
      <c r="B3297" t="s">
        <v>7719</v>
      </c>
      <c r="C3297" t="s">
        <v>5913</v>
      </c>
      <c r="D3297" t="s">
        <v>7720</v>
      </c>
      <c r="E3297">
        <v>7274220295</v>
      </c>
      <c r="F3297" t="s">
        <v>423</v>
      </c>
      <c r="G3297" t="s">
        <v>424</v>
      </c>
      <c r="I3297" t="s">
        <v>46</v>
      </c>
      <c r="J3297" s="13">
        <v>45996</v>
      </c>
      <c r="K3297" s="13">
        <v>46023</v>
      </c>
      <c r="L3297" t="s">
        <v>497</v>
      </c>
      <c r="M3297" t="s">
        <v>56</v>
      </c>
      <c r="N3297">
        <v>72462248</v>
      </c>
    </row>
    <row r="3298" spans="1:14" x14ac:dyDescent="0.25">
      <c r="A3298">
        <v>58702116</v>
      </c>
      <c r="B3298" t="s">
        <v>1515</v>
      </c>
      <c r="C3298" t="s">
        <v>7721</v>
      </c>
      <c r="D3298" t="s">
        <v>7722</v>
      </c>
      <c r="E3298">
        <v>7793488300</v>
      </c>
      <c r="F3298" t="s">
        <v>649</v>
      </c>
      <c r="G3298" t="s">
        <v>650</v>
      </c>
      <c r="I3298" t="s">
        <v>28</v>
      </c>
      <c r="J3298" s="13">
        <v>45996</v>
      </c>
      <c r="K3298" s="13">
        <v>46023</v>
      </c>
      <c r="L3298" t="s">
        <v>470</v>
      </c>
      <c r="M3298" t="s">
        <v>56</v>
      </c>
      <c r="N3298">
        <v>72462520</v>
      </c>
    </row>
    <row r="3299" spans="1:14" x14ac:dyDescent="0.25">
      <c r="A3299">
        <v>58702215</v>
      </c>
      <c r="B3299" t="s">
        <v>7723</v>
      </c>
      <c r="C3299" t="s">
        <v>7724</v>
      </c>
      <c r="D3299" t="s">
        <v>7725</v>
      </c>
      <c r="E3299">
        <v>7204769820</v>
      </c>
      <c r="F3299" t="s">
        <v>537</v>
      </c>
      <c r="G3299" t="s">
        <v>538</v>
      </c>
      <c r="I3299" t="s">
        <v>49</v>
      </c>
      <c r="J3299" s="13">
        <v>45996</v>
      </c>
      <c r="K3299" s="13">
        <v>46023</v>
      </c>
      <c r="L3299" t="s">
        <v>539</v>
      </c>
      <c r="M3299" t="s">
        <v>56</v>
      </c>
      <c r="N3299">
        <v>72462856</v>
      </c>
    </row>
    <row r="3300" spans="1:14" x14ac:dyDescent="0.25">
      <c r="A3300">
        <v>58702454</v>
      </c>
      <c r="B3300" t="s">
        <v>1991</v>
      </c>
      <c r="C3300" t="s">
        <v>7726</v>
      </c>
      <c r="D3300" t="s">
        <v>7727</v>
      </c>
      <c r="E3300">
        <v>5209129577</v>
      </c>
      <c r="F3300" t="s">
        <v>842</v>
      </c>
      <c r="G3300" t="s">
        <v>1213</v>
      </c>
      <c r="I3300" t="s">
        <v>1214</v>
      </c>
      <c r="J3300" s="13">
        <v>45996</v>
      </c>
      <c r="K3300" s="13">
        <v>46023</v>
      </c>
      <c r="L3300" t="s">
        <v>1179</v>
      </c>
      <c r="M3300" t="s">
        <v>54</v>
      </c>
      <c r="N3300">
        <v>72463985</v>
      </c>
    </row>
    <row r="3301" spans="1:14" x14ac:dyDescent="0.25">
      <c r="A3301">
        <v>58702756</v>
      </c>
      <c r="B3301" t="s">
        <v>622</v>
      </c>
      <c r="C3301" t="s">
        <v>2894</v>
      </c>
      <c r="D3301" t="s">
        <v>7728</v>
      </c>
      <c r="E3301">
        <v>6233290786</v>
      </c>
      <c r="F3301" t="s">
        <v>4853</v>
      </c>
      <c r="G3301" t="s">
        <v>5017</v>
      </c>
      <c r="I3301" t="s">
        <v>5018</v>
      </c>
      <c r="J3301" s="13">
        <v>45996</v>
      </c>
      <c r="K3301" s="13">
        <v>46023</v>
      </c>
      <c r="L3301" t="s">
        <v>1179</v>
      </c>
      <c r="M3301" t="s">
        <v>61</v>
      </c>
      <c r="N3301">
        <v>72465150</v>
      </c>
    </row>
    <row r="3302" spans="1:14" x14ac:dyDescent="0.25">
      <c r="A3302">
        <v>58703245</v>
      </c>
      <c r="B3302" t="s">
        <v>7729</v>
      </c>
      <c r="C3302" t="s">
        <v>7709</v>
      </c>
      <c r="D3302" t="s">
        <v>7730</v>
      </c>
      <c r="E3302" t="s">
        <v>7731</v>
      </c>
      <c r="F3302" t="s">
        <v>1142</v>
      </c>
      <c r="G3302" t="s">
        <v>1143</v>
      </c>
      <c r="I3302" t="s">
        <v>124</v>
      </c>
      <c r="J3302" s="13">
        <v>45996</v>
      </c>
      <c r="K3302" s="13">
        <v>46023</v>
      </c>
      <c r="L3302" t="s">
        <v>497</v>
      </c>
      <c r="M3302" t="s">
        <v>56</v>
      </c>
      <c r="N3302">
        <v>72466813</v>
      </c>
    </row>
    <row r="3303" spans="1:14" x14ac:dyDescent="0.25">
      <c r="A3303">
        <v>58703356</v>
      </c>
      <c r="B3303" t="s">
        <v>7732</v>
      </c>
      <c r="C3303" t="s">
        <v>2077</v>
      </c>
      <c r="D3303" t="s">
        <v>7733</v>
      </c>
      <c r="E3303">
        <v>3527403849</v>
      </c>
      <c r="F3303" t="s">
        <v>462</v>
      </c>
      <c r="G3303" t="s">
        <v>463</v>
      </c>
      <c r="I3303" t="s">
        <v>39</v>
      </c>
      <c r="J3303" s="13">
        <v>45996</v>
      </c>
      <c r="K3303" s="13">
        <v>46023</v>
      </c>
      <c r="L3303" t="s">
        <v>497</v>
      </c>
      <c r="M3303" t="s">
        <v>56</v>
      </c>
      <c r="N3303">
        <v>72466875</v>
      </c>
    </row>
    <row r="3304" spans="1:14" x14ac:dyDescent="0.25">
      <c r="A3304">
        <v>58703375</v>
      </c>
      <c r="B3304" t="s">
        <v>522</v>
      </c>
      <c r="C3304" t="s">
        <v>4295</v>
      </c>
      <c r="D3304" t="s">
        <v>7734</v>
      </c>
      <c r="E3304">
        <v>7702765856</v>
      </c>
      <c r="F3304" t="s">
        <v>842</v>
      </c>
      <c r="G3304" t="s">
        <v>843</v>
      </c>
      <c r="I3304" t="s">
        <v>98</v>
      </c>
      <c r="J3304" s="13">
        <v>45996</v>
      </c>
      <c r="K3304" s="13">
        <v>46023</v>
      </c>
      <c r="L3304" t="s">
        <v>621</v>
      </c>
      <c r="M3304" t="s">
        <v>59</v>
      </c>
      <c r="N3304">
        <v>72466887</v>
      </c>
    </row>
    <row r="3305" spans="1:14" x14ac:dyDescent="0.25">
      <c r="A3305">
        <v>58703377</v>
      </c>
      <c r="B3305" t="s">
        <v>4497</v>
      </c>
      <c r="C3305" t="s">
        <v>7735</v>
      </c>
      <c r="D3305" t="s">
        <v>7736</v>
      </c>
      <c r="E3305">
        <v>5206127684</v>
      </c>
      <c r="F3305" t="s">
        <v>705</v>
      </c>
      <c r="G3305" t="s">
        <v>706</v>
      </c>
      <c r="I3305" t="s">
        <v>12</v>
      </c>
      <c r="J3305" s="13">
        <v>45996</v>
      </c>
      <c r="K3305" s="13">
        <v>46023</v>
      </c>
      <c r="L3305" t="s">
        <v>1179</v>
      </c>
      <c r="M3305" t="s">
        <v>55</v>
      </c>
      <c r="N3305">
        <v>72466891</v>
      </c>
    </row>
    <row r="3306" spans="1:14" x14ac:dyDescent="0.25">
      <c r="A3306">
        <v>58704215</v>
      </c>
      <c r="B3306" t="s">
        <v>3833</v>
      </c>
      <c r="C3306" t="s">
        <v>7737</v>
      </c>
      <c r="D3306" t="s">
        <v>7738</v>
      </c>
      <c r="E3306">
        <v>8134849734</v>
      </c>
      <c r="F3306" t="s">
        <v>775</v>
      </c>
      <c r="G3306" t="s">
        <v>776</v>
      </c>
      <c r="I3306" t="s">
        <v>22</v>
      </c>
      <c r="J3306" s="13">
        <v>45996</v>
      </c>
      <c r="K3306" s="13">
        <v>46023</v>
      </c>
      <c r="L3306" t="s">
        <v>497</v>
      </c>
      <c r="M3306" t="s">
        <v>56</v>
      </c>
      <c r="N3306">
        <v>72467323</v>
      </c>
    </row>
    <row r="3307" spans="1:14" x14ac:dyDescent="0.25">
      <c r="A3307">
        <v>58705211</v>
      </c>
      <c r="B3307" t="s">
        <v>5329</v>
      </c>
      <c r="C3307" t="s">
        <v>7029</v>
      </c>
      <c r="D3307" t="s">
        <v>7739</v>
      </c>
      <c r="E3307">
        <v>7797023903</v>
      </c>
      <c r="F3307" t="s">
        <v>1147</v>
      </c>
      <c r="G3307" t="s">
        <v>1148</v>
      </c>
      <c r="I3307" t="s">
        <v>41</v>
      </c>
      <c r="J3307" s="13">
        <v>45996</v>
      </c>
      <c r="K3307" s="13">
        <v>46023</v>
      </c>
      <c r="L3307" t="s">
        <v>470</v>
      </c>
      <c r="M3307" t="s">
        <v>62</v>
      </c>
      <c r="N3307">
        <v>72467916</v>
      </c>
    </row>
    <row r="3308" spans="1:14" x14ac:dyDescent="0.25">
      <c r="A3308">
        <v>58705336</v>
      </c>
      <c r="B3308" t="s">
        <v>633</v>
      </c>
      <c r="C3308" t="s">
        <v>7740</v>
      </c>
      <c r="D3308" t="s">
        <v>7741</v>
      </c>
      <c r="E3308">
        <v>9045373197</v>
      </c>
      <c r="F3308" t="s">
        <v>6098</v>
      </c>
      <c r="G3308" t="s">
        <v>1213</v>
      </c>
      <c r="I3308" t="s">
        <v>21</v>
      </c>
      <c r="J3308" s="13">
        <v>45996</v>
      </c>
      <c r="K3308" s="13">
        <v>46023</v>
      </c>
      <c r="L3308" t="s">
        <v>497</v>
      </c>
      <c r="M3308" t="s">
        <v>56</v>
      </c>
      <c r="N3308">
        <v>72467973</v>
      </c>
    </row>
    <row r="3309" spans="1:14" x14ac:dyDescent="0.25">
      <c r="A3309">
        <v>58705667</v>
      </c>
      <c r="B3309" t="s">
        <v>5091</v>
      </c>
      <c r="C3309" t="s">
        <v>1300</v>
      </c>
      <c r="D3309" t="s">
        <v>7742</v>
      </c>
      <c r="E3309">
        <v>6232410519</v>
      </c>
      <c r="F3309" t="s">
        <v>1345</v>
      </c>
      <c r="G3309" t="s">
        <v>799</v>
      </c>
      <c r="I3309" t="s">
        <v>47</v>
      </c>
      <c r="J3309" s="13">
        <v>45996</v>
      </c>
      <c r="K3309" s="13">
        <v>46023</v>
      </c>
      <c r="L3309" t="s">
        <v>1179</v>
      </c>
      <c r="M3309" t="s">
        <v>59</v>
      </c>
      <c r="N3309">
        <v>72468164</v>
      </c>
    </row>
    <row r="3310" spans="1:14" x14ac:dyDescent="0.25">
      <c r="A3310">
        <v>58705783</v>
      </c>
      <c r="B3310" t="s">
        <v>7743</v>
      </c>
      <c r="C3310" t="s">
        <v>4800</v>
      </c>
      <c r="D3310" t="s">
        <v>7744</v>
      </c>
      <c r="E3310">
        <v>3349600004</v>
      </c>
      <c r="F3310" t="s">
        <v>438</v>
      </c>
      <c r="G3310" t="s">
        <v>439</v>
      </c>
      <c r="I3310" t="s">
        <v>38</v>
      </c>
      <c r="J3310" s="13">
        <v>45996</v>
      </c>
      <c r="K3310" s="13">
        <v>46023</v>
      </c>
      <c r="L3310" t="s">
        <v>450</v>
      </c>
      <c r="M3310" t="s">
        <v>58</v>
      </c>
      <c r="N3310">
        <v>72468187</v>
      </c>
    </row>
    <row r="3311" spans="1:14" x14ac:dyDescent="0.25">
      <c r="A3311">
        <v>58705781</v>
      </c>
      <c r="B3311" t="s">
        <v>2980</v>
      </c>
      <c r="C3311" t="s">
        <v>7745</v>
      </c>
      <c r="D3311" t="s">
        <v>7746</v>
      </c>
      <c r="E3311">
        <v>9708920824</v>
      </c>
      <c r="F3311" t="s">
        <v>628</v>
      </c>
      <c r="G3311" t="s">
        <v>629</v>
      </c>
      <c r="I3311" t="s">
        <v>24</v>
      </c>
      <c r="J3311" s="13">
        <v>45996</v>
      </c>
      <c r="K3311" s="13">
        <v>46023</v>
      </c>
      <c r="L3311" t="s">
        <v>539</v>
      </c>
      <c r="M3311" t="s">
        <v>60</v>
      </c>
      <c r="N3311">
        <v>72468321</v>
      </c>
    </row>
    <row r="3312" spans="1:14" x14ac:dyDescent="0.25">
      <c r="A3312">
        <v>58706184</v>
      </c>
      <c r="B3312" t="s">
        <v>4252</v>
      </c>
      <c r="C3312" t="s">
        <v>7747</v>
      </c>
      <c r="D3312" t="s">
        <v>7748</v>
      </c>
      <c r="E3312" t="s">
        <v>7749</v>
      </c>
      <c r="F3312" t="s">
        <v>615</v>
      </c>
      <c r="G3312" t="s">
        <v>616</v>
      </c>
      <c r="I3312" t="s">
        <v>617</v>
      </c>
      <c r="J3312" s="13">
        <v>45996</v>
      </c>
      <c r="K3312" s="13">
        <v>46023</v>
      </c>
      <c r="L3312" t="s">
        <v>621</v>
      </c>
      <c r="M3312" t="s">
        <v>59</v>
      </c>
      <c r="N3312">
        <v>72469298</v>
      </c>
    </row>
    <row r="3313" spans="1:14" x14ac:dyDescent="0.25">
      <c r="A3313">
        <v>58706949</v>
      </c>
      <c r="B3313" t="s">
        <v>1112</v>
      </c>
      <c r="C3313" t="s">
        <v>7750</v>
      </c>
      <c r="D3313" t="s">
        <v>7751</v>
      </c>
      <c r="E3313">
        <v>4707648050</v>
      </c>
      <c r="F3313" t="s">
        <v>423</v>
      </c>
      <c r="G3313" t="s">
        <v>424</v>
      </c>
      <c r="I3313" t="s">
        <v>46</v>
      </c>
      <c r="J3313" s="13">
        <v>45996</v>
      </c>
      <c r="K3313" s="13">
        <v>46023</v>
      </c>
      <c r="L3313" t="s">
        <v>621</v>
      </c>
      <c r="M3313" t="s">
        <v>60</v>
      </c>
      <c r="N3313">
        <v>72470090</v>
      </c>
    </row>
    <row r="3314" spans="1:14" x14ac:dyDescent="0.25">
      <c r="A3314">
        <v>58706884</v>
      </c>
      <c r="B3314" t="s">
        <v>7752</v>
      </c>
      <c r="C3314" t="s">
        <v>7753</v>
      </c>
      <c r="D3314" t="s">
        <v>7754</v>
      </c>
      <c r="E3314">
        <v>3524269900</v>
      </c>
      <c r="F3314" t="s">
        <v>7039</v>
      </c>
      <c r="G3314" t="s">
        <v>1167</v>
      </c>
      <c r="I3314" t="s">
        <v>91</v>
      </c>
      <c r="J3314" s="13">
        <v>45996</v>
      </c>
      <c r="K3314" s="13">
        <v>46023</v>
      </c>
      <c r="L3314" t="s">
        <v>497</v>
      </c>
      <c r="M3314" t="s">
        <v>56</v>
      </c>
      <c r="N3314">
        <v>72470847</v>
      </c>
    </row>
    <row r="3315" spans="1:14" x14ac:dyDescent="0.25">
      <c r="A3315">
        <v>58707174</v>
      </c>
      <c r="B3315" t="s">
        <v>7755</v>
      </c>
      <c r="C3315" t="s">
        <v>4315</v>
      </c>
      <c r="D3315" t="s">
        <v>7756</v>
      </c>
      <c r="E3315">
        <v>4806401096</v>
      </c>
      <c r="F3315" t="s">
        <v>448</v>
      </c>
      <c r="G3315" t="s">
        <v>449</v>
      </c>
      <c r="I3315" t="s">
        <v>31</v>
      </c>
      <c r="J3315" s="13">
        <v>45996</v>
      </c>
      <c r="K3315" s="13">
        <v>46023</v>
      </c>
      <c r="L3315" t="s">
        <v>1179</v>
      </c>
      <c r="M3315" t="s">
        <v>56</v>
      </c>
      <c r="N3315">
        <v>72471453</v>
      </c>
    </row>
    <row r="3316" spans="1:14" x14ac:dyDescent="0.25">
      <c r="A3316">
        <v>58707373</v>
      </c>
      <c r="B3316" t="s">
        <v>7757</v>
      </c>
      <c r="C3316" t="s">
        <v>7758</v>
      </c>
      <c r="D3316" t="s">
        <v>7759</v>
      </c>
      <c r="E3316">
        <v>8166897822</v>
      </c>
      <c r="F3316" t="s">
        <v>649</v>
      </c>
      <c r="G3316" t="s">
        <v>650</v>
      </c>
      <c r="I3316" t="s">
        <v>28</v>
      </c>
      <c r="J3316" s="13">
        <v>45996</v>
      </c>
      <c r="K3316" s="13">
        <v>46023</v>
      </c>
      <c r="L3316" t="s">
        <v>434</v>
      </c>
      <c r="M3316" t="s">
        <v>58</v>
      </c>
      <c r="N3316">
        <v>72471882</v>
      </c>
    </row>
    <row r="3317" spans="1:14" x14ac:dyDescent="0.25">
      <c r="A3317">
        <v>58708339</v>
      </c>
      <c r="B3317" t="s">
        <v>2771</v>
      </c>
      <c r="C3317" t="s">
        <v>778</v>
      </c>
      <c r="D3317" t="s">
        <v>7760</v>
      </c>
      <c r="E3317" t="s">
        <v>7761</v>
      </c>
      <c r="F3317" t="s">
        <v>928</v>
      </c>
      <c r="G3317" t="s">
        <v>929</v>
      </c>
      <c r="I3317" t="s">
        <v>30</v>
      </c>
      <c r="J3317" s="13">
        <v>45996</v>
      </c>
      <c r="K3317" s="13">
        <v>46023</v>
      </c>
      <c r="L3317" t="s">
        <v>497</v>
      </c>
      <c r="M3317" t="s">
        <v>58</v>
      </c>
      <c r="N3317">
        <v>72473611</v>
      </c>
    </row>
    <row r="3318" spans="1:14" x14ac:dyDescent="0.25">
      <c r="A3318">
        <v>58708845</v>
      </c>
      <c r="B3318" t="s">
        <v>748</v>
      </c>
      <c r="C3318" t="s">
        <v>1039</v>
      </c>
      <c r="D3318" t="s">
        <v>7762</v>
      </c>
      <c r="E3318">
        <v>9544443007</v>
      </c>
      <c r="F3318" t="s">
        <v>828</v>
      </c>
      <c r="G3318" t="s">
        <v>1148</v>
      </c>
      <c r="I3318" t="s">
        <v>17</v>
      </c>
      <c r="J3318" s="13">
        <v>45996</v>
      </c>
      <c r="K3318" s="13">
        <v>46023</v>
      </c>
      <c r="L3318" t="s">
        <v>533</v>
      </c>
      <c r="M3318" t="s">
        <v>56</v>
      </c>
      <c r="N3318">
        <v>72474244</v>
      </c>
    </row>
    <row r="3319" spans="1:14" x14ac:dyDescent="0.25">
      <c r="A3319">
        <v>58712191</v>
      </c>
      <c r="B3319" t="s">
        <v>2185</v>
      </c>
      <c r="C3319" t="s">
        <v>7210</v>
      </c>
      <c r="D3319" t="s">
        <v>7763</v>
      </c>
      <c r="E3319">
        <v>6025511473</v>
      </c>
      <c r="F3319" t="s">
        <v>423</v>
      </c>
      <c r="G3319" t="s">
        <v>424</v>
      </c>
      <c r="I3319" t="s">
        <v>46</v>
      </c>
      <c r="J3319" s="13">
        <v>45996</v>
      </c>
      <c r="K3319" s="13">
        <v>46023</v>
      </c>
      <c r="L3319" t="s">
        <v>1179</v>
      </c>
      <c r="M3319" t="s">
        <v>54</v>
      </c>
      <c r="N3319">
        <v>72478831</v>
      </c>
    </row>
    <row r="3320" spans="1:14" x14ac:dyDescent="0.25">
      <c r="A3320">
        <v>58712507</v>
      </c>
      <c r="B3320" t="s">
        <v>5261</v>
      </c>
      <c r="C3320" t="s">
        <v>7764</v>
      </c>
      <c r="D3320" t="s">
        <v>7765</v>
      </c>
      <c r="E3320">
        <v>9544785517</v>
      </c>
      <c r="F3320" t="s">
        <v>7023</v>
      </c>
      <c r="G3320" t="s">
        <v>7024</v>
      </c>
      <c r="I3320" t="s">
        <v>7025</v>
      </c>
      <c r="J3320" s="13">
        <v>45996</v>
      </c>
      <c r="K3320" s="13">
        <v>46023</v>
      </c>
      <c r="L3320" t="s">
        <v>497</v>
      </c>
      <c r="M3320" t="s">
        <v>54</v>
      </c>
      <c r="N3320">
        <v>72479113</v>
      </c>
    </row>
    <row r="3321" spans="1:14" x14ac:dyDescent="0.25">
      <c r="A3321">
        <v>58712874</v>
      </c>
      <c r="B3321" t="s">
        <v>431</v>
      </c>
      <c r="C3321" t="s">
        <v>7766</v>
      </c>
      <c r="D3321" t="s">
        <v>7767</v>
      </c>
      <c r="E3321">
        <v>6029086314</v>
      </c>
      <c r="F3321" t="s">
        <v>7018</v>
      </c>
      <c r="G3321" t="s">
        <v>7019</v>
      </c>
      <c r="I3321" t="s">
        <v>131</v>
      </c>
      <c r="J3321" s="13">
        <v>45996</v>
      </c>
      <c r="K3321" s="13">
        <v>46023</v>
      </c>
      <c r="L3321" t="s">
        <v>1179</v>
      </c>
      <c r="M3321" t="s">
        <v>54</v>
      </c>
      <c r="N3321">
        <v>72480163</v>
      </c>
    </row>
    <row r="3322" spans="1:14" x14ac:dyDescent="0.25">
      <c r="A3322">
        <v>58713015</v>
      </c>
      <c r="B3322" t="s">
        <v>2719</v>
      </c>
      <c r="C3322" t="s">
        <v>7768</v>
      </c>
      <c r="D3322" t="s">
        <v>7769</v>
      </c>
      <c r="E3322">
        <v>3142461113</v>
      </c>
      <c r="F3322" t="s">
        <v>474</v>
      </c>
      <c r="G3322" t="s">
        <v>475</v>
      </c>
      <c r="I3322" t="s">
        <v>132</v>
      </c>
      <c r="J3322" s="13">
        <v>45996</v>
      </c>
      <c r="K3322" s="13">
        <v>46023</v>
      </c>
      <c r="L3322" t="s">
        <v>434</v>
      </c>
      <c r="M3322" t="s">
        <v>59</v>
      </c>
      <c r="N3322">
        <v>72480427</v>
      </c>
    </row>
    <row r="3323" spans="1:14" x14ac:dyDescent="0.25">
      <c r="A3323">
        <v>58713635</v>
      </c>
      <c r="B3323" t="s">
        <v>1118</v>
      </c>
      <c r="C3323" t="s">
        <v>7753</v>
      </c>
      <c r="D3323" t="s">
        <v>7770</v>
      </c>
      <c r="E3323">
        <v>5135208904</v>
      </c>
      <c r="F3323" t="s">
        <v>815</v>
      </c>
      <c r="G3323" t="s">
        <v>816</v>
      </c>
      <c r="I3323" t="s">
        <v>23</v>
      </c>
      <c r="J3323" s="13">
        <v>45996</v>
      </c>
      <c r="K3323" s="13">
        <v>46023</v>
      </c>
      <c r="L3323" t="s">
        <v>440</v>
      </c>
      <c r="M3323" t="s">
        <v>59</v>
      </c>
      <c r="N3323">
        <v>72481452</v>
      </c>
    </row>
    <row r="3324" spans="1:14" x14ac:dyDescent="0.25">
      <c r="A3324">
        <v>58713790</v>
      </c>
      <c r="B3324" t="s">
        <v>7771</v>
      </c>
      <c r="C3324" t="s">
        <v>7364</v>
      </c>
      <c r="D3324" t="s">
        <v>7772</v>
      </c>
      <c r="E3324" t="s">
        <v>7773</v>
      </c>
      <c r="F3324" t="s">
        <v>569</v>
      </c>
      <c r="G3324" t="s">
        <v>570</v>
      </c>
      <c r="I3324" t="s">
        <v>34</v>
      </c>
      <c r="J3324" s="13">
        <v>45996</v>
      </c>
      <c r="K3324" s="13">
        <v>46023</v>
      </c>
      <c r="L3324" t="s">
        <v>603</v>
      </c>
      <c r="M3324" t="s">
        <v>56</v>
      </c>
      <c r="N3324">
        <v>72481725</v>
      </c>
    </row>
    <row r="3325" spans="1:14" x14ac:dyDescent="0.25">
      <c r="A3325">
        <v>58715258</v>
      </c>
      <c r="B3325" t="s">
        <v>7774</v>
      </c>
      <c r="C3325" t="s">
        <v>7775</v>
      </c>
      <c r="D3325" t="s">
        <v>7776</v>
      </c>
      <c r="E3325">
        <v>9048813068</v>
      </c>
      <c r="F3325" t="s">
        <v>1067</v>
      </c>
      <c r="G3325" t="s">
        <v>1068</v>
      </c>
      <c r="I3325" t="s">
        <v>35</v>
      </c>
      <c r="J3325" s="13">
        <v>45996</v>
      </c>
      <c r="K3325" s="13">
        <v>46023</v>
      </c>
      <c r="L3325" t="s">
        <v>497</v>
      </c>
      <c r="M3325" t="s">
        <v>56</v>
      </c>
      <c r="N3325">
        <v>72483849</v>
      </c>
    </row>
    <row r="3326" spans="1:14" x14ac:dyDescent="0.25">
      <c r="A3326">
        <v>58715588</v>
      </c>
      <c r="B3326" t="s">
        <v>3940</v>
      </c>
      <c r="C3326" t="s">
        <v>1292</v>
      </c>
      <c r="D3326" t="s">
        <v>7777</v>
      </c>
      <c r="E3326">
        <v>3059343502</v>
      </c>
      <c r="F3326" t="s">
        <v>775</v>
      </c>
      <c r="G3326" t="s">
        <v>776</v>
      </c>
      <c r="I3326" t="s">
        <v>22</v>
      </c>
      <c r="J3326" s="13">
        <v>45996</v>
      </c>
      <c r="K3326" s="13">
        <v>46023</v>
      </c>
      <c r="L3326" t="s">
        <v>497</v>
      </c>
      <c r="M3326" t="s">
        <v>56</v>
      </c>
      <c r="N3326">
        <v>72484414</v>
      </c>
    </row>
    <row r="3327" spans="1:14" x14ac:dyDescent="0.25">
      <c r="A3327">
        <v>58716257</v>
      </c>
      <c r="B3327" t="s">
        <v>431</v>
      </c>
      <c r="C3327" t="s">
        <v>1036</v>
      </c>
      <c r="D3327" t="s">
        <v>7778</v>
      </c>
      <c r="E3327">
        <v>9107510536</v>
      </c>
      <c r="F3327" t="s">
        <v>592</v>
      </c>
      <c r="G3327" t="s">
        <v>593</v>
      </c>
      <c r="I3327" t="s">
        <v>115</v>
      </c>
      <c r="J3327" s="13">
        <v>45996</v>
      </c>
      <c r="K3327" s="13">
        <v>46023</v>
      </c>
      <c r="L3327" t="s">
        <v>603</v>
      </c>
      <c r="M3327" t="s">
        <v>56</v>
      </c>
      <c r="N3327">
        <v>72485570</v>
      </c>
    </row>
    <row r="3328" spans="1:14" x14ac:dyDescent="0.25">
      <c r="A3328">
        <v>58716352</v>
      </c>
      <c r="B3328" t="s">
        <v>7779</v>
      </c>
      <c r="C3328" t="s">
        <v>766</v>
      </c>
      <c r="D3328" t="s">
        <v>7780</v>
      </c>
      <c r="F3328" t="s">
        <v>1147</v>
      </c>
      <c r="G3328" t="s">
        <v>1148</v>
      </c>
      <c r="I3328" t="s">
        <v>41</v>
      </c>
      <c r="J3328" s="13">
        <v>45996</v>
      </c>
      <c r="K3328" s="13">
        <v>46023</v>
      </c>
      <c r="L3328" t="s">
        <v>470</v>
      </c>
      <c r="M3328" t="s">
        <v>62</v>
      </c>
      <c r="N3328">
        <v>72485736</v>
      </c>
    </row>
    <row r="3329" spans="1:14" x14ac:dyDescent="0.25">
      <c r="A3329">
        <v>58718635</v>
      </c>
      <c r="B3329" t="s">
        <v>3563</v>
      </c>
      <c r="C3329" t="s">
        <v>7781</v>
      </c>
      <c r="D3329" t="s">
        <v>7782</v>
      </c>
      <c r="E3329">
        <v>3059625630</v>
      </c>
      <c r="F3329" t="s">
        <v>551</v>
      </c>
      <c r="G3329" t="s">
        <v>552</v>
      </c>
      <c r="I3329" t="s">
        <v>42</v>
      </c>
      <c r="J3329" s="13">
        <v>45996</v>
      </c>
      <c r="K3329" s="13">
        <v>46023</v>
      </c>
      <c r="L3329" t="s">
        <v>497</v>
      </c>
      <c r="M3329" t="s">
        <v>56</v>
      </c>
      <c r="N3329">
        <v>72489257</v>
      </c>
    </row>
    <row r="3330" spans="1:14" x14ac:dyDescent="0.25">
      <c r="A3330">
        <v>58718555</v>
      </c>
      <c r="B3330" t="s">
        <v>548</v>
      </c>
      <c r="C3330" t="s">
        <v>2068</v>
      </c>
      <c r="D3330" t="s">
        <v>7783</v>
      </c>
      <c r="E3330">
        <v>8438997769</v>
      </c>
      <c r="F3330" t="s">
        <v>790</v>
      </c>
      <c r="G3330" t="s">
        <v>791</v>
      </c>
      <c r="I3330" t="s">
        <v>119</v>
      </c>
      <c r="J3330" s="13">
        <v>45996</v>
      </c>
      <c r="K3330" s="13">
        <v>46023</v>
      </c>
      <c r="L3330" t="s">
        <v>533</v>
      </c>
      <c r="M3330" t="s">
        <v>55</v>
      </c>
      <c r="N3330">
        <v>72489299</v>
      </c>
    </row>
    <row r="3331" spans="1:14" x14ac:dyDescent="0.25">
      <c r="A3331">
        <v>58718534</v>
      </c>
      <c r="B3331" t="s">
        <v>7784</v>
      </c>
      <c r="C3331" t="s">
        <v>7785</v>
      </c>
      <c r="D3331" t="s">
        <v>7786</v>
      </c>
      <c r="E3331">
        <v>3186080690</v>
      </c>
      <c r="F3331" t="s">
        <v>628</v>
      </c>
      <c r="G3331" t="s">
        <v>629</v>
      </c>
      <c r="I3331" t="s">
        <v>24</v>
      </c>
      <c r="J3331" s="13">
        <v>45996</v>
      </c>
      <c r="K3331" s="13">
        <v>46023</v>
      </c>
      <c r="L3331" t="s">
        <v>612</v>
      </c>
      <c r="M3331" t="s">
        <v>58</v>
      </c>
      <c r="N3331">
        <v>72489327</v>
      </c>
    </row>
    <row r="3332" spans="1:14" x14ac:dyDescent="0.25">
      <c r="A3332">
        <v>58719201</v>
      </c>
      <c r="B3332" t="s">
        <v>5707</v>
      </c>
      <c r="C3332" t="s">
        <v>7787</v>
      </c>
      <c r="D3332" t="s">
        <v>7788</v>
      </c>
      <c r="E3332">
        <v>7192517677</v>
      </c>
      <c r="F3332" t="s">
        <v>957</v>
      </c>
      <c r="G3332" t="s">
        <v>958</v>
      </c>
      <c r="H3332" t="s">
        <v>959</v>
      </c>
      <c r="I3332" t="s">
        <v>960</v>
      </c>
      <c r="J3332" s="13">
        <v>45996</v>
      </c>
      <c r="K3332" s="13">
        <v>46023</v>
      </c>
      <c r="L3332" t="s">
        <v>539</v>
      </c>
      <c r="M3332" t="s">
        <v>56</v>
      </c>
      <c r="N3332">
        <v>72489492</v>
      </c>
    </row>
    <row r="3333" spans="1:14" x14ac:dyDescent="0.25">
      <c r="A3333">
        <v>58719306</v>
      </c>
      <c r="B3333" t="s">
        <v>7789</v>
      </c>
      <c r="C3333" t="s">
        <v>7790</v>
      </c>
      <c r="D3333" t="s">
        <v>7791</v>
      </c>
      <c r="E3333" t="s">
        <v>7792</v>
      </c>
      <c r="F3333" t="s">
        <v>537</v>
      </c>
      <c r="G3333" t="s">
        <v>538</v>
      </c>
      <c r="I3333" t="s">
        <v>49</v>
      </c>
      <c r="J3333" s="13">
        <v>45996</v>
      </c>
      <c r="K3333" s="13">
        <v>46023</v>
      </c>
      <c r="L3333" t="s">
        <v>539</v>
      </c>
      <c r="M3333" t="s">
        <v>56</v>
      </c>
      <c r="N3333">
        <v>72490493</v>
      </c>
    </row>
    <row r="3334" spans="1:14" x14ac:dyDescent="0.25">
      <c r="A3334">
        <v>58719736</v>
      </c>
      <c r="B3334" t="s">
        <v>1663</v>
      </c>
      <c r="C3334" t="s">
        <v>619</v>
      </c>
      <c r="D3334" t="s">
        <v>7793</v>
      </c>
      <c r="E3334">
        <v>7739976694</v>
      </c>
      <c r="F3334" t="s">
        <v>578</v>
      </c>
      <c r="G3334" t="s">
        <v>579</v>
      </c>
      <c r="I3334" t="s">
        <v>15</v>
      </c>
      <c r="J3334" s="13">
        <v>45996</v>
      </c>
      <c r="K3334" s="13">
        <v>46023</v>
      </c>
      <c r="L3334" t="s">
        <v>470</v>
      </c>
      <c r="M3334" t="s">
        <v>62</v>
      </c>
      <c r="N3334">
        <v>72490705</v>
      </c>
    </row>
    <row r="3335" spans="1:14" x14ac:dyDescent="0.25">
      <c r="A3335">
        <v>58719547</v>
      </c>
      <c r="B3335" t="s">
        <v>669</v>
      </c>
      <c r="C3335" t="s">
        <v>7794</v>
      </c>
      <c r="D3335" t="s">
        <v>7795</v>
      </c>
      <c r="E3335">
        <v>8632329557</v>
      </c>
      <c r="F3335" t="s">
        <v>474</v>
      </c>
      <c r="G3335" t="s">
        <v>475</v>
      </c>
      <c r="I3335" t="s">
        <v>132</v>
      </c>
      <c r="J3335" s="13">
        <v>45996</v>
      </c>
      <c r="K3335" s="13">
        <v>46023</v>
      </c>
      <c r="L3335" t="s">
        <v>497</v>
      </c>
      <c r="M3335" t="s">
        <v>56</v>
      </c>
      <c r="N3335">
        <v>72490754</v>
      </c>
    </row>
    <row r="3336" spans="1:14" x14ac:dyDescent="0.25">
      <c r="A3336">
        <v>58719700</v>
      </c>
      <c r="B3336" t="s">
        <v>7796</v>
      </c>
      <c r="C3336" t="s">
        <v>2482</v>
      </c>
      <c r="D3336" t="s">
        <v>7797</v>
      </c>
      <c r="E3336">
        <v>6064532851</v>
      </c>
      <c r="F3336" t="s">
        <v>705</v>
      </c>
      <c r="G3336" t="s">
        <v>706</v>
      </c>
      <c r="I3336" t="s">
        <v>12</v>
      </c>
      <c r="J3336" s="13">
        <v>45996</v>
      </c>
      <c r="K3336" s="13">
        <v>46023</v>
      </c>
      <c r="L3336" t="s">
        <v>490</v>
      </c>
      <c r="M3336" t="s">
        <v>61</v>
      </c>
      <c r="N3336">
        <v>72490847</v>
      </c>
    </row>
    <row r="3337" spans="1:14" x14ac:dyDescent="0.25">
      <c r="A3337">
        <v>58719915</v>
      </c>
      <c r="B3337" t="s">
        <v>7798</v>
      </c>
      <c r="C3337" t="s">
        <v>5397</v>
      </c>
      <c r="D3337" t="s">
        <v>7799</v>
      </c>
      <c r="E3337">
        <v>9855161096</v>
      </c>
      <c r="F3337" t="s">
        <v>1013</v>
      </c>
      <c r="G3337" t="s">
        <v>1014</v>
      </c>
      <c r="I3337" t="s">
        <v>43</v>
      </c>
      <c r="J3337" s="13">
        <v>45996</v>
      </c>
      <c r="K3337" s="13">
        <v>46023</v>
      </c>
      <c r="L3337" t="s">
        <v>612</v>
      </c>
      <c r="M3337" t="s">
        <v>56</v>
      </c>
      <c r="N3337">
        <v>72490990</v>
      </c>
    </row>
    <row r="3338" spans="1:14" x14ac:dyDescent="0.25">
      <c r="A3338">
        <v>58719933</v>
      </c>
      <c r="B3338" t="s">
        <v>672</v>
      </c>
      <c r="C3338" t="s">
        <v>7800</v>
      </c>
      <c r="D3338" t="s">
        <v>7801</v>
      </c>
      <c r="E3338">
        <v>9046166286</v>
      </c>
      <c r="F3338" t="s">
        <v>815</v>
      </c>
      <c r="G3338" t="s">
        <v>816</v>
      </c>
      <c r="I3338" t="s">
        <v>23</v>
      </c>
      <c r="J3338" s="13">
        <v>45996</v>
      </c>
      <c r="K3338" s="13">
        <v>46023</v>
      </c>
      <c r="L3338" t="s">
        <v>497</v>
      </c>
      <c r="M3338" t="s">
        <v>56</v>
      </c>
      <c r="N3338">
        <v>72491003</v>
      </c>
    </row>
    <row r="3339" spans="1:14" x14ac:dyDescent="0.25">
      <c r="A3339">
        <v>58720196</v>
      </c>
      <c r="B3339" t="s">
        <v>7802</v>
      </c>
      <c r="C3339" t="s">
        <v>7803</v>
      </c>
      <c r="D3339" t="s">
        <v>7804</v>
      </c>
      <c r="E3339">
        <v>4807216855</v>
      </c>
      <c r="F3339" t="s">
        <v>842</v>
      </c>
      <c r="G3339" t="s">
        <v>1213</v>
      </c>
      <c r="I3339" t="s">
        <v>1214</v>
      </c>
      <c r="J3339" s="13">
        <v>45996</v>
      </c>
      <c r="K3339" s="13">
        <v>46023</v>
      </c>
      <c r="L3339" t="s">
        <v>1179</v>
      </c>
      <c r="M3339" t="s">
        <v>54</v>
      </c>
      <c r="N3339">
        <v>72491199</v>
      </c>
    </row>
    <row r="3340" spans="1:14" x14ac:dyDescent="0.25">
      <c r="A3340">
        <v>58720312</v>
      </c>
      <c r="B3340" t="s">
        <v>1024</v>
      </c>
      <c r="C3340" t="s">
        <v>7805</v>
      </c>
      <c r="D3340" t="s">
        <v>7806</v>
      </c>
      <c r="E3340">
        <v>5616295963</v>
      </c>
      <c r="F3340" t="s">
        <v>1345</v>
      </c>
      <c r="G3340" t="s">
        <v>799</v>
      </c>
      <c r="I3340" t="s">
        <v>47</v>
      </c>
      <c r="J3340" s="13">
        <v>45996</v>
      </c>
      <c r="K3340" s="13">
        <v>46023</v>
      </c>
      <c r="L3340" t="s">
        <v>497</v>
      </c>
      <c r="M3340" t="s">
        <v>54</v>
      </c>
      <c r="N3340">
        <v>72491271</v>
      </c>
    </row>
    <row r="3341" spans="1:14" x14ac:dyDescent="0.25">
      <c r="A3341">
        <v>58720780</v>
      </c>
      <c r="B3341" t="s">
        <v>1316</v>
      </c>
      <c r="C3341" t="s">
        <v>7807</v>
      </c>
      <c r="D3341" t="s">
        <v>7808</v>
      </c>
      <c r="E3341">
        <v>3524344687</v>
      </c>
      <c r="F3341" t="s">
        <v>423</v>
      </c>
      <c r="G3341" t="s">
        <v>424</v>
      </c>
      <c r="I3341" t="s">
        <v>46</v>
      </c>
      <c r="J3341" s="13">
        <v>45996</v>
      </c>
      <c r="K3341" s="13">
        <v>46023</v>
      </c>
      <c r="L3341" t="s">
        <v>497</v>
      </c>
      <c r="M3341" t="s">
        <v>56</v>
      </c>
      <c r="N3341">
        <v>72491384</v>
      </c>
    </row>
    <row r="3342" spans="1:14" x14ac:dyDescent="0.25">
      <c r="A3342">
        <v>58720531</v>
      </c>
      <c r="B3342" t="s">
        <v>7809</v>
      </c>
      <c r="C3342" t="s">
        <v>1203</v>
      </c>
      <c r="D3342" t="s">
        <v>7810</v>
      </c>
      <c r="E3342">
        <v>3054695065</v>
      </c>
      <c r="F3342" t="s">
        <v>828</v>
      </c>
      <c r="G3342" t="s">
        <v>1148</v>
      </c>
      <c r="I3342" t="s">
        <v>17</v>
      </c>
      <c r="J3342" s="13">
        <v>45996</v>
      </c>
      <c r="K3342" s="13">
        <v>46023</v>
      </c>
      <c r="L3342" t="s">
        <v>497</v>
      </c>
      <c r="M3342" t="s">
        <v>56</v>
      </c>
      <c r="N3342">
        <v>72491397</v>
      </c>
    </row>
    <row r="3343" spans="1:14" x14ac:dyDescent="0.25">
      <c r="A3343">
        <v>58720654</v>
      </c>
      <c r="B3343" t="s">
        <v>2296</v>
      </c>
      <c r="C3343" t="s">
        <v>7811</v>
      </c>
      <c r="D3343" t="s">
        <v>7812</v>
      </c>
      <c r="E3343">
        <v>6027154146</v>
      </c>
      <c r="F3343" t="s">
        <v>448</v>
      </c>
      <c r="G3343" t="s">
        <v>449</v>
      </c>
      <c r="I3343" t="s">
        <v>31</v>
      </c>
      <c r="J3343" s="13">
        <v>45996</v>
      </c>
      <c r="K3343" s="13">
        <v>46023</v>
      </c>
      <c r="L3343" t="s">
        <v>1179</v>
      </c>
      <c r="M3343" t="s">
        <v>59</v>
      </c>
      <c r="N3343">
        <v>72491475</v>
      </c>
    </row>
    <row r="3344" spans="1:14" x14ac:dyDescent="0.25">
      <c r="A3344">
        <v>58720863</v>
      </c>
      <c r="B3344" t="s">
        <v>1010</v>
      </c>
      <c r="C3344" t="s">
        <v>7813</v>
      </c>
      <c r="D3344" t="s">
        <v>7814</v>
      </c>
      <c r="E3344">
        <v>7577054327</v>
      </c>
      <c r="F3344" t="s">
        <v>474</v>
      </c>
      <c r="G3344" t="s">
        <v>475</v>
      </c>
      <c r="I3344" t="s">
        <v>132</v>
      </c>
      <c r="J3344" s="13">
        <v>45996</v>
      </c>
      <c r="K3344" s="13">
        <v>46023</v>
      </c>
      <c r="L3344" t="s">
        <v>454</v>
      </c>
      <c r="M3344" t="s">
        <v>56</v>
      </c>
      <c r="N3344">
        <v>72491573</v>
      </c>
    </row>
    <row r="3345" spans="1:14" x14ac:dyDescent="0.25">
      <c r="A3345">
        <v>58721915</v>
      </c>
      <c r="B3345" t="s">
        <v>980</v>
      </c>
      <c r="C3345" t="s">
        <v>7815</v>
      </c>
      <c r="D3345" t="s">
        <v>7816</v>
      </c>
      <c r="E3345">
        <v>4807179156</v>
      </c>
      <c r="F3345" t="s">
        <v>615</v>
      </c>
      <c r="G3345" t="s">
        <v>616</v>
      </c>
      <c r="I3345" t="s">
        <v>617</v>
      </c>
      <c r="J3345" s="13">
        <v>45996</v>
      </c>
      <c r="K3345" s="13">
        <v>46023</v>
      </c>
      <c r="L3345" t="s">
        <v>1179</v>
      </c>
      <c r="M3345" t="s">
        <v>55</v>
      </c>
      <c r="N3345">
        <v>72492210</v>
      </c>
    </row>
    <row r="3346" spans="1:14" x14ac:dyDescent="0.25">
      <c r="A3346">
        <v>58722096</v>
      </c>
      <c r="B3346" t="s">
        <v>7817</v>
      </c>
      <c r="C3346" t="s">
        <v>2488</v>
      </c>
      <c r="D3346" t="s">
        <v>7818</v>
      </c>
      <c r="E3346">
        <v>8723266323</v>
      </c>
      <c r="F3346" t="s">
        <v>494</v>
      </c>
      <c r="G3346" t="s">
        <v>495</v>
      </c>
      <c r="I3346" t="s">
        <v>496</v>
      </c>
      <c r="J3346" s="13">
        <v>45996</v>
      </c>
      <c r="K3346" s="13">
        <v>46023</v>
      </c>
      <c r="L3346" t="s">
        <v>470</v>
      </c>
      <c r="M3346" t="s">
        <v>62</v>
      </c>
      <c r="N3346">
        <v>72492339</v>
      </c>
    </row>
    <row r="3347" spans="1:14" x14ac:dyDescent="0.25">
      <c r="A3347">
        <v>58722182</v>
      </c>
      <c r="B3347" t="s">
        <v>7819</v>
      </c>
      <c r="C3347" t="s">
        <v>7820</v>
      </c>
      <c r="D3347" t="s">
        <v>7821</v>
      </c>
      <c r="E3347">
        <v>5204566370</v>
      </c>
      <c r="F3347" t="s">
        <v>4853</v>
      </c>
      <c r="G3347" t="s">
        <v>5017</v>
      </c>
      <c r="I3347" t="s">
        <v>5018</v>
      </c>
      <c r="J3347" s="13">
        <v>45996</v>
      </c>
      <c r="K3347" s="13">
        <v>46023</v>
      </c>
      <c r="L3347" t="s">
        <v>1179</v>
      </c>
      <c r="M3347" t="s">
        <v>54</v>
      </c>
      <c r="N3347">
        <v>72492393</v>
      </c>
    </row>
    <row r="3348" spans="1:14" x14ac:dyDescent="0.25">
      <c r="A3348">
        <v>58722379</v>
      </c>
      <c r="B3348" t="s">
        <v>7822</v>
      </c>
      <c r="C3348" t="s">
        <v>7823</v>
      </c>
      <c r="D3348" t="s">
        <v>7824</v>
      </c>
      <c r="E3348" t="s">
        <v>7825</v>
      </c>
      <c r="F3348" t="s">
        <v>551</v>
      </c>
      <c r="G3348" t="s">
        <v>552</v>
      </c>
      <c r="I3348" t="s">
        <v>42</v>
      </c>
      <c r="J3348" s="13">
        <v>45996</v>
      </c>
      <c r="K3348" s="13">
        <v>46023</v>
      </c>
      <c r="L3348" t="s">
        <v>444</v>
      </c>
      <c r="M3348" t="s">
        <v>55</v>
      </c>
      <c r="N3348">
        <v>72492509</v>
      </c>
    </row>
    <row r="3349" spans="1:14" x14ac:dyDescent="0.25">
      <c r="A3349">
        <v>62115977</v>
      </c>
      <c r="B3349" t="s">
        <v>7826</v>
      </c>
      <c r="C3349" t="s">
        <v>7827</v>
      </c>
      <c r="D3349" t="s">
        <v>7828</v>
      </c>
      <c r="E3349">
        <v>8457727969</v>
      </c>
      <c r="F3349" t="s">
        <v>448</v>
      </c>
      <c r="G3349" t="s">
        <v>449</v>
      </c>
      <c r="I3349" t="s">
        <v>31</v>
      </c>
      <c r="J3349" s="13">
        <v>46104</v>
      </c>
      <c r="K3349" s="13">
        <v>46113</v>
      </c>
      <c r="L3349" t="s">
        <v>497</v>
      </c>
      <c r="M3349" t="s">
        <v>56</v>
      </c>
      <c r="N3349">
        <v>72492584</v>
      </c>
    </row>
    <row r="3350" spans="1:14" x14ac:dyDescent="0.25">
      <c r="A3350">
        <v>58722490</v>
      </c>
      <c r="B3350" t="s">
        <v>1759</v>
      </c>
      <c r="C3350" t="s">
        <v>6823</v>
      </c>
      <c r="D3350" t="s">
        <v>7829</v>
      </c>
      <c r="E3350">
        <v>4803818629</v>
      </c>
      <c r="F3350" t="s">
        <v>775</v>
      </c>
      <c r="G3350" t="s">
        <v>776</v>
      </c>
      <c r="I3350" t="s">
        <v>22</v>
      </c>
      <c r="J3350" s="13">
        <v>45996</v>
      </c>
      <c r="K3350" s="13">
        <v>46023</v>
      </c>
      <c r="L3350" t="s">
        <v>1179</v>
      </c>
      <c r="M3350" t="s">
        <v>56</v>
      </c>
      <c r="N3350">
        <v>72492611</v>
      </c>
    </row>
    <row r="3351" spans="1:14" x14ac:dyDescent="0.25">
      <c r="A3351">
        <v>58722737</v>
      </c>
      <c r="B3351" t="s">
        <v>2360</v>
      </c>
      <c r="C3351" t="s">
        <v>7425</v>
      </c>
      <c r="D3351" t="s">
        <v>7830</v>
      </c>
      <c r="E3351">
        <v>4043530459</v>
      </c>
      <c r="F3351" t="s">
        <v>592</v>
      </c>
      <c r="G3351" t="s">
        <v>593</v>
      </c>
      <c r="I3351" t="s">
        <v>115</v>
      </c>
      <c r="J3351" s="13">
        <v>45996</v>
      </c>
      <c r="K3351" s="13">
        <v>46023</v>
      </c>
      <c r="L3351" t="s">
        <v>497</v>
      </c>
      <c r="M3351" t="s">
        <v>56</v>
      </c>
      <c r="N3351">
        <v>72492763</v>
      </c>
    </row>
    <row r="3352" spans="1:14" x14ac:dyDescent="0.25">
      <c r="A3352">
        <v>58722761</v>
      </c>
      <c r="B3352" t="s">
        <v>7831</v>
      </c>
      <c r="C3352" t="s">
        <v>2143</v>
      </c>
      <c r="D3352" t="s">
        <v>7832</v>
      </c>
      <c r="E3352">
        <v>7735672773</v>
      </c>
      <c r="F3352" t="s">
        <v>474</v>
      </c>
      <c r="G3352" t="s">
        <v>475</v>
      </c>
      <c r="I3352" t="s">
        <v>132</v>
      </c>
      <c r="J3352" s="13">
        <v>45996</v>
      </c>
      <c r="K3352" s="13">
        <v>46023</v>
      </c>
      <c r="L3352" t="s">
        <v>470</v>
      </c>
      <c r="M3352" t="s">
        <v>58</v>
      </c>
      <c r="N3352">
        <v>72492774</v>
      </c>
    </row>
    <row r="3353" spans="1:14" x14ac:dyDescent="0.25">
      <c r="A3353">
        <v>58722905</v>
      </c>
      <c r="B3353" t="s">
        <v>3252</v>
      </c>
      <c r="C3353" t="s">
        <v>7833</v>
      </c>
      <c r="D3353" t="s">
        <v>7834</v>
      </c>
      <c r="E3353">
        <v>3523016058</v>
      </c>
      <c r="F3353" t="s">
        <v>780</v>
      </c>
      <c r="G3353" t="s">
        <v>781</v>
      </c>
      <c r="I3353" t="s">
        <v>20</v>
      </c>
      <c r="J3353" s="13">
        <v>45996</v>
      </c>
      <c r="K3353" s="13">
        <v>46023</v>
      </c>
      <c r="L3353" t="s">
        <v>497</v>
      </c>
      <c r="M3353" t="s">
        <v>56</v>
      </c>
      <c r="N3353">
        <v>72492846</v>
      </c>
    </row>
    <row r="3354" spans="1:14" x14ac:dyDescent="0.25">
      <c r="A3354">
        <v>58722978</v>
      </c>
      <c r="B3354" t="s">
        <v>1100</v>
      </c>
      <c r="C3354" t="s">
        <v>6586</v>
      </c>
      <c r="D3354" t="s">
        <v>7835</v>
      </c>
      <c r="E3354">
        <v>9046249528</v>
      </c>
      <c r="F3354" t="s">
        <v>1142</v>
      </c>
      <c r="G3354" t="s">
        <v>1143</v>
      </c>
      <c r="I3354" t="s">
        <v>124</v>
      </c>
      <c r="J3354" s="13">
        <v>45996</v>
      </c>
      <c r="K3354" s="13">
        <v>46023</v>
      </c>
      <c r="L3354" t="s">
        <v>497</v>
      </c>
      <c r="M3354" t="s">
        <v>59</v>
      </c>
      <c r="N3354">
        <v>72492891</v>
      </c>
    </row>
    <row r="3355" spans="1:14" x14ac:dyDescent="0.25">
      <c r="A3355">
        <v>58723160</v>
      </c>
      <c r="B3355" t="s">
        <v>7836</v>
      </c>
      <c r="C3355" t="s">
        <v>7837</v>
      </c>
      <c r="D3355" t="s">
        <v>7838</v>
      </c>
      <c r="E3355">
        <v>2052180732</v>
      </c>
      <c r="F3355" t="s">
        <v>1142</v>
      </c>
      <c r="G3355" t="s">
        <v>1143</v>
      </c>
      <c r="I3355" t="s">
        <v>124</v>
      </c>
      <c r="J3355" s="13">
        <v>45996</v>
      </c>
      <c r="K3355" s="13">
        <v>46023</v>
      </c>
      <c r="L3355" t="s">
        <v>450</v>
      </c>
      <c r="M3355" t="s">
        <v>55</v>
      </c>
      <c r="N3355">
        <v>72493003</v>
      </c>
    </row>
    <row r="3356" spans="1:14" x14ac:dyDescent="0.25">
      <c r="A3356">
        <v>58723425</v>
      </c>
      <c r="B3356" t="s">
        <v>5359</v>
      </c>
      <c r="C3356" t="s">
        <v>7839</v>
      </c>
      <c r="D3356" t="s">
        <v>7840</v>
      </c>
      <c r="E3356">
        <v>7088469189</v>
      </c>
      <c r="F3356" t="s">
        <v>423</v>
      </c>
      <c r="G3356" t="s">
        <v>424</v>
      </c>
      <c r="I3356" t="s">
        <v>46</v>
      </c>
      <c r="J3356" s="13">
        <v>45996</v>
      </c>
      <c r="K3356" s="13">
        <v>46023</v>
      </c>
      <c r="L3356" t="s">
        <v>470</v>
      </c>
      <c r="M3356" t="s">
        <v>56</v>
      </c>
      <c r="N3356">
        <v>72493059</v>
      </c>
    </row>
    <row r="3357" spans="1:14" x14ac:dyDescent="0.25">
      <c r="A3357">
        <v>58723396</v>
      </c>
      <c r="B3357" t="s">
        <v>6760</v>
      </c>
      <c r="C3357" t="s">
        <v>7841</v>
      </c>
      <c r="D3357" t="s">
        <v>7842</v>
      </c>
      <c r="E3357">
        <v>9196697949</v>
      </c>
      <c r="F3357" t="s">
        <v>842</v>
      </c>
      <c r="G3357" t="s">
        <v>1213</v>
      </c>
      <c r="I3357" t="s">
        <v>1214</v>
      </c>
      <c r="J3357" s="13">
        <v>45996</v>
      </c>
      <c r="K3357" s="13">
        <v>46023</v>
      </c>
      <c r="L3357" t="s">
        <v>603</v>
      </c>
      <c r="M3357" t="s">
        <v>60</v>
      </c>
      <c r="N3357">
        <v>72493113</v>
      </c>
    </row>
    <row r="3358" spans="1:14" x14ac:dyDescent="0.25">
      <c r="A3358">
        <v>58723399</v>
      </c>
      <c r="B3358" t="s">
        <v>2839</v>
      </c>
      <c r="C3358" t="s">
        <v>3270</v>
      </c>
      <c r="D3358" t="s">
        <v>7843</v>
      </c>
      <c r="E3358">
        <v>6026702967</v>
      </c>
      <c r="F3358" t="s">
        <v>4853</v>
      </c>
      <c r="G3358" t="s">
        <v>5017</v>
      </c>
      <c r="I3358" t="s">
        <v>5018</v>
      </c>
      <c r="J3358" s="13">
        <v>45996</v>
      </c>
      <c r="K3358" s="13">
        <v>46023</v>
      </c>
      <c r="L3358" t="s">
        <v>1179</v>
      </c>
      <c r="M3358" t="s">
        <v>54</v>
      </c>
      <c r="N3358">
        <v>72493114</v>
      </c>
    </row>
    <row r="3359" spans="1:14" x14ac:dyDescent="0.25">
      <c r="A3359">
        <v>58723454</v>
      </c>
      <c r="B3359" t="s">
        <v>476</v>
      </c>
      <c r="C3359" t="s">
        <v>5389</v>
      </c>
      <c r="D3359" t="s">
        <v>7844</v>
      </c>
      <c r="E3359" t="s">
        <v>7845</v>
      </c>
      <c r="F3359" t="s">
        <v>928</v>
      </c>
      <c r="G3359" t="s">
        <v>929</v>
      </c>
      <c r="I3359" t="s">
        <v>30</v>
      </c>
      <c r="J3359" s="13">
        <v>45996</v>
      </c>
      <c r="K3359" s="13">
        <v>46023</v>
      </c>
      <c r="L3359" t="s">
        <v>497</v>
      </c>
      <c r="M3359" t="s">
        <v>56</v>
      </c>
      <c r="N3359">
        <v>72493149</v>
      </c>
    </row>
    <row r="3360" spans="1:14" x14ac:dyDescent="0.25">
      <c r="A3360">
        <v>58723832</v>
      </c>
      <c r="B3360" t="s">
        <v>1208</v>
      </c>
      <c r="C3360" t="s">
        <v>7846</v>
      </c>
      <c r="D3360" t="s">
        <v>7847</v>
      </c>
      <c r="E3360">
        <v>3128334355</v>
      </c>
      <c r="F3360" t="s">
        <v>578</v>
      </c>
      <c r="G3360" t="s">
        <v>579</v>
      </c>
      <c r="I3360" t="s">
        <v>15</v>
      </c>
      <c r="J3360" s="13">
        <v>45996</v>
      </c>
      <c r="K3360" s="13">
        <v>46023</v>
      </c>
      <c r="L3360" t="s">
        <v>470</v>
      </c>
      <c r="M3360" t="s">
        <v>62</v>
      </c>
      <c r="N3360">
        <v>72493334</v>
      </c>
    </row>
    <row r="3361" spans="1:14" x14ac:dyDescent="0.25">
      <c r="A3361">
        <v>58723879</v>
      </c>
      <c r="B3361" t="s">
        <v>1408</v>
      </c>
      <c r="C3361" t="s">
        <v>619</v>
      </c>
      <c r="D3361" t="s">
        <v>7848</v>
      </c>
      <c r="E3361">
        <v>3342358875</v>
      </c>
      <c r="F3361" t="s">
        <v>815</v>
      </c>
      <c r="G3361" t="s">
        <v>816</v>
      </c>
      <c r="I3361" t="s">
        <v>23</v>
      </c>
      <c r="J3361" s="13">
        <v>45996</v>
      </c>
      <c r="K3361" s="13">
        <v>46023</v>
      </c>
      <c r="L3361" t="s">
        <v>450</v>
      </c>
      <c r="M3361" t="s">
        <v>56</v>
      </c>
      <c r="N3361">
        <v>72493394</v>
      </c>
    </row>
    <row r="3362" spans="1:14" x14ac:dyDescent="0.25">
      <c r="A3362">
        <v>58723880</v>
      </c>
      <c r="B3362" t="s">
        <v>1777</v>
      </c>
      <c r="C3362" t="s">
        <v>7849</v>
      </c>
      <c r="D3362" t="s">
        <v>7850</v>
      </c>
      <c r="E3362">
        <v>8138431496</v>
      </c>
      <c r="F3362" t="s">
        <v>1345</v>
      </c>
      <c r="G3362" t="s">
        <v>799</v>
      </c>
      <c r="I3362" t="s">
        <v>47</v>
      </c>
      <c r="J3362" s="13">
        <v>45996</v>
      </c>
      <c r="K3362" s="13">
        <v>46023</v>
      </c>
      <c r="L3362" t="s">
        <v>497</v>
      </c>
      <c r="M3362" t="s">
        <v>56</v>
      </c>
      <c r="N3362">
        <v>72493395</v>
      </c>
    </row>
    <row r="3363" spans="1:14" x14ac:dyDescent="0.25">
      <c r="A3363">
        <v>58723918</v>
      </c>
      <c r="B3363" t="s">
        <v>1643</v>
      </c>
      <c r="C3363" t="s">
        <v>7851</v>
      </c>
      <c r="D3363" t="s">
        <v>7852</v>
      </c>
      <c r="E3363">
        <v>3527098733</v>
      </c>
      <c r="F3363" t="s">
        <v>798</v>
      </c>
      <c r="G3363" t="s">
        <v>799</v>
      </c>
      <c r="I3363" t="s">
        <v>800</v>
      </c>
      <c r="J3363" s="13">
        <v>45996</v>
      </c>
      <c r="K3363" s="13">
        <v>46023</v>
      </c>
      <c r="L3363" t="s">
        <v>497</v>
      </c>
      <c r="M3363" t="s">
        <v>58</v>
      </c>
      <c r="N3363">
        <v>72493412</v>
      </c>
    </row>
    <row r="3364" spans="1:14" x14ac:dyDescent="0.25">
      <c r="A3364">
        <v>58724072</v>
      </c>
      <c r="B3364" t="s">
        <v>7853</v>
      </c>
      <c r="C3364" t="s">
        <v>7854</v>
      </c>
      <c r="D3364" t="s">
        <v>7855</v>
      </c>
      <c r="E3364">
        <v>5202716400</v>
      </c>
      <c r="F3364" t="s">
        <v>780</v>
      </c>
      <c r="G3364" t="s">
        <v>781</v>
      </c>
      <c r="I3364" t="s">
        <v>20</v>
      </c>
      <c r="J3364" s="13">
        <v>45996</v>
      </c>
      <c r="K3364" s="13">
        <v>46023</v>
      </c>
      <c r="L3364" t="s">
        <v>1179</v>
      </c>
      <c r="M3364" t="s">
        <v>59</v>
      </c>
      <c r="N3364">
        <v>72493483</v>
      </c>
    </row>
    <row r="3365" spans="1:14" x14ac:dyDescent="0.25">
      <c r="A3365">
        <v>58724258</v>
      </c>
      <c r="B3365" t="s">
        <v>792</v>
      </c>
      <c r="C3365" t="s">
        <v>7856</v>
      </c>
      <c r="D3365" t="s">
        <v>7857</v>
      </c>
      <c r="E3365">
        <v>3365123529</v>
      </c>
      <c r="F3365" t="s">
        <v>592</v>
      </c>
      <c r="G3365" t="s">
        <v>593</v>
      </c>
      <c r="I3365" t="s">
        <v>115</v>
      </c>
      <c r="J3365" s="13">
        <v>45996</v>
      </c>
      <c r="K3365" s="13">
        <v>46023</v>
      </c>
      <c r="L3365" t="s">
        <v>603</v>
      </c>
      <c r="M3365" t="s">
        <v>59</v>
      </c>
      <c r="N3365">
        <v>72493592</v>
      </c>
    </row>
    <row r="3366" spans="1:14" x14ac:dyDescent="0.25">
      <c r="A3366">
        <v>58724362</v>
      </c>
      <c r="B3366" t="s">
        <v>7858</v>
      </c>
      <c r="C3366" t="s">
        <v>2291</v>
      </c>
      <c r="D3366" t="s">
        <v>7859</v>
      </c>
      <c r="E3366">
        <v>7733088442</v>
      </c>
      <c r="F3366" t="s">
        <v>1147</v>
      </c>
      <c r="G3366" t="s">
        <v>1148</v>
      </c>
      <c r="I3366" t="s">
        <v>41</v>
      </c>
      <c r="J3366" s="13">
        <v>45996</v>
      </c>
      <c r="K3366" s="13">
        <v>46023</v>
      </c>
      <c r="L3366" t="s">
        <v>470</v>
      </c>
      <c r="M3366" t="s">
        <v>62</v>
      </c>
      <c r="N3366">
        <v>72493656</v>
      </c>
    </row>
    <row r="3367" spans="1:14" x14ac:dyDescent="0.25">
      <c r="A3367">
        <v>58724600</v>
      </c>
      <c r="B3367" t="s">
        <v>6713</v>
      </c>
      <c r="C3367" t="s">
        <v>7860</v>
      </c>
      <c r="D3367" t="s">
        <v>7861</v>
      </c>
      <c r="E3367">
        <v>9568018806</v>
      </c>
      <c r="F3367" t="s">
        <v>815</v>
      </c>
      <c r="G3367" t="s">
        <v>816</v>
      </c>
      <c r="I3367" t="s">
        <v>23</v>
      </c>
      <c r="J3367" s="13">
        <v>45996</v>
      </c>
      <c r="K3367" s="13">
        <v>46023</v>
      </c>
      <c r="L3367" t="s">
        <v>444</v>
      </c>
      <c r="M3367" t="s">
        <v>55</v>
      </c>
      <c r="N3367">
        <v>72493770</v>
      </c>
    </row>
    <row r="3368" spans="1:14" x14ac:dyDescent="0.25">
      <c r="A3368">
        <v>58724695</v>
      </c>
      <c r="B3368" t="s">
        <v>7862</v>
      </c>
      <c r="C3368" t="s">
        <v>7863</v>
      </c>
      <c r="D3368" t="s">
        <v>7864</v>
      </c>
      <c r="E3368">
        <v>9043003125</v>
      </c>
      <c r="F3368" t="s">
        <v>7023</v>
      </c>
      <c r="G3368" t="s">
        <v>7024</v>
      </c>
      <c r="I3368" t="s">
        <v>7025</v>
      </c>
      <c r="J3368" s="13">
        <v>45996</v>
      </c>
      <c r="K3368" s="13">
        <v>46023</v>
      </c>
      <c r="L3368" t="s">
        <v>497</v>
      </c>
      <c r="M3368" t="s">
        <v>54</v>
      </c>
      <c r="N3368">
        <v>72493816</v>
      </c>
    </row>
    <row r="3369" spans="1:14" x14ac:dyDescent="0.25">
      <c r="A3369">
        <v>58724728</v>
      </c>
      <c r="B3369" t="s">
        <v>7865</v>
      </c>
      <c r="C3369" t="s">
        <v>7866</v>
      </c>
      <c r="D3369" t="s">
        <v>7867</v>
      </c>
      <c r="E3369">
        <v>4693158815</v>
      </c>
      <c r="F3369" t="s">
        <v>790</v>
      </c>
      <c r="G3369" t="s">
        <v>791</v>
      </c>
      <c r="I3369" t="s">
        <v>119</v>
      </c>
      <c r="J3369" s="13">
        <v>45996</v>
      </c>
      <c r="K3369" s="13">
        <v>46023</v>
      </c>
      <c r="L3369" t="s">
        <v>444</v>
      </c>
      <c r="M3369" t="s">
        <v>419</v>
      </c>
      <c r="N3369">
        <v>72493840</v>
      </c>
    </row>
    <row r="3370" spans="1:14" x14ac:dyDescent="0.25">
      <c r="A3370">
        <v>58724987</v>
      </c>
      <c r="B3370" t="s">
        <v>445</v>
      </c>
      <c r="C3370" t="s">
        <v>7868</v>
      </c>
      <c r="D3370" t="s">
        <v>7869</v>
      </c>
      <c r="E3370">
        <v>5202520751</v>
      </c>
      <c r="F3370" t="s">
        <v>6098</v>
      </c>
      <c r="G3370" t="s">
        <v>1213</v>
      </c>
      <c r="I3370" t="s">
        <v>21</v>
      </c>
      <c r="J3370" s="13">
        <v>45996</v>
      </c>
      <c r="K3370" s="13">
        <v>46023</v>
      </c>
      <c r="L3370" t="s">
        <v>1179</v>
      </c>
      <c r="M3370" t="s">
        <v>54</v>
      </c>
      <c r="N3370">
        <v>72494012</v>
      </c>
    </row>
    <row r="3371" spans="1:14" x14ac:dyDescent="0.25">
      <c r="A3371">
        <v>58727734</v>
      </c>
      <c r="B3371" t="s">
        <v>867</v>
      </c>
      <c r="C3371" t="s">
        <v>1053</v>
      </c>
      <c r="D3371" t="s">
        <v>7870</v>
      </c>
      <c r="E3371">
        <v>2702258238</v>
      </c>
      <c r="F3371" t="s">
        <v>474</v>
      </c>
      <c r="G3371" t="s">
        <v>475</v>
      </c>
      <c r="I3371" t="s">
        <v>132</v>
      </c>
      <c r="J3371" s="13">
        <v>45997</v>
      </c>
      <c r="K3371" s="13">
        <v>46023</v>
      </c>
      <c r="L3371" t="s">
        <v>490</v>
      </c>
      <c r="M3371" t="s">
        <v>56</v>
      </c>
      <c r="N3371">
        <v>72495970</v>
      </c>
    </row>
    <row r="3372" spans="1:14" x14ac:dyDescent="0.25">
      <c r="A3372">
        <v>58727893</v>
      </c>
      <c r="B3372" t="s">
        <v>580</v>
      </c>
      <c r="C3372" t="s">
        <v>7871</v>
      </c>
      <c r="D3372" t="s">
        <v>7872</v>
      </c>
      <c r="E3372">
        <v>3365902530</v>
      </c>
      <c r="F3372" t="s">
        <v>1067</v>
      </c>
      <c r="G3372" t="s">
        <v>1068</v>
      </c>
      <c r="I3372" t="s">
        <v>35</v>
      </c>
      <c r="J3372" s="13">
        <v>45997</v>
      </c>
      <c r="K3372" s="13">
        <v>46023</v>
      </c>
      <c r="L3372" t="s">
        <v>603</v>
      </c>
      <c r="M3372" t="s">
        <v>59</v>
      </c>
      <c r="N3372">
        <v>72496048</v>
      </c>
    </row>
    <row r="3373" spans="1:14" x14ac:dyDescent="0.25">
      <c r="A3373">
        <v>58728022</v>
      </c>
      <c r="B3373" t="s">
        <v>445</v>
      </c>
      <c r="C3373" t="s">
        <v>7873</v>
      </c>
      <c r="D3373" t="s">
        <v>7874</v>
      </c>
      <c r="E3373">
        <v>4806062792</v>
      </c>
      <c r="F3373" t="s">
        <v>448</v>
      </c>
      <c r="G3373" t="s">
        <v>449</v>
      </c>
      <c r="I3373" t="s">
        <v>31</v>
      </c>
      <c r="J3373" s="13">
        <v>45997</v>
      </c>
      <c r="K3373" s="13">
        <v>46023</v>
      </c>
      <c r="L3373" t="s">
        <v>1179</v>
      </c>
      <c r="M3373" t="s">
        <v>59</v>
      </c>
      <c r="N3373">
        <v>72496120</v>
      </c>
    </row>
    <row r="3374" spans="1:14" x14ac:dyDescent="0.25">
      <c r="A3374">
        <v>58728169</v>
      </c>
      <c r="B3374" t="s">
        <v>4458</v>
      </c>
      <c r="C3374" t="s">
        <v>5600</v>
      </c>
      <c r="D3374" t="s">
        <v>7875</v>
      </c>
      <c r="E3374">
        <v>7044172129</v>
      </c>
      <c r="F3374" t="s">
        <v>423</v>
      </c>
      <c r="G3374" t="s">
        <v>424</v>
      </c>
      <c r="I3374" t="s">
        <v>46</v>
      </c>
      <c r="J3374" s="13">
        <v>45997</v>
      </c>
      <c r="K3374" s="13">
        <v>46023</v>
      </c>
      <c r="L3374" t="s">
        <v>454</v>
      </c>
      <c r="M3374" t="s">
        <v>56</v>
      </c>
      <c r="N3374">
        <v>72496167</v>
      </c>
    </row>
    <row r="3375" spans="1:14" x14ac:dyDescent="0.25">
      <c r="A3375">
        <v>58728099</v>
      </c>
      <c r="B3375" t="s">
        <v>7876</v>
      </c>
      <c r="C3375" t="s">
        <v>4180</v>
      </c>
      <c r="D3375" t="s">
        <v>7877</v>
      </c>
      <c r="E3375">
        <v>9542057356</v>
      </c>
      <c r="F3375" t="s">
        <v>1142</v>
      </c>
      <c r="G3375" t="s">
        <v>1143</v>
      </c>
      <c r="I3375" t="s">
        <v>124</v>
      </c>
      <c r="J3375" s="13">
        <v>45997</v>
      </c>
      <c r="K3375" s="13">
        <v>46023</v>
      </c>
      <c r="L3375" t="s">
        <v>497</v>
      </c>
      <c r="M3375" t="s">
        <v>56</v>
      </c>
      <c r="N3375">
        <v>72496169</v>
      </c>
    </row>
    <row r="3376" spans="1:14" x14ac:dyDescent="0.25">
      <c r="A3376">
        <v>58728228</v>
      </c>
      <c r="B3376" t="s">
        <v>4305</v>
      </c>
      <c r="C3376" t="s">
        <v>2488</v>
      </c>
      <c r="D3376" t="s">
        <v>7878</v>
      </c>
      <c r="E3376">
        <v>5042940947</v>
      </c>
      <c r="F3376" t="s">
        <v>462</v>
      </c>
      <c r="G3376" t="s">
        <v>463</v>
      </c>
      <c r="I3376" t="s">
        <v>39</v>
      </c>
      <c r="J3376" s="13">
        <v>45997</v>
      </c>
      <c r="K3376" s="13">
        <v>46023</v>
      </c>
      <c r="L3376" t="s">
        <v>612</v>
      </c>
      <c r="M3376" t="s">
        <v>59</v>
      </c>
      <c r="N3376">
        <v>72496236</v>
      </c>
    </row>
    <row r="3377" spans="1:14" x14ac:dyDescent="0.25">
      <c r="A3377">
        <v>58728417</v>
      </c>
      <c r="B3377" t="s">
        <v>7879</v>
      </c>
      <c r="C3377" t="s">
        <v>3620</v>
      </c>
      <c r="D3377" t="s">
        <v>7880</v>
      </c>
      <c r="E3377">
        <v>3039362959</v>
      </c>
      <c r="F3377" t="s">
        <v>957</v>
      </c>
      <c r="G3377" t="s">
        <v>958</v>
      </c>
      <c r="H3377" t="s">
        <v>959</v>
      </c>
      <c r="I3377" t="s">
        <v>960</v>
      </c>
      <c r="J3377" s="13">
        <v>45997</v>
      </c>
      <c r="K3377" s="13">
        <v>46023</v>
      </c>
      <c r="L3377" t="s">
        <v>539</v>
      </c>
      <c r="M3377" t="s">
        <v>56</v>
      </c>
      <c r="N3377">
        <v>72496330</v>
      </c>
    </row>
    <row r="3378" spans="1:14" x14ac:dyDescent="0.25">
      <c r="A3378">
        <v>58728460</v>
      </c>
      <c r="B3378" t="s">
        <v>7881</v>
      </c>
      <c r="C3378" t="s">
        <v>7882</v>
      </c>
      <c r="D3378" t="s">
        <v>7883</v>
      </c>
      <c r="E3378">
        <v>5203707958</v>
      </c>
      <c r="F3378" t="s">
        <v>416</v>
      </c>
      <c r="G3378" t="s">
        <v>417</v>
      </c>
      <c r="I3378" t="s">
        <v>26</v>
      </c>
      <c r="J3378" s="13">
        <v>45997</v>
      </c>
      <c r="K3378" s="13">
        <v>46023</v>
      </c>
      <c r="L3378" t="s">
        <v>1179</v>
      </c>
      <c r="M3378" t="s">
        <v>54</v>
      </c>
      <c r="N3378">
        <v>72496354</v>
      </c>
    </row>
    <row r="3379" spans="1:14" x14ac:dyDescent="0.25">
      <c r="A3379">
        <v>58728487</v>
      </c>
      <c r="B3379" t="s">
        <v>7884</v>
      </c>
      <c r="C3379" t="s">
        <v>1865</v>
      </c>
      <c r="D3379" t="s">
        <v>7885</v>
      </c>
      <c r="E3379">
        <v>5126358997</v>
      </c>
      <c r="F3379" t="s">
        <v>537</v>
      </c>
      <c r="G3379" t="s">
        <v>538</v>
      </c>
      <c r="I3379" t="s">
        <v>49</v>
      </c>
      <c r="J3379" s="13">
        <v>45997</v>
      </c>
      <c r="K3379" s="13">
        <v>46023</v>
      </c>
      <c r="L3379" t="s">
        <v>444</v>
      </c>
      <c r="M3379" t="s">
        <v>56</v>
      </c>
      <c r="N3379">
        <v>72496381</v>
      </c>
    </row>
    <row r="3380" spans="1:14" x14ac:dyDescent="0.25">
      <c r="A3380">
        <v>58728513</v>
      </c>
      <c r="B3380" t="s">
        <v>1041</v>
      </c>
      <c r="C3380" t="s">
        <v>7886</v>
      </c>
      <c r="D3380" t="s">
        <v>7887</v>
      </c>
      <c r="E3380">
        <v>8133634382</v>
      </c>
      <c r="F3380" t="s">
        <v>1345</v>
      </c>
      <c r="G3380" t="s">
        <v>799</v>
      </c>
      <c r="I3380" t="s">
        <v>47</v>
      </c>
      <c r="J3380" s="13">
        <v>45997</v>
      </c>
      <c r="K3380" s="13">
        <v>46023</v>
      </c>
      <c r="L3380" t="s">
        <v>497</v>
      </c>
      <c r="M3380" t="s">
        <v>54</v>
      </c>
      <c r="N3380">
        <v>72496387</v>
      </c>
    </row>
    <row r="3381" spans="1:14" x14ac:dyDescent="0.25">
      <c r="A3381">
        <v>58728890</v>
      </c>
      <c r="B3381" t="s">
        <v>799</v>
      </c>
      <c r="C3381" t="s">
        <v>807</v>
      </c>
      <c r="D3381" t="s">
        <v>7888</v>
      </c>
      <c r="E3381">
        <v>2565131063</v>
      </c>
      <c r="F3381" t="s">
        <v>1013</v>
      </c>
      <c r="G3381" t="s">
        <v>1014</v>
      </c>
      <c r="I3381" t="s">
        <v>43</v>
      </c>
      <c r="J3381" s="13">
        <v>45997</v>
      </c>
      <c r="K3381" s="13">
        <v>46023</v>
      </c>
      <c r="L3381" t="s">
        <v>450</v>
      </c>
      <c r="M3381" t="s">
        <v>56</v>
      </c>
      <c r="N3381">
        <v>72496600</v>
      </c>
    </row>
    <row r="3382" spans="1:14" x14ac:dyDescent="0.25">
      <c r="A3382">
        <v>58729117</v>
      </c>
      <c r="B3382" t="s">
        <v>5592</v>
      </c>
      <c r="C3382" t="s">
        <v>7889</v>
      </c>
      <c r="D3382" t="s">
        <v>7890</v>
      </c>
      <c r="E3382">
        <v>8156876841</v>
      </c>
      <c r="F3382" t="s">
        <v>790</v>
      </c>
      <c r="G3382" t="s">
        <v>791</v>
      </c>
      <c r="I3382" t="s">
        <v>119</v>
      </c>
      <c r="J3382" s="13">
        <v>45997</v>
      </c>
      <c r="K3382" s="13">
        <v>46023</v>
      </c>
      <c r="L3382" t="s">
        <v>470</v>
      </c>
      <c r="M3382" t="s">
        <v>55</v>
      </c>
      <c r="N3382">
        <v>72496714</v>
      </c>
    </row>
    <row r="3383" spans="1:14" x14ac:dyDescent="0.25">
      <c r="A3383">
        <v>58729181</v>
      </c>
      <c r="B3383" t="s">
        <v>817</v>
      </c>
      <c r="C3383" t="s">
        <v>7891</v>
      </c>
      <c r="D3383" t="s">
        <v>7892</v>
      </c>
      <c r="E3383">
        <v>3529313872</v>
      </c>
      <c r="F3383" t="s">
        <v>423</v>
      </c>
      <c r="G3383" t="s">
        <v>424</v>
      </c>
      <c r="I3383" t="s">
        <v>46</v>
      </c>
      <c r="J3383" s="13">
        <v>45997</v>
      </c>
      <c r="K3383" s="13">
        <v>46023</v>
      </c>
      <c r="L3383" t="s">
        <v>497</v>
      </c>
      <c r="M3383" t="s">
        <v>56</v>
      </c>
      <c r="N3383">
        <v>72496720</v>
      </c>
    </row>
    <row r="3384" spans="1:14" x14ac:dyDescent="0.25">
      <c r="A3384">
        <v>58729250</v>
      </c>
      <c r="B3384" t="s">
        <v>4614</v>
      </c>
      <c r="C3384" t="s">
        <v>7893</v>
      </c>
      <c r="D3384" t="s">
        <v>7894</v>
      </c>
      <c r="E3384">
        <v>9854152623</v>
      </c>
      <c r="F3384" t="s">
        <v>615</v>
      </c>
      <c r="G3384" t="s">
        <v>616</v>
      </c>
      <c r="I3384" t="s">
        <v>617</v>
      </c>
      <c r="J3384" s="13">
        <v>45997</v>
      </c>
      <c r="K3384" s="13">
        <v>46023</v>
      </c>
      <c r="L3384" t="s">
        <v>612</v>
      </c>
      <c r="M3384" t="s">
        <v>56</v>
      </c>
      <c r="N3384">
        <v>72496810</v>
      </c>
    </row>
    <row r="3385" spans="1:14" x14ac:dyDescent="0.25">
      <c r="A3385">
        <v>58729373</v>
      </c>
      <c r="B3385" t="s">
        <v>7895</v>
      </c>
      <c r="C3385" t="s">
        <v>5013</v>
      </c>
      <c r="D3385" t="s">
        <v>7896</v>
      </c>
      <c r="E3385">
        <v>3523007715</v>
      </c>
      <c r="F3385" t="s">
        <v>474</v>
      </c>
      <c r="G3385" t="s">
        <v>475</v>
      </c>
      <c r="I3385" t="s">
        <v>132</v>
      </c>
      <c r="J3385" s="13">
        <v>45997</v>
      </c>
      <c r="K3385" s="13">
        <v>46023</v>
      </c>
      <c r="L3385" t="s">
        <v>497</v>
      </c>
      <c r="M3385" t="s">
        <v>56</v>
      </c>
      <c r="N3385">
        <v>72496895</v>
      </c>
    </row>
    <row r="3386" spans="1:14" x14ac:dyDescent="0.25">
      <c r="A3386">
        <v>58729379</v>
      </c>
      <c r="B3386" t="s">
        <v>2614</v>
      </c>
      <c r="C3386" t="s">
        <v>2219</v>
      </c>
      <c r="D3386" t="s">
        <v>7897</v>
      </c>
      <c r="E3386">
        <v>7277681596</v>
      </c>
      <c r="F3386" t="s">
        <v>462</v>
      </c>
      <c r="G3386" t="s">
        <v>463</v>
      </c>
      <c r="I3386" t="s">
        <v>39</v>
      </c>
      <c r="J3386" s="13">
        <v>45997</v>
      </c>
      <c r="K3386" s="13">
        <v>46023</v>
      </c>
      <c r="L3386" t="s">
        <v>497</v>
      </c>
      <c r="M3386" t="s">
        <v>56</v>
      </c>
      <c r="N3386">
        <v>72496897</v>
      </c>
    </row>
    <row r="3387" spans="1:14" x14ac:dyDescent="0.25">
      <c r="A3387">
        <v>58729504</v>
      </c>
      <c r="B3387" t="s">
        <v>1441</v>
      </c>
      <c r="C3387" t="s">
        <v>7898</v>
      </c>
      <c r="D3387" t="s">
        <v>7899</v>
      </c>
      <c r="E3387">
        <v>3046851967</v>
      </c>
      <c r="F3387" t="s">
        <v>957</v>
      </c>
      <c r="G3387" t="s">
        <v>958</v>
      </c>
      <c r="H3387" t="s">
        <v>959</v>
      </c>
      <c r="I3387" t="s">
        <v>960</v>
      </c>
      <c r="J3387" s="13">
        <v>45997</v>
      </c>
      <c r="K3387" s="13">
        <v>46023</v>
      </c>
      <c r="L3387" t="s">
        <v>1188</v>
      </c>
      <c r="M3387" t="s">
        <v>56</v>
      </c>
      <c r="N3387">
        <v>72496954</v>
      </c>
    </row>
    <row r="3388" spans="1:14" x14ac:dyDescent="0.25">
      <c r="A3388">
        <v>58729912</v>
      </c>
      <c r="B3388" t="s">
        <v>7900</v>
      </c>
      <c r="C3388" t="s">
        <v>7901</v>
      </c>
      <c r="D3388" t="s">
        <v>7902</v>
      </c>
      <c r="E3388">
        <v>2105355214</v>
      </c>
      <c r="F3388" t="s">
        <v>828</v>
      </c>
      <c r="G3388" t="s">
        <v>1148</v>
      </c>
      <c r="I3388" t="s">
        <v>17</v>
      </c>
      <c r="J3388" s="13">
        <v>45997</v>
      </c>
      <c r="K3388" s="13">
        <v>46023</v>
      </c>
      <c r="L3388" t="s">
        <v>444</v>
      </c>
      <c r="M3388" t="s">
        <v>58</v>
      </c>
      <c r="N3388">
        <v>72497206</v>
      </c>
    </row>
    <row r="3389" spans="1:14" x14ac:dyDescent="0.25">
      <c r="A3389">
        <v>58729949</v>
      </c>
      <c r="B3389" t="s">
        <v>1658</v>
      </c>
      <c r="C3389" t="s">
        <v>7903</v>
      </c>
      <c r="D3389" t="s">
        <v>7904</v>
      </c>
      <c r="E3389">
        <v>5613328222</v>
      </c>
      <c r="F3389" t="s">
        <v>775</v>
      </c>
      <c r="G3389" t="s">
        <v>776</v>
      </c>
      <c r="I3389" t="s">
        <v>22</v>
      </c>
      <c r="J3389" s="13">
        <v>45997</v>
      </c>
      <c r="K3389" s="13">
        <v>46023</v>
      </c>
      <c r="L3389" t="s">
        <v>497</v>
      </c>
      <c r="M3389" t="s">
        <v>56</v>
      </c>
      <c r="N3389">
        <v>72497226</v>
      </c>
    </row>
    <row r="3390" spans="1:14" x14ac:dyDescent="0.25">
      <c r="A3390">
        <v>58730243</v>
      </c>
      <c r="B3390" t="s">
        <v>6844</v>
      </c>
      <c r="C3390" t="s">
        <v>6312</v>
      </c>
      <c r="D3390" t="s">
        <v>7905</v>
      </c>
      <c r="E3390">
        <v>2192012133</v>
      </c>
      <c r="F3390" t="s">
        <v>438</v>
      </c>
      <c r="G3390" t="s">
        <v>439</v>
      </c>
      <c r="I3390" t="s">
        <v>38</v>
      </c>
      <c r="J3390" s="13">
        <v>45997</v>
      </c>
      <c r="K3390" s="13">
        <v>46023</v>
      </c>
      <c r="L3390" t="s">
        <v>440</v>
      </c>
      <c r="M3390" t="s">
        <v>62</v>
      </c>
      <c r="N3390">
        <v>72497379</v>
      </c>
    </row>
    <row r="3391" spans="1:14" x14ac:dyDescent="0.25">
      <c r="A3391">
        <v>58730312</v>
      </c>
      <c r="B3391" t="s">
        <v>1856</v>
      </c>
      <c r="C3391" t="s">
        <v>3144</v>
      </c>
      <c r="D3391" t="s">
        <v>7906</v>
      </c>
      <c r="E3391">
        <v>7735802416</v>
      </c>
      <c r="F3391" t="s">
        <v>578</v>
      </c>
      <c r="G3391" t="s">
        <v>579</v>
      </c>
      <c r="I3391" t="s">
        <v>15</v>
      </c>
      <c r="J3391" s="13">
        <v>45997</v>
      </c>
      <c r="K3391" s="13">
        <v>46023</v>
      </c>
      <c r="L3391" t="s">
        <v>470</v>
      </c>
      <c r="M3391" t="s">
        <v>62</v>
      </c>
      <c r="N3391">
        <v>72497405</v>
      </c>
    </row>
    <row r="3392" spans="1:14" x14ac:dyDescent="0.25">
      <c r="A3392">
        <v>58730542</v>
      </c>
      <c r="B3392" t="s">
        <v>3174</v>
      </c>
      <c r="C3392" t="s">
        <v>7907</v>
      </c>
      <c r="D3392" t="s">
        <v>7908</v>
      </c>
      <c r="E3392">
        <v>7205381964</v>
      </c>
      <c r="F3392" t="s">
        <v>423</v>
      </c>
      <c r="G3392" t="s">
        <v>424</v>
      </c>
      <c r="I3392" t="s">
        <v>46</v>
      </c>
      <c r="J3392" s="13">
        <v>45997</v>
      </c>
      <c r="K3392" s="13">
        <v>46023</v>
      </c>
      <c r="L3392" t="s">
        <v>539</v>
      </c>
      <c r="M3392" t="s">
        <v>56</v>
      </c>
      <c r="N3392">
        <v>72497427</v>
      </c>
    </row>
    <row r="3393" spans="1:14" x14ac:dyDescent="0.25">
      <c r="A3393">
        <v>58730359</v>
      </c>
      <c r="B3393" t="s">
        <v>7909</v>
      </c>
      <c r="C3393" t="s">
        <v>7910</v>
      </c>
      <c r="D3393" t="s">
        <v>7911</v>
      </c>
      <c r="E3393">
        <v>8152972615</v>
      </c>
      <c r="F3393" t="s">
        <v>628</v>
      </c>
      <c r="G3393" t="s">
        <v>629</v>
      </c>
      <c r="I3393" t="s">
        <v>24</v>
      </c>
      <c r="J3393" s="13">
        <v>45997</v>
      </c>
      <c r="K3393" s="13">
        <v>46023</v>
      </c>
      <c r="L3393" t="s">
        <v>470</v>
      </c>
      <c r="M3393" t="s">
        <v>60</v>
      </c>
      <c r="N3393">
        <v>72497442</v>
      </c>
    </row>
    <row r="3394" spans="1:14" x14ac:dyDescent="0.25">
      <c r="A3394">
        <v>58730399</v>
      </c>
      <c r="B3394" t="s">
        <v>3459</v>
      </c>
      <c r="C3394" t="s">
        <v>7912</v>
      </c>
      <c r="D3394" t="s">
        <v>7913</v>
      </c>
      <c r="E3394">
        <v>9045915174</v>
      </c>
      <c r="F3394" t="s">
        <v>1142</v>
      </c>
      <c r="G3394" t="s">
        <v>1143</v>
      </c>
      <c r="I3394" t="s">
        <v>124</v>
      </c>
      <c r="J3394" s="13">
        <v>45997</v>
      </c>
      <c r="K3394" s="13">
        <v>46023</v>
      </c>
      <c r="L3394" t="s">
        <v>497</v>
      </c>
      <c r="M3394" t="s">
        <v>56</v>
      </c>
      <c r="N3394">
        <v>72497469</v>
      </c>
    </row>
    <row r="3395" spans="1:14" x14ac:dyDescent="0.25">
      <c r="A3395">
        <v>58730596</v>
      </c>
      <c r="B3395" t="s">
        <v>2504</v>
      </c>
      <c r="C3395" t="s">
        <v>7914</v>
      </c>
      <c r="D3395" t="s">
        <v>7915</v>
      </c>
      <c r="E3395">
        <v>9286149881</v>
      </c>
      <c r="F3395" t="s">
        <v>1345</v>
      </c>
      <c r="G3395" t="s">
        <v>799</v>
      </c>
      <c r="I3395" t="s">
        <v>47</v>
      </c>
      <c r="J3395" s="13">
        <v>45997</v>
      </c>
      <c r="K3395" s="13">
        <v>46023</v>
      </c>
      <c r="L3395" t="s">
        <v>1179</v>
      </c>
      <c r="M3395" t="s">
        <v>54</v>
      </c>
      <c r="N3395">
        <v>72497552</v>
      </c>
    </row>
    <row r="3396" spans="1:14" x14ac:dyDescent="0.25">
      <c r="A3396">
        <v>58730623</v>
      </c>
      <c r="B3396" t="s">
        <v>7916</v>
      </c>
      <c r="C3396" t="s">
        <v>7917</v>
      </c>
      <c r="D3396" t="s">
        <v>7918</v>
      </c>
      <c r="E3396" t="s">
        <v>7919</v>
      </c>
      <c r="F3396" t="s">
        <v>474</v>
      </c>
      <c r="G3396" t="s">
        <v>475</v>
      </c>
      <c r="I3396" t="s">
        <v>132</v>
      </c>
      <c r="J3396" s="13">
        <v>45997</v>
      </c>
      <c r="K3396" s="13">
        <v>46023</v>
      </c>
      <c r="L3396" t="s">
        <v>539</v>
      </c>
      <c r="M3396" t="s">
        <v>58</v>
      </c>
      <c r="N3396">
        <v>72497561</v>
      </c>
    </row>
    <row r="3397" spans="1:14" x14ac:dyDescent="0.25">
      <c r="A3397">
        <v>58730728</v>
      </c>
      <c r="B3397" t="s">
        <v>2418</v>
      </c>
      <c r="C3397" t="s">
        <v>7920</v>
      </c>
      <c r="D3397" t="s">
        <v>7921</v>
      </c>
      <c r="E3397">
        <v>6025012744</v>
      </c>
      <c r="F3397" t="s">
        <v>416</v>
      </c>
      <c r="G3397" t="s">
        <v>417</v>
      </c>
      <c r="I3397" t="s">
        <v>26</v>
      </c>
      <c r="J3397" s="13">
        <v>45997</v>
      </c>
      <c r="K3397" s="13">
        <v>46023</v>
      </c>
      <c r="L3397" t="s">
        <v>1179</v>
      </c>
      <c r="M3397" t="s">
        <v>54</v>
      </c>
      <c r="N3397">
        <v>72497602</v>
      </c>
    </row>
    <row r="3398" spans="1:14" x14ac:dyDescent="0.25">
      <c r="A3398">
        <v>58730918</v>
      </c>
      <c r="B3398" t="s">
        <v>7922</v>
      </c>
      <c r="C3398" t="s">
        <v>7923</v>
      </c>
      <c r="D3398" t="s">
        <v>7924</v>
      </c>
      <c r="E3398">
        <v>3525895444</v>
      </c>
      <c r="F3398" t="s">
        <v>537</v>
      </c>
      <c r="G3398" t="s">
        <v>538</v>
      </c>
      <c r="I3398" t="s">
        <v>49</v>
      </c>
      <c r="J3398" s="13">
        <v>45997</v>
      </c>
      <c r="K3398" s="13">
        <v>46023</v>
      </c>
      <c r="L3398" t="s">
        <v>497</v>
      </c>
      <c r="M3398" t="s">
        <v>56</v>
      </c>
      <c r="N3398">
        <v>72497695</v>
      </c>
    </row>
    <row r="3399" spans="1:14" x14ac:dyDescent="0.25">
      <c r="A3399">
        <v>58731003</v>
      </c>
      <c r="B3399" t="s">
        <v>7925</v>
      </c>
      <c r="C3399" t="s">
        <v>7926</v>
      </c>
      <c r="D3399" t="s">
        <v>7927</v>
      </c>
      <c r="E3399">
        <v>7736648675</v>
      </c>
      <c r="F3399" t="s">
        <v>1147</v>
      </c>
      <c r="G3399" t="s">
        <v>1148</v>
      </c>
      <c r="I3399" t="s">
        <v>41</v>
      </c>
      <c r="J3399" s="13">
        <v>45997</v>
      </c>
      <c r="K3399" s="13">
        <v>46023</v>
      </c>
      <c r="L3399" t="s">
        <v>470</v>
      </c>
      <c r="M3399" t="s">
        <v>62</v>
      </c>
      <c r="N3399">
        <v>72497737</v>
      </c>
    </row>
    <row r="3400" spans="1:14" x14ac:dyDescent="0.25">
      <c r="A3400">
        <v>58731153</v>
      </c>
      <c r="B3400" t="s">
        <v>1482</v>
      </c>
      <c r="C3400" t="s">
        <v>7366</v>
      </c>
      <c r="D3400" t="s">
        <v>7928</v>
      </c>
      <c r="E3400">
        <v>7132928190</v>
      </c>
      <c r="F3400" t="s">
        <v>780</v>
      </c>
      <c r="G3400" t="s">
        <v>781</v>
      </c>
      <c r="I3400" t="s">
        <v>20</v>
      </c>
      <c r="J3400" s="13">
        <v>45997</v>
      </c>
      <c r="K3400" s="13">
        <v>46023</v>
      </c>
      <c r="L3400" t="s">
        <v>444</v>
      </c>
      <c r="M3400" t="s">
        <v>56</v>
      </c>
      <c r="N3400">
        <v>72497809</v>
      </c>
    </row>
    <row r="3401" spans="1:14" x14ac:dyDescent="0.25">
      <c r="A3401">
        <v>58731356</v>
      </c>
      <c r="B3401" t="s">
        <v>521</v>
      </c>
      <c r="C3401" t="s">
        <v>7929</v>
      </c>
      <c r="D3401" t="s">
        <v>7930</v>
      </c>
      <c r="E3401">
        <v>7725190855</v>
      </c>
      <c r="F3401" t="s">
        <v>462</v>
      </c>
      <c r="G3401" t="s">
        <v>463</v>
      </c>
      <c r="I3401" t="s">
        <v>39</v>
      </c>
      <c r="J3401" s="13">
        <v>45997</v>
      </c>
      <c r="K3401" s="13">
        <v>46023</v>
      </c>
      <c r="L3401" t="s">
        <v>497</v>
      </c>
      <c r="M3401" t="s">
        <v>54</v>
      </c>
      <c r="N3401">
        <v>72497917</v>
      </c>
    </row>
    <row r="3402" spans="1:14" x14ac:dyDescent="0.25">
      <c r="A3402">
        <v>58731411</v>
      </c>
      <c r="B3402" t="s">
        <v>5075</v>
      </c>
      <c r="C3402" t="s">
        <v>7931</v>
      </c>
      <c r="D3402" t="s">
        <v>7932</v>
      </c>
      <c r="E3402">
        <v>9012650120</v>
      </c>
      <c r="F3402" t="s">
        <v>569</v>
      </c>
      <c r="G3402" t="s">
        <v>570</v>
      </c>
      <c r="I3402" t="s">
        <v>34</v>
      </c>
      <c r="J3402" s="13">
        <v>45997</v>
      </c>
      <c r="K3402" s="13">
        <v>46023</v>
      </c>
      <c r="L3402" t="s">
        <v>479</v>
      </c>
      <c r="M3402" t="s">
        <v>62</v>
      </c>
      <c r="N3402">
        <v>72497940</v>
      </c>
    </row>
    <row r="3403" spans="1:14" x14ac:dyDescent="0.25">
      <c r="A3403">
        <v>58731477</v>
      </c>
      <c r="B3403" t="s">
        <v>7933</v>
      </c>
      <c r="C3403" t="s">
        <v>7934</v>
      </c>
      <c r="D3403" t="s">
        <v>7935</v>
      </c>
      <c r="E3403">
        <v>9132442546</v>
      </c>
      <c r="F3403" t="s">
        <v>1013</v>
      </c>
      <c r="G3403" t="s">
        <v>1014</v>
      </c>
      <c r="I3403" t="s">
        <v>43</v>
      </c>
      <c r="J3403" s="13">
        <v>45997</v>
      </c>
      <c r="K3403" s="13">
        <v>46023</v>
      </c>
      <c r="L3403" t="s">
        <v>553</v>
      </c>
      <c r="M3403" t="s">
        <v>56</v>
      </c>
      <c r="N3403">
        <v>72497982</v>
      </c>
    </row>
    <row r="3404" spans="1:14" x14ac:dyDescent="0.25">
      <c r="A3404">
        <v>58731515</v>
      </c>
      <c r="B3404" t="s">
        <v>7936</v>
      </c>
      <c r="C3404" t="s">
        <v>6443</v>
      </c>
      <c r="D3404" t="s">
        <v>7937</v>
      </c>
      <c r="E3404">
        <v>9015182447</v>
      </c>
      <c r="F3404" t="s">
        <v>790</v>
      </c>
      <c r="G3404" t="s">
        <v>791</v>
      </c>
      <c r="I3404" t="s">
        <v>119</v>
      </c>
      <c r="J3404" s="13">
        <v>45997</v>
      </c>
      <c r="K3404" s="13">
        <v>46023</v>
      </c>
      <c r="L3404" t="s">
        <v>479</v>
      </c>
      <c r="M3404" t="s">
        <v>61</v>
      </c>
      <c r="N3404">
        <v>72498003</v>
      </c>
    </row>
    <row r="3405" spans="1:14" x14ac:dyDescent="0.25">
      <c r="A3405">
        <v>58731712</v>
      </c>
      <c r="B3405" t="s">
        <v>4287</v>
      </c>
      <c r="C3405" t="s">
        <v>7938</v>
      </c>
      <c r="D3405" t="s">
        <v>7939</v>
      </c>
      <c r="E3405">
        <v>8045019026</v>
      </c>
      <c r="F3405" t="s">
        <v>615</v>
      </c>
      <c r="G3405" t="s">
        <v>616</v>
      </c>
      <c r="I3405" t="s">
        <v>617</v>
      </c>
      <c r="J3405" s="13">
        <v>45997</v>
      </c>
      <c r="K3405" s="13">
        <v>46023</v>
      </c>
      <c r="L3405" t="s">
        <v>454</v>
      </c>
      <c r="M3405" t="s">
        <v>55</v>
      </c>
      <c r="N3405">
        <v>72498125</v>
      </c>
    </row>
    <row r="3406" spans="1:14" x14ac:dyDescent="0.25">
      <c r="A3406">
        <v>58731956</v>
      </c>
      <c r="B3406" t="s">
        <v>672</v>
      </c>
      <c r="C3406" t="s">
        <v>7940</v>
      </c>
      <c r="D3406" t="s">
        <v>7941</v>
      </c>
      <c r="E3406">
        <v>7204807856</v>
      </c>
      <c r="F3406" t="s">
        <v>1067</v>
      </c>
      <c r="G3406" t="s">
        <v>1068</v>
      </c>
      <c r="I3406" t="s">
        <v>35</v>
      </c>
      <c r="J3406" s="13">
        <v>45997</v>
      </c>
      <c r="K3406" s="13">
        <v>46023</v>
      </c>
      <c r="L3406" t="s">
        <v>539</v>
      </c>
      <c r="M3406" t="s">
        <v>58</v>
      </c>
      <c r="N3406">
        <v>72498271</v>
      </c>
    </row>
    <row r="3407" spans="1:14" x14ac:dyDescent="0.25">
      <c r="A3407">
        <v>58731976</v>
      </c>
      <c r="B3407" t="s">
        <v>799</v>
      </c>
      <c r="C3407" t="s">
        <v>2281</v>
      </c>
      <c r="D3407" t="s">
        <v>7942</v>
      </c>
      <c r="E3407">
        <v>8169158919</v>
      </c>
      <c r="F3407" t="s">
        <v>592</v>
      </c>
      <c r="G3407" t="s">
        <v>593</v>
      </c>
      <c r="I3407" t="s">
        <v>115</v>
      </c>
      <c r="J3407" s="13">
        <v>45997</v>
      </c>
      <c r="K3407" s="13">
        <v>46023</v>
      </c>
      <c r="L3407" t="s">
        <v>434</v>
      </c>
      <c r="M3407" t="s">
        <v>59</v>
      </c>
      <c r="N3407">
        <v>72498279</v>
      </c>
    </row>
    <row r="3408" spans="1:14" x14ac:dyDescent="0.25">
      <c r="A3408">
        <v>58732591</v>
      </c>
      <c r="B3408" t="s">
        <v>517</v>
      </c>
      <c r="C3408" t="s">
        <v>423</v>
      </c>
      <c r="D3408" t="s">
        <v>7943</v>
      </c>
      <c r="E3408" t="s">
        <v>7944</v>
      </c>
      <c r="F3408" t="s">
        <v>423</v>
      </c>
      <c r="G3408" t="s">
        <v>424</v>
      </c>
      <c r="I3408" t="s">
        <v>46</v>
      </c>
      <c r="J3408" s="13">
        <v>45997</v>
      </c>
      <c r="K3408" s="13">
        <v>46023</v>
      </c>
      <c r="L3408" t="s">
        <v>1179</v>
      </c>
      <c r="M3408" t="s">
        <v>59</v>
      </c>
      <c r="N3408">
        <v>72498353</v>
      </c>
    </row>
    <row r="3409" spans="1:14" x14ac:dyDescent="0.25">
      <c r="A3409">
        <v>58732226</v>
      </c>
      <c r="B3409" t="s">
        <v>495</v>
      </c>
      <c r="C3409" t="s">
        <v>7945</v>
      </c>
      <c r="D3409" t="s">
        <v>7946</v>
      </c>
      <c r="E3409">
        <v>3528327040</v>
      </c>
      <c r="F3409" t="s">
        <v>828</v>
      </c>
      <c r="G3409" t="s">
        <v>1148</v>
      </c>
      <c r="I3409" t="s">
        <v>17</v>
      </c>
      <c r="J3409" s="13">
        <v>45997</v>
      </c>
      <c r="K3409" s="13">
        <v>46023</v>
      </c>
      <c r="L3409" t="s">
        <v>497</v>
      </c>
      <c r="M3409" t="s">
        <v>58</v>
      </c>
      <c r="N3409">
        <v>72498411</v>
      </c>
    </row>
    <row r="3410" spans="1:14" x14ac:dyDescent="0.25">
      <c r="A3410">
        <v>58732417</v>
      </c>
      <c r="B3410" t="s">
        <v>3490</v>
      </c>
      <c r="C3410" t="s">
        <v>7947</v>
      </c>
      <c r="D3410" t="s">
        <v>7948</v>
      </c>
      <c r="E3410">
        <v>7193696715</v>
      </c>
      <c r="F3410" t="s">
        <v>448</v>
      </c>
      <c r="G3410" t="s">
        <v>449</v>
      </c>
      <c r="I3410" t="s">
        <v>31</v>
      </c>
      <c r="J3410" s="13">
        <v>45997</v>
      </c>
      <c r="K3410" s="13">
        <v>46023</v>
      </c>
      <c r="L3410" t="s">
        <v>539</v>
      </c>
      <c r="M3410" t="s">
        <v>58</v>
      </c>
      <c r="N3410">
        <v>72498501</v>
      </c>
    </row>
    <row r="3411" spans="1:14" x14ac:dyDescent="0.25">
      <c r="A3411">
        <v>58732568</v>
      </c>
      <c r="B3411" t="s">
        <v>7949</v>
      </c>
      <c r="C3411" t="s">
        <v>7950</v>
      </c>
      <c r="D3411" t="s">
        <v>7951</v>
      </c>
      <c r="E3411">
        <v>6366780784</v>
      </c>
      <c r="F3411" t="s">
        <v>957</v>
      </c>
      <c r="G3411" t="s">
        <v>958</v>
      </c>
      <c r="H3411" t="s">
        <v>959</v>
      </c>
      <c r="I3411" t="s">
        <v>960</v>
      </c>
      <c r="J3411" s="13">
        <v>45997</v>
      </c>
      <c r="K3411" s="13">
        <v>46023</v>
      </c>
      <c r="L3411" t="s">
        <v>434</v>
      </c>
      <c r="M3411" t="s">
        <v>56</v>
      </c>
      <c r="N3411">
        <v>72498560</v>
      </c>
    </row>
    <row r="3412" spans="1:14" x14ac:dyDescent="0.25">
      <c r="A3412">
        <v>58733016</v>
      </c>
      <c r="B3412" t="s">
        <v>2041</v>
      </c>
      <c r="C3412" t="s">
        <v>957</v>
      </c>
      <c r="D3412" t="s">
        <v>7952</v>
      </c>
      <c r="E3412">
        <v>8138603780</v>
      </c>
      <c r="F3412" t="s">
        <v>416</v>
      </c>
      <c r="G3412" t="s">
        <v>417</v>
      </c>
      <c r="I3412" t="s">
        <v>26</v>
      </c>
      <c r="J3412" s="13">
        <v>45997</v>
      </c>
      <c r="K3412" s="13">
        <v>46023</v>
      </c>
      <c r="L3412" t="s">
        <v>497</v>
      </c>
      <c r="M3412" t="s">
        <v>58</v>
      </c>
      <c r="N3412">
        <v>72498589</v>
      </c>
    </row>
    <row r="3413" spans="1:14" x14ac:dyDescent="0.25">
      <c r="A3413">
        <v>58732928</v>
      </c>
      <c r="B3413" t="s">
        <v>7953</v>
      </c>
      <c r="C3413" t="s">
        <v>7954</v>
      </c>
      <c r="D3413" t="s">
        <v>7955</v>
      </c>
      <c r="E3413">
        <v>8502216711</v>
      </c>
      <c r="F3413" t="s">
        <v>551</v>
      </c>
      <c r="G3413" t="s">
        <v>552</v>
      </c>
      <c r="I3413" t="s">
        <v>42</v>
      </c>
      <c r="J3413" s="13">
        <v>45997</v>
      </c>
      <c r="K3413" s="13">
        <v>46023</v>
      </c>
      <c r="L3413" t="s">
        <v>497</v>
      </c>
      <c r="M3413" t="s">
        <v>56</v>
      </c>
      <c r="N3413">
        <v>72498755</v>
      </c>
    </row>
    <row r="3414" spans="1:14" x14ac:dyDescent="0.25">
      <c r="A3414">
        <v>58732894</v>
      </c>
      <c r="B3414" t="s">
        <v>7956</v>
      </c>
      <c r="C3414" t="s">
        <v>7957</v>
      </c>
      <c r="D3414" t="s">
        <v>7958</v>
      </c>
      <c r="E3414">
        <v>6232297417</v>
      </c>
      <c r="F3414" t="s">
        <v>1345</v>
      </c>
      <c r="G3414" t="s">
        <v>799</v>
      </c>
      <c r="I3414" t="s">
        <v>47</v>
      </c>
      <c r="J3414" s="13">
        <v>45997</v>
      </c>
      <c r="K3414" s="13">
        <v>46023</v>
      </c>
      <c r="L3414" t="s">
        <v>1179</v>
      </c>
      <c r="M3414" t="s">
        <v>59</v>
      </c>
      <c r="N3414">
        <v>72498760</v>
      </c>
    </row>
    <row r="3415" spans="1:14" x14ac:dyDescent="0.25">
      <c r="A3415">
        <v>58733411</v>
      </c>
      <c r="B3415" t="s">
        <v>2464</v>
      </c>
      <c r="C3415" t="s">
        <v>7959</v>
      </c>
      <c r="D3415" t="s">
        <v>7960</v>
      </c>
      <c r="E3415">
        <v>2172460505</v>
      </c>
      <c r="F3415" t="s">
        <v>705</v>
      </c>
      <c r="G3415" t="s">
        <v>706</v>
      </c>
      <c r="I3415" t="s">
        <v>12</v>
      </c>
      <c r="J3415" s="13">
        <v>45997</v>
      </c>
      <c r="K3415" s="13">
        <v>46023</v>
      </c>
      <c r="L3415" t="s">
        <v>470</v>
      </c>
      <c r="M3415" t="s">
        <v>61</v>
      </c>
      <c r="N3415">
        <v>72499028</v>
      </c>
    </row>
    <row r="3416" spans="1:14" x14ac:dyDescent="0.25">
      <c r="A3416">
        <v>58733427</v>
      </c>
      <c r="B3416" t="s">
        <v>1197</v>
      </c>
      <c r="C3416" t="s">
        <v>2482</v>
      </c>
      <c r="D3416" t="s">
        <v>7961</v>
      </c>
      <c r="E3416">
        <v>7575807757</v>
      </c>
      <c r="F3416" t="s">
        <v>615</v>
      </c>
      <c r="G3416" t="s">
        <v>616</v>
      </c>
      <c r="I3416" t="s">
        <v>617</v>
      </c>
      <c r="J3416" s="13">
        <v>45997</v>
      </c>
      <c r="K3416" s="13">
        <v>46023</v>
      </c>
      <c r="L3416" t="s">
        <v>454</v>
      </c>
      <c r="M3416" t="s">
        <v>56</v>
      </c>
      <c r="N3416">
        <v>72499030</v>
      </c>
    </row>
    <row r="3417" spans="1:14" x14ac:dyDescent="0.25">
      <c r="A3417">
        <v>61373361</v>
      </c>
      <c r="B3417" t="s">
        <v>1041</v>
      </c>
      <c r="C3417" t="s">
        <v>7962</v>
      </c>
      <c r="D3417" t="s">
        <v>7963</v>
      </c>
      <c r="E3417">
        <v>7083340218</v>
      </c>
      <c r="F3417" t="s">
        <v>578</v>
      </c>
      <c r="G3417" t="s">
        <v>579</v>
      </c>
      <c r="I3417" t="s">
        <v>15</v>
      </c>
      <c r="J3417" s="13">
        <v>46093</v>
      </c>
      <c r="K3417" s="13">
        <v>46113</v>
      </c>
      <c r="L3417" t="s">
        <v>470</v>
      </c>
      <c r="M3417" t="s">
        <v>62</v>
      </c>
      <c r="N3417">
        <v>72499154</v>
      </c>
    </row>
    <row r="3418" spans="1:14" x14ac:dyDescent="0.25">
      <c r="A3418">
        <v>58733601</v>
      </c>
      <c r="B3418" t="s">
        <v>1106</v>
      </c>
      <c r="C3418" t="s">
        <v>2482</v>
      </c>
      <c r="D3418" t="s">
        <v>7964</v>
      </c>
      <c r="E3418">
        <v>8635125057</v>
      </c>
      <c r="F3418" t="s">
        <v>474</v>
      </c>
      <c r="G3418" t="s">
        <v>475</v>
      </c>
      <c r="I3418" t="s">
        <v>132</v>
      </c>
      <c r="J3418" s="13">
        <v>45997</v>
      </c>
      <c r="K3418" s="13">
        <v>46023</v>
      </c>
      <c r="L3418" t="s">
        <v>497</v>
      </c>
      <c r="M3418" t="s">
        <v>56</v>
      </c>
      <c r="N3418">
        <v>72499168</v>
      </c>
    </row>
    <row r="3419" spans="1:14" x14ac:dyDescent="0.25">
      <c r="A3419">
        <v>58733620</v>
      </c>
      <c r="B3419" t="s">
        <v>604</v>
      </c>
      <c r="C3419" t="s">
        <v>7965</v>
      </c>
      <c r="D3419" t="s">
        <v>7966</v>
      </c>
      <c r="E3419">
        <v>7723235393</v>
      </c>
      <c r="F3419" t="s">
        <v>628</v>
      </c>
      <c r="G3419" t="s">
        <v>629</v>
      </c>
      <c r="I3419" t="s">
        <v>24</v>
      </c>
      <c r="J3419" s="13">
        <v>45997</v>
      </c>
      <c r="K3419" s="13">
        <v>46023</v>
      </c>
      <c r="L3419" t="s">
        <v>497</v>
      </c>
      <c r="M3419" t="s">
        <v>59</v>
      </c>
      <c r="N3419">
        <v>72499184</v>
      </c>
    </row>
    <row r="3420" spans="1:14" x14ac:dyDescent="0.25">
      <c r="A3420">
        <v>58733625</v>
      </c>
      <c r="B3420" t="s">
        <v>431</v>
      </c>
      <c r="C3420" t="s">
        <v>973</v>
      </c>
      <c r="D3420" t="s">
        <v>7967</v>
      </c>
      <c r="E3420">
        <v>6232969284</v>
      </c>
      <c r="F3420" t="s">
        <v>1013</v>
      </c>
      <c r="G3420" t="s">
        <v>1014</v>
      </c>
      <c r="I3420" t="s">
        <v>43</v>
      </c>
      <c r="J3420" s="13">
        <v>45997</v>
      </c>
      <c r="K3420" s="13">
        <v>46023</v>
      </c>
      <c r="L3420" t="s">
        <v>1179</v>
      </c>
      <c r="M3420" t="s">
        <v>61</v>
      </c>
      <c r="N3420">
        <v>72499188</v>
      </c>
    </row>
    <row r="3421" spans="1:14" x14ac:dyDescent="0.25">
      <c r="A3421">
        <v>58733714</v>
      </c>
      <c r="B3421" t="s">
        <v>809</v>
      </c>
      <c r="C3421" t="s">
        <v>4853</v>
      </c>
      <c r="D3421" t="s">
        <v>7968</v>
      </c>
      <c r="E3421">
        <v>7278511528</v>
      </c>
      <c r="F3421" t="s">
        <v>1067</v>
      </c>
      <c r="G3421" t="s">
        <v>1068</v>
      </c>
      <c r="I3421" t="s">
        <v>35</v>
      </c>
      <c r="J3421" s="13">
        <v>45997</v>
      </c>
      <c r="K3421" s="13">
        <v>46023</v>
      </c>
      <c r="L3421" t="s">
        <v>497</v>
      </c>
      <c r="M3421" t="s">
        <v>419</v>
      </c>
      <c r="N3421">
        <v>72499235</v>
      </c>
    </row>
    <row r="3422" spans="1:14" x14ac:dyDescent="0.25">
      <c r="A3422">
        <v>58733716</v>
      </c>
      <c r="B3422" t="s">
        <v>1864</v>
      </c>
      <c r="C3422" t="s">
        <v>3355</v>
      </c>
      <c r="D3422" t="s">
        <v>7969</v>
      </c>
      <c r="E3422">
        <v>8637016140</v>
      </c>
      <c r="F3422" t="s">
        <v>798</v>
      </c>
      <c r="G3422" t="s">
        <v>799</v>
      </c>
      <c r="I3422" t="s">
        <v>800</v>
      </c>
      <c r="J3422" s="13">
        <v>45997</v>
      </c>
      <c r="K3422" s="13">
        <v>46023</v>
      </c>
      <c r="L3422" t="s">
        <v>497</v>
      </c>
      <c r="M3422" t="s">
        <v>56</v>
      </c>
      <c r="N3422">
        <v>72499238</v>
      </c>
    </row>
    <row r="3423" spans="1:14" x14ac:dyDescent="0.25">
      <c r="A3423">
        <v>58733958</v>
      </c>
      <c r="B3423" t="s">
        <v>1666</v>
      </c>
      <c r="C3423" t="s">
        <v>7970</v>
      </c>
      <c r="D3423" t="s">
        <v>7971</v>
      </c>
      <c r="E3423">
        <v>8159997776</v>
      </c>
      <c r="F3423" t="s">
        <v>494</v>
      </c>
      <c r="G3423" t="s">
        <v>495</v>
      </c>
      <c r="I3423" t="s">
        <v>496</v>
      </c>
      <c r="J3423" s="13">
        <v>45997</v>
      </c>
      <c r="K3423" s="13">
        <v>46023</v>
      </c>
      <c r="L3423" t="s">
        <v>470</v>
      </c>
      <c r="M3423" t="s">
        <v>62</v>
      </c>
      <c r="N3423">
        <v>72499285</v>
      </c>
    </row>
    <row r="3424" spans="1:14" x14ac:dyDescent="0.25">
      <c r="A3424">
        <v>58734204</v>
      </c>
      <c r="B3424" t="s">
        <v>7972</v>
      </c>
      <c r="C3424" t="s">
        <v>7973</v>
      </c>
      <c r="D3424" t="s">
        <v>7974</v>
      </c>
      <c r="E3424" t="s">
        <v>7975</v>
      </c>
      <c r="F3424" t="s">
        <v>423</v>
      </c>
      <c r="G3424" t="s">
        <v>424</v>
      </c>
      <c r="I3424" t="s">
        <v>46</v>
      </c>
      <c r="J3424" s="13">
        <v>45997</v>
      </c>
      <c r="K3424" s="13">
        <v>46023</v>
      </c>
      <c r="L3424" t="s">
        <v>1179</v>
      </c>
      <c r="M3424" t="s">
        <v>54</v>
      </c>
      <c r="N3424">
        <v>72499367</v>
      </c>
    </row>
    <row r="3425" spans="1:14" x14ac:dyDescent="0.25">
      <c r="A3425">
        <v>58734140</v>
      </c>
      <c r="B3425" t="s">
        <v>1232</v>
      </c>
      <c r="C3425" t="s">
        <v>7976</v>
      </c>
      <c r="D3425" t="s">
        <v>7977</v>
      </c>
      <c r="E3425">
        <v>3866662316</v>
      </c>
      <c r="F3425" t="s">
        <v>537</v>
      </c>
      <c r="G3425" t="s">
        <v>538</v>
      </c>
      <c r="I3425" t="s">
        <v>49</v>
      </c>
      <c r="J3425" s="13">
        <v>45997</v>
      </c>
      <c r="K3425" s="13">
        <v>46023</v>
      </c>
      <c r="L3425" t="s">
        <v>497</v>
      </c>
      <c r="M3425" t="s">
        <v>56</v>
      </c>
      <c r="N3425">
        <v>72499381</v>
      </c>
    </row>
    <row r="3426" spans="1:14" x14ac:dyDescent="0.25">
      <c r="A3426">
        <v>62445533</v>
      </c>
      <c r="B3426" t="s">
        <v>7125</v>
      </c>
      <c r="C3426" t="s">
        <v>2482</v>
      </c>
      <c r="D3426" t="s">
        <v>7978</v>
      </c>
      <c r="E3426">
        <v>3093512027</v>
      </c>
      <c r="F3426" t="s">
        <v>448</v>
      </c>
      <c r="G3426" t="s">
        <v>449</v>
      </c>
      <c r="I3426" t="s">
        <v>31</v>
      </c>
      <c r="J3426" s="13">
        <v>46114</v>
      </c>
      <c r="K3426" s="13">
        <v>46143</v>
      </c>
      <c r="L3426" t="s">
        <v>470</v>
      </c>
      <c r="M3426" t="s">
        <v>61</v>
      </c>
      <c r="N3426">
        <v>72499426</v>
      </c>
    </row>
    <row r="3427" spans="1:14" x14ac:dyDescent="0.25">
      <c r="A3427">
        <v>58734298</v>
      </c>
      <c r="B3427" t="s">
        <v>7979</v>
      </c>
      <c r="C3427" t="s">
        <v>7980</v>
      </c>
      <c r="D3427" t="s">
        <v>7981</v>
      </c>
      <c r="E3427">
        <v>9043276610</v>
      </c>
      <c r="F3427" t="s">
        <v>815</v>
      </c>
      <c r="G3427" t="s">
        <v>816</v>
      </c>
      <c r="I3427" t="s">
        <v>23</v>
      </c>
      <c r="J3427" s="13">
        <v>45997</v>
      </c>
      <c r="K3427" s="13">
        <v>46023</v>
      </c>
      <c r="L3427" t="s">
        <v>497</v>
      </c>
      <c r="M3427" t="s">
        <v>56</v>
      </c>
      <c r="N3427">
        <v>72499465</v>
      </c>
    </row>
    <row r="3428" spans="1:14" x14ac:dyDescent="0.25">
      <c r="A3428">
        <v>58734396</v>
      </c>
      <c r="B3428" t="s">
        <v>7982</v>
      </c>
      <c r="C3428" t="s">
        <v>7983</v>
      </c>
      <c r="D3428" t="s">
        <v>7984</v>
      </c>
      <c r="E3428">
        <v>4343828511</v>
      </c>
      <c r="F3428" t="s">
        <v>649</v>
      </c>
      <c r="G3428" t="s">
        <v>650</v>
      </c>
      <c r="I3428" t="s">
        <v>28</v>
      </c>
      <c r="J3428" s="13">
        <v>45997</v>
      </c>
      <c r="K3428" s="13">
        <v>46023</v>
      </c>
      <c r="L3428" t="s">
        <v>454</v>
      </c>
      <c r="M3428" t="s">
        <v>58</v>
      </c>
      <c r="N3428">
        <v>72499518</v>
      </c>
    </row>
    <row r="3429" spans="1:14" x14ac:dyDescent="0.25">
      <c r="A3429">
        <v>60712407</v>
      </c>
      <c r="B3429" t="s">
        <v>2428</v>
      </c>
      <c r="C3429" t="s">
        <v>428</v>
      </c>
      <c r="D3429" t="s">
        <v>7985</v>
      </c>
      <c r="E3429" t="s">
        <v>7013</v>
      </c>
      <c r="F3429" t="s">
        <v>569</v>
      </c>
      <c r="G3429" t="s">
        <v>570</v>
      </c>
      <c r="I3429" t="s">
        <v>34</v>
      </c>
      <c r="J3429" s="13">
        <v>46072</v>
      </c>
      <c r="K3429" s="13">
        <v>46082</v>
      </c>
      <c r="L3429" t="s">
        <v>603</v>
      </c>
      <c r="M3429" t="s">
        <v>58</v>
      </c>
      <c r="N3429">
        <v>72499574</v>
      </c>
    </row>
    <row r="3430" spans="1:14" x14ac:dyDescent="0.25">
      <c r="A3430">
        <v>58734560</v>
      </c>
      <c r="B3430" t="s">
        <v>980</v>
      </c>
      <c r="C3430" t="s">
        <v>6360</v>
      </c>
      <c r="D3430" t="s">
        <v>7986</v>
      </c>
      <c r="E3430">
        <v>5209409075</v>
      </c>
      <c r="F3430" t="s">
        <v>775</v>
      </c>
      <c r="G3430" t="s">
        <v>776</v>
      </c>
      <c r="I3430" t="s">
        <v>22</v>
      </c>
      <c r="J3430" s="13">
        <v>45997</v>
      </c>
      <c r="K3430" s="13">
        <v>46023</v>
      </c>
      <c r="L3430" t="s">
        <v>1179</v>
      </c>
      <c r="M3430" t="s">
        <v>55</v>
      </c>
      <c r="N3430">
        <v>72499616</v>
      </c>
    </row>
    <row r="3431" spans="1:14" x14ac:dyDescent="0.25">
      <c r="A3431">
        <v>58734971</v>
      </c>
      <c r="B3431" t="s">
        <v>517</v>
      </c>
      <c r="C3431" t="s">
        <v>7987</v>
      </c>
      <c r="D3431" t="s">
        <v>7988</v>
      </c>
      <c r="E3431">
        <v>3184703826</v>
      </c>
      <c r="F3431" t="s">
        <v>592</v>
      </c>
      <c r="G3431" t="s">
        <v>593</v>
      </c>
      <c r="I3431" t="s">
        <v>115</v>
      </c>
      <c r="J3431" s="13">
        <v>45997</v>
      </c>
      <c r="K3431" s="13">
        <v>46023</v>
      </c>
      <c r="L3431" t="s">
        <v>612</v>
      </c>
      <c r="M3431" t="s">
        <v>58</v>
      </c>
      <c r="N3431">
        <v>72499860</v>
      </c>
    </row>
    <row r="3432" spans="1:14" x14ac:dyDescent="0.25">
      <c r="A3432">
        <v>58735047</v>
      </c>
      <c r="B3432" t="s">
        <v>7989</v>
      </c>
      <c r="C3432" t="s">
        <v>903</v>
      </c>
      <c r="D3432" t="s">
        <v>7990</v>
      </c>
      <c r="E3432">
        <v>6786985916</v>
      </c>
      <c r="F3432" t="s">
        <v>416</v>
      </c>
      <c r="G3432" t="s">
        <v>417</v>
      </c>
      <c r="I3432" t="s">
        <v>26</v>
      </c>
      <c r="J3432" s="13">
        <v>45997</v>
      </c>
      <c r="K3432" s="13">
        <v>46023</v>
      </c>
      <c r="L3432" t="s">
        <v>621</v>
      </c>
      <c r="M3432" t="s">
        <v>59</v>
      </c>
      <c r="N3432">
        <v>72499902</v>
      </c>
    </row>
    <row r="3433" spans="1:14" x14ac:dyDescent="0.25">
      <c r="A3433">
        <v>58735054</v>
      </c>
      <c r="B3433" t="s">
        <v>784</v>
      </c>
      <c r="C3433" t="s">
        <v>7991</v>
      </c>
      <c r="D3433" t="s">
        <v>7992</v>
      </c>
      <c r="E3433">
        <v>5619067777</v>
      </c>
      <c r="F3433" t="s">
        <v>462</v>
      </c>
      <c r="G3433" t="s">
        <v>463</v>
      </c>
      <c r="I3433" t="s">
        <v>39</v>
      </c>
      <c r="J3433" s="13">
        <v>45997</v>
      </c>
      <c r="K3433" s="13">
        <v>46023</v>
      </c>
      <c r="L3433" t="s">
        <v>497</v>
      </c>
      <c r="M3433" t="s">
        <v>59</v>
      </c>
      <c r="N3433">
        <v>72499913</v>
      </c>
    </row>
    <row r="3434" spans="1:14" x14ac:dyDescent="0.25">
      <c r="A3434">
        <v>58735182</v>
      </c>
      <c r="B3434" t="s">
        <v>1385</v>
      </c>
      <c r="C3434" t="s">
        <v>1287</v>
      </c>
      <c r="D3434" t="s">
        <v>7993</v>
      </c>
      <c r="E3434">
        <v>8084296221</v>
      </c>
      <c r="F3434" t="s">
        <v>4853</v>
      </c>
      <c r="G3434" t="s">
        <v>5017</v>
      </c>
      <c r="I3434" t="s">
        <v>5018</v>
      </c>
      <c r="J3434" s="13">
        <v>45997</v>
      </c>
      <c r="K3434" s="13">
        <v>46023</v>
      </c>
      <c r="L3434" t="s">
        <v>1179</v>
      </c>
      <c r="M3434" t="s">
        <v>54</v>
      </c>
      <c r="N3434">
        <v>72499970</v>
      </c>
    </row>
    <row r="3435" spans="1:14" x14ac:dyDescent="0.25">
      <c r="A3435">
        <v>58735198</v>
      </c>
      <c r="B3435" t="s">
        <v>1106</v>
      </c>
      <c r="C3435" t="s">
        <v>7994</v>
      </c>
      <c r="D3435" t="s">
        <v>7995</v>
      </c>
      <c r="E3435">
        <v>5755711761</v>
      </c>
      <c r="F3435" t="s">
        <v>4853</v>
      </c>
      <c r="G3435" t="s">
        <v>5017</v>
      </c>
      <c r="I3435" t="s">
        <v>5018</v>
      </c>
      <c r="J3435" s="13">
        <v>45997</v>
      </c>
      <c r="K3435" s="13">
        <v>46023</v>
      </c>
      <c r="L3435" t="s">
        <v>1179</v>
      </c>
      <c r="M3435" t="s">
        <v>54</v>
      </c>
      <c r="N3435">
        <v>72499979</v>
      </c>
    </row>
    <row r="3436" spans="1:14" x14ac:dyDescent="0.25">
      <c r="A3436">
        <v>58735345</v>
      </c>
      <c r="B3436" t="s">
        <v>7996</v>
      </c>
      <c r="C3436" t="s">
        <v>7997</v>
      </c>
      <c r="D3436" t="s">
        <v>7998</v>
      </c>
      <c r="E3436">
        <v>7855120527</v>
      </c>
      <c r="F3436" t="s">
        <v>957</v>
      </c>
      <c r="G3436" t="s">
        <v>958</v>
      </c>
      <c r="H3436" t="s">
        <v>959</v>
      </c>
      <c r="I3436" t="s">
        <v>960</v>
      </c>
      <c r="J3436" s="13">
        <v>45997</v>
      </c>
      <c r="K3436" s="13">
        <v>46023</v>
      </c>
      <c r="L3436" t="s">
        <v>520</v>
      </c>
      <c r="M3436" t="s">
        <v>56</v>
      </c>
      <c r="N3436">
        <v>72500040</v>
      </c>
    </row>
    <row r="3437" spans="1:14" x14ac:dyDescent="0.25">
      <c r="A3437">
        <v>58735489</v>
      </c>
      <c r="B3437" t="s">
        <v>1925</v>
      </c>
      <c r="C3437" t="s">
        <v>7999</v>
      </c>
      <c r="D3437" t="s">
        <v>8000</v>
      </c>
      <c r="E3437">
        <v>2569981779</v>
      </c>
      <c r="F3437" t="s">
        <v>615</v>
      </c>
      <c r="G3437" t="s">
        <v>616</v>
      </c>
      <c r="I3437" t="s">
        <v>617</v>
      </c>
      <c r="J3437" s="13">
        <v>45997</v>
      </c>
      <c r="K3437" s="13">
        <v>46023</v>
      </c>
      <c r="L3437" t="s">
        <v>450</v>
      </c>
      <c r="M3437" t="s">
        <v>59</v>
      </c>
      <c r="N3437">
        <v>72500127</v>
      </c>
    </row>
    <row r="3438" spans="1:14" x14ac:dyDescent="0.25">
      <c r="A3438">
        <v>58735543</v>
      </c>
      <c r="B3438" t="s">
        <v>8001</v>
      </c>
      <c r="C3438" t="s">
        <v>8002</v>
      </c>
      <c r="D3438" t="s">
        <v>8003</v>
      </c>
      <c r="E3438">
        <v>7274809940</v>
      </c>
      <c r="F3438" t="s">
        <v>1345</v>
      </c>
      <c r="G3438" t="s">
        <v>799</v>
      </c>
      <c r="I3438" t="s">
        <v>47</v>
      </c>
      <c r="J3438" s="13">
        <v>45997</v>
      </c>
      <c r="K3438" s="13">
        <v>46023</v>
      </c>
      <c r="L3438" t="s">
        <v>497</v>
      </c>
      <c r="M3438" t="s">
        <v>54</v>
      </c>
      <c r="N3438">
        <v>72500162</v>
      </c>
    </row>
    <row r="3439" spans="1:14" x14ac:dyDescent="0.25">
      <c r="A3439">
        <v>58735592</v>
      </c>
      <c r="B3439" t="s">
        <v>3995</v>
      </c>
      <c r="C3439" t="s">
        <v>8004</v>
      </c>
      <c r="D3439" t="s">
        <v>8005</v>
      </c>
      <c r="E3439">
        <v>8046150255</v>
      </c>
      <c r="F3439" t="s">
        <v>448</v>
      </c>
      <c r="G3439" t="s">
        <v>449</v>
      </c>
      <c r="I3439" t="s">
        <v>31</v>
      </c>
      <c r="J3439" s="13">
        <v>45997</v>
      </c>
      <c r="K3439" s="13">
        <v>46023</v>
      </c>
      <c r="L3439" t="s">
        <v>454</v>
      </c>
      <c r="M3439" t="s">
        <v>59</v>
      </c>
      <c r="N3439">
        <v>72500187</v>
      </c>
    </row>
    <row r="3440" spans="1:14" x14ac:dyDescent="0.25">
      <c r="A3440">
        <v>58735593</v>
      </c>
      <c r="B3440" t="s">
        <v>3548</v>
      </c>
      <c r="C3440" t="s">
        <v>8006</v>
      </c>
      <c r="D3440" t="s">
        <v>8007</v>
      </c>
      <c r="E3440">
        <v>6028854929</v>
      </c>
      <c r="F3440" t="s">
        <v>842</v>
      </c>
      <c r="G3440" t="s">
        <v>1213</v>
      </c>
      <c r="I3440" t="s">
        <v>1214</v>
      </c>
      <c r="J3440" s="13">
        <v>45997</v>
      </c>
      <c r="K3440" s="13">
        <v>46023</v>
      </c>
      <c r="L3440" t="s">
        <v>1179</v>
      </c>
      <c r="M3440" t="s">
        <v>56</v>
      </c>
      <c r="N3440">
        <v>72500190</v>
      </c>
    </row>
    <row r="3441" spans="1:14" x14ac:dyDescent="0.25">
      <c r="A3441">
        <v>58738698</v>
      </c>
      <c r="B3441" t="s">
        <v>3117</v>
      </c>
      <c r="C3441" t="s">
        <v>8008</v>
      </c>
      <c r="D3441" t="s">
        <v>8009</v>
      </c>
      <c r="E3441">
        <v>3212305376</v>
      </c>
      <c r="F3441" t="s">
        <v>474</v>
      </c>
      <c r="G3441" t="s">
        <v>475</v>
      </c>
      <c r="I3441" t="s">
        <v>132</v>
      </c>
      <c r="J3441" s="13">
        <v>45997</v>
      </c>
      <c r="K3441" s="13">
        <v>46023</v>
      </c>
      <c r="L3441" t="s">
        <v>497</v>
      </c>
      <c r="M3441" t="s">
        <v>60</v>
      </c>
      <c r="N3441">
        <v>72500202</v>
      </c>
    </row>
    <row r="3442" spans="1:14" x14ac:dyDescent="0.25">
      <c r="A3442">
        <v>58736061</v>
      </c>
      <c r="B3442" t="s">
        <v>980</v>
      </c>
      <c r="C3442" t="s">
        <v>8010</v>
      </c>
      <c r="D3442" t="s">
        <v>8011</v>
      </c>
      <c r="E3442">
        <v>7274096036</v>
      </c>
      <c r="F3442" t="s">
        <v>423</v>
      </c>
      <c r="G3442" t="s">
        <v>424</v>
      </c>
      <c r="I3442" t="s">
        <v>46</v>
      </c>
      <c r="J3442" s="13">
        <v>45997</v>
      </c>
      <c r="K3442" s="13">
        <v>46023</v>
      </c>
      <c r="L3442" t="s">
        <v>497</v>
      </c>
      <c r="M3442" t="s">
        <v>59</v>
      </c>
      <c r="N3442">
        <v>72500275</v>
      </c>
    </row>
    <row r="3443" spans="1:14" x14ac:dyDescent="0.25">
      <c r="A3443">
        <v>58735756</v>
      </c>
      <c r="B3443" t="s">
        <v>8012</v>
      </c>
      <c r="C3443" t="s">
        <v>8013</v>
      </c>
      <c r="D3443" t="s">
        <v>8014</v>
      </c>
      <c r="E3443">
        <v>2106329767</v>
      </c>
      <c r="F3443" t="s">
        <v>1013</v>
      </c>
      <c r="G3443" t="s">
        <v>1014</v>
      </c>
      <c r="I3443" t="s">
        <v>43</v>
      </c>
      <c r="J3443" s="13">
        <v>45997</v>
      </c>
      <c r="K3443" s="13">
        <v>46023</v>
      </c>
      <c r="L3443" t="s">
        <v>444</v>
      </c>
      <c r="M3443" t="s">
        <v>55</v>
      </c>
      <c r="N3443">
        <v>72500283</v>
      </c>
    </row>
    <row r="3444" spans="1:14" x14ac:dyDescent="0.25">
      <c r="A3444">
        <v>58736009</v>
      </c>
      <c r="B3444" t="s">
        <v>8015</v>
      </c>
      <c r="C3444" t="s">
        <v>1676</v>
      </c>
      <c r="D3444" t="s">
        <v>8016</v>
      </c>
      <c r="E3444" t="s">
        <v>8017</v>
      </c>
      <c r="F3444" t="s">
        <v>1147</v>
      </c>
      <c r="G3444" t="s">
        <v>1148</v>
      </c>
      <c r="I3444" t="s">
        <v>41</v>
      </c>
      <c r="J3444" s="13">
        <v>45997</v>
      </c>
      <c r="K3444" s="13">
        <v>46023</v>
      </c>
      <c r="L3444" t="s">
        <v>470</v>
      </c>
      <c r="M3444" t="s">
        <v>62</v>
      </c>
      <c r="N3444">
        <v>72500446</v>
      </c>
    </row>
    <row r="3445" spans="1:14" x14ac:dyDescent="0.25">
      <c r="A3445">
        <v>58736156</v>
      </c>
      <c r="B3445" t="s">
        <v>4844</v>
      </c>
      <c r="C3445" t="s">
        <v>8018</v>
      </c>
      <c r="D3445" t="s">
        <v>8019</v>
      </c>
      <c r="E3445">
        <v>9194997881</v>
      </c>
      <c r="F3445" t="s">
        <v>551</v>
      </c>
      <c r="G3445" t="s">
        <v>552</v>
      </c>
      <c r="I3445" t="s">
        <v>42</v>
      </c>
      <c r="J3445" s="13">
        <v>45997</v>
      </c>
      <c r="K3445" s="13">
        <v>46023</v>
      </c>
      <c r="L3445" t="s">
        <v>603</v>
      </c>
      <c r="M3445" t="s">
        <v>56</v>
      </c>
      <c r="N3445">
        <v>72500551</v>
      </c>
    </row>
    <row r="3446" spans="1:14" x14ac:dyDescent="0.25">
      <c r="A3446">
        <v>58736188</v>
      </c>
      <c r="B3446" t="s">
        <v>879</v>
      </c>
      <c r="C3446" t="s">
        <v>8020</v>
      </c>
      <c r="D3446" t="s">
        <v>8021</v>
      </c>
      <c r="E3446">
        <v>8707033551</v>
      </c>
      <c r="F3446" t="s">
        <v>1142</v>
      </c>
      <c r="G3446" t="s">
        <v>1143</v>
      </c>
      <c r="I3446" t="s">
        <v>124</v>
      </c>
      <c r="J3446" s="13">
        <v>45997</v>
      </c>
      <c r="K3446" s="13">
        <v>46023</v>
      </c>
      <c r="L3446" t="s">
        <v>553</v>
      </c>
      <c r="M3446" t="s">
        <v>56</v>
      </c>
      <c r="N3446">
        <v>72500578</v>
      </c>
    </row>
    <row r="3447" spans="1:14" x14ac:dyDescent="0.25">
      <c r="A3447">
        <v>58736345</v>
      </c>
      <c r="B3447" t="s">
        <v>651</v>
      </c>
      <c r="C3447" t="s">
        <v>8022</v>
      </c>
      <c r="D3447" t="s">
        <v>8023</v>
      </c>
      <c r="E3447">
        <v>4152007430</v>
      </c>
      <c r="F3447" t="s">
        <v>416</v>
      </c>
      <c r="G3447" t="s">
        <v>417</v>
      </c>
      <c r="I3447" t="s">
        <v>26</v>
      </c>
      <c r="J3447" s="13">
        <v>45997</v>
      </c>
      <c r="K3447" s="13">
        <v>46023</v>
      </c>
      <c r="L3447" t="s">
        <v>1179</v>
      </c>
      <c r="M3447" t="s">
        <v>54</v>
      </c>
      <c r="N3447">
        <v>72500653</v>
      </c>
    </row>
    <row r="3448" spans="1:14" x14ac:dyDescent="0.25">
      <c r="A3448">
        <v>58736812</v>
      </c>
      <c r="B3448" t="s">
        <v>8024</v>
      </c>
      <c r="C3448" t="s">
        <v>8025</v>
      </c>
      <c r="D3448" t="s">
        <v>8026</v>
      </c>
      <c r="E3448">
        <v>8133472777</v>
      </c>
      <c r="F3448" t="s">
        <v>462</v>
      </c>
      <c r="G3448" t="s">
        <v>463</v>
      </c>
      <c r="I3448" t="s">
        <v>39</v>
      </c>
      <c r="J3448" s="13">
        <v>45997</v>
      </c>
      <c r="K3448" s="13">
        <v>46023</v>
      </c>
      <c r="L3448" t="s">
        <v>497</v>
      </c>
      <c r="M3448" t="s">
        <v>56</v>
      </c>
      <c r="N3448">
        <v>72500927</v>
      </c>
    </row>
    <row r="3449" spans="1:14" x14ac:dyDescent="0.25">
      <c r="A3449">
        <v>58736821</v>
      </c>
      <c r="B3449" t="s">
        <v>636</v>
      </c>
      <c r="C3449" t="s">
        <v>8027</v>
      </c>
      <c r="D3449" t="s">
        <v>8028</v>
      </c>
      <c r="E3449">
        <v>7542422538</v>
      </c>
      <c r="F3449" t="s">
        <v>928</v>
      </c>
      <c r="G3449" t="s">
        <v>929</v>
      </c>
      <c r="I3449" t="s">
        <v>30</v>
      </c>
      <c r="J3449" s="13">
        <v>45997</v>
      </c>
      <c r="K3449" s="13">
        <v>46023</v>
      </c>
      <c r="L3449" t="s">
        <v>497</v>
      </c>
      <c r="M3449" t="s">
        <v>56</v>
      </c>
      <c r="N3449">
        <v>72500932</v>
      </c>
    </row>
    <row r="3450" spans="1:14" x14ac:dyDescent="0.25">
      <c r="A3450">
        <v>58736845</v>
      </c>
      <c r="B3450" t="s">
        <v>7386</v>
      </c>
      <c r="C3450" t="s">
        <v>8029</v>
      </c>
      <c r="D3450" t="s">
        <v>8030</v>
      </c>
      <c r="E3450">
        <v>7864270392</v>
      </c>
      <c r="F3450" t="s">
        <v>828</v>
      </c>
      <c r="G3450" t="s">
        <v>1148</v>
      </c>
      <c r="I3450" t="s">
        <v>17</v>
      </c>
      <c r="J3450" s="13">
        <v>45997</v>
      </c>
      <c r="K3450" s="13">
        <v>46023</v>
      </c>
      <c r="L3450" t="s">
        <v>497</v>
      </c>
      <c r="M3450" t="s">
        <v>58</v>
      </c>
      <c r="N3450">
        <v>72500954</v>
      </c>
    </row>
    <row r="3451" spans="1:14" x14ac:dyDescent="0.25">
      <c r="A3451">
        <v>58737077</v>
      </c>
      <c r="B3451" t="s">
        <v>8031</v>
      </c>
      <c r="C3451" t="s">
        <v>428</v>
      </c>
      <c r="D3451" t="s">
        <v>8032</v>
      </c>
      <c r="E3451" t="s">
        <v>7013</v>
      </c>
      <c r="F3451" t="s">
        <v>569</v>
      </c>
      <c r="G3451" t="s">
        <v>570</v>
      </c>
      <c r="I3451" t="s">
        <v>34</v>
      </c>
      <c r="J3451" s="13">
        <v>45997</v>
      </c>
      <c r="K3451" s="13">
        <v>46023</v>
      </c>
      <c r="L3451" t="s">
        <v>603</v>
      </c>
      <c r="M3451" t="s">
        <v>56</v>
      </c>
      <c r="N3451">
        <v>72500957</v>
      </c>
    </row>
    <row r="3452" spans="1:14" x14ac:dyDescent="0.25">
      <c r="A3452">
        <v>58737226</v>
      </c>
      <c r="B3452" t="s">
        <v>1316</v>
      </c>
      <c r="C3452" t="s">
        <v>2409</v>
      </c>
      <c r="D3452" t="s">
        <v>8033</v>
      </c>
      <c r="E3452">
        <v>4802214530</v>
      </c>
      <c r="F3452" t="s">
        <v>4853</v>
      </c>
      <c r="G3452" t="s">
        <v>5017</v>
      </c>
      <c r="I3452" t="s">
        <v>5018</v>
      </c>
      <c r="J3452" s="13">
        <v>45997</v>
      </c>
      <c r="K3452" s="13">
        <v>46023</v>
      </c>
      <c r="L3452" t="s">
        <v>1179</v>
      </c>
      <c r="M3452" t="s">
        <v>55</v>
      </c>
      <c r="N3452">
        <v>72501229</v>
      </c>
    </row>
    <row r="3453" spans="1:14" x14ac:dyDescent="0.25">
      <c r="A3453">
        <v>58737264</v>
      </c>
      <c r="B3453" t="s">
        <v>1699</v>
      </c>
      <c r="C3453" t="s">
        <v>2133</v>
      </c>
      <c r="D3453" t="s">
        <v>8034</v>
      </c>
      <c r="E3453">
        <v>3125818476</v>
      </c>
      <c r="F3453" t="s">
        <v>578</v>
      </c>
      <c r="G3453" t="s">
        <v>579</v>
      </c>
      <c r="I3453" t="s">
        <v>15</v>
      </c>
      <c r="J3453" s="13">
        <v>45997</v>
      </c>
      <c r="K3453" s="13">
        <v>46023</v>
      </c>
      <c r="L3453" t="s">
        <v>470</v>
      </c>
      <c r="M3453" t="s">
        <v>62</v>
      </c>
      <c r="N3453">
        <v>72501237</v>
      </c>
    </row>
    <row r="3454" spans="1:14" x14ac:dyDescent="0.25">
      <c r="A3454">
        <v>58737253</v>
      </c>
      <c r="B3454" t="s">
        <v>431</v>
      </c>
      <c r="C3454" t="s">
        <v>8035</v>
      </c>
      <c r="D3454" t="s">
        <v>8036</v>
      </c>
      <c r="E3454">
        <v>3528700079</v>
      </c>
      <c r="F3454" t="s">
        <v>615</v>
      </c>
      <c r="G3454" t="s">
        <v>616</v>
      </c>
      <c r="I3454" t="s">
        <v>617</v>
      </c>
      <c r="J3454" s="13">
        <v>45997</v>
      </c>
      <c r="K3454" s="13">
        <v>46023</v>
      </c>
      <c r="L3454" t="s">
        <v>497</v>
      </c>
      <c r="M3454" t="s">
        <v>56</v>
      </c>
      <c r="N3454">
        <v>72501251</v>
      </c>
    </row>
    <row r="3455" spans="1:14" x14ac:dyDescent="0.25">
      <c r="A3455">
        <v>58737362</v>
      </c>
      <c r="B3455" t="s">
        <v>7438</v>
      </c>
      <c r="C3455" t="s">
        <v>8037</v>
      </c>
      <c r="D3455" t="s">
        <v>8038</v>
      </c>
      <c r="E3455">
        <v>8503481918</v>
      </c>
      <c r="F3455" t="s">
        <v>592</v>
      </c>
      <c r="G3455" t="s">
        <v>593</v>
      </c>
      <c r="I3455" t="s">
        <v>115</v>
      </c>
      <c r="J3455" s="13">
        <v>45997</v>
      </c>
      <c r="K3455" s="13">
        <v>46023</v>
      </c>
      <c r="L3455" t="s">
        <v>497</v>
      </c>
      <c r="M3455" t="s">
        <v>58</v>
      </c>
      <c r="N3455">
        <v>72501331</v>
      </c>
    </row>
    <row r="3456" spans="1:14" x14ac:dyDescent="0.25">
      <c r="A3456">
        <v>58737525</v>
      </c>
      <c r="B3456" t="s">
        <v>8039</v>
      </c>
      <c r="C3456" t="s">
        <v>8040</v>
      </c>
      <c r="D3456" t="s">
        <v>8041</v>
      </c>
      <c r="E3456">
        <v>3054017684</v>
      </c>
      <c r="F3456" t="s">
        <v>462</v>
      </c>
      <c r="G3456" t="s">
        <v>463</v>
      </c>
      <c r="I3456" t="s">
        <v>39</v>
      </c>
      <c r="J3456" s="13">
        <v>45997</v>
      </c>
      <c r="K3456" s="13">
        <v>46023</v>
      </c>
      <c r="L3456" t="s">
        <v>497</v>
      </c>
      <c r="M3456" t="s">
        <v>54</v>
      </c>
      <c r="N3456">
        <v>72501423</v>
      </c>
    </row>
    <row r="3457" spans="1:14" x14ac:dyDescent="0.25">
      <c r="A3457">
        <v>58737666</v>
      </c>
      <c r="B3457" t="s">
        <v>431</v>
      </c>
      <c r="C3457" t="s">
        <v>8042</v>
      </c>
      <c r="D3457" t="s">
        <v>8043</v>
      </c>
      <c r="E3457">
        <v>8136909743</v>
      </c>
      <c r="F3457" t="s">
        <v>416</v>
      </c>
      <c r="G3457" t="s">
        <v>417</v>
      </c>
      <c r="I3457" t="s">
        <v>26</v>
      </c>
      <c r="J3457" s="13">
        <v>45997</v>
      </c>
      <c r="K3457" s="13">
        <v>46023</v>
      </c>
      <c r="L3457" t="s">
        <v>497</v>
      </c>
      <c r="M3457" t="s">
        <v>56</v>
      </c>
      <c r="N3457">
        <v>72501504</v>
      </c>
    </row>
    <row r="3458" spans="1:14" x14ac:dyDescent="0.25">
      <c r="A3458">
        <v>58737671</v>
      </c>
      <c r="B3458" t="s">
        <v>8044</v>
      </c>
      <c r="C3458" t="s">
        <v>4137</v>
      </c>
      <c r="D3458" t="s">
        <v>8045</v>
      </c>
      <c r="E3458">
        <v>3525462187</v>
      </c>
      <c r="F3458" t="s">
        <v>780</v>
      </c>
      <c r="G3458" t="s">
        <v>781</v>
      </c>
      <c r="I3458" t="s">
        <v>20</v>
      </c>
      <c r="J3458" s="13">
        <v>45997</v>
      </c>
      <c r="K3458" s="13">
        <v>46023</v>
      </c>
      <c r="L3458" t="s">
        <v>497</v>
      </c>
      <c r="M3458" t="s">
        <v>56</v>
      </c>
      <c r="N3458">
        <v>72501519</v>
      </c>
    </row>
    <row r="3459" spans="1:14" x14ac:dyDescent="0.25">
      <c r="A3459">
        <v>58737838</v>
      </c>
      <c r="B3459" t="s">
        <v>8046</v>
      </c>
      <c r="C3459" t="s">
        <v>8047</v>
      </c>
      <c r="D3459" t="s">
        <v>8048</v>
      </c>
      <c r="E3459">
        <v>9046513478</v>
      </c>
      <c r="F3459" t="s">
        <v>815</v>
      </c>
      <c r="G3459" t="s">
        <v>816</v>
      </c>
      <c r="I3459" t="s">
        <v>23</v>
      </c>
      <c r="J3459" s="13">
        <v>45997</v>
      </c>
      <c r="K3459" s="13">
        <v>46023</v>
      </c>
      <c r="L3459" t="s">
        <v>497</v>
      </c>
      <c r="M3459" t="s">
        <v>60</v>
      </c>
      <c r="N3459">
        <v>72501603</v>
      </c>
    </row>
    <row r="3460" spans="1:14" x14ac:dyDescent="0.25">
      <c r="A3460">
        <v>58737885</v>
      </c>
      <c r="B3460" t="s">
        <v>8049</v>
      </c>
      <c r="C3460" t="s">
        <v>2544</v>
      </c>
      <c r="D3460" t="s">
        <v>8050</v>
      </c>
      <c r="F3460" t="s">
        <v>649</v>
      </c>
      <c r="G3460" t="s">
        <v>650</v>
      </c>
      <c r="I3460" t="s">
        <v>28</v>
      </c>
      <c r="J3460" s="13">
        <v>45997</v>
      </c>
      <c r="K3460" s="13">
        <v>46023</v>
      </c>
      <c r="L3460" t="s">
        <v>612</v>
      </c>
      <c r="M3460" t="s">
        <v>58</v>
      </c>
      <c r="N3460">
        <v>72501625</v>
      </c>
    </row>
    <row r="3461" spans="1:14" x14ac:dyDescent="0.25">
      <c r="A3461">
        <v>58737906</v>
      </c>
      <c r="B3461" t="s">
        <v>1978</v>
      </c>
      <c r="C3461" t="s">
        <v>688</v>
      </c>
      <c r="D3461" t="s">
        <v>8051</v>
      </c>
      <c r="E3461">
        <v>6026161408</v>
      </c>
      <c r="F3461" t="s">
        <v>4853</v>
      </c>
      <c r="G3461" t="s">
        <v>5017</v>
      </c>
      <c r="I3461" t="s">
        <v>5018</v>
      </c>
      <c r="J3461" s="13">
        <v>45997</v>
      </c>
      <c r="K3461" s="13">
        <v>46023</v>
      </c>
      <c r="L3461" t="s">
        <v>1179</v>
      </c>
      <c r="M3461" t="s">
        <v>55</v>
      </c>
      <c r="N3461">
        <v>72501639</v>
      </c>
    </row>
    <row r="3462" spans="1:14" x14ac:dyDescent="0.25">
      <c r="A3462">
        <v>58737925</v>
      </c>
      <c r="B3462" t="s">
        <v>431</v>
      </c>
      <c r="C3462" t="s">
        <v>8052</v>
      </c>
      <c r="D3462" t="s">
        <v>8053</v>
      </c>
      <c r="E3462">
        <v>8506240065</v>
      </c>
      <c r="F3462" t="s">
        <v>1067</v>
      </c>
      <c r="G3462" t="s">
        <v>1068</v>
      </c>
      <c r="I3462" t="s">
        <v>35</v>
      </c>
      <c r="J3462" s="13">
        <v>45997</v>
      </c>
      <c r="K3462" s="13">
        <v>46023</v>
      </c>
      <c r="L3462" t="s">
        <v>497</v>
      </c>
      <c r="M3462" t="s">
        <v>58</v>
      </c>
      <c r="N3462">
        <v>72501653</v>
      </c>
    </row>
    <row r="3463" spans="1:14" x14ac:dyDescent="0.25">
      <c r="A3463">
        <v>58738211</v>
      </c>
      <c r="B3463" t="s">
        <v>1835</v>
      </c>
      <c r="C3463" t="s">
        <v>3374</v>
      </c>
      <c r="D3463" t="s">
        <v>8054</v>
      </c>
      <c r="E3463">
        <v>6789723237</v>
      </c>
      <c r="F3463" t="s">
        <v>551</v>
      </c>
      <c r="G3463" t="s">
        <v>552</v>
      </c>
      <c r="I3463" t="s">
        <v>42</v>
      </c>
      <c r="J3463" s="13">
        <v>45997</v>
      </c>
      <c r="K3463" s="13">
        <v>46023</v>
      </c>
      <c r="L3463" t="s">
        <v>621</v>
      </c>
      <c r="M3463" t="s">
        <v>55</v>
      </c>
      <c r="N3463">
        <v>72501831</v>
      </c>
    </row>
    <row r="3464" spans="1:14" x14ac:dyDescent="0.25">
      <c r="A3464">
        <v>58738229</v>
      </c>
      <c r="B3464" t="s">
        <v>521</v>
      </c>
      <c r="C3464" t="s">
        <v>8055</v>
      </c>
      <c r="D3464" t="s">
        <v>8056</v>
      </c>
      <c r="E3464">
        <v>9287191028</v>
      </c>
      <c r="F3464" t="s">
        <v>775</v>
      </c>
      <c r="G3464" t="s">
        <v>776</v>
      </c>
      <c r="I3464" t="s">
        <v>22</v>
      </c>
      <c r="J3464" s="13">
        <v>45997</v>
      </c>
      <c r="K3464" s="13">
        <v>46023</v>
      </c>
      <c r="L3464" t="s">
        <v>1179</v>
      </c>
      <c r="M3464" t="s">
        <v>54</v>
      </c>
      <c r="N3464">
        <v>72501858</v>
      </c>
    </row>
    <row r="3465" spans="1:14" x14ac:dyDescent="0.25">
      <c r="A3465">
        <v>58738314</v>
      </c>
      <c r="B3465" t="s">
        <v>1399</v>
      </c>
      <c r="C3465" t="s">
        <v>8057</v>
      </c>
      <c r="D3465" t="s">
        <v>8058</v>
      </c>
      <c r="E3465">
        <v>5613311999</v>
      </c>
      <c r="F3465" t="s">
        <v>615</v>
      </c>
      <c r="G3465" t="s">
        <v>616</v>
      </c>
      <c r="I3465" t="s">
        <v>617</v>
      </c>
      <c r="J3465" s="13">
        <v>45997</v>
      </c>
      <c r="K3465" s="13">
        <v>46023</v>
      </c>
      <c r="L3465" t="s">
        <v>497</v>
      </c>
      <c r="M3465" t="s">
        <v>60</v>
      </c>
      <c r="N3465">
        <v>72501929</v>
      </c>
    </row>
    <row r="3466" spans="1:14" x14ac:dyDescent="0.25">
      <c r="A3466">
        <v>58738407</v>
      </c>
      <c r="B3466" t="s">
        <v>8059</v>
      </c>
      <c r="C3466" t="s">
        <v>8060</v>
      </c>
      <c r="D3466" t="s">
        <v>8061</v>
      </c>
      <c r="E3466">
        <v>8634516403</v>
      </c>
      <c r="F3466" t="s">
        <v>780</v>
      </c>
      <c r="G3466" t="s">
        <v>781</v>
      </c>
      <c r="I3466" t="s">
        <v>20</v>
      </c>
      <c r="J3466" s="13">
        <v>45997</v>
      </c>
      <c r="K3466" s="13">
        <v>46023</v>
      </c>
      <c r="L3466" t="s">
        <v>497</v>
      </c>
      <c r="M3466" t="s">
        <v>58</v>
      </c>
      <c r="N3466">
        <v>72502001</v>
      </c>
    </row>
    <row r="3467" spans="1:14" x14ac:dyDescent="0.25">
      <c r="A3467">
        <v>58738556</v>
      </c>
      <c r="B3467" t="s">
        <v>1905</v>
      </c>
      <c r="C3467" t="s">
        <v>8062</v>
      </c>
      <c r="D3467" t="s">
        <v>8063</v>
      </c>
      <c r="E3467">
        <v>6027223510</v>
      </c>
      <c r="F3467" t="s">
        <v>842</v>
      </c>
      <c r="G3467" t="s">
        <v>1213</v>
      </c>
      <c r="I3467" t="s">
        <v>1214</v>
      </c>
      <c r="J3467" s="13">
        <v>45997</v>
      </c>
      <c r="K3467" s="13">
        <v>46023</v>
      </c>
      <c r="L3467" t="s">
        <v>1179</v>
      </c>
      <c r="M3467" t="s">
        <v>54</v>
      </c>
      <c r="N3467">
        <v>72502101</v>
      </c>
    </row>
    <row r="3468" spans="1:14" x14ac:dyDescent="0.25">
      <c r="A3468">
        <v>58738781</v>
      </c>
      <c r="B3468" t="s">
        <v>748</v>
      </c>
      <c r="C3468" t="s">
        <v>8064</v>
      </c>
      <c r="D3468" t="s">
        <v>8065</v>
      </c>
      <c r="E3468">
        <v>9044372477</v>
      </c>
      <c r="F3468" t="s">
        <v>1345</v>
      </c>
      <c r="G3468" t="s">
        <v>799</v>
      </c>
      <c r="I3468" t="s">
        <v>47</v>
      </c>
      <c r="J3468" s="13">
        <v>45997</v>
      </c>
      <c r="K3468" s="13">
        <v>46023</v>
      </c>
      <c r="L3468" t="s">
        <v>1179</v>
      </c>
      <c r="M3468" t="s">
        <v>56</v>
      </c>
      <c r="N3468">
        <v>72502183</v>
      </c>
    </row>
    <row r="3469" spans="1:14" x14ac:dyDescent="0.25">
      <c r="A3469">
        <v>58738808</v>
      </c>
      <c r="B3469" t="s">
        <v>8066</v>
      </c>
      <c r="C3469" t="s">
        <v>3076</v>
      </c>
      <c r="D3469" t="s">
        <v>8067</v>
      </c>
      <c r="E3469">
        <v>8632431134</v>
      </c>
      <c r="F3469" t="s">
        <v>6098</v>
      </c>
      <c r="G3469" t="s">
        <v>1213</v>
      </c>
      <c r="I3469" t="s">
        <v>21</v>
      </c>
      <c r="J3469" s="13">
        <v>45997</v>
      </c>
      <c r="K3469" s="13">
        <v>46023</v>
      </c>
      <c r="L3469" t="s">
        <v>497</v>
      </c>
      <c r="M3469" t="s">
        <v>56</v>
      </c>
      <c r="N3469">
        <v>72502188</v>
      </c>
    </row>
    <row r="3470" spans="1:14" x14ac:dyDescent="0.25">
      <c r="A3470">
        <v>58738889</v>
      </c>
      <c r="B3470" t="s">
        <v>3326</v>
      </c>
      <c r="C3470" t="s">
        <v>8068</v>
      </c>
      <c r="D3470" t="s">
        <v>8069</v>
      </c>
      <c r="E3470" t="s">
        <v>8070</v>
      </c>
      <c r="F3470" t="s">
        <v>569</v>
      </c>
      <c r="G3470" t="s">
        <v>570</v>
      </c>
      <c r="I3470" t="s">
        <v>34</v>
      </c>
      <c r="J3470" s="13">
        <v>45997</v>
      </c>
      <c r="K3470" s="13">
        <v>46023</v>
      </c>
      <c r="L3470" t="s">
        <v>520</v>
      </c>
      <c r="M3470" t="s">
        <v>58</v>
      </c>
      <c r="N3470">
        <v>72502233</v>
      </c>
    </row>
    <row r="3471" spans="1:14" x14ac:dyDescent="0.25">
      <c r="A3471">
        <v>58738945</v>
      </c>
      <c r="B3471" t="s">
        <v>730</v>
      </c>
      <c r="C3471" t="s">
        <v>8068</v>
      </c>
      <c r="D3471" t="s">
        <v>8071</v>
      </c>
      <c r="E3471" t="s">
        <v>8072</v>
      </c>
      <c r="F3471" t="s">
        <v>569</v>
      </c>
      <c r="G3471" t="s">
        <v>570</v>
      </c>
      <c r="I3471" t="s">
        <v>34</v>
      </c>
      <c r="J3471" s="13">
        <v>45997</v>
      </c>
      <c r="K3471" s="13">
        <v>46023</v>
      </c>
      <c r="L3471" t="s">
        <v>520</v>
      </c>
      <c r="M3471" t="s">
        <v>58</v>
      </c>
      <c r="N3471">
        <v>72502242</v>
      </c>
    </row>
    <row r="3472" spans="1:14" x14ac:dyDescent="0.25">
      <c r="A3472">
        <v>58738941</v>
      </c>
      <c r="B3472" t="s">
        <v>8073</v>
      </c>
      <c r="C3472" t="s">
        <v>8074</v>
      </c>
      <c r="D3472" t="s">
        <v>8075</v>
      </c>
      <c r="E3472">
        <v>6302024571</v>
      </c>
      <c r="F3472" t="s">
        <v>578</v>
      </c>
      <c r="G3472" t="s">
        <v>579</v>
      </c>
      <c r="I3472" t="s">
        <v>15</v>
      </c>
      <c r="J3472" s="13">
        <v>45997</v>
      </c>
      <c r="K3472" s="13">
        <v>46023</v>
      </c>
      <c r="L3472" t="s">
        <v>470</v>
      </c>
      <c r="M3472" t="s">
        <v>62</v>
      </c>
      <c r="N3472">
        <v>72502271</v>
      </c>
    </row>
    <row r="3473" spans="1:14" x14ac:dyDescent="0.25">
      <c r="A3473">
        <v>58738955</v>
      </c>
      <c r="B3473" t="s">
        <v>609</v>
      </c>
      <c r="C3473" t="s">
        <v>8076</v>
      </c>
      <c r="D3473" t="s">
        <v>8077</v>
      </c>
      <c r="E3473">
        <v>5803175351</v>
      </c>
      <c r="F3473" t="s">
        <v>615</v>
      </c>
      <c r="G3473" t="s">
        <v>616</v>
      </c>
      <c r="I3473" t="s">
        <v>617</v>
      </c>
      <c r="J3473" s="13">
        <v>45997</v>
      </c>
      <c r="K3473" s="13">
        <v>46023</v>
      </c>
      <c r="L3473" t="s">
        <v>444</v>
      </c>
      <c r="M3473" t="s">
        <v>55</v>
      </c>
      <c r="N3473">
        <v>72502291</v>
      </c>
    </row>
    <row r="3474" spans="1:14" x14ac:dyDescent="0.25">
      <c r="A3474">
        <v>58739134</v>
      </c>
      <c r="B3474" t="s">
        <v>8078</v>
      </c>
      <c r="C3474" t="s">
        <v>8079</v>
      </c>
      <c r="D3474" t="s">
        <v>8080</v>
      </c>
      <c r="E3474">
        <v>2014462994</v>
      </c>
      <c r="F3474" t="s">
        <v>416</v>
      </c>
      <c r="G3474" t="s">
        <v>417</v>
      </c>
      <c r="I3474" t="s">
        <v>26</v>
      </c>
      <c r="J3474" s="13">
        <v>45997</v>
      </c>
      <c r="K3474" s="13">
        <v>46023</v>
      </c>
      <c r="L3474" t="s">
        <v>497</v>
      </c>
      <c r="M3474" t="s">
        <v>54</v>
      </c>
      <c r="N3474">
        <v>72502378</v>
      </c>
    </row>
    <row r="3475" spans="1:14" x14ac:dyDescent="0.25">
      <c r="A3475">
        <v>58740334</v>
      </c>
      <c r="B3475" t="s">
        <v>593</v>
      </c>
      <c r="C3475" t="s">
        <v>2254</v>
      </c>
      <c r="D3475" t="s">
        <v>8081</v>
      </c>
      <c r="E3475">
        <v>2395733653</v>
      </c>
      <c r="F3475" t="s">
        <v>474</v>
      </c>
      <c r="G3475" t="s">
        <v>475</v>
      </c>
      <c r="I3475" t="s">
        <v>132</v>
      </c>
      <c r="J3475" s="13">
        <v>45998</v>
      </c>
      <c r="K3475" s="13">
        <v>46023</v>
      </c>
      <c r="L3475" t="s">
        <v>497</v>
      </c>
      <c r="M3475" t="s">
        <v>56</v>
      </c>
      <c r="N3475">
        <v>72503427</v>
      </c>
    </row>
    <row r="3476" spans="1:14" x14ac:dyDescent="0.25">
      <c r="A3476">
        <v>58740469</v>
      </c>
      <c r="B3476" t="s">
        <v>1041</v>
      </c>
      <c r="C3476" t="s">
        <v>8082</v>
      </c>
      <c r="D3476" t="s">
        <v>8083</v>
      </c>
      <c r="E3476">
        <v>9049552565</v>
      </c>
      <c r="F3476" t="s">
        <v>775</v>
      </c>
      <c r="G3476" t="s">
        <v>776</v>
      </c>
      <c r="I3476" t="s">
        <v>22</v>
      </c>
      <c r="J3476" s="13">
        <v>45998</v>
      </c>
      <c r="K3476" s="13">
        <v>46023</v>
      </c>
      <c r="L3476" t="s">
        <v>497</v>
      </c>
      <c r="M3476" t="s">
        <v>56</v>
      </c>
      <c r="N3476">
        <v>72503489</v>
      </c>
    </row>
    <row r="3477" spans="1:14" x14ac:dyDescent="0.25">
      <c r="A3477">
        <v>58740478</v>
      </c>
      <c r="B3477" t="s">
        <v>5707</v>
      </c>
      <c r="C3477" t="s">
        <v>792</v>
      </c>
      <c r="D3477" t="s">
        <v>8084</v>
      </c>
      <c r="E3477">
        <v>2052393502</v>
      </c>
      <c r="F3477" t="s">
        <v>1013</v>
      </c>
      <c r="G3477" t="s">
        <v>1014</v>
      </c>
      <c r="I3477" t="s">
        <v>43</v>
      </c>
      <c r="J3477" s="13">
        <v>45998</v>
      </c>
      <c r="K3477" s="13">
        <v>46023</v>
      </c>
      <c r="L3477" t="s">
        <v>450</v>
      </c>
      <c r="M3477" t="s">
        <v>58</v>
      </c>
      <c r="N3477">
        <v>72503496</v>
      </c>
    </row>
    <row r="3478" spans="1:14" x14ac:dyDescent="0.25">
      <c r="A3478">
        <v>58740605</v>
      </c>
      <c r="B3478" t="s">
        <v>1406</v>
      </c>
      <c r="C3478" t="s">
        <v>8085</v>
      </c>
      <c r="D3478" t="s">
        <v>8086</v>
      </c>
      <c r="E3478">
        <v>8155853814</v>
      </c>
      <c r="F3478" t="s">
        <v>423</v>
      </c>
      <c r="G3478" t="s">
        <v>424</v>
      </c>
      <c r="I3478" t="s">
        <v>46</v>
      </c>
      <c r="J3478" s="13">
        <v>45998</v>
      </c>
      <c r="K3478" s="13">
        <v>46023</v>
      </c>
      <c r="L3478" t="s">
        <v>470</v>
      </c>
      <c r="M3478" t="s">
        <v>61</v>
      </c>
      <c r="N3478">
        <v>72503532</v>
      </c>
    </row>
    <row r="3479" spans="1:14" x14ac:dyDescent="0.25">
      <c r="A3479">
        <v>58740665</v>
      </c>
      <c r="B3479" t="s">
        <v>836</v>
      </c>
      <c r="C3479" t="s">
        <v>1129</v>
      </c>
      <c r="D3479" t="s">
        <v>8087</v>
      </c>
      <c r="E3479">
        <v>8136134590</v>
      </c>
      <c r="F3479" t="s">
        <v>462</v>
      </c>
      <c r="G3479" t="s">
        <v>463</v>
      </c>
      <c r="I3479" t="s">
        <v>39</v>
      </c>
      <c r="J3479" s="13">
        <v>45998</v>
      </c>
      <c r="K3479" s="13">
        <v>46023</v>
      </c>
      <c r="L3479" t="s">
        <v>497</v>
      </c>
      <c r="M3479" t="s">
        <v>54</v>
      </c>
      <c r="N3479">
        <v>72503605</v>
      </c>
    </row>
    <row r="3480" spans="1:14" x14ac:dyDescent="0.25">
      <c r="A3480">
        <v>58740686</v>
      </c>
      <c r="B3480" t="s">
        <v>6335</v>
      </c>
      <c r="C3480" t="s">
        <v>1260</v>
      </c>
      <c r="D3480" t="s">
        <v>8088</v>
      </c>
      <c r="E3480">
        <v>9857688112</v>
      </c>
      <c r="F3480" t="s">
        <v>569</v>
      </c>
      <c r="G3480" t="s">
        <v>570</v>
      </c>
      <c r="I3480" t="s">
        <v>34</v>
      </c>
      <c r="J3480" s="13">
        <v>45998</v>
      </c>
      <c r="K3480" s="13">
        <v>46023</v>
      </c>
      <c r="L3480" t="s">
        <v>612</v>
      </c>
      <c r="M3480" t="s">
        <v>60</v>
      </c>
      <c r="N3480">
        <v>72503619</v>
      </c>
    </row>
    <row r="3481" spans="1:14" x14ac:dyDescent="0.25">
      <c r="A3481">
        <v>58740892</v>
      </c>
      <c r="B3481" t="s">
        <v>8089</v>
      </c>
      <c r="C3481" t="s">
        <v>2967</v>
      </c>
      <c r="D3481" t="s">
        <v>8090</v>
      </c>
      <c r="E3481">
        <v>5202830409</v>
      </c>
      <c r="F3481" t="s">
        <v>416</v>
      </c>
      <c r="G3481" t="s">
        <v>417</v>
      </c>
      <c r="I3481" t="s">
        <v>26</v>
      </c>
      <c r="J3481" s="13">
        <v>45998</v>
      </c>
      <c r="K3481" s="13">
        <v>46023</v>
      </c>
      <c r="L3481" t="s">
        <v>1179</v>
      </c>
      <c r="M3481" t="s">
        <v>59</v>
      </c>
      <c r="N3481">
        <v>72503735</v>
      </c>
    </row>
    <row r="3482" spans="1:14" x14ac:dyDescent="0.25">
      <c r="A3482">
        <v>58740955</v>
      </c>
      <c r="B3482" t="s">
        <v>8091</v>
      </c>
      <c r="C3482" t="s">
        <v>8092</v>
      </c>
      <c r="D3482" t="s">
        <v>8093</v>
      </c>
      <c r="E3482">
        <v>7083701288</v>
      </c>
      <c r="F3482" t="s">
        <v>551</v>
      </c>
      <c r="G3482" t="s">
        <v>552</v>
      </c>
      <c r="I3482" t="s">
        <v>42</v>
      </c>
      <c r="J3482" s="13">
        <v>45998</v>
      </c>
      <c r="K3482" s="13">
        <v>46023</v>
      </c>
      <c r="L3482" t="s">
        <v>470</v>
      </c>
      <c r="M3482" t="s">
        <v>58</v>
      </c>
      <c r="N3482">
        <v>72503762</v>
      </c>
    </row>
    <row r="3483" spans="1:14" x14ac:dyDescent="0.25">
      <c r="A3483">
        <v>58740927</v>
      </c>
      <c r="B3483" t="s">
        <v>672</v>
      </c>
      <c r="C3483" t="s">
        <v>6559</v>
      </c>
      <c r="D3483" t="s">
        <v>8094</v>
      </c>
      <c r="E3483">
        <v>9412371287</v>
      </c>
      <c r="F3483" t="s">
        <v>474</v>
      </c>
      <c r="G3483" t="s">
        <v>475</v>
      </c>
      <c r="I3483" t="s">
        <v>132</v>
      </c>
      <c r="J3483" s="13">
        <v>45998</v>
      </c>
      <c r="K3483" s="13">
        <v>46023</v>
      </c>
      <c r="L3483" t="s">
        <v>444</v>
      </c>
      <c r="M3483" t="s">
        <v>56</v>
      </c>
      <c r="N3483">
        <v>72503766</v>
      </c>
    </row>
    <row r="3484" spans="1:14" x14ac:dyDescent="0.25">
      <c r="A3484">
        <v>58741432</v>
      </c>
      <c r="B3484" t="s">
        <v>730</v>
      </c>
      <c r="C3484" t="s">
        <v>688</v>
      </c>
      <c r="D3484" t="s">
        <v>8095</v>
      </c>
      <c r="E3484">
        <v>9418961320</v>
      </c>
      <c r="F3484" t="s">
        <v>423</v>
      </c>
      <c r="G3484" t="s">
        <v>424</v>
      </c>
      <c r="I3484" t="s">
        <v>46</v>
      </c>
      <c r="J3484" s="13">
        <v>45998</v>
      </c>
      <c r="K3484" s="13">
        <v>46023</v>
      </c>
      <c r="L3484" t="s">
        <v>497</v>
      </c>
      <c r="M3484" t="s">
        <v>58</v>
      </c>
      <c r="N3484">
        <v>72503781</v>
      </c>
    </row>
    <row r="3485" spans="1:14" x14ac:dyDescent="0.25">
      <c r="A3485">
        <v>58740972</v>
      </c>
      <c r="B3485" t="s">
        <v>1643</v>
      </c>
      <c r="C3485" t="s">
        <v>1220</v>
      </c>
      <c r="D3485" t="s">
        <v>8096</v>
      </c>
      <c r="E3485" t="s">
        <v>8097</v>
      </c>
      <c r="F3485" t="s">
        <v>448</v>
      </c>
      <c r="G3485" t="s">
        <v>449</v>
      </c>
      <c r="I3485" t="s">
        <v>31</v>
      </c>
      <c r="J3485" s="13">
        <v>45998</v>
      </c>
      <c r="K3485" s="13">
        <v>46023</v>
      </c>
      <c r="L3485" t="s">
        <v>479</v>
      </c>
      <c r="M3485" t="s">
        <v>55</v>
      </c>
      <c r="N3485">
        <v>72503792</v>
      </c>
    </row>
    <row r="3486" spans="1:14" x14ac:dyDescent="0.25">
      <c r="A3486">
        <v>60862715</v>
      </c>
      <c r="B3486" t="s">
        <v>8098</v>
      </c>
      <c r="C3486" t="s">
        <v>4741</v>
      </c>
      <c r="D3486" t="s">
        <v>8099</v>
      </c>
      <c r="E3486">
        <v>7737804382</v>
      </c>
      <c r="F3486" t="s">
        <v>649</v>
      </c>
      <c r="G3486" t="s">
        <v>650</v>
      </c>
      <c r="I3486" t="s">
        <v>28</v>
      </c>
      <c r="J3486" s="13">
        <v>46077</v>
      </c>
      <c r="K3486" s="13">
        <v>46082</v>
      </c>
      <c r="L3486" t="s">
        <v>470</v>
      </c>
      <c r="M3486" t="s">
        <v>58</v>
      </c>
      <c r="N3486">
        <v>72503812</v>
      </c>
    </row>
    <row r="3487" spans="1:14" x14ac:dyDescent="0.25">
      <c r="A3487">
        <v>58741077</v>
      </c>
      <c r="B3487" t="s">
        <v>4811</v>
      </c>
      <c r="C3487" t="s">
        <v>7005</v>
      </c>
      <c r="D3487" t="s">
        <v>8100</v>
      </c>
      <c r="E3487">
        <v>4802985980</v>
      </c>
      <c r="F3487" t="s">
        <v>4853</v>
      </c>
      <c r="G3487" t="s">
        <v>5017</v>
      </c>
      <c r="I3487" t="s">
        <v>5018</v>
      </c>
      <c r="J3487" s="13">
        <v>45998</v>
      </c>
      <c r="K3487" s="13">
        <v>46023</v>
      </c>
      <c r="L3487" t="s">
        <v>1179</v>
      </c>
      <c r="M3487" t="s">
        <v>54</v>
      </c>
      <c r="N3487">
        <v>72503860</v>
      </c>
    </row>
    <row r="3488" spans="1:14" x14ac:dyDescent="0.25">
      <c r="A3488">
        <v>58741145</v>
      </c>
      <c r="B3488" t="s">
        <v>1797</v>
      </c>
      <c r="C3488" t="s">
        <v>8101</v>
      </c>
      <c r="D3488" t="s">
        <v>8102</v>
      </c>
      <c r="E3488">
        <v>3524708828</v>
      </c>
      <c r="F3488" t="s">
        <v>1067</v>
      </c>
      <c r="G3488" t="s">
        <v>1068</v>
      </c>
      <c r="I3488" t="s">
        <v>35</v>
      </c>
      <c r="J3488" s="13">
        <v>45998</v>
      </c>
      <c r="K3488" s="13">
        <v>46023</v>
      </c>
      <c r="L3488" t="s">
        <v>497</v>
      </c>
      <c r="M3488" t="s">
        <v>60</v>
      </c>
      <c r="N3488">
        <v>72503915</v>
      </c>
    </row>
    <row r="3489" spans="1:14" x14ac:dyDescent="0.25">
      <c r="A3489">
        <v>58741193</v>
      </c>
      <c r="B3489" t="s">
        <v>1112</v>
      </c>
      <c r="C3489" t="s">
        <v>1585</v>
      </c>
      <c r="D3489" t="s">
        <v>8103</v>
      </c>
      <c r="E3489">
        <v>6028299802</v>
      </c>
      <c r="F3489" t="s">
        <v>1013</v>
      </c>
      <c r="G3489" t="s">
        <v>1014</v>
      </c>
      <c r="I3489" t="s">
        <v>43</v>
      </c>
      <c r="J3489" s="13">
        <v>45998</v>
      </c>
      <c r="K3489" s="13">
        <v>46023</v>
      </c>
      <c r="L3489" t="s">
        <v>1179</v>
      </c>
      <c r="M3489" t="s">
        <v>56</v>
      </c>
      <c r="N3489">
        <v>72503929</v>
      </c>
    </row>
    <row r="3490" spans="1:14" x14ac:dyDescent="0.25">
      <c r="A3490">
        <v>58741211</v>
      </c>
      <c r="B3490" t="s">
        <v>645</v>
      </c>
      <c r="C3490" t="s">
        <v>8104</v>
      </c>
      <c r="D3490" t="s">
        <v>8105</v>
      </c>
      <c r="E3490">
        <v>2259311658</v>
      </c>
      <c r="F3490" t="s">
        <v>649</v>
      </c>
      <c r="G3490" t="s">
        <v>650</v>
      </c>
      <c r="I3490" t="s">
        <v>28</v>
      </c>
      <c r="J3490" s="13">
        <v>45998</v>
      </c>
      <c r="K3490" s="13">
        <v>46023</v>
      </c>
      <c r="L3490" t="s">
        <v>612</v>
      </c>
      <c r="M3490" t="s">
        <v>56</v>
      </c>
      <c r="N3490">
        <v>72503953</v>
      </c>
    </row>
    <row r="3491" spans="1:14" x14ac:dyDescent="0.25">
      <c r="A3491">
        <v>58741391</v>
      </c>
      <c r="B3491" t="s">
        <v>4614</v>
      </c>
      <c r="C3491" t="s">
        <v>1348</v>
      </c>
      <c r="D3491" t="s">
        <v>8106</v>
      </c>
      <c r="E3491">
        <v>9548255368</v>
      </c>
      <c r="F3491" t="s">
        <v>780</v>
      </c>
      <c r="G3491" t="s">
        <v>781</v>
      </c>
      <c r="I3491" t="s">
        <v>20</v>
      </c>
      <c r="J3491" s="13">
        <v>45998</v>
      </c>
      <c r="K3491" s="13">
        <v>46023</v>
      </c>
      <c r="L3491" t="s">
        <v>497</v>
      </c>
      <c r="M3491" t="s">
        <v>56</v>
      </c>
      <c r="N3491">
        <v>72504052</v>
      </c>
    </row>
    <row r="3492" spans="1:14" x14ac:dyDescent="0.25">
      <c r="A3492">
        <v>58741400</v>
      </c>
      <c r="B3492" t="s">
        <v>3326</v>
      </c>
      <c r="C3492" t="s">
        <v>8107</v>
      </c>
      <c r="D3492" t="s">
        <v>8108</v>
      </c>
      <c r="E3492">
        <v>7704808659</v>
      </c>
      <c r="F3492" t="s">
        <v>790</v>
      </c>
      <c r="G3492" t="s">
        <v>791</v>
      </c>
      <c r="I3492" t="s">
        <v>119</v>
      </c>
      <c r="J3492" s="13">
        <v>45998</v>
      </c>
      <c r="K3492" s="13">
        <v>46023</v>
      </c>
      <c r="L3492" t="s">
        <v>621</v>
      </c>
      <c r="M3492" t="s">
        <v>55</v>
      </c>
      <c r="N3492">
        <v>72504053</v>
      </c>
    </row>
    <row r="3493" spans="1:14" x14ac:dyDescent="0.25">
      <c r="A3493">
        <v>58741609</v>
      </c>
      <c r="B3493" t="s">
        <v>8109</v>
      </c>
      <c r="C3493" t="s">
        <v>8110</v>
      </c>
      <c r="D3493" t="s">
        <v>8111</v>
      </c>
      <c r="E3493">
        <v>8473221443</v>
      </c>
      <c r="F3493" t="s">
        <v>705</v>
      </c>
      <c r="G3493" t="s">
        <v>706</v>
      </c>
      <c r="I3493" t="s">
        <v>12</v>
      </c>
      <c r="J3493" s="13">
        <v>45998</v>
      </c>
      <c r="K3493" s="13">
        <v>46023</v>
      </c>
      <c r="L3493" t="s">
        <v>470</v>
      </c>
      <c r="M3493" t="s">
        <v>60</v>
      </c>
      <c r="N3493">
        <v>72504202</v>
      </c>
    </row>
    <row r="3494" spans="1:14" x14ac:dyDescent="0.25">
      <c r="A3494">
        <v>58741618</v>
      </c>
      <c r="B3494" t="s">
        <v>5927</v>
      </c>
      <c r="C3494" t="s">
        <v>8112</v>
      </c>
      <c r="D3494" t="s">
        <v>8113</v>
      </c>
      <c r="E3494">
        <v>4043171787</v>
      </c>
      <c r="F3494" t="s">
        <v>842</v>
      </c>
      <c r="G3494" t="s">
        <v>843</v>
      </c>
      <c r="I3494" t="s">
        <v>98</v>
      </c>
      <c r="J3494" s="13">
        <v>45998</v>
      </c>
      <c r="K3494" s="13">
        <v>46023</v>
      </c>
      <c r="L3494" t="s">
        <v>621</v>
      </c>
      <c r="M3494" t="s">
        <v>58</v>
      </c>
      <c r="N3494">
        <v>72504206</v>
      </c>
    </row>
    <row r="3495" spans="1:14" x14ac:dyDescent="0.25">
      <c r="A3495">
        <v>58741643</v>
      </c>
      <c r="B3495" t="s">
        <v>4724</v>
      </c>
      <c r="C3495" t="s">
        <v>8114</v>
      </c>
      <c r="D3495" t="s">
        <v>8115</v>
      </c>
      <c r="E3495">
        <v>8433010526</v>
      </c>
      <c r="F3495" t="s">
        <v>569</v>
      </c>
      <c r="G3495" t="s">
        <v>570</v>
      </c>
      <c r="I3495" t="s">
        <v>34</v>
      </c>
      <c r="J3495" s="13">
        <v>45998</v>
      </c>
      <c r="K3495" s="13">
        <v>46023</v>
      </c>
      <c r="L3495" t="s">
        <v>533</v>
      </c>
      <c r="M3495" t="s">
        <v>58</v>
      </c>
      <c r="N3495">
        <v>72504228</v>
      </c>
    </row>
    <row r="3496" spans="1:14" x14ac:dyDescent="0.25">
      <c r="A3496">
        <v>58741699</v>
      </c>
      <c r="B3496" t="s">
        <v>2405</v>
      </c>
      <c r="C3496" t="s">
        <v>2183</v>
      </c>
      <c r="D3496" t="s">
        <v>8116</v>
      </c>
      <c r="E3496">
        <v>6233327638</v>
      </c>
      <c r="F3496" t="s">
        <v>416</v>
      </c>
      <c r="G3496" t="s">
        <v>417</v>
      </c>
      <c r="I3496" t="s">
        <v>26</v>
      </c>
      <c r="J3496" s="13">
        <v>45998</v>
      </c>
      <c r="K3496" s="13">
        <v>46023</v>
      </c>
      <c r="L3496" t="s">
        <v>1179</v>
      </c>
      <c r="M3496" t="s">
        <v>54</v>
      </c>
      <c r="N3496">
        <v>72504259</v>
      </c>
    </row>
    <row r="3497" spans="1:14" x14ac:dyDescent="0.25">
      <c r="A3497">
        <v>58741717</v>
      </c>
      <c r="B3497" t="s">
        <v>8117</v>
      </c>
      <c r="C3497" t="s">
        <v>2544</v>
      </c>
      <c r="D3497" t="s">
        <v>8118</v>
      </c>
      <c r="E3497">
        <v>2815776674</v>
      </c>
      <c r="F3497" t="s">
        <v>798</v>
      </c>
      <c r="G3497" t="s">
        <v>799</v>
      </c>
      <c r="I3497" t="s">
        <v>800</v>
      </c>
      <c r="J3497" s="13">
        <v>45998</v>
      </c>
      <c r="K3497" s="13">
        <v>46023</v>
      </c>
      <c r="L3497" t="s">
        <v>444</v>
      </c>
      <c r="M3497" t="s">
        <v>58</v>
      </c>
      <c r="N3497">
        <v>72504280</v>
      </c>
    </row>
    <row r="3498" spans="1:14" x14ac:dyDescent="0.25">
      <c r="A3498">
        <v>58741724</v>
      </c>
      <c r="B3498" t="s">
        <v>8119</v>
      </c>
      <c r="C3498" t="s">
        <v>2183</v>
      </c>
      <c r="D3498" t="s">
        <v>8120</v>
      </c>
      <c r="E3498">
        <v>6025613250</v>
      </c>
      <c r="F3498" t="s">
        <v>842</v>
      </c>
      <c r="G3498" t="s">
        <v>1213</v>
      </c>
      <c r="I3498" t="s">
        <v>1214</v>
      </c>
      <c r="J3498" s="13">
        <v>45998</v>
      </c>
      <c r="K3498" s="13">
        <v>46023</v>
      </c>
      <c r="L3498" t="s">
        <v>1179</v>
      </c>
      <c r="M3498" t="s">
        <v>56</v>
      </c>
      <c r="N3498">
        <v>72504284</v>
      </c>
    </row>
    <row r="3499" spans="1:14" x14ac:dyDescent="0.25">
      <c r="A3499">
        <v>58741738</v>
      </c>
      <c r="B3499" t="s">
        <v>522</v>
      </c>
      <c r="C3499" t="s">
        <v>3926</v>
      </c>
      <c r="D3499" t="s">
        <v>8121</v>
      </c>
      <c r="E3499">
        <v>2104523029</v>
      </c>
      <c r="F3499" t="s">
        <v>1013</v>
      </c>
      <c r="G3499" t="s">
        <v>1014</v>
      </c>
      <c r="I3499" t="s">
        <v>43</v>
      </c>
      <c r="J3499" s="13">
        <v>45998</v>
      </c>
      <c r="K3499" s="13">
        <v>46023</v>
      </c>
      <c r="L3499" t="s">
        <v>444</v>
      </c>
      <c r="M3499" t="s">
        <v>58</v>
      </c>
      <c r="N3499">
        <v>72504295</v>
      </c>
    </row>
    <row r="3500" spans="1:14" x14ac:dyDescent="0.25">
      <c r="A3500">
        <v>58741844</v>
      </c>
      <c r="B3500" t="s">
        <v>467</v>
      </c>
      <c r="C3500" t="s">
        <v>8122</v>
      </c>
      <c r="D3500" t="s">
        <v>8123</v>
      </c>
      <c r="E3500">
        <v>4804349139</v>
      </c>
      <c r="F3500" t="s">
        <v>1345</v>
      </c>
      <c r="G3500" t="s">
        <v>799</v>
      </c>
      <c r="I3500" t="s">
        <v>47</v>
      </c>
      <c r="J3500" s="13">
        <v>45998</v>
      </c>
      <c r="K3500" s="13">
        <v>46023</v>
      </c>
      <c r="L3500" t="s">
        <v>1179</v>
      </c>
      <c r="M3500" t="s">
        <v>59</v>
      </c>
      <c r="N3500">
        <v>72504363</v>
      </c>
    </row>
    <row r="3501" spans="1:14" x14ac:dyDescent="0.25">
      <c r="A3501">
        <v>58741900</v>
      </c>
      <c r="B3501" t="s">
        <v>7125</v>
      </c>
      <c r="C3501" t="s">
        <v>2544</v>
      </c>
      <c r="D3501" t="s">
        <v>8124</v>
      </c>
      <c r="E3501">
        <v>2815776674</v>
      </c>
      <c r="F3501" t="s">
        <v>798</v>
      </c>
      <c r="G3501" t="s">
        <v>799</v>
      </c>
      <c r="I3501" t="s">
        <v>800</v>
      </c>
      <c r="J3501" s="13">
        <v>45998</v>
      </c>
      <c r="K3501" s="13">
        <v>46023</v>
      </c>
      <c r="L3501" t="s">
        <v>444</v>
      </c>
      <c r="M3501" t="s">
        <v>58</v>
      </c>
      <c r="N3501">
        <v>72504396</v>
      </c>
    </row>
    <row r="3502" spans="1:14" x14ac:dyDescent="0.25">
      <c r="A3502">
        <v>58741916</v>
      </c>
      <c r="B3502" t="s">
        <v>5278</v>
      </c>
      <c r="C3502" t="s">
        <v>564</v>
      </c>
      <c r="D3502" t="s">
        <v>8125</v>
      </c>
      <c r="E3502">
        <v>7734449069</v>
      </c>
      <c r="F3502" t="s">
        <v>1147</v>
      </c>
      <c r="G3502" t="s">
        <v>1148</v>
      </c>
      <c r="I3502" t="s">
        <v>41</v>
      </c>
      <c r="J3502" s="13">
        <v>45998</v>
      </c>
      <c r="K3502" s="13">
        <v>46023</v>
      </c>
      <c r="L3502" t="s">
        <v>470</v>
      </c>
      <c r="M3502" t="s">
        <v>62</v>
      </c>
      <c r="N3502">
        <v>72504406</v>
      </c>
    </row>
    <row r="3503" spans="1:14" x14ac:dyDescent="0.25">
      <c r="A3503">
        <v>58742147</v>
      </c>
      <c r="B3503" t="s">
        <v>8126</v>
      </c>
      <c r="C3503" t="s">
        <v>8127</v>
      </c>
      <c r="D3503" t="s">
        <v>8128</v>
      </c>
      <c r="E3503">
        <v>7733687457</v>
      </c>
      <c r="F3503" t="s">
        <v>578</v>
      </c>
      <c r="G3503" t="s">
        <v>579</v>
      </c>
      <c r="I3503" t="s">
        <v>15</v>
      </c>
      <c r="J3503" s="13">
        <v>45998</v>
      </c>
      <c r="K3503" s="13">
        <v>46023</v>
      </c>
      <c r="L3503" t="s">
        <v>470</v>
      </c>
      <c r="M3503" t="s">
        <v>62</v>
      </c>
      <c r="N3503">
        <v>72504535</v>
      </c>
    </row>
    <row r="3504" spans="1:14" x14ac:dyDescent="0.25">
      <c r="A3504">
        <v>58742113</v>
      </c>
      <c r="B3504" t="s">
        <v>3561</v>
      </c>
      <c r="C3504" t="s">
        <v>1676</v>
      </c>
      <c r="D3504" t="s">
        <v>8129</v>
      </c>
      <c r="E3504">
        <v>9046293451</v>
      </c>
      <c r="F3504" t="s">
        <v>537</v>
      </c>
      <c r="G3504" t="s">
        <v>538</v>
      </c>
      <c r="I3504" t="s">
        <v>49</v>
      </c>
      <c r="J3504" s="13">
        <v>45998</v>
      </c>
      <c r="K3504" s="13">
        <v>46023</v>
      </c>
      <c r="L3504" t="s">
        <v>497</v>
      </c>
      <c r="M3504" t="s">
        <v>56</v>
      </c>
      <c r="N3504">
        <v>72504537</v>
      </c>
    </row>
    <row r="3505" spans="1:14" x14ac:dyDescent="0.25">
      <c r="A3505">
        <v>58742115</v>
      </c>
      <c r="B3505" t="s">
        <v>3009</v>
      </c>
      <c r="C3505" t="s">
        <v>8130</v>
      </c>
      <c r="D3505" t="s">
        <v>8131</v>
      </c>
      <c r="E3505">
        <v>7206554770</v>
      </c>
      <c r="F3505" t="s">
        <v>474</v>
      </c>
      <c r="G3505" t="s">
        <v>475</v>
      </c>
      <c r="I3505" t="s">
        <v>132</v>
      </c>
      <c r="J3505" s="13">
        <v>45998</v>
      </c>
      <c r="K3505" s="13">
        <v>46023</v>
      </c>
      <c r="L3505" t="s">
        <v>539</v>
      </c>
      <c r="M3505" t="s">
        <v>59</v>
      </c>
      <c r="N3505">
        <v>72504539</v>
      </c>
    </row>
    <row r="3506" spans="1:14" x14ac:dyDescent="0.25">
      <c r="A3506">
        <v>58742213</v>
      </c>
      <c r="B3506" t="s">
        <v>431</v>
      </c>
      <c r="C3506" t="s">
        <v>8132</v>
      </c>
      <c r="D3506" t="s">
        <v>8133</v>
      </c>
      <c r="E3506">
        <v>4805445276</v>
      </c>
      <c r="F3506" t="s">
        <v>4853</v>
      </c>
      <c r="G3506" t="s">
        <v>5017</v>
      </c>
      <c r="I3506" t="s">
        <v>5018</v>
      </c>
      <c r="J3506" s="13">
        <v>45998</v>
      </c>
      <c r="K3506" s="13">
        <v>46023</v>
      </c>
      <c r="L3506" t="s">
        <v>1179</v>
      </c>
      <c r="M3506" t="s">
        <v>55</v>
      </c>
      <c r="N3506">
        <v>72504617</v>
      </c>
    </row>
    <row r="3507" spans="1:14" x14ac:dyDescent="0.25">
      <c r="A3507">
        <v>58742252</v>
      </c>
      <c r="B3507" t="s">
        <v>7972</v>
      </c>
      <c r="C3507" t="s">
        <v>6443</v>
      </c>
      <c r="D3507" t="s">
        <v>8134</v>
      </c>
      <c r="E3507">
        <v>4707838828</v>
      </c>
      <c r="F3507" t="s">
        <v>928</v>
      </c>
      <c r="G3507" t="s">
        <v>929</v>
      </c>
      <c r="I3507" t="s">
        <v>30</v>
      </c>
      <c r="J3507" s="13">
        <v>45998</v>
      </c>
      <c r="K3507" s="13">
        <v>46023</v>
      </c>
      <c r="L3507" t="s">
        <v>621</v>
      </c>
      <c r="M3507" t="s">
        <v>59</v>
      </c>
      <c r="N3507">
        <v>72504638</v>
      </c>
    </row>
    <row r="3508" spans="1:14" x14ac:dyDescent="0.25">
      <c r="A3508">
        <v>58742331</v>
      </c>
      <c r="B3508" t="s">
        <v>3561</v>
      </c>
      <c r="C3508" t="s">
        <v>5569</v>
      </c>
      <c r="D3508" t="s">
        <v>8135</v>
      </c>
      <c r="E3508">
        <v>9544694330</v>
      </c>
      <c r="F3508" t="s">
        <v>780</v>
      </c>
      <c r="G3508" t="s">
        <v>781</v>
      </c>
      <c r="I3508" t="s">
        <v>20</v>
      </c>
      <c r="J3508" s="13">
        <v>45998</v>
      </c>
      <c r="K3508" s="13">
        <v>46023</v>
      </c>
      <c r="L3508" t="s">
        <v>497</v>
      </c>
      <c r="M3508" t="s">
        <v>56</v>
      </c>
      <c r="N3508">
        <v>72504695</v>
      </c>
    </row>
    <row r="3509" spans="1:14" x14ac:dyDescent="0.25">
      <c r="A3509">
        <v>58742466</v>
      </c>
      <c r="B3509" t="s">
        <v>1038</v>
      </c>
      <c r="C3509" t="s">
        <v>8136</v>
      </c>
      <c r="D3509" t="s">
        <v>8137</v>
      </c>
      <c r="E3509">
        <v>5204994212</v>
      </c>
      <c r="F3509" t="s">
        <v>775</v>
      </c>
      <c r="G3509" t="s">
        <v>776</v>
      </c>
      <c r="I3509" t="s">
        <v>22</v>
      </c>
      <c r="J3509" s="13">
        <v>45998</v>
      </c>
      <c r="K3509" s="13">
        <v>46023</v>
      </c>
      <c r="L3509" t="s">
        <v>1179</v>
      </c>
      <c r="M3509" t="s">
        <v>55</v>
      </c>
      <c r="N3509">
        <v>72504802</v>
      </c>
    </row>
    <row r="3510" spans="1:14" x14ac:dyDescent="0.25">
      <c r="A3510">
        <v>58742487</v>
      </c>
      <c r="B3510" t="s">
        <v>7386</v>
      </c>
      <c r="C3510" t="s">
        <v>1053</v>
      </c>
      <c r="D3510" t="s">
        <v>8138</v>
      </c>
      <c r="E3510">
        <v>3524101535</v>
      </c>
      <c r="F3510" t="s">
        <v>1067</v>
      </c>
      <c r="G3510" t="s">
        <v>1068</v>
      </c>
      <c r="I3510" t="s">
        <v>35</v>
      </c>
      <c r="J3510" s="13">
        <v>45998</v>
      </c>
      <c r="K3510" s="13">
        <v>46023</v>
      </c>
      <c r="L3510" t="s">
        <v>497</v>
      </c>
      <c r="M3510" t="s">
        <v>56</v>
      </c>
      <c r="N3510">
        <v>72504816</v>
      </c>
    </row>
    <row r="3511" spans="1:14" x14ac:dyDescent="0.25">
      <c r="A3511">
        <v>58742615</v>
      </c>
      <c r="B3511" t="s">
        <v>445</v>
      </c>
      <c r="C3511" t="s">
        <v>8139</v>
      </c>
      <c r="D3511" t="s">
        <v>8140</v>
      </c>
      <c r="E3511">
        <v>6028810025</v>
      </c>
      <c r="F3511" t="s">
        <v>423</v>
      </c>
      <c r="G3511" t="s">
        <v>424</v>
      </c>
      <c r="I3511" t="s">
        <v>46</v>
      </c>
      <c r="J3511" s="13">
        <v>45998</v>
      </c>
      <c r="K3511" s="13">
        <v>46023</v>
      </c>
      <c r="L3511" t="s">
        <v>1179</v>
      </c>
      <c r="M3511" t="s">
        <v>59</v>
      </c>
      <c r="N3511">
        <v>72504849</v>
      </c>
    </row>
    <row r="3512" spans="1:14" x14ac:dyDescent="0.25">
      <c r="A3512">
        <v>58742555</v>
      </c>
      <c r="B3512" t="s">
        <v>8141</v>
      </c>
      <c r="C3512" t="s">
        <v>8142</v>
      </c>
      <c r="D3512" t="s">
        <v>8143</v>
      </c>
      <c r="E3512">
        <v>6813144012</v>
      </c>
      <c r="F3512" t="s">
        <v>842</v>
      </c>
      <c r="G3512" t="s">
        <v>843</v>
      </c>
      <c r="I3512" t="s">
        <v>98</v>
      </c>
      <c r="J3512" s="13">
        <v>45998</v>
      </c>
      <c r="K3512" s="13">
        <v>46023</v>
      </c>
      <c r="L3512" t="s">
        <v>1188</v>
      </c>
      <c r="M3512" t="s">
        <v>56</v>
      </c>
      <c r="N3512">
        <v>72504850</v>
      </c>
    </row>
    <row r="3513" spans="1:14" x14ac:dyDescent="0.25">
      <c r="A3513">
        <v>58742706</v>
      </c>
      <c r="B3513" t="s">
        <v>2464</v>
      </c>
      <c r="C3513" t="s">
        <v>8144</v>
      </c>
      <c r="D3513" t="s">
        <v>8145</v>
      </c>
      <c r="E3513">
        <v>4799811626</v>
      </c>
      <c r="F3513" t="s">
        <v>649</v>
      </c>
      <c r="G3513" t="s">
        <v>650</v>
      </c>
      <c r="I3513" t="s">
        <v>28</v>
      </c>
      <c r="J3513" s="13">
        <v>45998</v>
      </c>
      <c r="K3513" s="13">
        <v>46023</v>
      </c>
      <c r="L3513" t="s">
        <v>553</v>
      </c>
      <c r="M3513" t="s">
        <v>56</v>
      </c>
      <c r="N3513">
        <v>72504934</v>
      </c>
    </row>
    <row r="3514" spans="1:14" x14ac:dyDescent="0.25">
      <c r="A3514">
        <v>58742796</v>
      </c>
      <c r="B3514" t="s">
        <v>2920</v>
      </c>
      <c r="C3514" t="s">
        <v>8146</v>
      </c>
      <c r="D3514" t="s">
        <v>8147</v>
      </c>
      <c r="E3514">
        <v>4806041286</v>
      </c>
      <c r="F3514" t="s">
        <v>842</v>
      </c>
      <c r="G3514" t="s">
        <v>1213</v>
      </c>
      <c r="I3514" t="s">
        <v>1214</v>
      </c>
      <c r="J3514" s="13">
        <v>45998</v>
      </c>
      <c r="K3514" s="13">
        <v>46023</v>
      </c>
      <c r="L3514" t="s">
        <v>1179</v>
      </c>
      <c r="M3514" t="s">
        <v>59</v>
      </c>
      <c r="N3514">
        <v>72504985</v>
      </c>
    </row>
    <row r="3515" spans="1:14" x14ac:dyDescent="0.25">
      <c r="A3515">
        <v>58742871</v>
      </c>
      <c r="B3515" t="s">
        <v>1245</v>
      </c>
      <c r="C3515" t="s">
        <v>8148</v>
      </c>
      <c r="D3515" t="s">
        <v>8149</v>
      </c>
      <c r="E3515">
        <v>8139939786</v>
      </c>
      <c r="F3515" t="s">
        <v>416</v>
      </c>
      <c r="G3515" t="s">
        <v>417</v>
      </c>
      <c r="I3515" t="s">
        <v>26</v>
      </c>
      <c r="J3515" s="13">
        <v>45998</v>
      </c>
      <c r="K3515" s="13">
        <v>46023</v>
      </c>
      <c r="L3515" t="s">
        <v>497</v>
      </c>
      <c r="M3515" t="s">
        <v>54</v>
      </c>
      <c r="N3515">
        <v>72505027</v>
      </c>
    </row>
    <row r="3516" spans="1:14" x14ac:dyDescent="0.25">
      <c r="A3516">
        <v>58743106</v>
      </c>
      <c r="B3516" t="s">
        <v>8150</v>
      </c>
      <c r="C3516" t="s">
        <v>1598</v>
      </c>
      <c r="D3516" t="s">
        <v>8151</v>
      </c>
      <c r="E3516">
        <v>2108346886</v>
      </c>
      <c r="F3516" t="s">
        <v>928</v>
      </c>
      <c r="G3516" t="s">
        <v>929</v>
      </c>
      <c r="I3516" t="s">
        <v>30</v>
      </c>
      <c r="J3516" s="13">
        <v>45998</v>
      </c>
      <c r="K3516" s="13">
        <v>46023</v>
      </c>
      <c r="L3516" t="s">
        <v>444</v>
      </c>
      <c r="M3516" t="s">
        <v>59</v>
      </c>
      <c r="N3516">
        <v>72505169</v>
      </c>
    </row>
    <row r="3517" spans="1:14" x14ac:dyDescent="0.25">
      <c r="A3517">
        <v>58743185</v>
      </c>
      <c r="B3517" t="s">
        <v>8152</v>
      </c>
      <c r="C3517" t="s">
        <v>8153</v>
      </c>
      <c r="D3517" t="s">
        <v>8154</v>
      </c>
      <c r="E3517">
        <v>7204951809</v>
      </c>
      <c r="F3517" t="s">
        <v>957</v>
      </c>
      <c r="G3517" t="s">
        <v>958</v>
      </c>
      <c r="H3517" t="s">
        <v>959</v>
      </c>
      <c r="I3517" t="s">
        <v>960</v>
      </c>
      <c r="J3517" s="13">
        <v>45998</v>
      </c>
      <c r="K3517" s="13">
        <v>46023</v>
      </c>
      <c r="L3517" t="s">
        <v>539</v>
      </c>
      <c r="M3517" t="s">
        <v>58</v>
      </c>
      <c r="N3517">
        <v>72505212</v>
      </c>
    </row>
    <row r="3518" spans="1:14" x14ac:dyDescent="0.25">
      <c r="A3518">
        <v>58743292</v>
      </c>
      <c r="B3518" t="s">
        <v>5017</v>
      </c>
      <c r="C3518" t="s">
        <v>8155</v>
      </c>
      <c r="D3518" t="s">
        <v>8156</v>
      </c>
      <c r="E3518">
        <v>2054846164</v>
      </c>
      <c r="F3518" t="s">
        <v>628</v>
      </c>
      <c r="G3518" t="s">
        <v>629</v>
      </c>
      <c r="I3518" t="s">
        <v>24</v>
      </c>
      <c r="J3518" s="13">
        <v>45998</v>
      </c>
      <c r="K3518" s="13">
        <v>46023</v>
      </c>
      <c r="L3518" t="s">
        <v>450</v>
      </c>
      <c r="M3518" t="s">
        <v>55</v>
      </c>
      <c r="N3518">
        <v>72505279</v>
      </c>
    </row>
    <row r="3519" spans="1:14" x14ac:dyDescent="0.25">
      <c r="A3519">
        <v>58743412</v>
      </c>
      <c r="B3519" t="s">
        <v>1408</v>
      </c>
      <c r="C3519" t="s">
        <v>8157</v>
      </c>
      <c r="D3519" t="s">
        <v>8158</v>
      </c>
      <c r="E3519">
        <v>9017089075</v>
      </c>
      <c r="F3519" t="s">
        <v>474</v>
      </c>
      <c r="G3519" t="s">
        <v>475</v>
      </c>
      <c r="I3519" t="s">
        <v>132</v>
      </c>
      <c r="J3519" s="13">
        <v>45998</v>
      </c>
      <c r="K3519" s="13">
        <v>46023</v>
      </c>
      <c r="L3519" t="s">
        <v>479</v>
      </c>
      <c r="M3519" t="s">
        <v>62</v>
      </c>
      <c r="N3519">
        <v>72505330</v>
      </c>
    </row>
    <row r="3520" spans="1:14" x14ac:dyDescent="0.25">
      <c r="A3520">
        <v>58743427</v>
      </c>
      <c r="B3520" t="s">
        <v>1015</v>
      </c>
      <c r="C3520" t="s">
        <v>8159</v>
      </c>
      <c r="D3520" t="s">
        <v>8160</v>
      </c>
      <c r="E3520">
        <v>9858606191</v>
      </c>
      <c r="F3520" t="s">
        <v>842</v>
      </c>
      <c r="G3520" t="s">
        <v>843</v>
      </c>
      <c r="I3520" t="s">
        <v>98</v>
      </c>
      <c r="J3520" s="13">
        <v>45998</v>
      </c>
      <c r="K3520" s="13">
        <v>46023</v>
      </c>
      <c r="L3520" t="s">
        <v>612</v>
      </c>
      <c r="M3520" t="s">
        <v>56</v>
      </c>
      <c r="N3520">
        <v>72505336</v>
      </c>
    </row>
    <row r="3521" spans="1:14" x14ac:dyDescent="0.25">
      <c r="A3521">
        <v>58743794</v>
      </c>
      <c r="B3521" t="s">
        <v>6291</v>
      </c>
      <c r="C3521" t="s">
        <v>8161</v>
      </c>
      <c r="D3521" t="s">
        <v>8162</v>
      </c>
      <c r="E3521">
        <v>8632611631</v>
      </c>
      <c r="F3521" t="s">
        <v>551</v>
      </c>
      <c r="G3521" t="s">
        <v>552</v>
      </c>
      <c r="I3521" t="s">
        <v>42</v>
      </c>
      <c r="J3521" s="13">
        <v>45998</v>
      </c>
      <c r="K3521" s="13">
        <v>46023</v>
      </c>
      <c r="L3521" t="s">
        <v>497</v>
      </c>
      <c r="M3521" t="s">
        <v>56</v>
      </c>
      <c r="N3521">
        <v>72505530</v>
      </c>
    </row>
    <row r="3522" spans="1:14" x14ac:dyDescent="0.25">
      <c r="A3522">
        <v>58743756</v>
      </c>
      <c r="B3522" t="s">
        <v>8163</v>
      </c>
      <c r="C3522" t="s">
        <v>5661</v>
      </c>
      <c r="D3522" t="s">
        <v>8164</v>
      </c>
      <c r="E3522">
        <v>4804081005</v>
      </c>
      <c r="F3522" t="s">
        <v>4853</v>
      </c>
      <c r="G3522" t="s">
        <v>5017</v>
      </c>
      <c r="I3522" t="s">
        <v>5018</v>
      </c>
      <c r="J3522" s="13">
        <v>45998</v>
      </c>
      <c r="K3522" s="13">
        <v>46023</v>
      </c>
      <c r="L3522" t="s">
        <v>1179</v>
      </c>
      <c r="M3522" t="s">
        <v>54</v>
      </c>
      <c r="N3522">
        <v>72505552</v>
      </c>
    </row>
    <row r="3523" spans="1:14" x14ac:dyDescent="0.25">
      <c r="A3523">
        <v>58743776</v>
      </c>
      <c r="B3523" t="s">
        <v>4492</v>
      </c>
      <c r="C3523" t="s">
        <v>1510</v>
      </c>
      <c r="D3523" t="s">
        <v>8165</v>
      </c>
      <c r="E3523">
        <v>3522352112</v>
      </c>
      <c r="F3523" t="s">
        <v>416</v>
      </c>
      <c r="G3523" t="s">
        <v>417</v>
      </c>
      <c r="I3523" t="s">
        <v>26</v>
      </c>
      <c r="J3523" s="13">
        <v>45998</v>
      </c>
      <c r="K3523" s="13">
        <v>46023</v>
      </c>
      <c r="L3523" t="s">
        <v>497</v>
      </c>
      <c r="M3523" t="s">
        <v>56</v>
      </c>
      <c r="N3523">
        <v>72505554</v>
      </c>
    </row>
    <row r="3524" spans="1:14" x14ac:dyDescent="0.25">
      <c r="A3524">
        <v>58744014</v>
      </c>
      <c r="B3524" t="s">
        <v>8166</v>
      </c>
      <c r="C3524" t="s">
        <v>8167</v>
      </c>
      <c r="D3524" t="s">
        <v>8168</v>
      </c>
      <c r="E3524">
        <v>4807299215</v>
      </c>
      <c r="F3524" t="s">
        <v>569</v>
      </c>
      <c r="G3524" t="s">
        <v>570</v>
      </c>
      <c r="I3524" t="s">
        <v>34</v>
      </c>
      <c r="J3524" s="13">
        <v>45998</v>
      </c>
      <c r="K3524" s="13">
        <v>46023</v>
      </c>
      <c r="L3524" t="s">
        <v>1179</v>
      </c>
      <c r="M3524" t="s">
        <v>55</v>
      </c>
      <c r="N3524">
        <v>72505726</v>
      </c>
    </row>
    <row r="3525" spans="1:14" x14ac:dyDescent="0.25">
      <c r="A3525">
        <v>58744016</v>
      </c>
      <c r="B3525" t="s">
        <v>2568</v>
      </c>
      <c r="C3525" t="s">
        <v>7889</v>
      </c>
      <c r="D3525" t="s">
        <v>8169</v>
      </c>
      <c r="E3525">
        <v>2147793124</v>
      </c>
      <c r="F3525" t="s">
        <v>815</v>
      </c>
      <c r="G3525" t="s">
        <v>816</v>
      </c>
      <c r="I3525" t="s">
        <v>23</v>
      </c>
      <c r="J3525" s="13">
        <v>45998</v>
      </c>
      <c r="K3525" s="13">
        <v>46023</v>
      </c>
      <c r="L3525" t="s">
        <v>444</v>
      </c>
      <c r="M3525" t="s">
        <v>56</v>
      </c>
      <c r="N3525">
        <v>72505727</v>
      </c>
    </row>
    <row r="3526" spans="1:14" x14ac:dyDescent="0.25">
      <c r="A3526">
        <v>58744069</v>
      </c>
      <c r="B3526" t="s">
        <v>6451</v>
      </c>
      <c r="C3526" t="s">
        <v>8170</v>
      </c>
      <c r="D3526" t="s">
        <v>8171</v>
      </c>
      <c r="E3526">
        <v>6028911560</v>
      </c>
      <c r="F3526" t="s">
        <v>1345</v>
      </c>
      <c r="G3526" t="s">
        <v>799</v>
      </c>
      <c r="I3526" t="s">
        <v>47</v>
      </c>
      <c r="J3526" s="13">
        <v>45998</v>
      </c>
      <c r="K3526" s="13">
        <v>46023</v>
      </c>
      <c r="L3526" t="s">
        <v>1179</v>
      </c>
      <c r="M3526" t="s">
        <v>54</v>
      </c>
      <c r="N3526">
        <v>72505757</v>
      </c>
    </row>
    <row r="3527" spans="1:14" x14ac:dyDescent="0.25">
      <c r="A3527">
        <v>58744094</v>
      </c>
      <c r="B3527" t="s">
        <v>5792</v>
      </c>
      <c r="C3527" t="s">
        <v>8172</v>
      </c>
      <c r="D3527" t="s">
        <v>8173</v>
      </c>
      <c r="E3527">
        <v>4058123324</v>
      </c>
      <c r="F3527" t="s">
        <v>775</v>
      </c>
      <c r="G3527" t="s">
        <v>776</v>
      </c>
      <c r="I3527" t="s">
        <v>22</v>
      </c>
      <c r="J3527" s="13">
        <v>45998</v>
      </c>
      <c r="K3527" s="13">
        <v>46023</v>
      </c>
      <c r="L3527" t="s">
        <v>1179</v>
      </c>
      <c r="M3527" t="s">
        <v>55</v>
      </c>
      <c r="N3527">
        <v>72505775</v>
      </c>
    </row>
    <row r="3528" spans="1:14" x14ac:dyDescent="0.25">
      <c r="A3528">
        <v>58744124</v>
      </c>
      <c r="B3528" t="s">
        <v>3587</v>
      </c>
      <c r="C3528" t="s">
        <v>1068</v>
      </c>
      <c r="D3528" t="s">
        <v>8174</v>
      </c>
      <c r="E3528">
        <v>9032440719</v>
      </c>
      <c r="F3528" t="s">
        <v>1142</v>
      </c>
      <c r="G3528" t="s">
        <v>1143</v>
      </c>
      <c r="I3528" t="s">
        <v>124</v>
      </c>
      <c r="J3528" s="13">
        <v>45998</v>
      </c>
      <c r="K3528" s="13">
        <v>46023</v>
      </c>
      <c r="L3528" t="s">
        <v>553</v>
      </c>
      <c r="M3528" t="s">
        <v>56</v>
      </c>
      <c r="N3528">
        <v>72505784</v>
      </c>
    </row>
    <row r="3529" spans="1:14" x14ac:dyDescent="0.25">
      <c r="A3529">
        <v>58744194</v>
      </c>
      <c r="B3529" t="s">
        <v>1925</v>
      </c>
      <c r="C3529" t="s">
        <v>8175</v>
      </c>
      <c r="D3529" t="s">
        <v>8176</v>
      </c>
      <c r="E3529">
        <v>4809963766</v>
      </c>
      <c r="F3529" t="s">
        <v>780</v>
      </c>
      <c r="G3529" t="s">
        <v>781</v>
      </c>
      <c r="I3529" t="s">
        <v>20</v>
      </c>
      <c r="J3529" s="13">
        <v>45998</v>
      </c>
      <c r="K3529" s="13">
        <v>46023</v>
      </c>
      <c r="L3529" t="s">
        <v>1179</v>
      </c>
      <c r="M3529" t="s">
        <v>59</v>
      </c>
      <c r="N3529">
        <v>72505823</v>
      </c>
    </row>
    <row r="3530" spans="1:14" x14ac:dyDescent="0.25">
      <c r="A3530">
        <v>58744373</v>
      </c>
      <c r="B3530" t="s">
        <v>1029</v>
      </c>
      <c r="C3530" t="s">
        <v>2521</v>
      </c>
      <c r="D3530" t="s">
        <v>8177</v>
      </c>
      <c r="E3530">
        <v>3188341761</v>
      </c>
      <c r="F3530" t="s">
        <v>592</v>
      </c>
      <c r="G3530" t="s">
        <v>593</v>
      </c>
      <c r="I3530" t="s">
        <v>115</v>
      </c>
      <c r="J3530" s="13">
        <v>45998</v>
      </c>
      <c r="K3530" s="13">
        <v>46023</v>
      </c>
      <c r="L3530" t="s">
        <v>612</v>
      </c>
      <c r="M3530" t="s">
        <v>56</v>
      </c>
      <c r="N3530">
        <v>72505909</v>
      </c>
    </row>
    <row r="3531" spans="1:14" x14ac:dyDescent="0.25">
      <c r="A3531">
        <v>58744454</v>
      </c>
      <c r="B3531" t="s">
        <v>1445</v>
      </c>
      <c r="C3531" t="s">
        <v>8178</v>
      </c>
      <c r="D3531" t="s">
        <v>8179</v>
      </c>
      <c r="E3531">
        <v>9045028654</v>
      </c>
      <c r="F3531" t="s">
        <v>423</v>
      </c>
      <c r="G3531" t="s">
        <v>424</v>
      </c>
      <c r="I3531" t="s">
        <v>46</v>
      </c>
      <c r="J3531" s="13">
        <v>45998</v>
      </c>
      <c r="K3531" s="13">
        <v>46023</v>
      </c>
      <c r="L3531" t="s">
        <v>497</v>
      </c>
      <c r="M3531" t="s">
        <v>60</v>
      </c>
      <c r="N3531">
        <v>72505934</v>
      </c>
    </row>
    <row r="3532" spans="1:14" x14ac:dyDescent="0.25">
      <c r="A3532">
        <v>58744525</v>
      </c>
      <c r="B3532" t="s">
        <v>791</v>
      </c>
      <c r="C3532" t="s">
        <v>8180</v>
      </c>
      <c r="D3532" t="s">
        <v>8181</v>
      </c>
      <c r="E3532">
        <v>9542578224</v>
      </c>
      <c r="F3532" t="s">
        <v>828</v>
      </c>
      <c r="G3532" t="s">
        <v>1148</v>
      </c>
      <c r="I3532" t="s">
        <v>17</v>
      </c>
      <c r="J3532" s="13">
        <v>45998</v>
      </c>
      <c r="K3532" s="13">
        <v>46023</v>
      </c>
      <c r="L3532" t="s">
        <v>497</v>
      </c>
      <c r="M3532" t="s">
        <v>56</v>
      </c>
      <c r="N3532">
        <v>72505998</v>
      </c>
    </row>
    <row r="3533" spans="1:14" x14ac:dyDescent="0.25">
      <c r="A3533">
        <v>58744584</v>
      </c>
      <c r="B3533" t="s">
        <v>6753</v>
      </c>
      <c r="C3533" t="s">
        <v>8182</v>
      </c>
      <c r="D3533" t="s">
        <v>8183</v>
      </c>
      <c r="E3533">
        <v>4077332828</v>
      </c>
      <c r="F3533" t="s">
        <v>1067</v>
      </c>
      <c r="G3533" t="s">
        <v>1068</v>
      </c>
      <c r="I3533" t="s">
        <v>35</v>
      </c>
      <c r="J3533" s="13">
        <v>45998</v>
      </c>
      <c r="K3533" s="13">
        <v>46023</v>
      </c>
      <c r="L3533" t="s">
        <v>497</v>
      </c>
      <c r="M3533" t="s">
        <v>56</v>
      </c>
      <c r="N3533">
        <v>72506041</v>
      </c>
    </row>
    <row r="3534" spans="1:14" x14ac:dyDescent="0.25">
      <c r="A3534">
        <v>58744602</v>
      </c>
      <c r="B3534" t="s">
        <v>8184</v>
      </c>
      <c r="C3534" t="s">
        <v>8185</v>
      </c>
      <c r="D3534" t="s">
        <v>8186</v>
      </c>
      <c r="E3534">
        <v>7084970682</v>
      </c>
      <c r="F3534" t="s">
        <v>615</v>
      </c>
      <c r="G3534" t="s">
        <v>616</v>
      </c>
      <c r="I3534" t="s">
        <v>617</v>
      </c>
      <c r="J3534" s="13">
        <v>45998</v>
      </c>
      <c r="K3534" s="13">
        <v>46023</v>
      </c>
      <c r="L3534" t="s">
        <v>470</v>
      </c>
      <c r="M3534" t="s">
        <v>56</v>
      </c>
      <c r="N3534">
        <v>72506050</v>
      </c>
    </row>
    <row r="3535" spans="1:14" x14ac:dyDescent="0.25">
      <c r="A3535">
        <v>58744614</v>
      </c>
      <c r="B3535" t="s">
        <v>867</v>
      </c>
      <c r="C3535" t="s">
        <v>2678</v>
      </c>
      <c r="D3535" t="s">
        <v>8187</v>
      </c>
      <c r="E3535">
        <v>7202919326</v>
      </c>
      <c r="F3535" t="s">
        <v>4853</v>
      </c>
      <c r="G3535" t="s">
        <v>5017</v>
      </c>
      <c r="I3535" t="s">
        <v>5018</v>
      </c>
      <c r="J3535" s="13">
        <v>45998</v>
      </c>
      <c r="K3535" s="13">
        <v>46023</v>
      </c>
      <c r="L3535" t="s">
        <v>1179</v>
      </c>
      <c r="M3535" t="s">
        <v>54</v>
      </c>
      <c r="N3535">
        <v>72506051</v>
      </c>
    </row>
    <row r="3536" spans="1:14" x14ac:dyDescent="0.25">
      <c r="A3536">
        <v>58744717</v>
      </c>
      <c r="B3536" t="s">
        <v>8188</v>
      </c>
      <c r="C3536" t="s">
        <v>8189</v>
      </c>
      <c r="D3536" t="s">
        <v>8190</v>
      </c>
      <c r="E3536">
        <v>6065481295</v>
      </c>
      <c r="F3536" t="s">
        <v>448</v>
      </c>
      <c r="G3536" t="s">
        <v>449</v>
      </c>
      <c r="I3536" t="s">
        <v>31</v>
      </c>
      <c r="J3536" s="13">
        <v>45998</v>
      </c>
      <c r="K3536" s="13">
        <v>46023</v>
      </c>
      <c r="L3536" t="s">
        <v>490</v>
      </c>
      <c r="M3536" t="s">
        <v>61</v>
      </c>
      <c r="N3536">
        <v>72506111</v>
      </c>
    </row>
    <row r="3537" spans="1:14" x14ac:dyDescent="0.25">
      <c r="A3537">
        <v>58744769</v>
      </c>
      <c r="B3537" t="s">
        <v>8191</v>
      </c>
      <c r="C3537" t="s">
        <v>8192</v>
      </c>
      <c r="D3537" t="s">
        <v>8193</v>
      </c>
      <c r="E3537">
        <v>5572196244</v>
      </c>
      <c r="F3537" t="s">
        <v>537</v>
      </c>
      <c r="G3537" t="s">
        <v>538</v>
      </c>
      <c r="I3537" t="s">
        <v>49</v>
      </c>
      <c r="J3537" s="13">
        <v>45998</v>
      </c>
      <c r="K3537" s="13">
        <v>46023</v>
      </c>
      <c r="L3537" t="s">
        <v>434</v>
      </c>
      <c r="M3537" t="s">
        <v>56</v>
      </c>
      <c r="N3537">
        <v>72506142</v>
      </c>
    </row>
    <row r="3538" spans="1:14" x14ac:dyDescent="0.25">
      <c r="A3538">
        <v>58744780</v>
      </c>
      <c r="B3538" t="s">
        <v>980</v>
      </c>
      <c r="C3538" t="s">
        <v>8194</v>
      </c>
      <c r="D3538" t="s">
        <v>8195</v>
      </c>
      <c r="E3538">
        <v>4077332828</v>
      </c>
      <c r="F3538" t="s">
        <v>1067</v>
      </c>
      <c r="G3538" t="s">
        <v>1068</v>
      </c>
      <c r="I3538" t="s">
        <v>35</v>
      </c>
      <c r="J3538" s="13">
        <v>45998</v>
      </c>
      <c r="K3538" s="13">
        <v>46023</v>
      </c>
      <c r="L3538" t="s">
        <v>497</v>
      </c>
      <c r="M3538" t="s">
        <v>56</v>
      </c>
      <c r="N3538">
        <v>72506151</v>
      </c>
    </row>
    <row r="3539" spans="1:14" x14ac:dyDescent="0.25">
      <c r="A3539">
        <v>58744802</v>
      </c>
      <c r="B3539" t="s">
        <v>1408</v>
      </c>
      <c r="C3539" t="s">
        <v>8196</v>
      </c>
      <c r="D3539" t="s">
        <v>8197</v>
      </c>
      <c r="E3539">
        <v>8632444779</v>
      </c>
      <c r="F3539" t="s">
        <v>551</v>
      </c>
      <c r="G3539" t="s">
        <v>552</v>
      </c>
      <c r="I3539" t="s">
        <v>42</v>
      </c>
      <c r="J3539" s="13">
        <v>45998</v>
      </c>
      <c r="K3539" s="13">
        <v>46023</v>
      </c>
      <c r="L3539" t="s">
        <v>497</v>
      </c>
      <c r="M3539" t="s">
        <v>58</v>
      </c>
      <c r="N3539">
        <v>72506152</v>
      </c>
    </row>
    <row r="3540" spans="1:14" x14ac:dyDescent="0.25">
      <c r="A3540">
        <v>58744813</v>
      </c>
      <c r="B3540" t="s">
        <v>3742</v>
      </c>
      <c r="C3540" t="s">
        <v>8198</v>
      </c>
      <c r="D3540" t="s">
        <v>8199</v>
      </c>
      <c r="E3540">
        <v>8043516840</v>
      </c>
      <c r="F3540" t="s">
        <v>705</v>
      </c>
      <c r="G3540" t="s">
        <v>706</v>
      </c>
      <c r="I3540" t="s">
        <v>12</v>
      </c>
      <c r="J3540" s="13">
        <v>45998</v>
      </c>
      <c r="K3540" s="13">
        <v>46023</v>
      </c>
      <c r="L3540" t="s">
        <v>454</v>
      </c>
      <c r="M3540" t="s">
        <v>59</v>
      </c>
      <c r="N3540">
        <v>72506172</v>
      </c>
    </row>
    <row r="3541" spans="1:14" x14ac:dyDescent="0.25">
      <c r="A3541">
        <v>58744904</v>
      </c>
      <c r="B3541" t="s">
        <v>2041</v>
      </c>
      <c r="C3541" t="s">
        <v>4099</v>
      </c>
      <c r="D3541" t="s">
        <v>8200</v>
      </c>
      <c r="E3541">
        <v>2767592494</v>
      </c>
      <c r="F3541" t="s">
        <v>815</v>
      </c>
      <c r="G3541" t="s">
        <v>816</v>
      </c>
      <c r="I3541" t="s">
        <v>23</v>
      </c>
      <c r="J3541" s="13">
        <v>45998</v>
      </c>
      <c r="K3541" s="13">
        <v>46023</v>
      </c>
      <c r="L3541" t="s">
        <v>454</v>
      </c>
      <c r="M3541" t="s">
        <v>56</v>
      </c>
      <c r="N3541">
        <v>72506238</v>
      </c>
    </row>
    <row r="3542" spans="1:14" x14ac:dyDescent="0.25">
      <c r="A3542">
        <v>58744958</v>
      </c>
      <c r="B3542" t="s">
        <v>3319</v>
      </c>
      <c r="C3542" t="s">
        <v>8201</v>
      </c>
      <c r="D3542" t="s">
        <v>8202</v>
      </c>
      <c r="E3542">
        <v>7798959212</v>
      </c>
      <c r="F3542" t="s">
        <v>474</v>
      </c>
      <c r="G3542" t="s">
        <v>475</v>
      </c>
      <c r="I3542" t="s">
        <v>132</v>
      </c>
      <c r="J3542" s="13">
        <v>45998</v>
      </c>
      <c r="K3542" s="13">
        <v>46023</v>
      </c>
      <c r="L3542" t="s">
        <v>470</v>
      </c>
      <c r="M3542" t="s">
        <v>62</v>
      </c>
      <c r="N3542">
        <v>72506281</v>
      </c>
    </row>
    <row r="3543" spans="1:14" x14ac:dyDescent="0.25">
      <c r="A3543">
        <v>58745019</v>
      </c>
      <c r="B3543" t="s">
        <v>8203</v>
      </c>
      <c r="C3543" t="s">
        <v>8204</v>
      </c>
      <c r="D3543" t="s">
        <v>8205</v>
      </c>
      <c r="E3543">
        <v>8436288524</v>
      </c>
      <c r="F3543" t="s">
        <v>649</v>
      </c>
      <c r="G3543" t="s">
        <v>650</v>
      </c>
      <c r="I3543" t="s">
        <v>28</v>
      </c>
      <c r="J3543" s="13">
        <v>45998</v>
      </c>
      <c r="K3543" s="13">
        <v>46023</v>
      </c>
      <c r="L3543" t="s">
        <v>533</v>
      </c>
      <c r="M3543" t="s">
        <v>61</v>
      </c>
      <c r="N3543">
        <v>72506315</v>
      </c>
    </row>
    <row r="3544" spans="1:14" x14ac:dyDescent="0.25">
      <c r="A3544">
        <v>58745077</v>
      </c>
      <c r="B3544" t="s">
        <v>4811</v>
      </c>
      <c r="C3544" t="s">
        <v>8206</v>
      </c>
      <c r="D3544" t="s">
        <v>8207</v>
      </c>
      <c r="E3544">
        <v>3212920884</v>
      </c>
      <c r="F3544" t="s">
        <v>1142</v>
      </c>
      <c r="G3544" t="s">
        <v>1143</v>
      </c>
      <c r="I3544" t="s">
        <v>124</v>
      </c>
      <c r="J3544" s="13">
        <v>45998</v>
      </c>
      <c r="K3544" s="13">
        <v>46023</v>
      </c>
      <c r="L3544" t="s">
        <v>497</v>
      </c>
      <c r="M3544" t="s">
        <v>59</v>
      </c>
      <c r="N3544">
        <v>72506361</v>
      </c>
    </row>
    <row r="3545" spans="1:14" x14ac:dyDescent="0.25">
      <c r="A3545">
        <v>58745132</v>
      </c>
      <c r="B3545" t="s">
        <v>8208</v>
      </c>
      <c r="C3545" t="s">
        <v>8209</v>
      </c>
      <c r="D3545" t="s">
        <v>8210</v>
      </c>
      <c r="E3545">
        <v>7374140016</v>
      </c>
      <c r="F3545" t="s">
        <v>578</v>
      </c>
      <c r="G3545" t="s">
        <v>579</v>
      </c>
      <c r="I3545" t="s">
        <v>15</v>
      </c>
      <c r="J3545" s="13">
        <v>45998</v>
      </c>
      <c r="K3545" s="13">
        <v>46023</v>
      </c>
      <c r="L3545" t="s">
        <v>470</v>
      </c>
      <c r="M3545" t="s">
        <v>62</v>
      </c>
      <c r="N3545">
        <v>72506389</v>
      </c>
    </row>
    <row r="3546" spans="1:14" x14ac:dyDescent="0.25">
      <c r="A3546">
        <v>58745175</v>
      </c>
      <c r="B3546" t="s">
        <v>3067</v>
      </c>
      <c r="C3546" t="s">
        <v>8211</v>
      </c>
      <c r="D3546" t="s">
        <v>8212</v>
      </c>
      <c r="E3546">
        <v>7736787913</v>
      </c>
      <c r="F3546" t="s">
        <v>494</v>
      </c>
      <c r="G3546" t="s">
        <v>495</v>
      </c>
      <c r="I3546" t="s">
        <v>496</v>
      </c>
      <c r="J3546" s="13">
        <v>45998</v>
      </c>
      <c r="K3546" s="13">
        <v>46023</v>
      </c>
      <c r="L3546" t="s">
        <v>470</v>
      </c>
      <c r="M3546" t="s">
        <v>62</v>
      </c>
      <c r="N3546">
        <v>72506428</v>
      </c>
    </row>
    <row r="3547" spans="1:14" x14ac:dyDescent="0.25">
      <c r="A3547">
        <v>58745381</v>
      </c>
      <c r="B3547" t="s">
        <v>3326</v>
      </c>
      <c r="C3547" t="s">
        <v>581</v>
      </c>
      <c r="D3547" t="s">
        <v>8213</v>
      </c>
      <c r="E3547">
        <v>8155662115</v>
      </c>
      <c r="F3547" t="s">
        <v>628</v>
      </c>
      <c r="G3547" t="s">
        <v>629</v>
      </c>
      <c r="I3547" t="s">
        <v>24</v>
      </c>
      <c r="J3547" s="13">
        <v>45998</v>
      </c>
      <c r="K3547" s="13">
        <v>46023</v>
      </c>
      <c r="L3547" t="s">
        <v>470</v>
      </c>
      <c r="M3547" t="s">
        <v>59</v>
      </c>
      <c r="N3547">
        <v>72506572</v>
      </c>
    </row>
    <row r="3548" spans="1:14" x14ac:dyDescent="0.25">
      <c r="A3548">
        <v>58745488</v>
      </c>
      <c r="B3548" t="s">
        <v>8214</v>
      </c>
      <c r="C3548" t="s">
        <v>8215</v>
      </c>
      <c r="D3548" t="s">
        <v>8216</v>
      </c>
      <c r="E3548">
        <v>3125998306</v>
      </c>
      <c r="F3548" t="s">
        <v>1147</v>
      </c>
      <c r="G3548" t="s">
        <v>1148</v>
      </c>
      <c r="I3548" t="s">
        <v>41</v>
      </c>
      <c r="J3548" s="13">
        <v>45998</v>
      </c>
      <c r="K3548" s="13">
        <v>46023</v>
      </c>
      <c r="L3548" t="s">
        <v>470</v>
      </c>
      <c r="M3548" t="s">
        <v>62</v>
      </c>
      <c r="N3548">
        <v>72506639</v>
      </c>
    </row>
    <row r="3549" spans="1:14" x14ac:dyDescent="0.25">
      <c r="A3549">
        <v>58745541</v>
      </c>
      <c r="B3549" t="s">
        <v>8203</v>
      </c>
      <c r="C3549" t="s">
        <v>2278</v>
      </c>
      <c r="D3549" t="s">
        <v>8217</v>
      </c>
      <c r="E3549">
        <v>7047852197</v>
      </c>
      <c r="F3549" t="s">
        <v>842</v>
      </c>
      <c r="G3549" t="s">
        <v>843</v>
      </c>
      <c r="I3549" t="s">
        <v>98</v>
      </c>
      <c r="J3549" s="13">
        <v>45998</v>
      </c>
      <c r="K3549" s="13">
        <v>46023</v>
      </c>
      <c r="L3549" t="s">
        <v>603</v>
      </c>
      <c r="M3549" t="s">
        <v>56</v>
      </c>
      <c r="N3549">
        <v>72506673</v>
      </c>
    </row>
    <row r="3550" spans="1:14" x14ac:dyDescent="0.25">
      <c r="A3550">
        <v>58745616</v>
      </c>
      <c r="B3550" t="s">
        <v>2839</v>
      </c>
      <c r="C3550" t="s">
        <v>8218</v>
      </c>
      <c r="D3550" t="s">
        <v>8219</v>
      </c>
      <c r="E3550">
        <v>2102914367</v>
      </c>
      <c r="F3550" t="s">
        <v>780</v>
      </c>
      <c r="G3550" t="s">
        <v>781</v>
      </c>
      <c r="I3550" t="s">
        <v>20</v>
      </c>
      <c r="J3550" s="13">
        <v>45998</v>
      </c>
      <c r="K3550" s="13">
        <v>46023</v>
      </c>
      <c r="L3550" t="s">
        <v>444</v>
      </c>
      <c r="M3550" t="s">
        <v>59</v>
      </c>
      <c r="N3550">
        <v>72506725</v>
      </c>
    </row>
    <row r="3551" spans="1:14" x14ac:dyDescent="0.25">
      <c r="A3551">
        <v>58745680</v>
      </c>
      <c r="B3551" t="s">
        <v>8220</v>
      </c>
      <c r="C3551" t="s">
        <v>8221</v>
      </c>
      <c r="D3551" t="s">
        <v>8222</v>
      </c>
      <c r="E3551">
        <v>5617295254</v>
      </c>
      <c r="F3551" t="s">
        <v>775</v>
      </c>
      <c r="G3551" t="s">
        <v>776</v>
      </c>
      <c r="I3551" t="s">
        <v>22</v>
      </c>
      <c r="J3551" s="13">
        <v>45998</v>
      </c>
      <c r="K3551" s="13">
        <v>46023</v>
      </c>
      <c r="L3551" t="s">
        <v>497</v>
      </c>
      <c r="M3551" t="s">
        <v>54</v>
      </c>
      <c r="N3551">
        <v>72506780</v>
      </c>
    </row>
    <row r="3552" spans="1:14" x14ac:dyDescent="0.25">
      <c r="A3552">
        <v>58745991</v>
      </c>
      <c r="B3552" t="s">
        <v>7114</v>
      </c>
      <c r="C3552" t="s">
        <v>8223</v>
      </c>
      <c r="D3552" t="s">
        <v>8224</v>
      </c>
      <c r="E3552">
        <v>3523225033</v>
      </c>
      <c r="F3552" t="s">
        <v>474</v>
      </c>
      <c r="G3552" t="s">
        <v>475</v>
      </c>
      <c r="I3552" t="s">
        <v>132</v>
      </c>
      <c r="J3552" s="13">
        <v>45998</v>
      </c>
      <c r="K3552" s="13">
        <v>46023</v>
      </c>
      <c r="L3552" t="s">
        <v>497</v>
      </c>
      <c r="M3552" t="s">
        <v>56</v>
      </c>
      <c r="N3552">
        <v>72506979</v>
      </c>
    </row>
    <row r="3553" spans="1:14" x14ac:dyDescent="0.25">
      <c r="A3553">
        <v>58746184</v>
      </c>
      <c r="B3553" t="s">
        <v>3252</v>
      </c>
      <c r="C3553" t="s">
        <v>8225</v>
      </c>
      <c r="D3553" t="s">
        <v>8226</v>
      </c>
      <c r="E3553">
        <v>3862945050</v>
      </c>
      <c r="F3553" t="s">
        <v>551</v>
      </c>
      <c r="G3553" t="s">
        <v>552</v>
      </c>
      <c r="I3553" t="s">
        <v>42</v>
      </c>
      <c r="J3553" s="13">
        <v>45998</v>
      </c>
      <c r="K3553" s="13">
        <v>46023</v>
      </c>
      <c r="L3553" t="s">
        <v>497</v>
      </c>
      <c r="M3553" t="s">
        <v>58</v>
      </c>
      <c r="N3553">
        <v>72507067</v>
      </c>
    </row>
    <row r="3554" spans="1:14" x14ac:dyDescent="0.25">
      <c r="A3554">
        <v>58746156</v>
      </c>
      <c r="B3554" t="s">
        <v>4769</v>
      </c>
      <c r="C3554" t="s">
        <v>619</v>
      </c>
      <c r="D3554" t="s">
        <v>8227</v>
      </c>
      <c r="E3554">
        <v>8594477364</v>
      </c>
      <c r="F3554" t="s">
        <v>615</v>
      </c>
      <c r="G3554" t="s">
        <v>616</v>
      </c>
      <c r="I3554" t="s">
        <v>617</v>
      </c>
      <c r="J3554" s="13">
        <v>45998</v>
      </c>
      <c r="K3554" s="13">
        <v>46023</v>
      </c>
      <c r="L3554" t="s">
        <v>490</v>
      </c>
      <c r="M3554" t="s">
        <v>56</v>
      </c>
      <c r="N3554">
        <v>72507083</v>
      </c>
    </row>
    <row r="3555" spans="1:14" x14ac:dyDescent="0.25">
      <c r="A3555">
        <v>58746221</v>
      </c>
      <c r="B3555" t="s">
        <v>5646</v>
      </c>
      <c r="C3555" t="s">
        <v>1941</v>
      </c>
      <c r="D3555" t="s">
        <v>8228</v>
      </c>
      <c r="E3555">
        <v>9547097869</v>
      </c>
      <c r="F3555" t="s">
        <v>1067</v>
      </c>
      <c r="G3555" t="s">
        <v>1068</v>
      </c>
      <c r="I3555" t="s">
        <v>35</v>
      </c>
      <c r="J3555" s="13">
        <v>45998</v>
      </c>
      <c r="K3555" s="13">
        <v>46023</v>
      </c>
      <c r="L3555" t="s">
        <v>497</v>
      </c>
      <c r="M3555" t="s">
        <v>60</v>
      </c>
      <c r="N3555">
        <v>72507132</v>
      </c>
    </row>
    <row r="3556" spans="1:14" x14ac:dyDescent="0.25">
      <c r="A3556">
        <v>58746330</v>
      </c>
      <c r="B3556" t="s">
        <v>8229</v>
      </c>
      <c r="C3556" t="s">
        <v>6663</v>
      </c>
      <c r="D3556" t="s">
        <v>8230</v>
      </c>
      <c r="E3556" t="s">
        <v>8231</v>
      </c>
      <c r="F3556" t="s">
        <v>790</v>
      </c>
      <c r="G3556" t="s">
        <v>791</v>
      </c>
      <c r="I3556" t="s">
        <v>119</v>
      </c>
      <c r="J3556" s="13">
        <v>45998</v>
      </c>
      <c r="K3556" s="13">
        <v>46023</v>
      </c>
      <c r="L3556" t="s">
        <v>444</v>
      </c>
      <c r="M3556" t="s">
        <v>58</v>
      </c>
      <c r="N3556">
        <v>72507188</v>
      </c>
    </row>
    <row r="3557" spans="1:14" x14ac:dyDescent="0.25">
      <c r="A3557">
        <v>58746386</v>
      </c>
      <c r="B3557" t="s">
        <v>8232</v>
      </c>
      <c r="C3557" t="s">
        <v>8233</v>
      </c>
      <c r="D3557" t="s">
        <v>8234</v>
      </c>
      <c r="E3557">
        <v>7725013501</v>
      </c>
      <c r="F3557" t="s">
        <v>1142</v>
      </c>
      <c r="G3557" t="s">
        <v>1143</v>
      </c>
      <c r="I3557" t="s">
        <v>124</v>
      </c>
      <c r="J3557" s="13">
        <v>45998</v>
      </c>
      <c r="K3557" s="13">
        <v>46023</v>
      </c>
      <c r="L3557" t="s">
        <v>497</v>
      </c>
      <c r="M3557" t="s">
        <v>59</v>
      </c>
      <c r="N3557">
        <v>72507235</v>
      </c>
    </row>
    <row r="3558" spans="1:14" x14ac:dyDescent="0.25">
      <c r="A3558">
        <v>58746495</v>
      </c>
      <c r="B3558" t="s">
        <v>685</v>
      </c>
      <c r="C3558" t="s">
        <v>423</v>
      </c>
      <c r="D3558" t="s">
        <v>8235</v>
      </c>
      <c r="E3558">
        <v>7205768919</v>
      </c>
      <c r="F3558" t="s">
        <v>957</v>
      </c>
      <c r="G3558" t="s">
        <v>958</v>
      </c>
      <c r="H3558" t="s">
        <v>959</v>
      </c>
      <c r="I3558" t="s">
        <v>960</v>
      </c>
      <c r="J3558" s="13">
        <v>45998</v>
      </c>
      <c r="K3558" s="13">
        <v>46023</v>
      </c>
      <c r="L3558" t="s">
        <v>539</v>
      </c>
      <c r="M3558" t="s">
        <v>56</v>
      </c>
      <c r="N3558">
        <v>72507276</v>
      </c>
    </row>
    <row r="3559" spans="1:14" x14ac:dyDescent="0.25">
      <c r="A3559">
        <v>58746502</v>
      </c>
      <c r="B3559" t="s">
        <v>8236</v>
      </c>
      <c r="C3559" t="s">
        <v>8237</v>
      </c>
      <c r="D3559" t="s">
        <v>8238</v>
      </c>
      <c r="E3559">
        <v>2055324232</v>
      </c>
      <c r="F3559" t="s">
        <v>815</v>
      </c>
      <c r="G3559" t="s">
        <v>816</v>
      </c>
      <c r="I3559" t="s">
        <v>23</v>
      </c>
      <c r="J3559" s="13">
        <v>45998</v>
      </c>
      <c r="K3559" s="13">
        <v>46023</v>
      </c>
      <c r="L3559" t="s">
        <v>450</v>
      </c>
      <c r="M3559" t="s">
        <v>55</v>
      </c>
      <c r="N3559">
        <v>72507297</v>
      </c>
    </row>
    <row r="3560" spans="1:14" x14ac:dyDescent="0.25">
      <c r="A3560">
        <v>58746506</v>
      </c>
      <c r="B3560" t="s">
        <v>730</v>
      </c>
      <c r="C3560" t="s">
        <v>610</v>
      </c>
      <c r="D3560" t="s">
        <v>8239</v>
      </c>
      <c r="E3560">
        <v>7262469029</v>
      </c>
      <c r="F3560" t="s">
        <v>705</v>
      </c>
      <c r="G3560" t="s">
        <v>706</v>
      </c>
      <c r="I3560" t="s">
        <v>12</v>
      </c>
      <c r="J3560" s="13">
        <v>45998</v>
      </c>
      <c r="K3560" s="13">
        <v>46023</v>
      </c>
      <c r="L3560" t="s">
        <v>444</v>
      </c>
      <c r="M3560" t="s">
        <v>55</v>
      </c>
      <c r="N3560">
        <v>72507300</v>
      </c>
    </row>
    <row r="3561" spans="1:14" x14ac:dyDescent="0.25">
      <c r="A3561">
        <v>58746925</v>
      </c>
      <c r="B3561" t="s">
        <v>1408</v>
      </c>
      <c r="C3561" t="s">
        <v>6751</v>
      </c>
      <c r="D3561" t="s">
        <v>8240</v>
      </c>
      <c r="E3561">
        <v>4809347378</v>
      </c>
      <c r="F3561" t="s">
        <v>4853</v>
      </c>
      <c r="G3561" t="s">
        <v>5017</v>
      </c>
      <c r="I3561" t="s">
        <v>5018</v>
      </c>
      <c r="J3561" s="13">
        <v>45998</v>
      </c>
      <c r="K3561" s="13">
        <v>46023</v>
      </c>
      <c r="L3561" t="s">
        <v>1179</v>
      </c>
      <c r="M3561" t="s">
        <v>55</v>
      </c>
      <c r="N3561">
        <v>72507514</v>
      </c>
    </row>
    <row r="3562" spans="1:14" x14ac:dyDescent="0.25">
      <c r="A3562">
        <v>58746982</v>
      </c>
      <c r="B3562" t="s">
        <v>2028</v>
      </c>
      <c r="C3562" t="s">
        <v>8241</v>
      </c>
      <c r="D3562" t="s">
        <v>8242</v>
      </c>
      <c r="E3562">
        <v>9546826664</v>
      </c>
      <c r="F3562" t="s">
        <v>462</v>
      </c>
      <c r="G3562" t="s">
        <v>463</v>
      </c>
      <c r="I3562" t="s">
        <v>39</v>
      </c>
      <c r="J3562" s="13">
        <v>45998</v>
      </c>
      <c r="K3562" s="13">
        <v>46023</v>
      </c>
      <c r="L3562" t="s">
        <v>497</v>
      </c>
      <c r="M3562" t="s">
        <v>56</v>
      </c>
      <c r="N3562">
        <v>72507539</v>
      </c>
    </row>
    <row r="3563" spans="1:14" x14ac:dyDescent="0.25">
      <c r="A3563">
        <v>58747027</v>
      </c>
      <c r="B3563" t="s">
        <v>1176</v>
      </c>
      <c r="C3563" t="s">
        <v>1487</v>
      </c>
      <c r="D3563" t="s">
        <v>8243</v>
      </c>
      <c r="E3563">
        <v>4807817819</v>
      </c>
      <c r="F3563" t="s">
        <v>416</v>
      </c>
      <c r="G3563" t="s">
        <v>417</v>
      </c>
      <c r="I3563" t="s">
        <v>26</v>
      </c>
      <c r="J3563" s="13">
        <v>45998</v>
      </c>
      <c r="K3563" s="13">
        <v>46023</v>
      </c>
      <c r="L3563" t="s">
        <v>1179</v>
      </c>
      <c r="M3563" t="s">
        <v>59</v>
      </c>
      <c r="N3563">
        <v>72507556</v>
      </c>
    </row>
    <row r="3564" spans="1:14" x14ac:dyDescent="0.25">
      <c r="A3564">
        <v>58747256</v>
      </c>
      <c r="B3564" t="s">
        <v>1522</v>
      </c>
      <c r="C3564" t="s">
        <v>8244</v>
      </c>
      <c r="D3564" t="s">
        <v>8245</v>
      </c>
      <c r="E3564">
        <v>7542071098</v>
      </c>
      <c r="F3564" t="s">
        <v>775</v>
      </c>
      <c r="G3564" t="s">
        <v>776</v>
      </c>
      <c r="I3564" t="s">
        <v>22</v>
      </c>
      <c r="J3564" s="13">
        <v>45998</v>
      </c>
      <c r="K3564" s="13">
        <v>46023</v>
      </c>
      <c r="L3564" t="s">
        <v>497</v>
      </c>
      <c r="M3564" t="s">
        <v>56</v>
      </c>
      <c r="N3564">
        <v>72507694</v>
      </c>
    </row>
    <row r="3565" spans="1:14" x14ac:dyDescent="0.25">
      <c r="A3565">
        <v>58747903</v>
      </c>
      <c r="B3565" t="s">
        <v>2681</v>
      </c>
      <c r="C3565" t="s">
        <v>8246</v>
      </c>
      <c r="D3565" t="s">
        <v>8247</v>
      </c>
      <c r="E3565">
        <v>6235229455</v>
      </c>
      <c r="F3565" t="s">
        <v>462</v>
      </c>
      <c r="G3565" t="s">
        <v>463</v>
      </c>
      <c r="I3565" t="s">
        <v>39</v>
      </c>
      <c r="J3565" s="13">
        <v>45998</v>
      </c>
      <c r="K3565" s="13">
        <v>46023</v>
      </c>
      <c r="L3565" t="s">
        <v>1179</v>
      </c>
      <c r="M3565" t="s">
        <v>54</v>
      </c>
      <c r="N3565">
        <v>72508109</v>
      </c>
    </row>
    <row r="3566" spans="1:14" x14ac:dyDescent="0.25">
      <c r="A3566">
        <v>58748119</v>
      </c>
      <c r="B3566" t="s">
        <v>1250</v>
      </c>
      <c r="C3566" t="s">
        <v>8248</v>
      </c>
      <c r="D3566" t="s">
        <v>8249</v>
      </c>
      <c r="E3566">
        <v>7084002939</v>
      </c>
      <c r="F3566" t="s">
        <v>494</v>
      </c>
      <c r="G3566" t="s">
        <v>495</v>
      </c>
      <c r="I3566" t="s">
        <v>496</v>
      </c>
      <c r="J3566" s="13">
        <v>45998</v>
      </c>
      <c r="K3566" s="13">
        <v>46023</v>
      </c>
      <c r="L3566" t="s">
        <v>470</v>
      </c>
      <c r="M3566" t="s">
        <v>62</v>
      </c>
      <c r="N3566">
        <v>72508246</v>
      </c>
    </row>
    <row r="3567" spans="1:14" x14ac:dyDescent="0.25">
      <c r="A3567">
        <v>58749795</v>
      </c>
      <c r="B3567" t="s">
        <v>730</v>
      </c>
      <c r="C3567" t="s">
        <v>8250</v>
      </c>
      <c r="D3567" t="s">
        <v>8251</v>
      </c>
      <c r="E3567" t="s">
        <v>8252</v>
      </c>
      <c r="F3567" t="s">
        <v>474</v>
      </c>
      <c r="G3567" t="s">
        <v>475</v>
      </c>
      <c r="I3567" t="s">
        <v>132</v>
      </c>
      <c r="J3567" s="13">
        <v>45998</v>
      </c>
      <c r="K3567" s="13">
        <v>46023</v>
      </c>
      <c r="L3567" t="s">
        <v>497</v>
      </c>
      <c r="M3567" t="s">
        <v>56</v>
      </c>
      <c r="N3567">
        <v>72509423</v>
      </c>
    </row>
    <row r="3568" spans="1:14" x14ac:dyDescent="0.25">
      <c r="A3568">
        <v>58750355</v>
      </c>
      <c r="B3568" t="s">
        <v>8253</v>
      </c>
      <c r="C3568" t="s">
        <v>8254</v>
      </c>
      <c r="D3568" t="s">
        <v>8255</v>
      </c>
      <c r="E3568" t="s">
        <v>8256</v>
      </c>
      <c r="F3568" t="s">
        <v>474</v>
      </c>
      <c r="G3568" t="s">
        <v>475</v>
      </c>
      <c r="I3568" t="s">
        <v>132</v>
      </c>
      <c r="J3568" s="13">
        <v>45998</v>
      </c>
      <c r="K3568" s="13">
        <v>46023</v>
      </c>
      <c r="L3568" t="s">
        <v>497</v>
      </c>
      <c r="M3568" t="s">
        <v>56</v>
      </c>
      <c r="N3568">
        <v>72509760</v>
      </c>
    </row>
    <row r="3569" spans="1:14" x14ac:dyDescent="0.25">
      <c r="A3569">
        <v>58750512</v>
      </c>
      <c r="B3569" t="s">
        <v>8257</v>
      </c>
      <c r="C3569" t="s">
        <v>8258</v>
      </c>
      <c r="D3569" t="s">
        <v>8259</v>
      </c>
      <c r="E3569">
        <v>8635475315</v>
      </c>
      <c r="F3569" t="s">
        <v>1067</v>
      </c>
      <c r="G3569" t="s">
        <v>1068</v>
      </c>
      <c r="I3569" t="s">
        <v>35</v>
      </c>
      <c r="J3569" s="13">
        <v>45998</v>
      </c>
      <c r="K3569" s="13">
        <v>46023</v>
      </c>
      <c r="L3569" t="s">
        <v>497</v>
      </c>
      <c r="M3569" t="s">
        <v>56</v>
      </c>
      <c r="N3569">
        <v>72509875</v>
      </c>
    </row>
    <row r="3570" spans="1:14" x14ac:dyDescent="0.25">
      <c r="A3570">
        <v>58750514</v>
      </c>
      <c r="B3570" t="s">
        <v>867</v>
      </c>
      <c r="C3570" t="s">
        <v>770</v>
      </c>
      <c r="D3570" t="s">
        <v>8260</v>
      </c>
      <c r="E3570">
        <v>3343189941</v>
      </c>
      <c r="F3570" t="s">
        <v>569</v>
      </c>
      <c r="G3570" t="s">
        <v>570</v>
      </c>
      <c r="I3570" t="s">
        <v>34</v>
      </c>
      <c r="J3570" s="13">
        <v>45998</v>
      </c>
      <c r="K3570" s="13">
        <v>46023</v>
      </c>
      <c r="L3570" t="s">
        <v>450</v>
      </c>
      <c r="M3570" t="s">
        <v>58</v>
      </c>
      <c r="N3570">
        <v>72509876</v>
      </c>
    </row>
    <row r="3571" spans="1:14" x14ac:dyDescent="0.25">
      <c r="A3571">
        <v>58750522</v>
      </c>
      <c r="B3571" t="s">
        <v>8261</v>
      </c>
      <c r="C3571" t="s">
        <v>8262</v>
      </c>
      <c r="D3571" t="s">
        <v>8263</v>
      </c>
      <c r="E3571">
        <v>9705080592</v>
      </c>
      <c r="F3571" t="s">
        <v>790</v>
      </c>
      <c r="G3571" t="s">
        <v>791</v>
      </c>
      <c r="I3571" t="s">
        <v>119</v>
      </c>
      <c r="J3571" s="13">
        <v>45998</v>
      </c>
      <c r="K3571" s="13">
        <v>46023</v>
      </c>
      <c r="L3571" t="s">
        <v>539</v>
      </c>
      <c r="M3571" t="s">
        <v>56</v>
      </c>
      <c r="N3571">
        <v>72509883</v>
      </c>
    </row>
    <row r="3572" spans="1:14" x14ac:dyDescent="0.25">
      <c r="A3572">
        <v>58750560</v>
      </c>
      <c r="B3572" t="s">
        <v>5329</v>
      </c>
      <c r="C3572" t="s">
        <v>8264</v>
      </c>
      <c r="D3572" t="s">
        <v>8265</v>
      </c>
      <c r="E3572">
        <v>2566530514</v>
      </c>
      <c r="F3572" t="s">
        <v>628</v>
      </c>
      <c r="G3572" t="s">
        <v>629</v>
      </c>
      <c r="I3572" t="s">
        <v>24</v>
      </c>
      <c r="J3572" s="13">
        <v>45998</v>
      </c>
      <c r="K3572" s="13">
        <v>46054</v>
      </c>
      <c r="L3572" t="s">
        <v>450</v>
      </c>
      <c r="M3572" t="s">
        <v>58</v>
      </c>
      <c r="N3572">
        <v>72509902</v>
      </c>
    </row>
    <row r="3573" spans="1:14" x14ac:dyDescent="0.25">
      <c r="A3573">
        <v>58750571</v>
      </c>
      <c r="B3573" t="s">
        <v>449</v>
      </c>
      <c r="C3573" t="s">
        <v>8266</v>
      </c>
      <c r="D3573" t="s">
        <v>8267</v>
      </c>
      <c r="E3573">
        <v>8032888328</v>
      </c>
      <c r="F3573" t="s">
        <v>592</v>
      </c>
      <c r="G3573" t="s">
        <v>593</v>
      </c>
      <c r="I3573" t="s">
        <v>115</v>
      </c>
      <c r="J3573" s="13">
        <v>45998</v>
      </c>
      <c r="K3573" s="13">
        <v>46023</v>
      </c>
      <c r="L3573" t="s">
        <v>533</v>
      </c>
      <c r="M3573" t="s">
        <v>55</v>
      </c>
      <c r="N3573">
        <v>72509925</v>
      </c>
    </row>
    <row r="3574" spans="1:14" x14ac:dyDescent="0.25">
      <c r="A3574">
        <v>58750694</v>
      </c>
      <c r="B3574" t="s">
        <v>8268</v>
      </c>
      <c r="C3574" t="s">
        <v>8269</v>
      </c>
      <c r="D3574" t="s">
        <v>8270</v>
      </c>
      <c r="E3574">
        <v>7735304560</v>
      </c>
      <c r="F3574" t="s">
        <v>1147</v>
      </c>
      <c r="G3574" t="s">
        <v>1148</v>
      </c>
      <c r="I3574" t="s">
        <v>41</v>
      </c>
      <c r="J3574" s="13">
        <v>45998</v>
      </c>
      <c r="K3574" s="13">
        <v>46023</v>
      </c>
      <c r="L3574" t="s">
        <v>470</v>
      </c>
      <c r="M3574" t="s">
        <v>62</v>
      </c>
      <c r="N3574">
        <v>72510043</v>
      </c>
    </row>
    <row r="3575" spans="1:14" x14ac:dyDescent="0.25">
      <c r="A3575">
        <v>58750716</v>
      </c>
      <c r="B3575" t="s">
        <v>879</v>
      </c>
      <c r="C3575" t="s">
        <v>8271</v>
      </c>
      <c r="D3575" t="s">
        <v>8272</v>
      </c>
      <c r="E3575">
        <v>7272449658</v>
      </c>
      <c r="F3575" t="s">
        <v>1345</v>
      </c>
      <c r="G3575" t="s">
        <v>799</v>
      </c>
      <c r="I3575" t="s">
        <v>47</v>
      </c>
      <c r="J3575" s="13">
        <v>45998</v>
      </c>
      <c r="K3575" s="13">
        <v>46023</v>
      </c>
      <c r="L3575" t="s">
        <v>497</v>
      </c>
      <c r="M3575" t="s">
        <v>56</v>
      </c>
      <c r="N3575">
        <v>72510067</v>
      </c>
    </row>
    <row r="3576" spans="1:14" x14ac:dyDescent="0.25">
      <c r="A3576">
        <v>58750728</v>
      </c>
      <c r="B3576" t="s">
        <v>552</v>
      </c>
      <c r="C3576" t="s">
        <v>5572</v>
      </c>
      <c r="D3576" t="s">
        <v>8273</v>
      </c>
      <c r="E3576">
        <v>9728158697</v>
      </c>
      <c r="F3576" t="s">
        <v>416</v>
      </c>
      <c r="G3576" t="s">
        <v>417</v>
      </c>
      <c r="I3576" t="s">
        <v>26</v>
      </c>
      <c r="J3576" s="13">
        <v>45998</v>
      </c>
      <c r="K3576" s="13">
        <v>46023</v>
      </c>
      <c r="L3576" t="s">
        <v>444</v>
      </c>
      <c r="M3576" t="s">
        <v>56</v>
      </c>
      <c r="N3576">
        <v>72510076</v>
      </c>
    </row>
    <row r="3577" spans="1:14" x14ac:dyDescent="0.25">
      <c r="A3577">
        <v>58750738</v>
      </c>
      <c r="B3577" t="s">
        <v>2523</v>
      </c>
      <c r="C3577" t="s">
        <v>8233</v>
      </c>
      <c r="D3577" t="s">
        <v>8274</v>
      </c>
      <c r="E3577">
        <v>9017097567</v>
      </c>
      <c r="F3577" t="s">
        <v>474</v>
      </c>
      <c r="G3577" t="s">
        <v>475</v>
      </c>
      <c r="I3577" t="s">
        <v>132</v>
      </c>
      <c r="J3577" s="13">
        <v>45998</v>
      </c>
      <c r="K3577" s="13">
        <v>46023</v>
      </c>
      <c r="L3577" t="s">
        <v>479</v>
      </c>
      <c r="M3577" t="s">
        <v>56</v>
      </c>
      <c r="N3577">
        <v>72510083</v>
      </c>
    </row>
    <row r="3578" spans="1:14" x14ac:dyDescent="0.25">
      <c r="A3578">
        <v>58750858</v>
      </c>
      <c r="B3578" t="s">
        <v>1148</v>
      </c>
      <c r="C3578" t="s">
        <v>8275</v>
      </c>
      <c r="D3578" t="s">
        <v>8276</v>
      </c>
      <c r="E3578">
        <v>2703631452</v>
      </c>
      <c r="F3578" t="s">
        <v>615</v>
      </c>
      <c r="G3578" t="s">
        <v>616</v>
      </c>
      <c r="I3578" t="s">
        <v>617</v>
      </c>
      <c r="J3578" s="13">
        <v>45998</v>
      </c>
      <c r="K3578" s="13">
        <v>46023</v>
      </c>
      <c r="L3578" t="s">
        <v>490</v>
      </c>
      <c r="M3578" t="s">
        <v>61</v>
      </c>
      <c r="N3578">
        <v>72510162</v>
      </c>
    </row>
    <row r="3579" spans="1:14" x14ac:dyDescent="0.25">
      <c r="A3579">
        <v>58750886</v>
      </c>
      <c r="B3579" t="s">
        <v>1167</v>
      </c>
      <c r="C3579" t="s">
        <v>6729</v>
      </c>
      <c r="D3579" t="s">
        <v>8277</v>
      </c>
      <c r="E3579">
        <v>3344448030</v>
      </c>
      <c r="F3579" t="s">
        <v>448</v>
      </c>
      <c r="G3579" t="s">
        <v>449</v>
      </c>
      <c r="I3579" t="s">
        <v>31</v>
      </c>
      <c r="J3579" s="13">
        <v>45998</v>
      </c>
      <c r="K3579" s="13">
        <v>46023</v>
      </c>
      <c r="L3579" t="s">
        <v>450</v>
      </c>
      <c r="M3579" t="s">
        <v>56</v>
      </c>
      <c r="N3579">
        <v>72510178</v>
      </c>
    </row>
    <row r="3580" spans="1:14" x14ac:dyDescent="0.25">
      <c r="A3580">
        <v>58750890</v>
      </c>
      <c r="B3580" t="s">
        <v>517</v>
      </c>
      <c r="C3580" t="s">
        <v>8278</v>
      </c>
      <c r="D3580" t="s">
        <v>8279</v>
      </c>
      <c r="E3580">
        <v>4237106821</v>
      </c>
      <c r="F3580" t="s">
        <v>649</v>
      </c>
      <c r="G3580" t="s">
        <v>650</v>
      </c>
      <c r="I3580" t="s">
        <v>28</v>
      </c>
      <c r="J3580" s="13">
        <v>45998</v>
      </c>
      <c r="K3580" s="13">
        <v>46023</v>
      </c>
      <c r="L3580" t="s">
        <v>479</v>
      </c>
      <c r="M3580" t="s">
        <v>55</v>
      </c>
      <c r="N3580">
        <v>72510180</v>
      </c>
    </row>
    <row r="3581" spans="1:14" x14ac:dyDescent="0.25">
      <c r="A3581">
        <v>58750935</v>
      </c>
      <c r="B3581" t="s">
        <v>521</v>
      </c>
      <c r="C3581" t="s">
        <v>2480</v>
      </c>
      <c r="D3581" t="s">
        <v>8280</v>
      </c>
      <c r="E3581">
        <v>5208502932</v>
      </c>
      <c r="F3581" t="s">
        <v>4853</v>
      </c>
      <c r="G3581" t="s">
        <v>5017</v>
      </c>
      <c r="I3581" t="s">
        <v>5018</v>
      </c>
      <c r="J3581" s="13">
        <v>45998</v>
      </c>
      <c r="K3581" s="13">
        <v>46023</v>
      </c>
      <c r="L3581" t="s">
        <v>1179</v>
      </c>
      <c r="M3581" t="s">
        <v>54</v>
      </c>
      <c r="N3581">
        <v>72510210</v>
      </c>
    </row>
    <row r="3582" spans="1:14" x14ac:dyDescent="0.25">
      <c r="A3582">
        <v>58750961</v>
      </c>
      <c r="B3582" t="s">
        <v>1527</v>
      </c>
      <c r="C3582" t="s">
        <v>4338</v>
      </c>
      <c r="D3582" t="s">
        <v>8281</v>
      </c>
      <c r="E3582">
        <v>3123950971</v>
      </c>
      <c r="F3582" t="s">
        <v>578</v>
      </c>
      <c r="G3582" t="s">
        <v>579</v>
      </c>
      <c r="I3582" t="s">
        <v>15</v>
      </c>
      <c r="J3582" s="13">
        <v>45998</v>
      </c>
      <c r="K3582" s="13">
        <v>46023</v>
      </c>
      <c r="L3582" t="s">
        <v>470</v>
      </c>
      <c r="M3582" t="s">
        <v>62</v>
      </c>
      <c r="N3582">
        <v>72510217</v>
      </c>
    </row>
    <row r="3583" spans="1:14" x14ac:dyDescent="0.25">
      <c r="A3583">
        <v>58750993</v>
      </c>
      <c r="B3583" t="s">
        <v>2771</v>
      </c>
      <c r="C3583" t="s">
        <v>619</v>
      </c>
      <c r="D3583" t="s">
        <v>8282</v>
      </c>
      <c r="E3583">
        <v>9104344668</v>
      </c>
      <c r="F3583" t="s">
        <v>474</v>
      </c>
      <c r="G3583" t="s">
        <v>475</v>
      </c>
      <c r="I3583" t="s">
        <v>132</v>
      </c>
      <c r="J3583" s="13">
        <v>45998</v>
      </c>
      <c r="K3583" s="13">
        <v>46023</v>
      </c>
      <c r="L3583" t="s">
        <v>603</v>
      </c>
      <c r="M3583" t="s">
        <v>56</v>
      </c>
      <c r="N3583">
        <v>72510256</v>
      </c>
    </row>
    <row r="3584" spans="1:14" x14ac:dyDescent="0.25">
      <c r="A3584">
        <v>58751004</v>
      </c>
      <c r="B3584" t="s">
        <v>5727</v>
      </c>
      <c r="C3584" t="s">
        <v>8283</v>
      </c>
      <c r="D3584" t="s">
        <v>8284</v>
      </c>
      <c r="E3584">
        <v>8705384199</v>
      </c>
      <c r="F3584" t="s">
        <v>448</v>
      </c>
      <c r="G3584" t="s">
        <v>449</v>
      </c>
      <c r="I3584" t="s">
        <v>31</v>
      </c>
      <c r="J3584" s="13">
        <v>45998</v>
      </c>
      <c r="K3584" s="13">
        <v>46023</v>
      </c>
      <c r="L3584" t="s">
        <v>553</v>
      </c>
      <c r="M3584" t="s">
        <v>56</v>
      </c>
      <c r="N3584">
        <v>72510267</v>
      </c>
    </row>
    <row r="3585" spans="1:14" x14ac:dyDescent="0.25">
      <c r="A3585">
        <v>58751014</v>
      </c>
      <c r="B3585" t="s">
        <v>2019</v>
      </c>
      <c r="C3585" t="s">
        <v>8285</v>
      </c>
      <c r="D3585" t="s">
        <v>8286</v>
      </c>
      <c r="E3585">
        <v>9013503909</v>
      </c>
      <c r="F3585" t="s">
        <v>705</v>
      </c>
      <c r="G3585" t="s">
        <v>706</v>
      </c>
      <c r="I3585" t="s">
        <v>12</v>
      </c>
      <c r="J3585" s="13">
        <v>45998</v>
      </c>
      <c r="K3585" s="13">
        <v>46023</v>
      </c>
      <c r="L3585" t="s">
        <v>479</v>
      </c>
      <c r="M3585" t="s">
        <v>58</v>
      </c>
      <c r="N3585">
        <v>72510271</v>
      </c>
    </row>
    <row r="3586" spans="1:14" x14ac:dyDescent="0.25">
      <c r="A3586">
        <v>58751543</v>
      </c>
      <c r="B3586" t="s">
        <v>791</v>
      </c>
      <c r="C3586" t="s">
        <v>423</v>
      </c>
      <c r="D3586" t="s">
        <v>8287</v>
      </c>
      <c r="E3586">
        <v>7734498435</v>
      </c>
      <c r="F3586" t="s">
        <v>474</v>
      </c>
      <c r="G3586" t="s">
        <v>475</v>
      </c>
      <c r="I3586" t="s">
        <v>132</v>
      </c>
      <c r="J3586" s="13">
        <v>45998</v>
      </c>
      <c r="K3586" s="13">
        <v>46023</v>
      </c>
      <c r="L3586" t="s">
        <v>470</v>
      </c>
      <c r="M3586" t="s">
        <v>59</v>
      </c>
      <c r="N3586">
        <v>72510695</v>
      </c>
    </row>
    <row r="3587" spans="1:14" x14ac:dyDescent="0.25">
      <c r="A3587">
        <v>58751743</v>
      </c>
      <c r="B3587" t="s">
        <v>8288</v>
      </c>
      <c r="C3587" t="s">
        <v>8289</v>
      </c>
      <c r="D3587" t="s">
        <v>8290</v>
      </c>
      <c r="E3587">
        <v>9453919023</v>
      </c>
      <c r="F3587" t="s">
        <v>551</v>
      </c>
      <c r="G3587" t="s">
        <v>552</v>
      </c>
      <c r="I3587" t="s">
        <v>42</v>
      </c>
      <c r="J3587" s="13">
        <v>45998</v>
      </c>
      <c r="K3587" s="13">
        <v>46054</v>
      </c>
      <c r="L3587" t="s">
        <v>444</v>
      </c>
      <c r="M3587" t="s">
        <v>55</v>
      </c>
      <c r="N3587">
        <v>72510769</v>
      </c>
    </row>
    <row r="3588" spans="1:14" x14ac:dyDescent="0.25">
      <c r="A3588">
        <v>58751757</v>
      </c>
      <c r="B3588" t="s">
        <v>8291</v>
      </c>
      <c r="C3588" t="s">
        <v>8292</v>
      </c>
      <c r="D3588" t="s">
        <v>8293</v>
      </c>
      <c r="E3588">
        <v>2105966158</v>
      </c>
      <c r="F3588" t="s">
        <v>815</v>
      </c>
      <c r="G3588" t="s">
        <v>816</v>
      </c>
      <c r="I3588" t="s">
        <v>23</v>
      </c>
      <c r="J3588" s="13">
        <v>45998</v>
      </c>
      <c r="K3588" s="13">
        <v>46023</v>
      </c>
      <c r="L3588" t="s">
        <v>444</v>
      </c>
      <c r="M3588" t="s">
        <v>58</v>
      </c>
      <c r="N3588">
        <v>72510792</v>
      </c>
    </row>
    <row r="3589" spans="1:14" x14ac:dyDescent="0.25">
      <c r="A3589">
        <v>59283706</v>
      </c>
      <c r="B3589" t="s">
        <v>8294</v>
      </c>
      <c r="C3589" t="s">
        <v>8295</v>
      </c>
      <c r="D3589" t="s">
        <v>8296</v>
      </c>
      <c r="E3589">
        <v>2105840940</v>
      </c>
      <c r="F3589" t="s">
        <v>615</v>
      </c>
      <c r="G3589" t="s">
        <v>616</v>
      </c>
      <c r="I3589" t="s">
        <v>617</v>
      </c>
      <c r="J3589" s="13">
        <v>46027</v>
      </c>
      <c r="K3589" s="13">
        <v>46054</v>
      </c>
      <c r="L3589" t="s">
        <v>444</v>
      </c>
      <c r="M3589" t="s">
        <v>55</v>
      </c>
      <c r="N3589">
        <v>72510826</v>
      </c>
    </row>
    <row r="3590" spans="1:14" x14ac:dyDescent="0.25">
      <c r="A3590">
        <v>58751816</v>
      </c>
      <c r="B3590" t="s">
        <v>8297</v>
      </c>
      <c r="C3590" t="s">
        <v>8298</v>
      </c>
      <c r="D3590" t="s">
        <v>8299</v>
      </c>
      <c r="E3590">
        <v>7572060751</v>
      </c>
      <c r="F3590" t="s">
        <v>649</v>
      </c>
      <c r="G3590" t="s">
        <v>650</v>
      </c>
      <c r="I3590" t="s">
        <v>28</v>
      </c>
      <c r="J3590" s="13">
        <v>45998</v>
      </c>
      <c r="K3590" s="13">
        <v>46023</v>
      </c>
      <c r="L3590" t="s">
        <v>470</v>
      </c>
      <c r="M3590" t="s">
        <v>61</v>
      </c>
      <c r="N3590">
        <v>72510831</v>
      </c>
    </row>
    <row r="3591" spans="1:14" x14ac:dyDescent="0.25">
      <c r="A3591">
        <v>58751826</v>
      </c>
      <c r="B3591" t="s">
        <v>3326</v>
      </c>
      <c r="C3591" t="s">
        <v>8300</v>
      </c>
      <c r="D3591" t="s">
        <v>8301</v>
      </c>
      <c r="E3591">
        <v>5017730959</v>
      </c>
      <c r="F3591" t="s">
        <v>569</v>
      </c>
      <c r="G3591" t="s">
        <v>570</v>
      </c>
      <c r="I3591" t="s">
        <v>34</v>
      </c>
      <c r="J3591" s="13">
        <v>45999</v>
      </c>
      <c r="K3591" s="13">
        <v>46023</v>
      </c>
      <c r="L3591" t="s">
        <v>553</v>
      </c>
      <c r="M3591" t="s">
        <v>56</v>
      </c>
      <c r="N3591">
        <v>72510843</v>
      </c>
    </row>
    <row r="3592" spans="1:14" x14ac:dyDescent="0.25">
      <c r="A3592">
        <v>58751834</v>
      </c>
      <c r="B3592" t="s">
        <v>2323</v>
      </c>
      <c r="C3592" t="s">
        <v>3055</v>
      </c>
      <c r="D3592" t="s">
        <v>8302</v>
      </c>
      <c r="E3592">
        <v>5129610755</v>
      </c>
      <c r="F3592" t="s">
        <v>462</v>
      </c>
      <c r="G3592" t="s">
        <v>463</v>
      </c>
      <c r="I3592" t="s">
        <v>39</v>
      </c>
      <c r="J3592" s="13">
        <v>45998</v>
      </c>
      <c r="K3592" s="13">
        <v>46023</v>
      </c>
      <c r="L3592" t="s">
        <v>444</v>
      </c>
      <c r="M3592" t="s">
        <v>59</v>
      </c>
      <c r="N3592">
        <v>72510855</v>
      </c>
    </row>
    <row r="3593" spans="1:14" x14ac:dyDescent="0.25">
      <c r="A3593">
        <v>58751836</v>
      </c>
      <c r="B3593" t="s">
        <v>799</v>
      </c>
      <c r="C3593" t="s">
        <v>5897</v>
      </c>
      <c r="D3593" t="s">
        <v>8303</v>
      </c>
      <c r="E3593">
        <v>7853448821</v>
      </c>
      <c r="F3593" t="s">
        <v>448</v>
      </c>
      <c r="G3593" t="s">
        <v>449</v>
      </c>
      <c r="I3593" t="s">
        <v>31</v>
      </c>
      <c r="J3593" s="13">
        <v>45998</v>
      </c>
      <c r="K3593" s="13">
        <v>46023</v>
      </c>
      <c r="L3593" t="s">
        <v>520</v>
      </c>
      <c r="M3593" t="s">
        <v>59</v>
      </c>
      <c r="N3593">
        <v>72510858</v>
      </c>
    </row>
    <row r="3594" spans="1:14" x14ac:dyDescent="0.25">
      <c r="A3594">
        <v>58806082</v>
      </c>
      <c r="B3594" t="s">
        <v>1833</v>
      </c>
      <c r="C3594" t="s">
        <v>8304</v>
      </c>
      <c r="D3594" t="s">
        <v>8305</v>
      </c>
      <c r="E3594">
        <v>7793509735</v>
      </c>
      <c r="F3594" t="s">
        <v>578</v>
      </c>
      <c r="G3594" t="s">
        <v>579</v>
      </c>
      <c r="I3594" t="s">
        <v>15</v>
      </c>
      <c r="J3594" s="13">
        <v>46000</v>
      </c>
      <c r="K3594" s="13">
        <v>46023</v>
      </c>
      <c r="L3594" t="s">
        <v>470</v>
      </c>
      <c r="M3594" t="s">
        <v>62</v>
      </c>
      <c r="N3594">
        <v>72546444</v>
      </c>
    </row>
    <row r="3595" spans="1:14" x14ac:dyDescent="0.25">
      <c r="A3595">
        <v>58814370</v>
      </c>
      <c r="B3595" t="s">
        <v>7876</v>
      </c>
      <c r="C3595" t="s">
        <v>796</v>
      </c>
      <c r="D3595" t="s">
        <v>8306</v>
      </c>
      <c r="E3595">
        <v>3125999471</v>
      </c>
      <c r="F3595" t="s">
        <v>578</v>
      </c>
      <c r="G3595" t="s">
        <v>579</v>
      </c>
      <c r="I3595" t="s">
        <v>15</v>
      </c>
      <c r="J3595" s="13">
        <v>46000</v>
      </c>
      <c r="K3595" s="13">
        <v>46023</v>
      </c>
      <c r="L3595" t="s">
        <v>470</v>
      </c>
      <c r="M3595" t="s">
        <v>62</v>
      </c>
      <c r="N3595">
        <v>72556330</v>
      </c>
    </row>
    <row r="3596" spans="1:14" x14ac:dyDescent="0.25">
      <c r="A3596">
        <v>58817899</v>
      </c>
      <c r="B3596" t="s">
        <v>8307</v>
      </c>
      <c r="C3596" t="s">
        <v>1258</v>
      </c>
      <c r="D3596" t="s">
        <v>8308</v>
      </c>
      <c r="E3596">
        <v>3124837115</v>
      </c>
      <c r="F3596" t="s">
        <v>494</v>
      </c>
      <c r="G3596" t="s">
        <v>495</v>
      </c>
      <c r="I3596" t="s">
        <v>496</v>
      </c>
      <c r="J3596" s="13">
        <v>46000</v>
      </c>
      <c r="K3596" s="13">
        <v>46023</v>
      </c>
      <c r="L3596" t="s">
        <v>470</v>
      </c>
      <c r="M3596" t="s">
        <v>62</v>
      </c>
      <c r="N3596">
        <v>72557772</v>
      </c>
    </row>
    <row r="3597" spans="1:14" x14ac:dyDescent="0.25">
      <c r="A3597">
        <v>58827699</v>
      </c>
      <c r="B3597" t="s">
        <v>8309</v>
      </c>
      <c r="C3597" t="s">
        <v>8310</v>
      </c>
      <c r="D3597" t="s">
        <v>8311</v>
      </c>
      <c r="E3597">
        <v>7088087908</v>
      </c>
      <c r="F3597" t="s">
        <v>578</v>
      </c>
      <c r="G3597" t="s">
        <v>579</v>
      </c>
      <c r="I3597" t="s">
        <v>15</v>
      </c>
      <c r="J3597" s="13">
        <v>46001</v>
      </c>
      <c r="K3597" s="13">
        <v>46023</v>
      </c>
      <c r="L3597" t="s">
        <v>470</v>
      </c>
      <c r="M3597" t="s">
        <v>62</v>
      </c>
      <c r="N3597">
        <v>72564078</v>
      </c>
    </row>
    <row r="3598" spans="1:14" x14ac:dyDescent="0.25">
      <c r="A3598">
        <v>58834507</v>
      </c>
      <c r="B3598" t="s">
        <v>4117</v>
      </c>
      <c r="C3598" t="s">
        <v>8312</v>
      </c>
      <c r="D3598" t="s">
        <v>8313</v>
      </c>
      <c r="E3598">
        <v>7736306436</v>
      </c>
      <c r="F3598" t="s">
        <v>1147</v>
      </c>
      <c r="G3598" t="s">
        <v>1148</v>
      </c>
      <c r="I3598" t="s">
        <v>41</v>
      </c>
      <c r="J3598" s="13">
        <v>46001</v>
      </c>
      <c r="K3598" s="13">
        <v>46023</v>
      </c>
      <c r="L3598" t="s">
        <v>470</v>
      </c>
      <c r="M3598" t="s">
        <v>62</v>
      </c>
      <c r="N3598">
        <v>72568244</v>
      </c>
    </row>
    <row r="3599" spans="1:14" x14ac:dyDescent="0.25">
      <c r="A3599">
        <v>58835869</v>
      </c>
      <c r="B3599" t="s">
        <v>7972</v>
      </c>
      <c r="C3599" t="s">
        <v>7029</v>
      </c>
      <c r="D3599" t="s">
        <v>8314</v>
      </c>
      <c r="E3599">
        <v>7542451238</v>
      </c>
      <c r="F3599" t="s">
        <v>1345</v>
      </c>
      <c r="G3599" t="s">
        <v>799</v>
      </c>
      <c r="I3599" t="s">
        <v>47</v>
      </c>
      <c r="J3599" s="13">
        <v>46001</v>
      </c>
      <c r="K3599" s="13">
        <v>46023</v>
      </c>
      <c r="L3599" t="s">
        <v>497</v>
      </c>
      <c r="M3599" t="s">
        <v>56</v>
      </c>
      <c r="N3599">
        <v>72569309</v>
      </c>
    </row>
    <row r="3600" spans="1:14" x14ac:dyDescent="0.25">
      <c r="A3600">
        <v>58846289</v>
      </c>
      <c r="B3600" t="s">
        <v>8315</v>
      </c>
      <c r="C3600" t="s">
        <v>8316</v>
      </c>
      <c r="D3600" t="s">
        <v>8317</v>
      </c>
      <c r="E3600">
        <v>8152918319</v>
      </c>
      <c r="F3600" t="s">
        <v>578</v>
      </c>
      <c r="G3600" t="s">
        <v>579</v>
      </c>
      <c r="I3600" t="s">
        <v>15</v>
      </c>
      <c r="J3600" s="13">
        <v>46001</v>
      </c>
      <c r="K3600" s="13">
        <v>46023</v>
      </c>
      <c r="L3600" t="s">
        <v>470</v>
      </c>
      <c r="M3600" t="s">
        <v>62</v>
      </c>
      <c r="N3600">
        <v>72575013</v>
      </c>
    </row>
    <row r="3601" spans="1:14" x14ac:dyDescent="0.25">
      <c r="A3601">
        <v>58864510</v>
      </c>
      <c r="B3601" t="s">
        <v>8318</v>
      </c>
      <c r="C3601" t="s">
        <v>2068</v>
      </c>
      <c r="D3601" t="s">
        <v>8319</v>
      </c>
      <c r="E3601">
        <v>3128434713</v>
      </c>
      <c r="F3601" t="s">
        <v>494</v>
      </c>
      <c r="G3601" t="s">
        <v>495</v>
      </c>
      <c r="I3601" t="s">
        <v>496</v>
      </c>
      <c r="J3601" s="13">
        <v>46002</v>
      </c>
      <c r="K3601" s="13">
        <v>46023</v>
      </c>
      <c r="L3601" t="s">
        <v>470</v>
      </c>
      <c r="M3601" t="s">
        <v>62</v>
      </c>
      <c r="N3601">
        <v>72588297</v>
      </c>
    </row>
    <row r="3602" spans="1:14" x14ac:dyDescent="0.25">
      <c r="A3602">
        <v>58865023</v>
      </c>
      <c r="B3602" t="s">
        <v>1535</v>
      </c>
      <c r="C3602" t="s">
        <v>8320</v>
      </c>
      <c r="D3602" t="s">
        <v>8321</v>
      </c>
      <c r="E3602">
        <v>8506861379</v>
      </c>
      <c r="F3602" t="s">
        <v>569</v>
      </c>
      <c r="G3602" t="s">
        <v>570</v>
      </c>
      <c r="I3602" t="s">
        <v>34</v>
      </c>
      <c r="J3602" s="13">
        <v>46002</v>
      </c>
      <c r="K3602" s="13">
        <v>46023</v>
      </c>
      <c r="L3602" t="s">
        <v>497</v>
      </c>
      <c r="M3602" t="s">
        <v>56</v>
      </c>
      <c r="N3602">
        <v>72588421</v>
      </c>
    </row>
    <row r="3603" spans="1:14" x14ac:dyDescent="0.25">
      <c r="A3603">
        <v>58878538</v>
      </c>
      <c r="B3603" t="s">
        <v>2360</v>
      </c>
      <c r="C3603" t="s">
        <v>8322</v>
      </c>
      <c r="D3603" t="s">
        <v>8323</v>
      </c>
      <c r="E3603">
        <v>6306059658</v>
      </c>
      <c r="F3603" t="s">
        <v>1147</v>
      </c>
      <c r="G3603" t="s">
        <v>1148</v>
      </c>
      <c r="I3603" t="s">
        <v>41</v>
      </c>
      <c r="J3603" s="13">
        <v>46002</v>
      </c>
      <c r="K3603" s="13">
        <v>46023</v>
      </c>
      <c r="L3603" t="s">
        <v>470</v>
      </c>
      <c r="M3603" t="s">
        <v>62</v>
      </c>
      <c r="N3603">
        <v>72595063</v>
      </c>
    </row>
    <row r="3604" spans="1:14" x14ac:dyDescent="0.25">
      <c r="A3604">
        <v>58891950</v>
      </c>
      <c r="B3604" t="s">
        <v>6900</v>
      </c>
      <c r="C3604" t="s">
        <v>3002</v>
      </c>
      <c r="D3604" t="s">
        <v>8324</v>
      </c>
      <c r="E3604">
        <v>7732265050</v>
      </c>
      <c r="F3604" t="s">
        <v>578</v>
      </c>
      <c r="G3604" t="s">
        <v>579</v>
      </c>
      <c r="I3604" t="s">
        <v>15</v>
      </c>
      <c r="J3604" s="13">
        <v>46003</v>
      </c>
      <c r="K3604" s="13">
        <v>46023</v>
      </c>
      <c r="L3604" t="s">
        <v>470</v>
      </c>
      <c r="M3604" t="s">
        <v>62</v>
      </c>
      <c r="N3604">
        <v>72604365</v>
      </c>
    </row>
    <row r="3605" spans="1:14" x14ac:dyDescent="0.25">
      <c r="A3605">
        <v>58898151</v>
      </c>
      <c r="B3605" t="s">
        <v>8325</v>
      </c>
      <c r="C3605" t="s">
        <v>8326</v>
      </c>
      <c r="D3605" t="s">
        <v>8327</v>
      </c>
      <c r="E3605" t="s">
        <v>8328</v>
      </c>
      <c r="F3605" t="s">
        <v>494</v>
      </c>
      <c r="G3605" t="s">
        <v>495</v>
      </c>
      <c r="I3605" t="s">
        <v>496</v>
      </c>
      <c r="J3605" s="13">
        <v>46003</v>
      </c>
      <c r="K3605" s="13">
        <v>46023</v>
      </c>
      <c r="L3605" t="s">
        <v>8329</v>
      </c>
      <c r="M3605" t="s">
        <v>61</v>
      </c>
      <c r="N3605">
        <v>72607658</v>
      </c>
    </row>
    <row r="3606" spans="1:14" x14ac:dyDescent="0.25">
      <c r="A3606">
        <v>58901906</v>
      </c>
      <c r="B3606" t="s">
        <v>1408</v>
      </c>
      <c r="C3606" t="s">
        <v>1068</v>
      </c>
      <c r="D3606" t="s">
        <v>8330</v>
      </c>
      <c r="E3606">
        <v>5742328823</v>
      </c>
      <c r="F3606" t="s">
        <v>551</v>
      </c>
      <c r="G3606" t="s">
        <v>552</v>
      </c>
      <c r="I3606" t="s">
        <v>42</v>
      </c>
      <c r="J3606" s="13">
        <v>46003</v>
      </c>
      <c r="K3606" s="13">
        <v>46023</v>
      </c>
      <c r="L3606" t="s">
        <v>675</v>
      </c>
      <c r="M3606" t="s">
        <v>56</v>
      </c>
      <c r="N3606">
        <v>72609756</v>
      </c>
    </row>
    <row r="3607" spans="1:14" x14ac:dyDescent="0.25">
      <c r="A3607">
        <v>58925361</v>
      </c>
      <c r="B3607" t="s">
        <v>8331</v>
      </c>
      <c r="C3607" t="s">
        <v>1320</v>
      </c>
      <c r="D3607" t="s">
        <v>8332</v>
      </c>
      <c r="E3607">
        <v>3129452478</v>
      </c>
      <c r="F3607" t="s">
        <v>574</v>
      </c>
      <c r="G3607" t="s">
        <v>575</v>
      </c>
      <c r="I3607" t="s">
        <v>14</v>
      </c>
      <c r="J3607" s="13">
        <v>46006</v>
      </c>
      <c r="K3607" s="13">
        <v>46023</v>
      </c>
      <c r="L3607" t="s">
        <v>470</v>
      </c>
      <c r="M3607" t="s">
        <v>60</v>
      </c>
      <c r="N3607">
        <v>72625201</v>
      </c>
    </row>
    <row r="3608" spans="1:14" x14ac:dyDescent="0.25">
      <c r="A3608">
        <v>58932548</v>
      </c>
      <c r="B3608" t="s">
        <v>1819</v>
      </c>
      <c r="C3608" t="s">
        <v>8333</v>
      </c>
      <c r="D3608" t="s">
        <v>8334</v>
      </c>
      <c r="E3608">
        <v>7739360323</v>
      </c>
      <c r="F3608" t="s">
        <v>1147</v>
      </c>
      <c r="G3608" t="s">
        <v>1148</v>
      </c>
      <c r="I3608" t="s">
        <v>41</v>
      </c>
      <c r="J3608" s="13">
        <v>46006</v>
      </c>
      <c r="K3608" s="13">
        <v>46023</v>
      </c>
      <c r="L3608" t="s">
        <v>470</v>
      </c>
      <c r="M3608" t="s">
        <v>62</v>
      </c>
      <c r="N3608">
        <v>72629854</v>
      </c>
    </row>
    <row r="3609" spans="1:14" x14ac:dyDescent="0.25">
      <c r="A3609">
        <v>58933141</v>
      </c>
      <c r="B3609" t="s">
        <v>8203</v>
      </c>
      <c r="C3609" t="s">
        <v>1886</v>
      </c>
      <c r="D3609" t="s">
        <v>8335</v>
      </c>
      <c r="E3609">
        <v>3174592391</v>
      </c>
      <c r="F3609" t="s">
        <v>438</v>
      </c>
      <c r="G3609" t="s">
        <v>439</v>
      </c>
      <c r="I3609" t="s">
        <v>38</v>
      </c>
      <c r="J3609" s="13">
        <v>46006</v>
      </c>
      <c r="K3609" s="13">
        <v>46023</v>
      </c>
      <c r="L3609" t="s">
        <v>440</v>
      </c>
      <c r="M3609" t="s">
        <v>62</v>
      </c>
      <c r="N3609">
        <v>72630227</v>
      </c>
    </row>
    <row r="3610" spans="1:14" x14ac:dyDescent="0.25">
      <c r="A3610">
        <v>58934566</v>
      </c>
      <c r="B3610" t="s">
        <v>8336</v>
      </c>
      <c r="C3610" t="s">
        <v>8337</v>
      </c>
      <c r="D3610" t="s">
        <v>8338</v>
      </c>
      <c r="E3610">
        <v>3124340174</v>
      </c>
      <c r="F3610" t="s">
        <v>649</v>
      </c>
      <c r="G3610" t="s">
        <v>650</v>
      </c>
      <c r="I3610" t="s">
        <v>28</v>
      </c>
      <c r="J3610" s="13">
        <v>46006</v>
      </c>
      <c r="K3610" s="13">
        <v>46023</v>
      </c>
      <c r="L3610" t="s">
        <v>470</v>
      </c>
      <c r="M3610" t="s">
        <v>55</v>
      </c>
      <c r="N3610">
        <v>72631082</v>
      </c>
    </row>
    <row r="3611" spans="1:14" x14ac:dyDescent="0.25">
      <c r="A3611">
        <v>58935760</v>
      </c>
      <c r="B3611" t="s">
        <v>8339</v>
      </c>
      <c r="C3611" t="s">
        <v>581</v>
      </c>
      <c r="D3611" t="s">
        <v>8340</v>
      </c>
      <c r="E3611">
        <v>3178328439</v>
      </c>
      <c r="F3611" t="s">
        <v>928</v>
      </c>
      <c r="G3611" t="s">
        <v>929</v>
      </c>
      <c r="I3611" t="s">
        <v>30</v>
      </c>
      <c r="J3611" s="13">
        <v>46006</v>
      </c>
      <c r="K3611" s="13">
        <v>46023</v>
      </c>
      <c r="L3611" t="s">
        <v>440</v>
      </c>
      <c r="M3611" t="s">
        <v>62</v>
      </c>
      <c r="N3611">
        <v>72631824</v>
      </c>
    </row>
    <row r="3612" spans="1:14" x14ac:dyDescent="0.25">
      <c r="A3612">
        <v>58936534</v>
      </c>
      <c r="B3612" t="s">
        <v>511</v>
      </c>
      <c r="C3612" t="s">
        <v>1203</v>
      </c>
      <c r="D3612" t="s">
        <v>8341</v>
      </c>
      <c r="E3612">
        <v>7085737937</v>
      </c>
      <c r="F3612" t="s">
        <v>1147</v>
      </c>
      <c r="G3612" t="s">
        <v>1148</v>
      </c>
      <c r="I3612" t="s">
        <v>41</v>
      </c>
      <c r="J3612" s="13">
        <v>46006</v>
      </c>
      <c r="K3612" s="13">
        <v>46023</v>
      </c>
      <c r="L3612" t="s">
        <v>470</v>
      </c>
      <c r="M3612" t="s">
        <v>62</v>
      </c>
      <c r="N3612">
        <v>72632282</v>
      </c>
    </row>
    <row r="3613" spans="1:14" x14ac:dyDescent="0.25">
      <c r="A3613">
        <v>58941369</v>
      </c>
      <c r="B3613" t="s">
        <v>1033</v>
      </c>
      <c r="C3613" t="s">
        <v>5272</v>
      </c>
      <c r="D3613" t="s">
        <v>8342</v>
      </c>
      <c r="E3613">
        <v>3173737515</v>
      </c>
      <c r="F3613" t="s">
        <v>438</v>
      </c>
      <c r="G3613" t="s">
        <v>439</v>
      </c>
      <c r="I3613" t="s">
        <v>38</v>
      </c>
      <c r="J3613" s="13">
        <v>46006</v>
      </c>
      <c r="K3613" s="13">
        <v>46023</v>
      </c>
      <c r="L3613" t="s">
        <v>440</v>
      </c>
      <c r="M3613" t="s">
        <v>62</v>
      </c>
      <c r="N3613">
        <v>72634988</v>
      </c>
    </row>
    <row r="3614" spans="1:14" x14ac:dyDescent="0.25">
      <c r="A3614">
        <v>58948905</v>
      </c>
      <c r="B3614" t="s">
        <v>8343</v>
      </c>
      <c r="C3614" t="s">
        <v>1998</v>
      </c>
      <c r="D3614" t="s">
        <v>8344</v>
      </c>
      <c r="E3614">
        <v>7739053381</v>
      </c>
      <c r="F3614" t="s">
        <v>1147</v>
      </c>
      <c r="G3614" t="s">
        <v>1148</v>
      </c>
      <c r="I3614" t="s">
        <v>41</v>
      </c>
      <c r="J3614" s="13">
        <v>46006</v>
      </c>
      <c r="K3614" s="13">
        <v>46023</v>
      </c>
      <c r="L3614" t="s">
        <v>470</v>
      </c>
      <c r="M3614" t="s">
        <v>62</v>
      </c>
      <c r="N3614">
        <v>72639209</v>
      </c>
    </row>
    <row r="3615" spans="1:14" x14ac:dyDescent="0.25">
      <c r="A3615">
        <v>58948922</v>
      </c>
      <c r="B3615" t="s">
        <v>2006</v>
      </c>
      <c r="C3615" t="s">
        <v>5589</v>
      </c>
      <c r="D3615" t="s">
        <v>8345</v>
      </c>
      <c r="E3615">
        <v>7739053381</v>
      </c>
      <c r="F3615" t="s">
        <v>1147</v>
      </c>
      <c r="G3615" t="s">
        <v>1148</v>
      </c>
      <c r="I3615" t="s">
        <v>41</v>
      </c>
      <c r="J3615" s="13">
        <v>46006</v>
      </c>
      <c r="K3615" s="13">
        <v>46023</v>
      </c>
      <c r="L3615" t="s">
        <v>470</v>
      </c>
      <c r="M3615" t="s">
        <v>62</v>
      </c>
      <c r="N3615">
        <v>72639219</v>
      </c>
    </row>
    <row r="3616" spans="1:14" x14ac:dyDescent="0.25">
      <c r="A3616">
        <v>58963138</v>
      </c>
      <c r="B3616" t="s">
        <v>672</v>
      </c>
      <c r="C3616" t="s">
        <v>5550</v>
      </c>
      <c r="D3616" t="s">
        <v>8346</v>
      </c>
      <c r="E3616">
        <v>3123161078</v>
      </c>
      <c r="F3616" t="s">
        <v>1147</v>
      </c>
      <c r="G3616" t="s">
        <v>1148</v>
      </c>
      <c r="I3616" t="s">
        <v>41</v>
      </c>
      <c r="J3616" s="13">
        <v>46007</v>
      </c>
      <c r="K3616" s="13">
        <v>46023</v>
      </c>
      <c r="L3616" t="s">
        <v>470</v>
      </c>
      <c r="M3616" t="s">
        <v>62</v>
      </c>
      <c r="N3616">
        <v>72647980</v>
      </c>
    </row>
    <row r="3617" spans="1:14" x14ac:dyDescent="0.25">
      <c r="A3617">
        <v>58968972</v>
      </c>
      <c r="B3617" t="s">
        <v>672</v>
      </c>
      <c r="C3617" t="s">
        <v>8347</v>
      </c>
      <c r="D3617" t="s">
        <v>8348</v>
      </c>
      <c r="E3617">
        <v>7736004634</v>
      </c>
      <c r="F3617" t="s">
        <v>578</v>
      </c>
      <c r="G3617" t="s">
        <v>579</v>
      </c>
      <c r="I3617" t="s">
        <v>15</v>
      </c>
      <c r="J3617" s="13">
        <v>46007</v>
      </c>
      <c r="K3617" s="13">
        <v>46023</v>
      </c>
      <c r="L3617" t="s">
        <v>470</v>
      </c>
      <c r="M3617" t="s">
        <v>62</v>
      </c>
      <c r="N3617">
        <v>72650505</v>
      </c>
    </row>
    <row r="3618" spans="1:14" x14ac:dyDescent="0.25">
      <c r="A3618">
        <v>58969029</v>
      </c>
      <c r="B3618" t="s">
        <v>464</v>
      </c>
      <c r="C3618" t="s">
        <v>3440</v>
      </c>
      <c r="D3618" t="s">
        <v>8349</v>
      </c>
      <c r="E3618">
        <v>7734167246</v>
      </c>
      <c r="F3618" t="s">
        <v>1147</v>
      </c>
      <c r="G3618" t="s">
        <v>1148</v>
      </c>
      <c r="I3618" t="s">
        <v>41</v>
      </c>
      <c r="J3618" s="13">
        <v>46007</v>
      </c>
      <c r="K3618" s="13">
        <v>46023</v>
      </c>
      <c r="L3618" t="s">
        <v>470</v>
      </c>
      <c r="M3618" t="s">
        <v>62</v>
      </c>
      <c r="N3618">
        <v>72650582</v>
      </c>
    </row>
    <row r="3619" spans="1:14" x14ac:dyDescent="0.25">
      <c r="A3619">
        <v>58972987</v>
      </c>
      <c r="B3619" t="s">
        <v>1352</v>
      </c>
      <c r="C3619" t="s">
        <v>2431</v>
      </c>
      <c r="D3619" t="s">
        <v>8350</v>
      </c>
      <c r="E3619">
        <v>3176794396</v>
      </c>
      <c r="F3619" t="s">
        <v>438</v>
      </c>
      <c r="G3619" t="s">
        <v>439</v>
      </c>
      <c r="I3619" t="s">
        <v>38</v>
      </c>
      <c r="J3619" s="13">
        <v>46007</v>
      </c>
      <c r="K3619" s="13">
        <v>46023</v>
      </c>
      <c r="L3619" t="s">
        <v>440</v>
      </c>
      <c r="M3619" t="s">
        <v>419</v>
      </c>
      <c r="N3619">
        <v>72652761</v>
      </c>
    </row>
    <row r="3620" spans="1:14" x14ac:dyDescent="0.25">
      <c r="A3620">
        <v>58975200</v>
      </c>
      <c r="B3620" t="s">
        <v>2272</v>
      </c>
      <c r="C3620" t="s">
        <v>8351</v>
      </c>
      <c r="D3620" t="s">
        <v>8352</v>
      </c>
      <c r="F3620" t="s">
        <v>1147</v>
      </c>
      <c r="G3620" t="s">
        <v>1148</v>
      </c>
      <c r="I3620" t="s">
        <v>41</v>
      </c>
      <c r="J3620" s="13">
        <v>46007</v>
      </c>
      <c r="K3620" s="13">
        <v>46023</v>
      </c>
      <c r="L3620" t="s">
        <v>470</v>
      </c>
      <c r="M3620" t="s">
        <v>62</v>
      </c>
      <c r="N3620">
        <v>72654191</v>
      </c>
    </row>
    <row r="3621" spans="1:14" x14ac:dyDescent="0.25">
      <c r="A3621">
        <v>58975937</v>
      </c>
      <c r="B3621" t="s">
        <v>8353</v>
      </c>
      <c r="C3621" t="s">
        <v>8354</v>
      </c>
      <c r="D3621" t="s">
        <v>8355</v>
      </c>
      <c r="E3621">
        <v>7736141081</v>
      </c>
      <c r="F3621" t="s">
        <v>578</v>
      </c>
      <c r="G3621" t="s">
        <v>579</v>
      </c>
      <c r="I3621" t="s">
        <v>15</v>
      </c>
      <c r="J3621" s="13">
        <v>46007</v>
      </c>
      <c r="K3621" s="13">
        <v>46023</v>
      </c>
      <c r="L3621" t="s">
        <v>470</v>
      </c>
      <c r="M3621" t="s">
        <v>62</v>
      </c>
      <c r="N3621">
        <v>72654574</v>
      </c>
    </row>
    <row r="3622" spans="1:14" x14ac:dyDescent="0.25">
      <c r="A3622">
        <v>58975915</v>
      </c>
      <c r="B3622" t="s">
        <v>3737</v>
      </c>
      <c r="C3622" t="s">
        <v>8356</v>
      </c>
      <c r="D3622" t="s">
        <v>8357</v>
      </c>
      <c r="E3622">
        <v>9048870305</v>
      </c>
      <c r="F3622" t="s">
        <v>569</v>
      </c>
      <c r="G3622" t="s">
        <v>570</v>
      </c>
      <c r="I3622" t="s">
        <v>34</v>
      </c>
      <c r="J3622" s="13">
        <v>46007</v>
      </c>
      <c r="K3622" s="13">
        <v>46023</v>
      </c>
      <c r="L3622" t="s">
        <v>497</v>
      </c>
      <c r="M3622" t="s">
        <v>54</v>
      </c>
      <c r="N3622">
        <v>72654589</v>
      </c>
    </row>
    <row r="3623" spans="1:14" x14ac:dyDescent="0.25">
      <c r="A3623">
        <v>58976159</v>
      </c>
      <c r="B3623" t="s">
        <v>4398</v>
      </c>
      <c r="C3623" t="s">
        <v>8358</v>
      </c>
      <c r="D3623" t="s">
        <v>8359</v>
      </c>
      <c r="E3623">
        <v>7733299761</v>
      </c>
      <c r="F3623" t="s">
        <v>928</v>
      </c>
      <c r="G3623" t="s">
        <v>929</v>
      </c>
      <c r="I3623" t="s">
        <v>30</v>
      </c>
      <c r="J3623" s="13">
        <v>46007</v>
      </c>
      <c r="K3623" s="13">
        <v>46023</v>
      </c>
      <c r="L3623" t="s">
        <v>470</v>
      </c>
      <c r="M3623" t="s">
        <v>62</v>
      </c>
      <c r="N3623">
        <v>72654716</v>
      </c>
    </row>
    <row r="3624" spans="1:14" x14ac:dyDescent="0.25">
      <c r="A3624">
        <v>58976280</v>
      </c>
      <c r="B3624" t="s">
        <v>593</v>
      </c>
      <c r="C3624" t="s">
        <v>8360</v>
      </c>
      <c r="D3624" t="s">
        <v>8361</v>
      </c>
      <c r="E3624">
        <v>2178996297</v>
      </c>
      <c r="F3624" t="s">
        <v>592</v>
      </c>
      <c r="G3624" t="s">
        <v>593</v>
      </c>
      <c r="I3624" t="s">
        <v>115</v>
      </c>
      <c r="J3624" s="13">
        <v>46007</v>
      </c>
      <c r="K3624" s="13">
        <v>46023</v>
      </c>
      <c r="L3624" t="s">
        <v>470</v>
      </c>
      <c r="M3624" t="s">
        <v>60</v>
      </c>
      <c r="N3624">
        <v>72654730</v>
      </c>
    </row>
    <row r="3625" spans="1:14" x14ac:dyDescent="0.25">
      <c r="A3625">
        <v>58976816</v>
      </c>
      <c r="B3625" t="s">
        <v>1900</v>
      </c>
      <c r="C3625" t="s">
        <v>5109</v>
      </c>
      <c r="D3625" t="s">
        <v>8362</v>
      </c>
      <c r="E3625">
        <v>4808657306</v>
      </c>
      <c r="F3625" t="s">
        <v>1345</v>
      </c>
      <c r="G3625" t="s">
        <v>799</v>
      </c>
      <c r="I3625" t="s">
        <v>47</v>
      </c>
      <c r="J3625" s="13">
        <v>46007</v>
      </c>
      <c r="K3625" s="13">
        <v>46023</v>
      </c>
      <c r="L3625" t="s">
        <v>1179</v>
      </c>
      <c r="M3625" t="s">
        <v>54</v>
      </c>
      <c r="N3625">
        <v>72654991</v>
      </c>
    </row>
    <row r="3626" spans="1:14" x14ac:dyDescent="0.25">
      <c r="A3626">
        <v>58977302</v>
      </c>
      <c r="B3626" t="s">
        <v>8363</v>
      </c>
      <c r="C3626" t="s">
        <v>8364</v>
      </c>
      <c r="D3626" t="s">
        <v>8365</v>
      </c>
      <c r="E3626">
        <v>9282007127</v>
      </c>
      <c r="F3626" t="s">
        <v>569</v>
      </c>
      <c r="G3626" t="s">
        <v>570</v>
      </c>
      <c r="I3626" t="s">
        <v>34</v>
      </c>
      <c r="J3626" s="13">
        <v>46007</v>
      </c>
      <c r="K3626" s="13">
        <v>46023</v>
      </c>
      <c r="L3626" t="s">
        <v>1179</v>
      </c>
      <c r="M3626" t="s">
        <v>54</v>
      </c>
      <c r="N3626">
        <v>72655256</v>
      </c>
    </row>
    <row r="3627" spans="1:14" x14ac:dyDescent="0.25">
      <c r="A3627">
        <v>58987303</v>
      </c>
      <c r="B3627" t="s">
        <v>6532</v>
      </c>
      <c r="C3627" t="s">
        <v>8366</v>
      </c>
      <c r="D3627" t="s">
        <v>8367</v>
      </c>
      <c r="F3627" t="s">
        <v>1147</v>
      </c>
      <c r="G3627" t="s">
        <v>1148</v>
      </c>
      <c r="I3627" t="s">
        <v>41</v>
      </c>
      <c r="J3627" s="13">
        <v>46008</v>
      </c>
      <c r="K3627" s="13">
        <v>46023</v>
      </c>
      <c r="L3627" t="s">
        <v>470</v>
      </c>
      <c r="M3627" t="s">
        <v>62</v>
      </c>
      <c r="N3627">
        <v>72661972</v>
      </c>
    </row>
    <row r="3628" spans="1:14" x14ac:dyDescent="0.25">
      <c r="A3628">
        <v>58992505</v>
      </c>
      <c r="B3628" t="s">
        <v>8368</v>
      </c>
      <c r="C3628" t="s">
        <v>515</v>
      </c>
      <c r="D3628" t="s">
        <v>8369</v>
      </c>
      <c r="E3628">
        <v>4236508076</v>
      </c>
      <c r="F3628" t="s">
        <v>1345</v>
      </c>
      <c r="G3628" t="s">
        <v>799</v>
      </c>
      <c r="I3628" t="s">
        <v>47</v>
      </c>
      <c r="J3628" s="13">
        <v>46008</v>
      </c>
      <c r="K3628" s="13">
        <v>46023</v>
      </c>
      <c r="L3628" t="s">
        <v>497</v>
      </c>
      <c r="M3628" t="s">
        <v>54</v>
      </c>
      <c r="N3628">
        <v>72665688</v>
      </c>
    </row>
    <row r="3629" spans="1:14" x14ac:dyDescent="0.25">
      <c r="A3629">
        <v>59000498</v>
      </c>
      <c r="B3629" t="s">
        <v>2947</v>
      </c>
      <c r="C3629" t="s">
        <v>8370</v>
      </c>
      <c r="D3629" t="s">
        <v>8371</v>
      </c>
      <c r="E3629">
        <v>3174370006</v>
      </c>
      <c r="F3629" t="s">
        <v>569</v>
      </c>
      <c r="G3629" t="s">
        <v>570</v>
      </c>
      <c r="I3629" t="s">
        <v>34</v>
      </c>
      <c r="J3629" s="13">
        <v>46008</v>
      </c>
      <c r="K3629" s="13">
        <v>46023</v>
      </c>
      <c r="L3629" t="s">
        <v>440</v>
      </c>
      <c r="M3629" t="s">
        <v>62</v>
      </c>
      <c r="N3629">
        <v>72670678</v>
      </c>
    </row>
    <row r="3630" spans="1:14" x14ac:dyDescent="0.25">
      <c r="A3630">
        <v>59000595</v>
      </c>
      <c r="B3630" t="s">
        <v>2662</v>
      </c>
      <c r="C3630" t="s">
        <v>8372</v>
      </c>
      <c r="D3630" t="s">
        <v>8373</v>
      </c>
      <c r="E3630">
        <v>7735318754</v>
      </c>
      <c r="F3630" t="s">
        <v>1147</v>
      </c>
      <c r="G3630" t="s">
        <v>1148</v>
      </c>
      <c r="I3630" t="s">
        <v>41</v>
      </c>
      <c r="J3630" s="13">
        <v>46008</v>
      </c>
      <c r="K3630" s="13">
        <v>46023</v>
      </c>
      <c r="L3630" t="s">
        <v>470</v>
      </c>
      <c r="M3630" t="s">
        <v>62</v>
      </c>
      <c r="N3630">
        <v>72670713</v>
      </c>
    </row>
    <row r="3631" spans="1:14" x14ac:dyDescent="0.25">
      <c r="A3631">
        <v>59002686</v>
      </c>
      <c r="B3631" t="s">
        <v>3169</v>
      </c>
      <c r="C3631" t="s">
        <v>8374</v>
      </c>
      <c r="D3631" t="s">
        <v>8375</v>
      </c>
      <c r="E3631">
        <v>6023630491</v>
      </c>
      <c r="F3631" t="s">
        <v>569</v>
      </c>
      <c r="G3631" t="s">
        <v>570</v>
      </c>
      <c r="I3631" t="s">
        <v>34</v>
      </c>
      <c r="J3631" s="13">
        <v>46008</v>
      </c>
      <c r="K3631" s="13">
        <v>46023</v>
      </c>
      <c r="L3631" t="s">
        <v>1179</v>
      </c>
      <c r="M3631" t="s">
        <v>54</v>
      </c>
      <c r="N3631">
        <v>72671968</v>
      </c>
    </row>
    <row r="3632" spans="1:14" x14ac:dyDescent="0.25">
      <c r="A3632">
        <v>59003104</v>
      </c>
      <c r="B3632" t="s">
        <v>1872</v>
      </c>
      <c r="C3632" t="s">
        <v>3191</v>
      </c>
      <c r="D3632" t="s">
        <v>8376</v>
      </c>
      <c r="E3632">
        <v>7723615918</v>
      </c>
      <c r="F3632" t="s">
        <v>1345</v>
      </c>
      <c r="G3632" t="s">
        <v>799</v>
      </c>
      <c r="I3632" t="s">
        <v>47</v>
      </c>
      <c r="J3632" s="13">
        <v>46008</v>
      </c>
      <c r="K3632" s="13">
        <v>46023</v>
      </c>
      <c r="L3632" t="s">
        <v>497</v>
      </c>
      <c r="M3632" t="s">
        <v>54</v>
      </c>
      <c r="N3632">
        <v>72672186</v>
      </c>
    </row>
    <row r="3633" spans="1:14" x14ac:dyDescent="0.25">
      <c r="A3633">
        <v>59007430</v>
      </c>
      <c r="B3633" t="s">
        <v>471</v>
      </c>
      <c r="C3633" t="s">
        <v>8377</v>
      </c>
      <c r="D3633" t="s">
        <v>8378</v>
      </c>
      <c r="E3633">
        <v>9543282278</v>
      </c>
      <c r="F3633" t="s">
        <v>569</v>
      </c>
      <c r="G3633" t="s">
        <v>570</v>
      </c>
      <c r="I3633" t="s">
        <v>34</v>
      </c>
      <c r="J3633" s="13">
        <v>46009</v>
      </c>
      <c r="K3633" s="13">
        <v>46023</v>
      </c>
      <c r="L3633" t="s">
        <v>1179</v>
      </c>
      <c r="M3633" t="s">
        <v>54</v>
      </c>
      <c r="N3633">
        <v>72675280</v>
      </c>
    </row>
    <row r="3634" spans="1:14" x14ac:dyDescent="0.25">
      <c r="A3634">
        <v>59284676</v>
      </c>
      <c r="B3634" t="s">
        <v>5151</v>
      </c>
      <c r="C3634" t="s">
        <v>8379</v>
      </c>
      <c r="D3634" t="s">
        <v>8380</v>
      </c>
      <c r="E3634">
        <v>5209873939</v>
      </c>
      <c r="F3634" t="s">
        <v>1345</v>
      </c>
      <c r="G3634" t="s">
        <v>799</v>
      </c>
      <c r="I3634" t="s">
        <v>47</v>
      </c>
      <c r="J3634" s="13">
        <v>46027</v>
      </c>
      <c r="K3634" s="13">
        <v>46054</v>
      </c>
      <c r="L3634" t="s">
        <v>1179</v>
      </c>
      <c r="M3634" t="s">
        <v>59</v>
      </c>
      <c r="N3634">
        <v>72679908</v>
      </c>
    </row>
    <row r="3635" spans="1:14" x14ac:dyDescent="0.25">
      <c r="A3635">
        <v>59016546</v>
      </c>
      <c r="B3635" t="s">
        <v>8381</v>
      </c>
      <c r="C3635" t="s">
        <v>688</v>
      </c>
      <c r="D3635" t="s">
        <v>8382</v>
      </c>
      <c r="E3635" t="s">
        <v>8383</v>
      </c>
      <c r="F3635" t="s">
        <v>649</v>
      </c>
      <c r="G3635" t="s">
        <v>650</v>
      </c>
      <c r="I3635" t="s">
        <v>28</v>
      </c>
      <c r="J3635" s="13">
        <v>46009</v>
      </c>
      <c r="K3635" s="13">
        <v>46023</v>
      </c>
      <c r="L3635" t="s">
        <v>470</v>
      </c>
      <c r="M3635" t="s">
        <v>62</v>
      </c>
      <c r="N3635">
        <v>72680995</v>
      </c>
    </row>
    <row r="3636" spans="1:14" x14ac:dyDescent="0.25">
      <c r="A3636">
        <v>59016762</v>
      </c>
      <c r="B3636" t="s">
        <v>1643</v>
      </c>
      <c r="C3636" t="s">
        <v>8384</v>
      </c>
      <c r="D3636" t="s">
        <v>8385</v>
      </c>
      <c r="E3636">
        <v>7735434156</v>
      </c>
      <c r="F3636" t="s">
        <v>578</v>
      </c>
      <c r="G3636" t="s">
        <v>579</v>
      </c>
      <c r="I3636" t="s">
        <v>15</v>
      </c>
      <c r="J3636" s="13">
        <v>46009</v>
      </c>
      <c r="K3636" s="13">
        <v>46023</v>
      </c>
      <c r="L3636" t="s">
        <v>470</v>
      </c>
      <c r="M3636" t="s">
        <v>62</v>
      </c>
      <c r="N3636">
        <v>72681078</v>
      </c>
    </row>
    <row r="3637" spans="1:14" x14ac:dyDescent="0.25">
      <c r="A3637">
        <v>59016718</v>
      </c>
      <c r="B3637" t="s">
        <v>1100</v>
      </c>
      <c r="C3637" t="s">
        <v>1448</v>
      </c>
      <c r="D3637" t="s">
        <v>8386</v>
      </c>
      <c r="E3637">
        <v>9208150093</v>
      </c>
      <c r="F3637" t="s">
        <v>928</v>
      </c>
      <c r="G3637" t="s">
        <v>929</v>
      </c>
      <c r="I3637" t="s">
        <v>30</v>
      </c>
      <c r="J3637" s="13">
        <v>46009</v>
      </c>
      <c r="K3637" s="13">
        <v>46023</v>
      </c>
      <c r="L3637" t="s">
        <v>470</v>
      </c>
      <c r="M3637" t="s">
        <v>62</v>
      </c>
      <c r="N3637">
        <v>72681081</v>
      </c>
    </row>
    <row r="3638" spans="1:14" x14ac:dyDescent="0.25">
      <c r="A3638">
        <v>59017521</v>
      </c>
      <c r="B3638" t="s">
        <v>1472</v>
      </c>
      <c r="C3638" t="s">
        <v>8387</v>
      </c>
      <c r="D3638" t="s">
        <v>8388</v>
      </c>
      <c r="E3638">
        <v>7734312842</v>
      </c>
      <c r="F3638" t="s">
        <v>1147</v>
      </c>
      <c r="G3638" t="s">
        <v>1148</v>
      </c>
      <c r="I3638" t="s">
        <v>41</v>
      </c>
      <c r="J3638" s="13">
        <v>46009</v>
      </c>
      <c r="K3638" s="13">
        <v>46023</v>
      </c>
      <c r="L3638" t="s">
        <v>470</v>
      </c>
      <c r="M3638" t="s">
        <v>62</v>
      </c>
      <c r="N3638">
        <v>72681476</v>
      </c>
    </row>
    <row r="3639" spans="1:14" x14ac:dyDescent="0.25">
      <c r="A3639">
        <v>59017539</v>
      </c>
      <c r="B3639" t="s">
        <v>8389</v>
      </c>
      <c r="C3639" t="s">
        <v>1258</v>
      </c>
      <c r="D3639" t="s">
        <v>8390</v>
      </c>
      <c r="E3639">
        <v>9048016695</v>
      </c>
      <c r="F3639" t="s">
        <v>569</v>
      </c>
      <c r="G3639" t="s">
        <v>570</v>
      </c>
      <c r="I3639" t="s">
        <v>34</v>
      </c>
      <c r="J3639" s="13">
        <v>46009</v>
      </c>
      <c r="K3639" s="13">
        <v>46023</v>
      </c>
      <c r="L3639" t="s">
        <v>497</v>
      </c>
      <c r="M3639" t="s">
        <v>54</v>
      </c>
      <c r="N3639">
        <v>72681511</v>
      </c>
    </row>
    <row r="3640" spans="1:14" x14ac:dyDescent="0.25">
      <c r="A3640">
        <v>59023011</v>
      </c>
      <c r="B3640" t="s">
        <v>8391</v>
      </c>
      <c r="C3640" t="s">
        <v>7530</v>
      </c>
      <c r="D3640" t="s">
        <v>8392</v>
      </c>
      <c r="E3640">
        <v>7732064848</v>
      </c>
      <c r="F3640" t="s">
        <v>578</v>
      </c>
      <c r="G3640" t="s">
        <v>579</v>
      </c>
      <c r="I3640" t="s">
        <v>15</v>
      </c>
      <c r="J3640" s="13">
        <v>46009</v>
      </c>
      <c r="K3640" s="13">
        <v>46023</v>
      </c>
      <c r="L3640" t="s">
        <v>470</v>
      </c>
      <c r="M3640" t="s">
        <v>62</v>
      </c>
      <c r="N3640">
        <v>72685139</v>
      </c>
    </row>
    <row r="3641" spans="1:14" x14ac:dyDescent="0.25">
      <c r="A3641">
        <v>59023983</v>
      </c>
      <c r="B3641" t="s">
        <v>998</v>
      </c>
      <c r="C3641" t="s">
        <v>5897</v>
      </c>
      <c r="D3641" t="s">
        <v>8393</v>
      </c>
      <c r="E3641">
        <v>7658232312</v>
      </c>
      <c r="F3641" t="s">
        <v>569</v>
      </c>
      <c r="G3641" t="s">
        <v>570</v>
      </c>
      <c r="I3641" t="s">
        <v>34</v>
      </c>
      <c r="J3641" s="13">
        <v>46009</v>
      </c>
      <c r="K3641" s="13">
        <v>46023</v>
      </c>
      <c r="L3641" t="s">
        <v>440</v>
      </c>
      <c r="M3641" t="s">
        <v>62</v>
      </c>
      <c r="N3641">
        <v>72685687</v>
      </c>
    </row>
    <row r="3642" spans="1:14" x14ac:dyDescent="0.25">
      <c r="A3642">
        <v>59024968</v>
      </c>
      <c r="B3642" t="s">
        <v>8394</v>
      </c>
      <c r="C3642" t="s">
        <v>1908</v>
      </c>
      <c r="D3642" t="s">
        <v>8395</v>
      </c>
      <c r="E3642">
        <v>4803955640</v>
      </c>
      <c r="F3642" t="s">
        <v>1345</v>
      </c>
      <c r="G3642" t="s">
        <v>799</v>
      </c>
      <c r="I3642" t="s">
        <v>47</v>
      </c>
      <c r="J3642" s="13">
        <v>46009</v>
      </c>
      <c r="K3642" s="13">
        <v>46023</v>
      </c>
      <c r="L3642" t="s">
        <v>1179</v>
      </c>
      <c r="M3642" t="s">
        <v>59</v>
      </c>
      <c r="N3642">
        <v>72686163</v>
      </c>
    </row>
    <row r="3643" spans="1:14" x14ac:dyDescent="0.25">
      <c r="A3643">
        <v>59025233</v>
      </c>
      <c r="B3643" t="s">
        <v>1772</v>
      </c>
      <c r="C3643" t="s">
        <v>8396</v>
      </c>
      <c r="D3643" t="s">
        <v>8397</v>
      </c>
      <c r="E3643">
        <v>7739678751</v>
      </c>
      <c r="F3643" t="s">
        <v>770</v>
      </c>
      <c r="G3643" t="s">
        <v>771</v>
      </c>
      <c r="I3643" t="s">
        <v>25</v>
      </c>
      <c r="J3643" s="13">
        <v>46009</v>
      </c>
      <c r="K3643" s="13">
        <v>46023</v>
      </c>
      <c r="L3643" t="s">
        <v>470</v>
      </c>
      <c r="M3643" t="s">
        <v>62</v>
      </c>
      <c r="N3643">
        <v>72686275</v>
      </c>
    </row>
    <row r="3644" spans="1:14" x14ac:dyDescent="0.25">
      <c r="A3644">
        <v>59033501</v>
      </c>
      <c r="B3644" t="s">
        <v>8398</v>
      </c>
      <c r="C3644" t="s">
        <v>1203</v>
      </c>
      <c r="D3644" t="s">
        <v>8399</v>
      </c>
      <c r="E3644">
        <v>7735675272</v>
      </c>
      <c r="F3644" t="s">
        <v>1147</v>
      </c>
      <c r="G3644" t="s">
        <v>1148</v>
      </c>
      <c r="I3644" t="s">
        <v>41</v>
      </c>
      <c r="J3644" s="13">
        <v>46010</v>
      </c>
      <c r="K3644" s="13">
        <v>46023</v>
      </c>
      <c r="L3644" t="s">
        <v>470</v>
      </c>
      <c r="M3644" t="s">
        <v>62</v>
      </c>
      <c r="N3644">
        <v>72692130</v>
      </c>
    </row>
    <row r="3645" spans="1:14" x14ac:dyDescent="0.25">
      <c r="A3645">
        <v>59043083</v>
      </c>
      <c r="B3645" t="s">
        <v>8400</v>
      </c>
      <c r="C3645" t="s">
        <v>8401</v>
      </c>
      <c r="D3645" t="s">
        <v>8402</v>
      </c>
      <c r="E3645">
        <v>2248183498</v>
      </c>
      <c r="F3645" t="s">
        <v>649</v>
      </c>
      <c r="G3645" t="s">
        <v>650</v>
      </c>
      <c r="I3645" t="s">
        <v>28</v>
      </c>
      <c r="J3645" s="13">
        <v>46010</v>
      </c>
      <c r="K3645" s="13">
        <v>46023</v>
      </c>
      <c r="L3645" t="s">
        <v>470</v>
      </c>
      <c r="M3645" t="s">
        <v>62</v>
      </c>
      <c r="N3645">
        <v>72699644</v>
      </c>
    </row>
    <row r="3646" spans="1:14" x14ac:dyDescent="0.25">
      <c r="A3646">
        <v>59047903</v>
      </c>
      <c r="B3646" t="s">
        <v>5109</v>
      </c>
      <c r="C3646" t="s">
        <v>8403</v>
      </c>
      <c r="D3646" t="s">
        <v>8404</v>
      </c>
      <c r="E3646">
        <v>7736718612</v>
      </c>
      <c r="F3646" t="s">
        <v>649</v>
      </c>
      <c r="G3646" t="s">
        <v>650</v>
      </c>
      <c r="I3646" t="s">
        <v>28</v>
      </c>
      <c r="J3646" s="13">
        <v>46010</v>
      </c>
      <c r="K3646" s="13">
        <v>46023</v>
      </c>
      <c r="L3646" t="s">
        <v>470</v>
      </c>
      <c r="M3646" t="s">
        <v>62</v>
      </c>
      <c r="N3646">
        <v>72702577</v>
      </c>
    </row>
    <row r="3647" spans="1:14" x14ac:dyDescent="0.25">
      <c r="A3647">
        <v>59075686</v>
      </c>
      <c r="B3647" t="s">
        <v>8405</v>
      </c>
      <c r="C3647" t="s">
        <v>3440</v>
      </c>
      <c r="D3647" t="s">
        <v>8406</v>
      </c>
      <c r="E3647">
        <v>7733826764</v>
      </c>
      <c r="F3647" t="s">
        <v>1147</v>
      </c>
      <c r="G3647" t="s">
        <v>1148</v>
      </c>
      <c r="I3647" t="s">
        <v>41</v>
      </c>
      <c r="J3647" s="13">
        <v>46013</v>
      </c>
      <c r="K3647" s="13">
        <v>46023</v>
      </c>
      <c r="L3647" t="s">
        <v>470</v>
      </c>
      <c r="M3647" t="s">
        <v>62</v>
      </c>
      <c r="N3647">
        <v>72721638</v>
      </c>
    </row>
    <row r="3648" spans="1:14" x14ac:dyDescent="0.25">
      <c r="A3648">
        <v>59079366</v>
      </c>
      <c r="B3648" t="s">
        <v>3064</v>
      </c>
      <c r="C3648" t="s">
        <v>909</v>
      </c>
      <c r="D3648" t="s">
        <v>8407</v>
      </c>
      <c r="E3648">
        <v>7735640344</v>
      </c>
      <c r="F3648" t="s">
        <v>1147</v>
      </c>
      <c r="G3648" t="s">
        <v>1148</v>
      </c>
      <c r="I3648" t="s">
        <v>41</v>
      </c>
      <c r="J3648" s="13">
        <v>46013</v>
      </c>
      <c r="K3648" s="13">
        <v>46023</v>
      </c>
      <c r="L3648" t="s">
        <v>470</v>
      </c>
      <c r="M3648" t="s">
        <v>62</v>
      </c>
      <c r="N3648">
        <v>72723961</v>
      </c>
    </row>
    <row r="3649" spans="1:14" x14ac:dyDescent="0.25">
      <c r="A3649">
        <v>59161111</v>
      </c>
      <c r="B3649" t="s">
        <v>8408</v>
      </c>
      <c r="C3649" t="s">
        <v>8409</v>
      </c>
      <c r="D3649" t="s">
        <v>8410</v>
      </c>
      <c r="E3649">
        <v>7736140331</v>
      </c>
      <c r="F3649" t="s">
        <v>578</v>
      </c>
      <c r="G3649" t="s">
        <v>579</v>
      </c>
      <c r="I3649" t="s">
        <v>15</v>
      </c>
      <c r="J3649" s="13">
        <v>46020</v>
      </c>
      <c r="K3649" s="13">
        <v>46023</v>
      </c>
      <c r="L3649" t="s">
        <v>470</v>
      </c>
      <c r="M3649" t="s">
        <v>62</v>
      </c>
      <c r="N3649">
        <v>72776853</v>
      </c>
    </row>
    <row r="3650" spans="1:14" x14ac:dyDescent="0.25">
      <c r="A3650">
        <v>59163875</v>
      </c>
      <c r="B3650" t="s">
        <v>8411</v>
      </c>
      <c r="C3650" t="s">
        <v>2351</v>
      </c>
      <c r="D3650" t="s">
        <v>8412</v>
      </c>
      <c r="E3650">
        <v>8723357022</v>
      </c>
      <c r="F3650" t="s">
        <v>1147</v>
      </c>
      <c r="G3650" t="s">
        <v>1148</v>
      </c>
      <c r="I3650" t="s">
        <v>41</v>
      </c>
      <c r="J3650" s="13">
        <v>46020</v>
      </c>
      <c r="K3650" s="13">
        <v>46023</v>
      </c>
      <c r="L3650" t="s">
        <v>470</v>
      </c>
      <c r="M3650" t="s">
        <v>62</v>
      </c>
      <c r="N3650">
        <v>72778647</v>
      </c>
    </row>
    <row r="3651" spans="1:14" x14ac:dyDescent="0.25">
      <c r="A3651">
        <v>59209793</v>
      </c>
      <c r="B3651" t="s">
        <v>3553</v>
      </c>
      <c r="C3651" t="s">
        <v>1939</v>
      </c>
      <c r="D3651" t="s">
        <v>8413</v>
      </c>
      <c r="E3651">
        <v>7738762360</v>
      </c>
      <c r="F3651" t="s">
        <v>1147</v>
      </c>
      <c r="G3651" t="s">
        <v>1148</v>
      </c>
      <c r="I3651" t="s">
        <v>41</v>
      </c>
      <c r="J3651" s="13">
        <v>46022</v>
      </c>
      <c r="K3651" s="13">
        <v>46023</v>
      </c>
      <c r="L3651" t="s">
        <v>470</v>
      </c>
      <c r="M3651" t="s">
        <v>62</v>
      </c>
      <c r="N3651">
        <v>72840590</v>
      </c>
    </row>
    <row r="3652" spans="1:14" x14ac:dyDescent="0.25">
      <c r="A3652">
        <v>59261350</v>
      </c>
      <c r="B3652" t="s">
        <v>8414</v>
      </c>
      <c r="C3652" t="s">
        <v>4396</v>
      </c>
      <c r="D3652" t="s">
        <v>8415</v>
      </c>
      <c r="E3652">
        <v>6015735027</v>
      </c>
      <c r="F3652" t="s">
        <v>551</v>
      </c>
      <c r="G3652" t="s">
        <v>552</v>
      </c>
      <c r="I3652" t="s">
        <v>42</v>
      </c>
      <c r="J3652" s="13">
        <v>46027</v>
      </c>
      <c r="K3652" s="13">
        <v>46054</v>
      </c>
      <c r="L3652" t="s">
        <v>603</v>
      </c>
      <c r="M3652" t="s">
        <v>55</v>
      </c>
      <c r="N3652">
        <v>72870810</v>
      </c>
    </row>
    <row r="3653" spans="1:14" x14ac:dyDescent="0.25">
      <c r="A3653">
        <v>59262385</v>
      </c>
      <c r="B3653" t="s">
        <v>8416</v>
      </c>
      <c r="C3653" t="s">
        <v>2614</v>
      </c>
      <c r="D3653" t="s">
        <v>8417</v>
      </c>
      <c r="E3653">
        <v>3345072559</v>
      </c>
      <c r="F3653" t="s">
        <v>705</v>
      </c>
      <c r="G3653" t="s">
        <v>706</v>
      </c>
      <c r="I3653" t="s">
        <v>12</v>
      </c>
      <c r="J3653" s="13">
        <v>46027</v>
      </c>
      <c r="K3653" s="13">
        <v>46054</v>
      </c>
      <c r="L3653" t="s">
        <v>450</v>
      </c>
      <c r="M3653" t="s">
        <v>58</v>
      </c>
      <c r="N3653">
        <v>72871612</v>
      </c>
    </row>
    <row r="3654" spans="1:14" x14ac:dyDescent="0.25">
      <c r="A3654">
        <v>59264575</v>
      </c>
      <c r="B3654" t="s">
        <v>4210</v>
      </c>
      <c r="C3654" t="s">
        <v>1702</v>
      </c>
      <c r="D3654" t="s">
        <v>8418</v>
      </c>
      <c r="E3654">
        <v>2059530487</v>
      </c>
      <c r="F3654" t="s">
        <v>569</v>
      </c>
      <c r="G3654" t="s">
        <v>570</v>
      </c>
      <c r="I3654" t="s">
        <v>34</v>
      </c>
      <c r="J3654" s="13">
        <v>46027</v>
      </c>
      <c r="K3654" s="13">
        <v>46054</v>
      </c>
      <c r="L3654" t="s">
        <v>450</v>
      </c>
      <c r="M3654" t="s">
        <v>59</v>
      </c>
      <c r="N3654">
        <v>72873097</v>
      </c>
    </row>
    <row r="3655" spans="1:14" x14ac:dyDescent="0.25">
      <c r="A3655">
        <v>59266682</v>
      </c>
      <c r="B3655" t="s">
        <v>431</v>
      </c>
      <c r="C3655" t="s">
        <v>1065</v>
      </c>
      <c r="D3655" t="s">
        <v>8419</v>
      </c>
      <c r="E3655">
        <v>9046251801</v>
      </c>
      <c r="F3655" t="s">
        <v>775</v>
      </c>
      <c r="G3655" t="s">
        <v>776</v>
      </c>
      <c r="I3655" t="s">
        <v>22</v>
      </c>
      <c r="J3655" s="13">
        <v>46027</v>
      </c>
      <c r="K3655" s="13">
        <v>46054</v>
      </c>
      <c r="L3655" t="s">
        <v>497</v>
      </c>
      <c r="M3655" t="s">
        <v>54</v>
      </c>
      <c r="N3655">
        <v>72874624</v>
      </c>
    </row>
    <row r="3656" spans="1:14" x14ac:dyDescent="0.25">
      <c r="A3656">
        <v>59267417</v>
      </c>
      <c r="B3656" t="s">
        <v>8420</v>
      </c>
      <c r="C3656" t="s">
        <v>3948</v>
      </c>
      <c r="D3656" t="s">
        <v>8421</v>
      </c>
      <c r="E3656">
        <v>6026220682</v>
      </c>
      <c r="F3656" t="s">
        <v>1345</v>
      </c>
      <c r="G3656" t="s">
        <v>799</v>
      </c>
      <c r="I3656" t="s">
        <v>47</v>
      </c>
      <c r="J3656" s="13">
        <v>46027</v>
      </c>
      <c r="K3656" s="13">
        <v>46054</v>
      </c>
      <c r="L3656" t="s">
        <v>1179</v>
      </c>
      <c r="M3656" t="s">
        <v>59</v>
      </c>
      <c r="N3656">
        <v>72875160</v>
      </c>
    </row>
    <row r="3657" spans="1:14" x14ac:dyDescent="0.25">
      <c r="A3657">
        <v>59268048</v>
      </c>
      <c r="B3657" t="s">
        <v>8422</v>
      </c>
      <c r="C3657" t="s">
        <v>8423</v>
      </c>
      <c r="D3657" t="s">
        <v>8424</v>
      </c>
      <c r="E3657">
        <v>5203969187</v>
      </c>
      <c r="F3657" t="s">
        <v>628</v>
      </c>
      <c r="G3657" t="s">
        <v>629</v>
      </c>
      <c r="I3657" t="s">
        <v>24</v>
      </c>
      <c r="J3657" s="13">
        <v>46027</v>
      </c>
      <c r="K3657" s="13">
        <v>46054</v>
      </c>
      <c r="L3657" t="s">
        <v>1179</v>
      </c>
      <c r="M3657" t="s">
        <v>59</v>
      </c>
      <c r="N3657">
        <v>72875412</v>
      </c>
    </row>
    <row r="3658" spans="1:14" x14ac:dyDescent="0.25">
      <c r="A3658">
        <v>59270978</v>
      </c>
      <c r="B3658" t="s">
        <v>3021</v>
      </c>
      <c r="C3658" t="s">
        <v>5661</v>
      </c>
      <c r="D3658" t="s">
        <v>8425</v>
      </c>
      <c r="E3658">
        <v>5203880381</v>
      </c>
      <c r="F3658" t="s">
        <v>4853</v>
      </c>
      <c r="G3658" t="s">
        <v>5017</v>
      </c>
      <c r="I3658" t="s">
        <v>5018</v>
      </c>
      <c r="J3658" s="13">
        <v>46027</v>
      </c>
      <c r="K3658" s="13">
        <v>46054</v>
      </c>
      <c r="L3658" t="s">
        <v>1179</v>
      </c>
      <c r="M3658" t="s">
        <v>54</v>
      </c>
      <c r="N3658">
        <v>72877347</v>
      </c>
    </row>
    <row r="3659" spans="1:14" x14ac:dyDescent="0.25">
      <c r="A3659">
        <v>59273251</v>
      </c>
      <c r="B3659" t="s">
        <v>8426</v>
      </c>
      <c r="C3659" t="s">
        <v>581</v>
      </c>
      <c r="D3659" t="s">
        <v>8427</v>
      </c>
      <c r="E3659">
        <v>7063416760</v>
      </c>
      <c r="F3659" t="s">
        <v>574</v>
      </c>
      <c r="G3659" t="s">
        <v>575</v>
      </c>
      <c r="I3659" t="s">
        <v>14</v>
      </c>
      <c r="J3659" s="13">
        <v>46027</v>
      </c>
      <c r="K3659" s="13">
        <v>46054</v>
      </c>
      <c r="L3659" t="s">
        <v>621</v>
      </c>
      <c r="M3659" t="s">
        <v>58</v>
      </c>
      <c r="N3659">
        <v>72878934</v>
      </c>
    </row>
    <row r="3660" spans="1:14" x14ac:dyDescent="0.25">
      <c r="A3660">
        <v>59273640</v>
      </c>
      <c r="B3660" t="s">
        <v>8428</v>
      </c>
      <c r="C3660" t="s">
        <v>733</v>
      </c>
      <c r="D3660" t="s">
        <v>8429</v>
      </c>
      <c r="E3660">
        <v>9015708150</v>
      </c>
      <c r="F3660" t="s">
        <v>448</v>
      </c>
      <c r="G3660" t="s">
        <v>449</v>
      </c>
      <c r="I3660" t="s">
        <v>31</v>
      </c>
      <c r="J3660" s="13">
        <v>46027</v>
      </c>
      <c r="K3660" s="13">
        <v>46054</v>
      </c>
      <c r="L3660" t="s">
        <v>479</v>
      </c>
      <c r="M3660" t="s">
        <v>61</v>
      </c>
      <c r="N3660">
        <v>72879233</v>
      </c>
    </row>
    <row r="3661" spans="1:14" x14ac:dyDescent="0.25">
      <c r="A3661">
        <v>59274603</v>
      </c>
      <c r="B3661" t="s">
        <v>2019</v>
      </c>
      <c r="C3661" t="s">
        <v>8430</v>
      </c>
      <c r="D3661" t="s">
        <v>8431</v>
      </c>
      <c r="E3661">
        <v>5202721820</v>
      </c>
      <c r="F3661" t="s">
        <v>705</v>
      </c>
      <c r="G3661" t="s">
        <v>706</v>
      </c>
      <c r="I3661" t="s">
        <v>12</v>
      </c>
      <c r="J3661" s="13">
        <v>46027</v>
      </c>
      <c r="K3661" s="13">
        <v>46054</v>
      </c>
      <c r="L3661" t="s">
        <v>1179</v>
      </c>
      <c r="M3661" t="s">
        <v>55</v>
      </c>
      <c r="N3661">
        <v>72880079</v>
      </c>
    </row>
    <row r="3662" spans="1:14" x14ac:dyDescent="0.25">
      <c r="A3662">
        <v>59274716</v>
      </c>
      <c r="B3662" t="s">
        <v>879</v>
      </c>
      <c r="C3662" t="s">
        <v>8432</v>
      </c>
      <c r="D3662" t="s">
        <v>8433</v>
      </c>
      <c r="E3662">
        <v>7272907116</v>
      </c>
      <c r="F3662" t="s">
        <v>423</v>
      </c>
      <c r="G3662" t="s">
        <v>424</v>
      </c>
      <c r="I3662" t="s">
        <v>46</v>
      </c>
      <c r="J3662" s="13">
        <v>46027</v>
      </c>
      <c r="K3662" s="13">
        <v>46054</v>
      </c>
      <c r="L3662" t="s">
        <v>497</v>
      </c>
      <c r="M3662" t="s">
        <v>56</v>
      </c>
      <c r="N3662">
        <v>72880362</v>
      </c>
    </row>
    <row r="3663" spans="1:14" x14ac:dyDescent="0.25">
      <c r="A3663">
        <v>59274754</v>
      </c>
      <c r="B3663" t="s">
        <v>1408</v>
      </c>
      <c r="C3663" t="s">
        <v>8434</v>
      </c>
      <c r="D3663" t="s">
        <v>8435</v>
      </c>
      <c r="E3663">
        <v>6813693132</v>
      </c>
      <c r="F3663" t="s">
        <v>828</v>
      </c>
      <c r="G3663" t="s">
        <v>1148</v>
      </c>
      <c r="I3663" t="s">
        <v>17</v>
      </c>
      <c r="J3663" s="13">
        <v>46027</v>
      </c>
      <c r="K3663" s="13">
        <v>46054</v>
      </c>
      <c r="L3663" t="s">
        <v>1188</v>
      </c>
      <c r="M3663" t="s">
        <v>60</v>
      </c>
      <c r="N3663">
        <v>72880483</v>
      </c>
    </row>
    <row r="3664" spans="1:14" x14ac:dyDescent="0.25">
      <c r="A3664">
        <v>59275676</v>
      </c>
      <c r="B3664" t="s">
        <v>836</v>
      </c>
      <c r="C3664" t="s">
        <v>1587</v>
      </c>
      <c r="D3664" t="s">
        <v>8436</v>
      </c>
      <c r="F3664" t="s">
        <v>551</v>
      </c>
      <c r="G3664" t="s">
        <v>552</v>
      </c>
      <c r="I3664" t="s">
        <v>42</v>
      </c>
      <c r="J3664" s="13">
        <v>46027</v>
      </c>
      <c r="K3664" s="13">
        <v>46054</v>
      </c>
      <c r="L3664" t="s">
        <v>497</v>
      </c>
      <c r="M3664" t="s">
        <v>58</v>
      </c>
      <c r="N3664">
        <v>72881004</v>
      </c>
    </row>
    <row r="3665" spans="1:14" x14ac:dyDescent="0.25">
      <c r="A3665">
        <v>59275775</v>
      </c>
      <c r="B3665" t="s">
        <v>3252</v>
      </c>
      <c r="C3665" t="s">
        <v>5138</v>
      </c>
      <c r="D3665" t="s">
        <v>8437</v>
      </c>
      <c r="E3665">
        <v>3049602071</v>
      </c>
      <c r="F3665" t="s">
        <v>790</v>
      </c>
      <c r="G3665" t="s">
        <v>791</v>
      </c>
      <c r="I3665" t="s">
        <v>119</v>
      </c>
      <c r="J3665" s="13">
        <v>46027</v>
      </c>
      <c r="K3665" s="13">
        <v>46054</v>
      </c>
      <c r="L3665" t="s">
        <v>1188</v>
      </c>
      <c r="M3665" t="s">
        <v>56</v>
      </c>
      <c r="N3665">
        <v>72881139</v>
      </c>
    </row>
    <row r="3666" spans="1:14" x14ac:dyDescent="0.25">
      <c r="A3666">
        <v>59275954</v>
      </c>
      <c r="B3666" t="s">
        <v>865</v>
      </c>
      <c r="C3666" t="s">
        <v>3680</v>
      </c>
      <c r="D3666" t="s">
        <v>8438</v>
      </c>
      <c r="E3666">
        <v>4792083122</v>
      </c>
      <c r="F3666" t="s">
        <v>842</v>
      </c>
      <c r="G3666" t="s">
        <v>843</v>
      </c>
      <c r="I3666" t="s">
        <v>98</v>
      </c>
      <c r="J3666" s="13">
        <v>46027</v>
      </c>
      <c r="K3666" s="13">
        <v>46054</v>
      </c>
      <c r="L3666" t="s">
        <v>553</v>
      </c>
      <c r="M3666" t="s">
        <v>58</v>
      </c>
      <c r="N3666">
        <v>72881258</v>
      </c>
    </row>
    <row r="3667" spans="1:14" x14ac:dyDescent="0.25">
      <c r="A3667">
        <v>59277407</v>
      </c>
      <c r="B3667" t="s">
        <v>1399</v>
      </c>
      <c r="C3667" t="s">
        <v>3776</v>
      </c>
      <c r="D3667" t="s">
        <v>8439</v>
      </c>
      <c r="E3667">
        <v>4792083122</v>
      </c>
      <c r="F3667" t="s">
        <v>842</v>
      </c>
      <c r="G3667" t="s">
        <v>843</v>
      </c>
      <c r="I3667" t="s">
        <v>98</v>
      </c>
      <c r="J3667" s="13">
        <v>46027</v>
      </c>
      <c r="K3667" s="13">
        <v>46054</v>
      </c>
      <c r="L3667" t="s">
        <v>553</v>
      </c>
      <c r="M3667" t="s">
        <v>58</v>
      </c>
      <c r="N3667">
        <v>72881287</v>
      </c>
    </row>
    <row r="3668" spans="1:14" x14ac:dyDescent="0.25">
      <c r="A3668">
        <v>59276415</v>
      </c>
      <c r="B3668" t="s">
        <v>4833</v>
      </c>
      <c r="C3668" t="s">
        <v>8440</v>
      </c>
      <c r="D3668" t="s">
        <v>8441</v>
      </c>
      <c r="E3668">
        <v>3048303172</v>
      </c>
      <c r="F3668" t="s">
        <v>1013</v>
      </c>
      <c r="G3668" t="s">
        <v>1014</v>
      </c>
      <c r="I3668" t="s">
        <v>43</v>
      </c>
      <c r="J3668" s="13">
        <v>46027</v>
      </c>
      <c r="K3668" s="13">
        <v>46054</v>
      </c>
      <c r="L3668" t="s">
        <v>1188</v>
      </c>
      <c r="M3668" t="s">
        <v>56</v>
      </c>
      <c r="N3668">
        <v>72881498</v>
      </c>
    </row>
    <row r="3669" spans="1:14" x14ac:dyDescent="0.25">
      <c r="A3669">
        <v>59276450</v>
      </c>
      <c r="B3669" t="s">
        <v>8420</v>
      </c>
      <c r="C3669" t="s">
        <v>8442</v>
      </c>
      <c r="D3669" t="s">
        <v>8443</v>
      </c>
      <c r="E3669">
        <v>3048303172</v>
      </c>
      <c r="F3669" t="s">
        <v>1013</v>
      </c>
      <c r="G3669" t="s">
        <v>1014</v>
      </c>
      <c r="I3669" t="s">
        <v>43</v>
      </c>
      <c r="J3669" s="13">
        <v>46027</v>
      </c>
      <c r="K3669" s="13">
        <v>46054</v>
      </c>
      <c r="L3669" t="s">
        <v>1188</v>
      </c>
      <c r="M3669" t="s">
        <v>56</v>
      </c>
      <c r="N3669">
        <v>72881522</v>
      </c>
    </row>
    <row r="3670" spans="1:14" x14ac:dyDescent="0.25">
      <c r="A3670">
        <v>59277391</v>
      </c>
      <c r="B3670" t="s">
        <v>8444</v>
      </c>
      <c r="C3670" t="s">
        <v>8445</v>
      </c>
      <c r="D3670" t="s">
        <v>8446</v>
      </c>
      <c r="E3670">
        <v>7863667552</v>
      </c>
      <c r="F3670" t="s">
        <v>423</v>
      </c>
      <c r="G3670" t="s">
        <v>424</v>
      </c>
      <c r="I3670" t="s">
        <v>46</v>
      </c>
      <c r="J3670" s="13">
        <v>46027</v>
      </c>
      <c r="K3670" s="13">
        <v>46054</v>
      </c>
      <c r="L3670" t="s">
        <v>497</v>
      </c>
      <c r="M3670" t="s">
        <v>54</v>
      </c>
      <c r="N3670">
        <v>72882062</v>
      </c>
    </row>
    <row r="3671" spans="1:14" x14ac:dyDescent="0.25">
      <c r="A3671">
        <v>59277639</v>
      </c>
      <c r="B3671" t="s">
        <v>2994</v>
      </c>
      <c r="C3671" t="s">
        <v>4667</v>
      </c>
      <c r="D3671" t="s">
        <v>8447</v>
      </c>
      <c r="E3671">
        <v>3042555272</v>
      </c>
      <c r="F3671" t="s">
        <v>574</v>
      </c>
      <c r="G3671" t="s">
        <v>575</v>
      </c>
      <c r="I3671" t="s">
        <v>14</v>
      </c>
      <c r="J3671" s="13">
        <v>46027</v>
      </c>
      <c r="K3671" s="13">
        <v>46054</v>
      </c>
      <c r="L3671" t="s">
        <v>1188</v>
      </c>
      <c r="M3671" t="s">
        <v>56</v>
      </c>
      <c r="N3671">
        <v>72882214</v>
      </c>
    </row>
    <row r="3672" spans="1:14" x14ac:dyDescent="0.25">
      <c r="A3672">
        <v>59278130</v>
      </c>
      <c r="B3672" t="s">
        <v>4497</v>
      </c>
      <c r="C3672" t="s">
        <v>8127</v>
      </c>
      <c r="D3672" t="s">
        <v>8448</v>
      </c>
      <c r="E3672">
        <v>8632805599</v>
      </c>
      <c r="F3672" t="s">
        <v>569</v>
      </c>
      <c r="G3672" t="s">
        <v>570</v>
      </c>
      <c r="I3672" t="s">
        <v>34</v>
      </c>
      <c r="J3672" s="13">
        <v>46027</v>
      </c>
      <c r="K3672" s="13">
        <v>46054</v>
      </c>
      <c r="L3672" t="s">
        <v>533</v>
      </c>
      <c r="M3672" t="s">
        <v>56</v>
      </c>
      <c r="N3672">
        <v>72882492</v>
      </c>
    </row>
    <row r="3673" spans="1:14" x14ac:dyDescent="0.25">
      <c r="A3673">
        <v>59278382</v>
      </c>
      <c r="B3673" t="s">
        <v>633</v>
      </c>
      <c r="C3673" t="s">
        <v>477</v>
      </c>
      <c r="D3673" t="s">
        <v>8449</v>
      </c>
      <c r="E3673">
        <v>2563242632</v>
      </c>
      <c r="F3673" t="s">
        <v>448</v>
      </c>
      <c r="G3673" t="s">
        <v>449</v>
      </c>
      <c r="I3673" t="s">
        <v>31</v>
      </c>
      <c r="J3673" s="13">
        <v>46027</v>
      </c>
      <c r="K3673" s="13">
        <v>46054</v>
      </c>
      <c r="L3673" t="s">
        <v>450</v>
      </c>
      <c r="M3673" t="s">
        <v>56</v>
      </c>
      <c r="N3673">
        <v>72882673</v>
      </c>
    </row>
    <row r="3674" spans="1:14" x14ac:dyDescent="0.25">
      <c r="A3674">
        <v>59278405</v>
      </c>
      <c r="B3674" t="s">
        <v>8450</v>
      </c>
      <c r="C3674" t="s">
        <v>2964</v>
      </c>
      <c r="D3674" t="s">
        <v>8451</v>
      </c>
      <c r="E3674">
        <v>7206291544</v>
      </c>
      <c r="F3674" t="s">
        <v>705</v>
      </c>
      <c r="G3674" t="s">
        <v>706</v>
      </c>
      <c r="I3674" t="s">
        <v>12</v>
      </c>
      <c r="J3674" s="13">
        <v>46027</v>
      </c>
      <c r="K3674" s="13">
        <v>46055</v>
      </c>
      <c r="L3674" t="s">
        <v>539</v>
      </c>
      <c r="M3674" t="s">
        <v>58</v>
      </c>
      <c r="N3674">
        <v>72882688</v>
      </c>
    </row>
    <row r="3675" spans="1:14" x14ac:dyDescent="0.25">
      <c r="A3675">
        <v>59278454</v>
      </c>
      <c r="B3675" t="s">
        <v>2193</v>
      </c>
      <c r="C3675" t="s">
        <v>643</v>
      </c>
      <c r="D3675" t="s">
        <v>8452</v>
      </c>
      <c r="E3675">
        <v>8502764125</v>
      </c>
      <c r="F3675" t="s">
        <v>798</v>
      </c>
      <c r="G3675" t="s">
        <v>799</v>
      </c>
      <c r="I3675" t="s">
        <v>800</v>
      </c>
      <c r="J3675" s="13">
        <v>46027</v>
      </c>
      <c r="K3675" s="13">
        <v>46054</v>
      </c>
      <c r="L3675" t="s">
        <v>497</v>
      </c>
      <c r="M3675" t="s">
        <v>61</v>
      </c>
      <c r="N3675">
        <v>72882729</v>
      </c>
    </row>
    <row r="3676" spans="1:14" x14ac:dyDescent="0.25">
      <c r="A3676">
        <v>59278616</v>
      </c>
      <c r="B3676" t="s">
        <v>8453</v>
      </c>
      <c r="C3676" t="s">
        <v>8454</v>
      </c>
      <c r="D3676" t="s">
        <v>8455</v>
      </c>
      <c r="E3676">
        <v>8596189843</v>
      </c>
      <c r="F3676" t="s">
        <v>828</v>
      </c>
      <c r="G3676" t="s">
        <v>1148</v>
      </c>
      <c r="I3676" t="s">
        <v>17</v>
      </c>
      <c r="J3676" s="13">
        <v>46027</v>
      </c>
      <c r="K3676" s="13">
        <v>46054</v>
      </c>
      <c r="L3676" t="s">
        <v>490</v>
      </c>
      <c r="M3676" t="s">
        <v>56</v>
      </c>
      <c r="N3676">
        <v>72882908</v>
      </c>
    </row>
    <row r="3677" spans="1:14" x14ac:dyDescent="0.25">
      <c r="A3677">
        <v>59280550</v>
      </c>
      <c r="B3677" t="s">
        <v>1658</v>
      </c>
      <c r="C3677" t="s">
        <v>8456</v>
      </c>
      <c r="D3677" t="s">
        <v>8457</v>
      </c>
      <c r="E3677">
        <v>2703392749</v>
      </c>
      <c r="F3677" t="s">
        <v>790</v>
      </c>
      <c r="G3677" t="s">
        <v>791</v>
      </c>
      <c r="I3677" t="s">
        <v>119</v>
      </c>
      <c r="J3677" s="13">
        <v>46027</v>
      </c>
      <c r="K3677" s="13">
        <v>46054</v>
      </c>
      <c r="L3677" t="s">
        <v>490</v>
      </c>
      <c r="M3677" t="s">
        <v>56</v>
      </c>
      <c r="N3677">
        <v>72884630</v>
      </c>
    </row>
    <row r="3678" spans="1:14" x14ac:dyDescent="0.25">
      <c r="A3678">
        <v>59282424</v>
      </c>
      <c r="B3678" t="s">
        <v>1228</v>
      </c>
      <c r="C3678" t="s">
        <v>8458</v>
      </c>
      <c r="D3678" t="s">
        <v>8459</v>
      </c>
      <c r="E3678">
        <v>5207529543</v>
      </c>
      <c r="F3678" t="s">
        <v>416</v>
      </c>
      <c r="G3678" t="s">
        <v>417</v>
      </c>
      <c r="I3678" t="s">
        <v>26</v>
      </c>
      <c r="J3678" s="13">
        <v>46027</v>
      </c>
      <c r="K3678" s="13">
        <v>46054</v>
      </c>
      <c r="L3678" t="s">
        <v>1179</v>
      </c>
      <c r="M3678" t="s">
        <v>54</v>
      </c>
      <c r="N3678">
        <v>72885940</v>
      </c>
    </row>
    <row r="3679" spans="1:14" x14ac:dyDescent="0.25">
      <c r="A3679">
        <v>59283414</v>
      </c>
      <c r="B3679" t="s">
        <v>464</v>
      </c>
      <c r="C3679" t="s">
        <v>8460</v>
      </c>
      <c r="D3679" t="s">
        <v>8461</v>
      </c>
      <c r="E3679">
        <v>5204654286</v>
      </c>
      <c r="F3679" t="s">
        <v>448</v>
      </c>
      <c r="G3679" t="s">
        <v>449</v>
      </c>
      <c r="I3679" t="s">
        <v>31</v>
      </c>
      <c r="J3679" s="13">
        <v>46027</v>
      </c>
      <c r="K3679" s="13">
        <v>46054</v>
      </c>
      <c r="L3679" t="s">
        <v>1179</v>
      </c>
      <c r="M3679" t="s">
        <v>59</v>
      </c>
      <c r="N3679">
        <v>72886581</v>
      </c>
    </row>
    <row r="3680" spans="1:14" x14ac:dyDescent="0.25">
      <c r="A3680">
        <v>59283454</v>
      </c>
      <c r="B3680" t="s">
        <v>476</v>
      </c>
      <c r="C3680" t="s">
        <v>8462</v>
      </c>
      <c r="D3680" t="s">
        <v>8463</v>
      </c>
      <c r="E3680">
        <v>6232008336</v>
      </c>
      <c r="F3680" t="s">
        <v>775</v>
      </c>
      <c r="G3680" t="s">
        <v>776</v>
      </c>
      <c r="I3680" t="s">
        <v>22</v>
      </c>
      <c r="J3680" s="13">
        <v>46027</v>
      </c>
      <c r="K3680" s="13">
        <v>46054</v>
      </c>
      <c r="L3680" t="s">
        <v>1179</v>
      </c>
      <c r="M3680" t="s">
        <v>58</v>
      </c>
      <c r="N3680">
        <v>72886619</v>
      </c>
    </row>
    <row r="3681" spans="1:14" x14ac:dyDescent="0.25">
      <c r="A3681">
        <v>59283798</v>
      </c>
      <c r="B3681" t="s">
        <v>2681</v>
      </c>
      <c r="C3681" t="s">
        <v>5193</v>
      </c>
      <c r="D3681" t="s">
        <v>8464</v>
      </c>
      <c r="E3681">
        <v>6234569485</v>
      </c>
      <c r="F3681" t="s">
        <v>4853</v>
      </c>
      <c r="G3681" t="s">
        <v>5017</v>
      </c>
      <c r="I3681" t="s">
        <v>5018</v>
      </c>
      <c r="J3681" s="13">
        <v>46027</v>
      </c>
      <c r="K3681" s="13">
        <v>46054</v>
      </c>
      <c r="L3681" t="s">
        <v>1179</v>
      </c>
      <c r="M3681" t="s">
        <v>61</v>
      </c>
      <c r="N3681">
        <v>72886886</v>
      </c>
    </row>
    <row r="3682" spans="1:14" x14ac:dyDescent="0.25">
      <c r="A3682">
        <v>59283817</v>
      </c>
      <c r="B3682" t="s">
        <v>1941</v>
      </c>
      <c r="C3682" t="s">
        <v>8465</v>
      </c>
      <c r="D3682" t="s">
        <v>8466</v>
      </c>
      <c r="E3682">
        <v>3376920538</v>
      </c>
      <c r="F3682" t="s">
        <v>842</v>
      </c>
      <c r="G3682" t="s">
        <v>843</v>
      </c>
      <c r="I3682" t="s">
        <v>98</v>
      </c>
      <c r="J3682" s="13">
        <v>46027</v>
      </c>
      <c r="K3682" s="13">
        <v>46054</v>
      </c>
      <c r="L3682" t="s">
        <v>612</v>
      </c>
      <c r="M3682" t="s">
        <v>58</v>
      </c>
      <c r="N3682">
        <v>72886897</v>
      </c>
    </row>
    <row r="3683" spans="1:14" x14ac:dyDescent="0.25">
      <c r="A3683">
        <v>59283843</v>
      </c>
      <c r="B3683" t="s">
        <v>1297</v>
      </c>
      <c r="C3683" t="s">
        <v>8467</v>
      </c>
      <c r="D3683" t="s">
        <v>8468</v>
      </c>
      <c r="E3683">
        <v>8049394154</v>
      </c>
      <c r="F3683" t="s">
        <v>705</v>
      </c>
      <c r="G3683" t="s">
        <v>706</v>
      </c>
      <c r="I3683" t="s">
        <v>12</v>
      </c>
      <c r="J3683" s="13">
        <v>46027</v>
      </c>
      <c r="K3683" s="13">
        <v>46054</v>
      </c>
      <c r="L3683" t="s">
        <v>454</v>
      </c>
      <c r="M3683" t="s">
        <v>59</v>
      </c>
      <c r="N3683">
        <v>72886918</v>
      </c>
    </row>
    <row r="3684" spans="1:14" x14ac:dyDescent="0.25">
      <c r="A3684">
        <v>59284954</v>
      </c>
      <c r="B3684" t="s">
        <v>625</v>
      </c>
      <c r="C3684" t="s">
        <v>8469</v>
      </c>
      <c r="D3684" t="s">
        <v>8470</v>
      </c>
      <c r="E3684">
        <v>3376920538</v>
      </c>
      <c r="F3684" t="s">
        <v>842</v>
      </c>
      <c r="G3684" t="s">
        <v>843</v>
      </c>
      <c r="I3684" t="s">
        <v>98</v>
      </c>
      <c r="J3684" s="13">
        <v>46027</v>
      </c>
      <c r="K3684" s="13">
        <v>46054</v>
      </c>
      <c r="L3684" t="s">
        <v>612</v>
      </c>
      <c r="M3684" t="s">
        <v>58</v>
      </c>
      <c r="N3684">
        <v>72886924</v>
      </c>
    </row>
    <row r="3685" spans="1:14" x14ac:dyDescent="0.25">
      <c r="A3685">
        <v>59284202</v>
      </c>
      <c r="B3685" t="s">
        <v>4833</v>
      </c>
      <c r="C3685" t="s">
        <v>416</v>
      </c>
      <c r="D3685" t="s">
        <v>8471</v>
      </c>
      <c r="E3685">
        <v>3373756141</v>
      </c>
      <c r="F3685" t="s">
        <v>815</v>
      </c>
      <c r="G3685" t="s">
        <v>816</v>
      </c>
      <c r="I3685" t="s">
        <v>23</v>
      </c>
      <c r="J3685" s="13">
        <v>46027</v>
      </c>
      <c r="K3685" s="13">
        <v>46054</v>
      </c>
      <c r="L3685" t="s">
        <v>612</v>
      </c>
      <c r="M3685" t="s">
        <v>56</v>
      </c>
      <c r="N3685">
        <v>72887059</v>
      </c>
    </row>
    <row r="3686" spans="1:14" x14ac:dyDescent="0.25">
      <c r="A3686">
        <v>59284678</v>
      </c>
      <c r="B3686" t="s">
        <v>2180</v>
      </c>
      <c r="C3686" t="s">
        <v>8472</v>
      </c>
      <c r="D3686" t="s">
        <v>8473</v>
      </c>
      <c r="E3686">
        <v>2563070901</v>
      </c>
      <c r="F3686" t="s">
        <v>448</v>
      </c>
      <c r="G3686" t="s">
        <v>449</v>
      </c>
      <c r="I3686" t="s">
        <v>31</v>
      </c>
      <c r="J3686" s="13">
        <v>46027</v>
      </c>
      <c r="K3686" s="13">
        <v>46054</v>
      </c>
      <c r="L3686" t="s">
        <v>450</v>
      </c>
      <c r="M3686" t="s">
        <v>59</v>
      </c>
      <c r="N3686">
        <v>72887264</v>
      </c>
    </row>
    <row r="3687" spans="1:14" x14ac:dyDescent="0.25">
      <c r="A3687">
        <v>59284961</v>
      </c>
      <c r="B3687" t="s">
        <v>1297</v>
      </c>
      <c r="C3687" t="s">
        <v>831</v>
      </c>
      <c r="D3687" t="s">
        <v>8474</v>
      </c>
      <c r="E3687">
        <v>8643598639</v>
      </c>
      <c r="F3687" t="s">
        <v>770</v>
      </c>
      <c r="G3687" t="s">
        <v>771</v>
      </c>
      <c r="I3687" t="s">
        <v>25</v>
      </c>
      <c r="J3687" s="13">
        <v>46027</v>
      </c>
      <c r="K3687" s="13">
        <v>46054</v>
      </c>
      <c r="L3687" t="s">
        <v>533</v>
      </c>
      <c r="M3687" t="s">
        <v>61</v>
      </c>
      <c r="N3687">
        <v>72887342</v>
      </c>
    </row>
    <row r="3688" spans="1:14" x14ac:dyDescent="0.25">
      <c r="A3688">
        <v>59285307</v>
      </c>
      <c r="B3688" t="s">
        <v>8475</v>
      </c>
      <c r="C3688" t="s">
        <v>6440</v>
      </c>
      <c r="D3688" t="s">
        <v>8476</v>
      </c>
      <c r="E3688">
        <v>3179024222</v>
      </c>
      <c r="F3688" t="s">
        <v>438</v>
      </c>
      <c r="G3688" t="s">
        <v>439</v>
      </c>
      <c r="I3688" t="s">
        <v>38</v>
      </c>
      <c r="J3688" s="13">
        <v>46027</v>
      </c>
      <c r="K3688" s="13">
        <v>46054</v>
      </c>
      <c r="L3688" t="s">
        <v>440</v>
      </c>
      <c r="M3688" t="s">
        <v>56</v>
      </c>
      <c r="N3688">
        <v>72887478</v>
      </c>
    </row>
    <row r="3689" spans="1:14" x14ac:dyDescent="0.25">
      <c r="A3689">
        <v>59290556</v>
      </c>
      <c r="B3689" t="s">
        <v>4461</v>
      </c>
      <c r="C3689" t="s">
        <v>6609</v>
      </c>
      <c r="D3689" t="s">
        <v>8477</v>
      </c>
      <c r="E3689">
        <v>6824504221</v>
      </c>
      <c r="F3689" t="s">
        <v>474</v>
      </c>
      <c r="G3689" t="s">
        <v>475</v>
      </c>
      <c r="I3689" t="s">
        <v>132</v>
      </c>
      <c r="J3689" s="13">
        <v>46028</v>
      </c>
      <c r="K3689" s="13">
        <v>46054</v>
      </c>
      <c r="L3689" t="s">
        <v>444</v>
      </c>
      <c r="M3689" t="s">
        <v>56</v>
      </c>
      <c r="N3689">
        <v>72891806</v>
      </c>
    </row>
    <row r="3690" spans="1:14" x14ac:dyDescent="0.25">
      <c r="A3690">
        <v>59291522</v>
      </c>
      <c r="B3690" t="s">
        <v>1208</v>
      </c>
      <c r="C3690" t="s">
        <v>8478</v>
      </c>
      <c r="D3690" t="s">
        <v>8479</v>
      </c>
      <c r="E3690">
        <v>8135035050</v>
      </c>
      <c r="F3690" t="s">
        <v>574</v>
      </c>
      <c r="G3690" t="s">
        <v>575</v>
      </c>
      <c r="I3690" t="s">
        <v>14</v>
      </c>
      <c r="J3690" s="13">
        <v>46028</v>
      </c>
      <c r="K3690" s="13">
        <v>46054</v>
      </c>
      <c r="L3690" t="s">
        <v>497</v>
      </c>
      <c r="M3690" t="s">
        <v>56</v>
      </c>
      <c r="N3690">
        <v>72892461</v>
      </c>
    </row>
    <row r="3691" spans="1:14" x14ac:dyDescent="0.25">
      <c r="A3691">
        <v>59292548</v>
      </c>
      <c r="B3691" t="s">
        <v>449</v>
      </c>
      <c r="C3691" t="s">
        <v>8480</v>
      </c>
      <c r="D3691" t="s">
        <v>8481</v>
      </c>
      <c r="E3691">
        <v>3046731054</v>
      </c>
      <c r="F3691" t="s">
        <v>1067</v>
      </c>
      <c r="G3691" t="s">
        <v>1068</v>
      </c>
      <c r="I3691" t="s">
        <v>35</v>
      </c>
      <c r="J3691" s="13">
        <v>46028</v>
      </c>
      <c r="K3691" s="13">
        <v>46054</v>
      </c>
      <c r="L3691" t="s">
        <v>1188</v>
      </c>
      <c r="M3691" t="s">
        <v>56</v>
      </c>
      <c r="N3691">
        <v>72893025</v>
      </c>
    </row>
    <row r="3692" spans="1:14" x14ac:dyDescent="0.25">
      <c r="A3692">
        <v>59292558</v>
      </c>
      <c r="B3692" t="s">
        <v>3920</v>
      </c>
      <c r="C3692" t="s">
        <v>8482</v>
      </c>
      <c r="D3692" t="s">
        <v>8483</v>
      </c>
      <c r="E3692">
        <v>8636734418</v>
      </c>
      <c r="F3692" t="s">
        <v>474</v>
      </c>
      <c r="G3692" t="s">
        <v>475</v>
      </c>
      <c r="I3692" t="s">
        <v>132</v>
      </c>
      <c r="J3692" s="13">
        <v>46028</v>
      </c>
      <c r="K3692" s="13">
        <v>46054</v>
      </c>
      <c r="L3692" t="s">
        <v>497</v>
      </c>
      <c r="M3692" t="s">
        <v>56</v>
      </c>
      <c r="N3692">
        <v>72893034</v>
      </c>
    </row>
    <row r="3693" spans="1:14" x14ac:dyDescent="0.25">
      <c r="A3693">
        <v>59292828</v>
      </c>
      <c r="B3693" t="s">
        <v>4444</v>
      </c>
      <c r="C3693" t="s">
        <v>2621</v>
      </c>
      <c r="D3693" t="s">
        <v>8484</v>
      </c>
      <c r="E3693">
        <v>2566361048</v>
      </c>
      <c r="F3693" t="s">
        <v>705</v>
      </c>
      <c r="G3693" t="s">
        <v>706</v>
      </c>
      <c r="I3693" t="s">
        <v>12</v>
      </c>
      <c r="J3693" s="13">
        <v>46028</v>
      </c>
      <c r="K3693" s="13">
        <v>46054</v>
      </c>
      <c r="L3693" t="s">
        <v>450</v>
      </c>
      <c r="M3693" t="s">
        <v>55</v>
      </c>
      <c r="N3693">
        <v>72893183</v>
      </c>
    </row>
    <row r="3694" spans="1:14" x14ac:dyDescent="0.25">
      <c r="A3694">
        <v>59292916</v>
      </c>
      <c r="B3694" t="s">
        <v>3459</v>
      </c>
      <c r="C3694" t="s">
        <v>2467</v>
      </c>
      <c r="D3694" t="s">
        <v>8485</v>
      </c>
      <c r="E3694">
        <v>3373310586</v>
      </c>
      <c r="F3694" t="s">
        <v>649</v>
      </c>
      <c r="G3694" t="s">
        <v>650</v>
      </c>
      <c r="I3694" t="s">
        <v>28</v>
      </c>
      <c r="J3694" s="13">
        <v>46028</v>
      </c>
      <c r="K3694" s="13">
        <v>46054</v>
      </c>
      <c r="L3694" t="s">
        <v>612</v>
      </c>
      <c r="M3694" t="s">
        <v>56</v>
      </c>
      <c r="N3694">
        <v>72893519</v>
      </c>
    </row>
    <row r="3695" spans="1:14" x14ac:dyDescent="0.25">
      <c r="A3695">
        <v>59293175</v>
      </c>
      <c r="B3695" t="s">
        <v>2198</v>
      </c>
      <c r="C3695" t="s">
        <v>8486</v>
      </c>
      <c r="D3695" t="s">
        <v>8487</v>
      </c>
      <c r="E3695">
        <v>3462774783</v>
      </c>
      <c r="F3695" t="s">
        <v>569</v>
      </c>
      <c r="G3695" t="s">
        <v>570</v>
      </c>
      <c r="I3695" t="s">
        <v>34</v>
      </c>
      <c r="J3695" s="13">
        <v>46028</v>
      </c>
      <c r="K3695" s="13">
        <v>46054</v>
      </c>
      <c r="L3695" t="s">
        <v>444</v>
      </c>
      <c r="M3695" t="s">
        <v>61</v>
      </c>
      <c r="N3695">
        <v>72895167</v>
      </c>
    </row>
    <row r="3696" spans="1:14" x14ac:dyDescent="0.25">
      <c r="A3696">
        <v>59293851</v>
      </c>
      <c r="B3696" t="s">
        <v>2896</v>
      </c>
      <c r="C3696" t="s">
        <v>8488</v>
      </c>
      <c r="D3696" t="s">
        <v>8489</v>
      </c>
      <c r="E3696">
        <v>7572325419</v>
      </c>
      <c r="F3696" t="s">
        <v>551</v>
      </c>
      <c r="G3696" t="s">
        <v>552</v>
      </c>
      <c r="I3696" t="s">
        <v>42</v>
      </c>
      <c r="J3696" s="13">
        <v>46028</v>
      </c>
      <c r="K3696" s="13">
        <v>46054</v>
      </c>
      <c r="L3696" t="s">
        <v>454</v>
      </c>
      <c r="M3696" t="s">
        <v>58</v>
      </c>
      <c r="N3696">
        <v>72899578</v>
      </c>
    </row>
    <row r="3697" spans="1:14" x14ac:dyDescent="0.25">
      <c r="A3697">
        <v>59294541</v>
      </c>
      <c r="B3697" t="s">
        <v>6173</v>
      </c>
      <c r="C3697" t="s">
        <v>8490</v>
      </c>
      <c r="D3697" t="s">
        <v>8491</v>
      </c>
      <c r="E3697">
        <v>7863196295</v>
      </c>
      <c r="F3697" t="s">
        <v>423</v>
      </c>
      <c r="G3697" t="s">
        <v>424</v>
      </c>
      <c r="I3697" t="s">
        <v>46</v>
      </c>
      <c r="J3697" s="13">
        <v>46028</v>
      </c>
      <c r="K3697" s="13">
        <v>46054</v>
      </c>
      <c r="L3697" t="s">
        <v>497</v>
      </c>
      <c r="M3697" t="s">
        <v>56</v>
      </c>
      <c r="N3697">
        <v>72903305</v>
      </c>
    </row>
    <row r="3698" spans="1:14" x14ac:dyDescent="0.25">
      <c r="A3698">
        <v>59294810</v>
      </c>
      <c r="B3698" t="s">
        <v>8492</v>
      </c>
      <c r="C3698" t="s">
        <v>7029</v>
      </c>
      <c r="D3698" t="s">
        <v>8493</v>
      </c>
      <c r="E3698">
        <v>5025002894</v>
      </c>
      <c r="F3698" t="s">
        <v>815</v>
      </c>
      <c r="G3698" t="s">
        <v>816</v>
      </c>
      <c r="I3698" t="s">
        <v>23</v>
      </c>
      <c r="J3698" s="13">
        <v>46028</v>
      </c>
      <c r="K3698" s="13">
        <v>46054</v>
      </c>
      <c r="L3698" t="s">
        <v>490</v>
      </c>
      <c r="M3698" t="s">
        <v>56</v>
      </c>
      <c r="N3698">
        <v>72906118</v>
      </c>
    </row>
    <row r="3699" spans="1:14" x14ac:dyDescent="0.25">
      <c r="A3699">
        <v>59294997</v>
      </c>
      <c r="B3699" t="s">
        <v>3742</v>
      </c>
      <c r="C3699" t="s">
        <v>5239</v>
      </c>
      <c r="D3699" t="s">
        <v>5240</v>
      </c>
      <c r="E3699">
        <v>9282433592</v>
      </c>
      <c r="F3699" t="s">
        <v>4853</v>
      </c>
      <c r="G3699" t="s">
        <v>5017</v>
      </c>
      <c r="I3699" t="s">
        <v>5018</v>
      </c>
      <c r="J3699" s="13">
        <v>46028</v>
      </c>
      <c r="K3699" s="13">
        <v>46054</v>
      </c>
      <c r="L3699" t="s">
        <v>1179</v>
      </c>
      <c r="M3699" t="s">
        <v>54</v>
      </c>
      <c r="N3699">
        <v>72907374</v>
      </c>
    </row>
    <row r="3700" spans="1:14" x14ac:dyDescent="0.25">
      <c r="A3700">
        <v>59295047</v>
      </c>
      <c r="B3700" t="s">
        <v>8494</v>
      </c>
      <c r="C3700" t="s">
        <v>1729</v>
      </c>
      <c r="D3700" t="s">
        <v>8495</v>
      </c>
      <c r="E3700">
        <v>2102880946</v>
      </c>
      <c r="F3700" t="s">
        <v>574</v>
      </c>
      <c r="G3700" t="s">
        <v>575</v>
      </c>
      <c r="I3700" t="s">
        <v>14</v>
      </c>
      <c r="J3700" s="13">
        <v>46028</v>
      </c>
      <c r="K3700" s="13">
        <v>46054</v>
      </c>
      <c r="L3700" t="s">
        <v>444</v>
      </c>
      <c r="M3700" t="s">
        <v>419</v>
      </c>
      <c r="N3700">
        <v>72907753</v>
      </c>
    </row>
    <row r="3701" spans="1:14" x14ac:dyDescent="0.25">
      <c r="A3701">
        <v>59295485</v>
      </c>
      <c r="B3701" t="s">
        <v>8494</v>
      </c>
      <c r="C3701" t="s">
        <v>1676</v>
      </c>
      <c r="D3701" t="s">
        <v>8496</v>
      </c>
      <c r="E3701">
        <v>8137890380</v>
      </c>
      <c r="F3701" t="s">
        <v>780</v>
      </c>
      <c r="G3701" t="s">
        <v>781</v>
      </c>
      <c r="I3701" t="s">
        <v>20</v>
      </c>
      <c r="J3701" s="13">
        <v>46028</v>
      </c>
      <c r="K3701" s="13">
        <v>46054</v>
      </c>
      <c r="L3701" t="s">
        <v>497</v>
      </c>
      <c r="M3701" t="s">
        <v>56</v>
      </c>
      <c r="N3701">
        <v>72910574</v>
      </c>
    </row>
    <row r="3702" spans="1:14" x14ac:dyDescent="0.25">
      <c r="A3702">
        <v>59296010</v>
      </c>
      <c r="B3702" t="s">
        <v>6753</v>
      </c>
      <c r="C3702" t="s">
        <v>8497</v>
      </c>
      <c r="D3702" t="s">
        <v>8498</v>
      </c>
      <c r="E3702">
        <v>5738228202</v>
      </c>
      <c r="F3702" t="s">
        <v>474</v>
      </c>
      <c r="G3702" t="s">
        <v>475</v>
      </c>
      <c r="I3702" t="s">
        <v>132</v>
      </c>
      <c r="J3702" s="13">
        <v>46028</v>
      </c>
      <c r="K3702" s="13">
        <v>46054</v>
      </c>
      <c r="L3702" t="s">
        <v>434</v>
      </c>
      <c r="M3702" t="s">
        <v>56</v>
      </c>
      <c r="N3702">
        <v>72913283</v>
      </c>
    </row>
    <row r="3703" spans="1:14" x14ac:dyDescent="0.25">
      <c r="A3703">
        <v>59296406</v>
      </c>
      <c r="B3703" t="s">
        <v>431</v>
      </c>
      <c r="C3703" t="s">
        <v>1967</v>
      </c>
      <c r="D3703" t="s">
        <v>8499</v>
      </c>
      <c r="E3703">
        <v>5015184323</v>
      </c>
      <c r="F3703" t="s">
        <v>1013</v>
      </c>
      <c r="G3703" t="s">
        <v>1014</v>
      </c>
      <c r="I3703" t="s">
        <v>43</v>
      </c>
      <c r="J3703" s="13">
        <v>46028</v>
      </c>
      <c r="K3703" s="13">
        <v>46055</v>
      </c>
      <c r="L3703" t="s">
        <v>553</v>
      </c>
      <c r="M3703" t="s">
        <v>56</v>
      </c>
      <c r="N3703">
        <v>72915073</v>
      </c>
    </row>
    <row r="3704" spans="1:14" x14ac:dyDescent="0.25">
      <c r="A3704">
        <v>62533600</v>
      </c>
      <c r="B3704" t="s">
        <v>476</v>
      </c>
      <c r="C3704" t="s">
        <v>8500</v>
      </c>
      <c r="D3704" t="s">
        <v>8501</v>
      </c>
      <c r="E3704">
        <v>5713693577</v>
      </c>
      <c r="F3704" t="s">
        <v>416</v>
      </c>
      <c r="G3704" t="s">
        <v>417</v>
      </c>
      <c r="I3704" t="s">
        <v>26</v>
      </c>
      <c r="J3704" s="13">
        <v>46120</v>
      </c>
      <c r="K3704" s="13">
        <v>46143</v>
      </c>
      <c r="L3704" t="s">
        <v>454</v>
      </c>
      <c r="M3704" t="s">
        <v>56</v>
      </c>
      <c r="N3704">
        <v>72916606</v>
      </c>
    </row>
    <row r="3705" spans="1:14" x14ac:dyDescent="0.25">
      <c r="A3705">
        <v>59296959</v>
      </c>
      <c r="B3705" t="s">
        <v>521</v>
      </c>
      <c r="C3705" t="s">
        <v>1274</v>
      </c>
      <c r="D3705" t="s">
        <v>8502</v>
      </c>
      <c r="E3705">
        <v>7275050828</v>
      </c>
      <c r="F3705" t="s">
        <v>423</v>
      </c>
      <c r="G3705" t="s">
        <v>424</v>
      </c>
      <c r="I3705" t="s">
        <v>46</v>
      </c>
      <c r="J3705" s="13">
        <v>46028</v>
      </c>
      <c r="K3705" s="13">
        <v>46054</v>
      </c>
      <c r="L3705" t="s">
        <v>497</v>
      </c>
      <c r="M3705" t="s">
        <v>54</v>
      </c>
      <c r="N3705">
        <v>72917452</v>
      </c>
    </row>
    <row r="3706" spans="1:14" x14ac:dyDescent="0.25">
      <c r="A3706">
        <v>59297753</v>
      </c>
      <c r="B3706" t="s">
        <v>600</v>
      </c>
      <c r="C3706" t="s">
        <v>2175</v>
      </c>
      <c r="D3706" t="s">
        <v>8503</v>
      </c>
      <c r="E3706">
        <v>9048882398</v>
      </c>
      <c r="F3706" t="s">
        <v>569</v>
      </c>
      <c r="G3706" t="s">
        <v>570</v>
      </c>
      <c r="I3706" t="s">
        <v>34</v>
      </c>
      <c r="J3706" s="13">
        <v>46028</v>
      </c>
      <c r="K3706" s="13">
        <v>46054</v>
      </c>
      <c r="L3706" t="s">
        <v>497</v>
      </c>
      <c r="M3706" t="s">
        <v>56</v>
      </c>
      <c r="N3706">
        <v>72923733</v>
      </c>
    </row>
    <row r="3707" spans="1:14" x14ac:dyDescent="0.25">
      <c r="A3707">
        <v>59297910</v>
      </c>
      <c r="B3707" t="s">
        <v>8504</v>
      </c>
      <c r="C3707" t="s">
        <v>8505</v>
      </c>
      <c r="D3707" t="s">
        <v>8506</v>
      </c>
      <c r="E3707">
        <v>7575704256</v>
      </c>
      <c r="F3707" t="s">
        <v>828</v>
      </c>
      <c r="G3707" t="s">
        <v>1148</v>
      </c>
      <c r="I3707" t="s">
        <v>17</v>
      </c>
      <c r="J3707" s="13">
        <v>46028</v>
      </c>
      <c r="K3707" s="13">
        <v>46054</v>
      </c>
      <c r="L3707" t="s">
        <v>454</v>
      </c>
      <c r="M3707" t="s">
        <v>58</v>
      </c>
      <c r="N3707">
        <v>72925137</v>
      </c>
    </row>
    <row r="3708" spans="1:14" x14ac:dyDescent="0.25">
      <c r="A3708">
        <v>59299112</v>
      </c>
      <c r="B3708" t="s">
        <v>8507</v>
      </c>
      <c r="C3708" t="s">
        <v>8508</v>
      </c>
      <c r="D3708" t="s">
        <v>8509</v>
      </c>
      <c r="E3708">
        <v>9286601175</v>
      </c>
      <c r="F3708" t="s">
        <v>4853</v>
      </c>
      <c r="G3708" t="s">
        <v>5017</v>
      </c>
      <c r="I3708" t="s">
        <v>5018</v>
      </c>
      <c r="J3708" s="13">
        <v>46028</v>
      </c>
      <c r="K3708" s="13">
        <v>46054</v>
      </c>
      <c r="L3708" t="s">
        <v>1179</v>
      </c>
      <c r="M3708" t="s">
        <v>54</v>
      </c>
      <c r="N3708">
        <v>72930723</v>
      </c>
    </row>
    <row r="3709" spans="1:14" x14ac:dyDescent="0.25">
      <c r="A3709">
        <v>59300400</v>
      </c>
      <c r="B3709" t="s">
        <v>8510</v>
      </c>
      <c r="C3709" t="s">
        <v>8511</v>
      </c>
      <c r="D3709" t="s">
        <v>8512</v>
      </c>
      <c r="E3709">
        <v>8326222795</v>
      </c>
      <c r="F3709" t="s">
        <v>574</v>
      </c>
      <c r="G3709" t="s">
        <v>575</v>
      </c>
      <c r="I3709" t="s">
        <v>14</v>
      </c>
      <c r="J3709" s="13">
        <v>46028</v>
      </c>
      <c r="K3709" s="13">
        <v>46054</v>
      </c>
      <c r="L3709" t="s">
        <v>444</v>
      </c>
      <c r="M3709" t="s">
        <v>56</v>
      </c>
      <c r="N3709">
        <v>72939755</v>
      </c>
    </row>
    <row r="3710" spans="1:14" x14ac:dyDescent="0.25">
      <c r="A3710">
        <v>59301125</v>
      </c>
      <c r="B3710" t="s">
        <v>1900</v>
      </c>
      <c r="C3710" t="s">
        <v>8513</v>
      </c>
      <c r="D3710" t="s">
        <v>8514</v>
      </c>
      <c r="E3710">
        <v>5207057961</v>
      </c>
      <c r="F3710" t="s">
        <v>798</v>
      </c>
      <c r="G3710" t="s">
        <v>799</v>
      </c>
      <c r="I3710" t="s">
        <v>800</v>
      </c>
      <c r="J3710" s="13">
        <v>46028</v>
      </c>
      <c r="K3710" s="13">
        <v>46054</v>
      </c>
      <c r="M3710" t="s">
        <v>55</v>
      </c>
      <c r="N3710">
        <v>72945069</v>
      </c>
    </row>
    <row r="3711" spans="1:14" x14ac:dyDescent="0.25">
      <c r="A3711">
        <v>59301756</v>
      </c>
      <c r="B3711" t="s">
        <v>8515</v>
      </c>
      <c r="C3711" t="s">
        <v>8516</v>
      </c>
      <c r="D3711" t="s">
        <v>8517</v>
      </c>
      <c r="E3711">
        <v>9044449520</v>
      </c>
      <c r="F3711" t="s">
        <v>423</v>
      </c>
      <c r="G3711" t="s">
        <v>424</v>
      </c>
      <c r="I3711" t="s">
        <v>46</v>
      </c>
      <c r="J3711" s="13">
        <v>46028</v>
      </c>
      <c r="K3711" s="13">
        <v>46054</v>
      </c>
      <c r="L3711" t="s">
        <v>497</v>
      </c>
      <c r="M3711" t="s">
        <v>58</v>
      </c>
      <c r="N3711">
        <v>72945645</v>
      </c>
    </row>
    <row r="3712" spans="1:14" x14ac:dyDescent="0.25">
      <c r="A3712">
        <v>59301379</v>
      </c>
      <c r="B3712" t="s">
        <v>8518</v>
      </c>
      <c r="C3712" t="s">
        <v>6663</v>
      </c>
      <c r="D3712" t="s">
        <v>8519</v>
      </c>
      <c r="E3712">
        <v>8432961119</v>
      </c>
      <c r="F3712" t="s">
        <v>815</v>
      </c>
      <c r="G3712" t="s">
        <v>816</v>
      </c>
      <c r="I3712" t="s">
        <v>23</v>
      </c>
      <c r="J3712" s="13">
        <v>46028</v>
      </c>
      <c r="K3712" s="13">
        <v>46054</v>
      </c>
      <c r="L3712" t="s">
        <v>533</v>
      </c>
      <c r="M3712" t="s">
        <v>56</v>
      </c>
      <c r="N3712">
        <v>72946084</v>
      </c>
    </row>
    <row r="3713" spans="1:14" x14ac:dyDescent="0.25">
      <c r="A3713">
        <v>59301707</v>
      </c>
      <c r="B3713" t="s">
        <v>8520</v>
      </c>
      <c r="C3713" t="s">
        <v>939</v>
      </c>
      <c r="D3713" t="s">
        <v>8521</v>
      </c>
      <c r="E3713">
        <v>7572733069</v>
      </c>
      <c r="F3713" t="s">
        <v>416</v>
      </c>
      <c r="G3713" t="s">
        <v>417</v>
      </c>
      <c r="I3713" t="s">
        <v>26</v>
      </c>
      <c r="J3713" s="13">
        <v>46028</v>
      </c>
      <c r="K3713" s="13">
        <v>46054</v>
      </c>
      <c r="L3713" t="s">
        <v>454</v>
      </c>
      <c r="M3713" t="s">
        <v>419</v>
      </c>
      <c r="N3713">
        <v>72947622</v>
      </c>
    </row>
    <row r="3714" spans="1:14" x14ac:dyDescent="0.25">
      <c r="A3714">
        <v>59301919</v>
      </c>
      <c r="B3714" t="s">
        <v>1242</v>
      </c>
      <c r="C3714" t="s">
        <v>3657</v>
      </c>
      <c r="D3714" t="s">
        <v>8522</v>
      </c>
      <c r="E3714">
        <v>7198508414</v>
      </c>
      <c r="F3714" t="s">
        <v>790</v>
      </c>
      <c r="G3714" t="s">
        <v>791</v>
      </c>
      <c r="I3714" t="s">
        <v>119</v>
      </c>
      <c r="J3714" s="13">
        <v>46028</v>
      </c>
      <c r="K3714" s="13">
        <v>46054</v>
      </c>
      <c r="L3714" t="s">
        <v>539</v>
      </c>
      <c r="M3714" t="s">
        <v>56</v>
      </c>
      <c r="N3714">
        <v>72949128</v>
      </c>
    </row>
    <row r="3715" spans="1:14" x14ac:dyDescent="0.25">
      <c r="A3715">
        <v>59303967</v>
      </c>
      <c r="B3715" t="s">
        <v>925</v>
      </c>
      <c r="C3715" t="s">
        <v>8523</v>
      </c>
      <c r="D3715" t="s">
        <v>8524</v>
      </c>
      <c r="E3715">
        <v>2177721013</v>
      </c>
      <c r="F3715" t="s">
        <v>770</v>
      </c>
      <c r="G3715" t="s">
        <v>771</v>
      </c>
      <c r="I3715" t="s">
        <v>25</v>
      </c>
      <c r="J3715" s="13">
        <v>46028</v>
      </c>
      <c r="K3715" s="13">
        <v>46054</v>
      </c>
      <c r="L3715" t="s">
        <v>470</v>
      </c>
      <c r="M3715" t="s">
        <v>61</v>
      </c>
      <c r="N3715">
        <v>72952377</v>
      </c>
    </row>
    <row r="3716" spans="1:14" x14ac:dyDescent="0.25">
      <c r="A3716">
        <v>59304445</v>
      </c>
      <c r="B3716" t="s">
        <v>8525</v>
      </c>
      <c r="C3716" t="s">
        <v>8526</v>
      </c>
      <c r="D3716" t="s">
        <v>8527</v>
      </c>
      <c r="E3716">
        <v>6027175326</v>
      </c>
      <c r="F3716" t="s">
        <v>1345</v>
      </c>
      <c r="G3716" t="s">
        <v>799</v>
      </c>
      <c r="I3716" t="s">
        <v>47</v>
      </c>
      <c r="J3716" s="13">
        <v>46028</v>
      </c>
      <c r="K3716" s="13">
        <v>46054</v>
      </c>
      <c r="L3716" t="s">
        <v>1179</v>
      </c>
      <c r="M3716" t="s">
        <v>54</v>
      </c>
      <c r="N3716">
        <v>72954102</v>
      </c>
    </row>
    <row r="3717" spans="1:14" x14ac:dyDescent="0.25">
      <c r="A3717">
        <v>59304648</v>
      </c>
      <c r="B3717" t="s">
        <v>743</v>
      </c>
      <c r="C3717" t="s">
        <v>8528</v>
      </c>
      <c r="D3717" t="s">
        <v>8529</v>
      </c>
      <c r="E3717">
        <v>8643613282</v>
      </c>
      <c r="F3717" t="s">
        <v>569</v>
      </c>
      <c r="G3717" t="s">
        <v>570</v>
      </c>
      <c r="I3717" t="s">
        <v>34</v>
      </c>
      <c r="J3717" s="13">
        <v>46028</v>
      </c>
      <c r="K3717" s="13">
        <v>46054</v>
      </c>
      <c r="L3717" t="s">
        <v>533</v>
      </c>
      <c r="M3717" t="s">
        <v>59</v>
      </c>
      <c r="N3717">
        <v>72955285</v>
      </c>
    </row>
    <row r="3718" spans="1:14" x14ac:dyDescent="0.25">
      <c r="A3718">
        <v>59305109</v>
      </c>
      <c r="B3718" t="s">
        <v>8530</v>
      </c>
      <c r="C3718" t="s">
        <v>8531</v>
      </c>
      <c r="D3718" t="s">
        <v>8532</v>
      </c>
      <c r="E3718">
        <v>2106855552</v>
      </c>
      <c r="F3718" t="s">
        <v>842</v>
      </c>
      <c r="G3718" t="s">
        <v>843</v>
      </c>
      <c r="I3718" t="s">
        <v>98</v>
      </c>
      <c r="J3718" s="13">
        <v>46028</v>
      </c>
      <c r="K3718" s="13">
        <v>46054</v>
      </c>
      <c r="L3718" t="s">
        <v>444</v>
      </c>
      <c r="M3718" t="s">
        <v>59</v>
      </c>
      <c r="N3718">
        <v>72958222</v>
      </c>
    </row>
    <row r="3719" spans="1:14" x14ac:dyDescent="0.25">
      <c r="A3719">
        <v>59305315</v>
      </c>
      <c r="B3719" t="s">
        <v>8533</v>
      </c>
      <c r="C3719" t="s">
        <v>8534</v>
      </c>
      <c r="D3719" t="s">
        <v>8535</v>
      </c>
      <c r="E3719">
        <v>9287975835</v>
      </c>
      <c r="F3719" t="s">
        <v>4853</v>
      </c>
      <c r="G3719" t="s">
        <v>5017</v>
      </c>
      <c r="I3719" t="s">
        <v>5018</v>
      </c>
      <c r="J3719" s="13">
        <v>46028</v>
      </c>
      <c r="K3719" s="13">
        <v>46054</v>
      </c>
      <c r="L3719" t="s">
        <v>1179</v>
      </c>
      <c r="M3719" t="s">
        <v>54</v>
      </c>
      <c r="N3719">
        <v>72959985</v>
      </c>
    </row>
    <row r="3720" spans="1:14" x14ac:dyDescent="0.25">
      <c r="A3720">
        <v>59306219</v>
      </c>
      <c r="B3720" t="s">
        <v>8536</v>
      </c>
      <c r="C3720" t="s">
        <v>8537</v>
      </c>
      <c r="D3720" t="s">
        <v>8538</v>
      </c>
      <c r="E3720">
        <v>9045403187</v>
      </c>
      <c r="F3720" t="s">
        <v>705</v>
      </c>
      <c r="G3720" t="s">
        <v>706</v>
      </c>
      <c r="I3720" t="s">
        <v>12</v>
      </c>
      <c r="J3720" s="13">
        <v>46028</v>
      </c>
      <c r="K3720" s="13">
        <v>46054</v>
      </c>
      <c r="L3720" t="s">
        <v>444</v>
      </c>
      <c r="M3720" t="s">
        <v>55</v>
      </c>
      <c r="N3720">
        <v>72963395</v>
      </c>
    </row>
    <row r="3721" spans="1:14" x14ac:dyDescent="0.25">
      <c r="A3721">
        <v>59306374</v>
      </c>
      <c r="B3721" t="s">
        <v>8539</v>
      </c>
      <c r="C3721" t="s">
        <v>768</v>
      </c>
      <c r="D3721" t="s">
        <v>8540</v>
      </c>
      <c r="E3721">
        <v>2253615927</v>
      </c>
      <c r="F3721" t="s">
        <v>628</v>
      </c>
      <c r="G3721" t="s">
        <v>629</v>
      </c>
      <c r="I3721" t="s">
        <v>24</v>
      </c>
      <c r="J3721" s="13">
        <v>46028</v>
      </c>
      <c r="K3721" s="13">
        <v>46054</v>
      </c>
      <c r="L3721" t="s">
        <v>612</v>
      </c>
      <c r="M3721" t="s">
        <v>59</v>
      </c>
      <c r="N3721">
        <v>72964382</v>
      </c>
    </row>
    <row r="3722" spans="1:14" x14ac:dyDescent="0.25">
      <c r="A3722">
        <v>59306997</v>
      </c>
      <c r="B3722" t="s">
        <v>4137</v>
      </c>
      <c r="C3722" t="s">
        <v>5593</v>
      </c>
      <c r="D3722" t="s">
        <v>8541</v>
      </c>
      <c r="E3722">
        <v>2252526707</v>
      </c>
      <c r="F3722" t="s">
        <v>1013</v>
      </c>
      <c r="G3722" t="s">
        <v>1014</v>
      </c>
      <c r="I3722" t="s">
        <v>43</v>
      </c>
      <c r="J3722" s="13">
        <v>46028</v>
      </c>
      <c r="K3722" s="13">
        <v>46054</v>
      </c>
      <c r="L3722" t="s">
        <v>612</v>
      </c>
      <c r="M3722" t="s">
        <v>58</v>
      </c>
      <c r="N3722">
        <v>72970093</v>
      </c>
    </row>
    <row r="3723" spans="1:14" x14ac:dyDescent="0.25">
      <c r="A3723">
        <v>59307282</v>
      </c>
      <c r="B3723" t="s">
        <v>8542</v>
      </c>
      <c r="C3723" t="s">
        <v>3657</v>
      </c>
      <c r="D3723" t="s">
        <v>8543</v>
      </c>
      <c r="E3723" t="s">
        <v>8544</v>
      </c>
      <c r="F3723" t="s">
        <v>790</v>
      </c>
      <c r="G3723" t="s">
        <v>791</v>
      </c>
      <c r="I3723" t="s">
        <v>119</v>
      </c>
      <c r="J3723" s="13">
        <v>46028</v>
      </c>
      <c r="K3723" s="13">
        <v>46054</v>
      </c>
      <c r="L3723" t="s">
        <v>539</v>
      </c>
      <c r="M3723" t="s">
        <v>56</v>
      </c>
      <c r="N3723">
        <v>72975676</v>
      </c>
    </row>
    <row r="3724" spans="1:14" x14ac:dyDescent="0.25">
      <c r="A3724">
        <v>59307827</v>
      </c>
      <c r="B3724" t="s">
        <v>8515</v>
      </c>
      <c r="C3724" t="s">
        <v>2785</v>
      </c>
      <c r="D3724" t="s">
        <v>8545</v>
      </c>
      <c r="E3724">
        <v>8133625361</v>
      </c>
      <c r="F3724" t="s">
        <v>423</v>
      </c>
      <c r="G3724" t="s">
        <v>424</v>
      </c>
      <c r="I3724" t="s">
        <v>46</v>
      </c>
      <c r="J3724" s="13">
        <v>46028</v>
      </c>
      <c r="K3724" s="13">
        <v>46054</v>
      </c>
      <c r="L3724" t="s">
        <v>497</v>
      </c>
      <c r="M3724" t="s">
        <v>58</v>
      </c>
      <c r="N3724">
        <v>72985130</v>
      </c>
    </row>
    <row r="3725" spans="1:14" x14ac:dyDescent="0.25">
      <c r="A3725">
        <v>59308349</v>
      </c>
      <c r="B3725" t="s">
        <v>4535</v>
      </c>
      <c r="C3725" t="s">
        <v>4833</v>
      </c>
      <c r="D3725" t="s">
        <v>8546</v>
      </c>
      <c r="E3725">
        <v>7729404670</v>
      </c>
      <c r="F3725" t="s">
        <v>828</v>
      </c>
      <c r="G3725" t="s">
        <v>1148</v>
      </c>
      <c r="I3725" t="s">
        <v>17</v>
      </c>
      <c r="J3725" s="13">
        <v>46028</v>
      </c>
      <c r="K3725" s="13">
        <v>46054</v>
      </c>
      <c r="L3725" t="s">
        <v>497</v>
      </c>
      <c r="M3725" t="s">
        <v>59</v>
      </c>
      <c r="N3725">
        <v>72999036</v>
      </c>
    </row>
    <row r="3726" spans="1:14" x14ac:dyDescent="0.25">
      <c r="A3726">
        <v>59308365</v>
      </c>
      <c r="B3726" t="s">
        <v>480</v>
      </c>
      <c r="C3726" t="s">
        <v>5643</v>
      </c>
      <c r="D3726" t="s">
        <v>8547</v>
      </c>
      <c r="E3726">
        <v>7736360044</v>
      </c>
      <c r="F3726" t="s">
        <v>649</v>
      </c>
      <c r="G3726" t="s">
        <v>650</v>
      </c>
      <c r="I3726" t="s">
        <v>28</v>
      </c>
      <c r="J3726" s="13">
        <v>46028</v>
      </c>
      <c r="K3726" s="13">
        <v>46055</v>
      </c>
      <c r="L3726" t="s">
        <v>470</v>
      </c>
      <c r="M3726" t="s">
        <v>55</v>
      </c>
      <c r="N3726">
        <v>72999702</v>
      </c>
    </row>
    <row r="3727" spans="1:14" x14ac:dyDescent="0.25">
      <c r="A3727">
        <v>59308427</v>
      </c>
      <c r="B3727" t="s">
        <v>980</v>
      </c>
      <c r="C3727" t="s">
        <v>8548</v>
      </c>
      <c r="D3727" t="s">
        <v>8549</v>
      </c>
      <c r="E3727">
        <v>8507608056</v>
      </c>
      <c r="F3727" t="s">
        <v>628</v>
      </c>
      <c r="G3727" t="s">
        <v>629</v>
      </c>
      <c r="I3727" t="s">
        <v>24</v>
      </c>
      <c r="J3727" s="13">
        <v>46028</v>
      </c>
      <c r="K3727" s="13">
        <v>46054</v>
      </c>
      <c r="L3727" t="s">
        <v>497</v>
      </c>
      <c r="M3727" t="s">
        <v>59</v>
      </c>
      <c r="N3727">
        <v>73001658</v>
      </c>
    </row>
    <row r="3728" spans="1:14" x14ac:dyDescent="0.25">
      <c r="A3728">
        <v>59308934</v>
      </c>
      <c r="B3728" t="s">
        <v>651</v>
      </c>
      <c r="C3728" t="s">
        <v>8550</v>
      </c>
      <c r="D3728" t="s">
        <v>8551</v>
      </c>
      <c r="E3728">
        <v>8632149861</v>
      </c>
      <c r="F3728" t="s">
        <v>780</v>
      </c>
      <c r="G3728" t="s">
        <v>781</v>
      </c>
      <c r="I3728" t="s">
        <v>20</v>
      </c>
      <c r="J3728" s="13">
        <v>46028</v>
      </c>
      <c r="K3728" s="13">
        <v>46054</v>
      </c>
      <c r="L3728" t="s">
        <v>497</v>
      </c>
      <c r="M3728" t="s">
        <v>56</v>
      </c>
      <c r="N3728">
        <v>73023268</v>
      </c>
    </row>
    <row r="3729" spans="1:14" x14ac:dyDescent="0.25">
      <c r="A3729">
        <v>59308997</v>
      </c>
      <c r="B3729" t="s">
        <v>3451</v>
      </c>
      <c r="C3729" t="s">
        <v>5897</v>
      </c>
      <c r="D3729" t="s">
        <v>8552</v>
      </c>
      <c r="E3729">
        <v>5015161175</v>
      </c>
      <c r="F3729" t="s">
        <v>1067</v>
      </c>
      <c r="G3729" t="s">
        <v>1068</v>
      </c>
      <c r="I3729" t="s">
        <v>35</v>
      </c>
      <c r="J3729" s="13">
        <v>46028</v>
      </c>
      <c r="K3729" s="13">
        <v>46054</v>
      </c>
      <c r="L3729" t="s">
        <v>553</v>
      </c>
      <c r="M3729" t="s">
        <v>56</v>
      </c>
      <c r="N3729">
        <v>73026308</v>
      </c>
    </row>
    <row r="3730" spans="1:14" x14ac:dyDescent="0.25">
      <c r="A3730">
        <v>59314912</v>
      </c>
      <c r="B3730" t="s">
        <v>517</v>
      </c>
      <c r="C3730" t="s">
        <v>8553</v>
      </c>
      <c r="D3730" t="s">
        <v>8554</v>
      </c>
      <c r="E3730">
        <v>5134906921</v>
      </c>
      <c r="F3730" t="s">
        <v>649</v>
      </c>
      <c r="G3730" t="s">
        <v>650</v>
      </c>
      <c r="I3730" t="s">
        <v>28</v>
      </c>
      <c r="J3730" s="13">
        <v>46029</v>
      </c>
      <c r="K3730" s="13">
        <v>46055</v>
      </c>
      <c r="L3730" t="s">
        <v>440</v>
      </c>
      <c r="M3730" t="s">
        <v>61</v>
      </c>
      <c r="N3730">
        <v>73076153</v>
      </c>
    </row>
    <row r="3731" spans="1:14" x14ac:dyDescent="0.25">
      <c r="A3731">
        <v>59316137</v>
      </c>
      <c r="B3731" t="s">
        <v>1234</v>
      </c>
      <c r="C3731" t="s">
        <v>8555</v>
      </c>
      <c r="D3731" t="s">
        <v>8556</v>
      </c>
      <c r="E3731">
        <v>5615878223</v>
      </c>
      <c r="F3731" t="s">
        <v>807</v>
      </c>
      <c r="G3731" t="s">
        <v>808</v>
      </c>
      <c r="I3731" t="s">
        <v>33</v>
      </c>
      <c r="J3731" s="13">
        <v>46029</v>
      </c>
      <c r="K3731" s="13">
        <v>46054</v>
      </c>
      <c r="L3731" t="s">
        <v>497</v>
      </c>
      <c r="M3731" t="s">
        <v>54</v>
      </c>
      <c r="N3731">
        <v>73077015</v>
      </c>
    </row>
    <row r="3732" spans="1:14" x14ac:dyDescent="0.25">
      <c r="A3732">
        <v>59316182</v>
      </c>
      <c r="B3732" t="s">
        <v>8557</v>
      </c>
      <c r="C3732" t="s">
        <v>2482</v>
      </c>
      <c r="D3732" t="s">
        <v>8558</v>
      </c>
      <c r="E3732">
        <v>8504012720</v>
      </c>
      <c r="F3732" t="s">
        <v>448</v>
      </c>
      <c r="G3732" t="s">
        <v>449</v>
      </c>
      <c r="I3732" t="s">
        <v>31</v>
      </c>
      <c r="J3732" s="13">
        <v>46029</v>
      </c>
      <c r="K3732" s="13">
        <v>46054</v>
      </c>
      <c r="L3732" t="s">
        <v>497</v>
      </c>
      <c r="M3732" t="s">
        <v>56</v>
      </c>
      <c r="N3732">
        <v>73077043</v>
      </c>
    </row>
    <row r="3733" spans="1:14" x14ac:dyDescent="0.25">
      <c r="A3733">
        <v>59316396</v>
      </c>
      <c r="B3733" t="s">
        <v>3742</v>
      </c>
      <c r="C3733" t="s">
        <v>5091</v>
      </c>
      <c r="D3733" t="s">
        <v>8559</v>
      </c>
      <c r="E3733">
        <v>7204902857</v>
      </c>
      <c r="F3733" t="s">
        <v>474</v>
      </c>
      <c r="G3733" t="s">
        <v>475</v>
      </c>
      <c r="I3733" t="s">
        <v>132</v>
      </c>
      <c r="J3733" s="13">
        <v>46029</v>
      </c>
      <c r="K3733" s="13">
        <v>46054</v>
      </c>
      <c r="L3733" t="s">
        <v>539</v>
      </c>
      <c r="M3733" t="s">
        <v>56</v>
      </c>
      <c r="N3733">
        <v>73077232</v>
      </c>
    </row>
    <row r="3734" spans="1:14" x14ac:dyDescent="0.25">
      <c r="A3734">
        <v>59316713</v>
      </c>
      <c r="B3734" t="s">
        <v>4861</v>
      </c>
      <c r="C3734" t="s">
        <v>8560</v>
      </c>
      <c r="D3734" t="s">
        <v>8561</v>
      </c>
      <c r="E3734">
        <v>7542734577</v>
      </c>
      <c r="F3734" t="s">
        <v>423</v>
      </c>
      <c r="G3734" t="s">
        <v>424</v>
      </c>
      <c r="I3734" t="s">
        <v>46</v>
      </c>
      <c r="J3734" s="13">
        <v>46029</v>
      </c>
      <c r="K3734" s="13">
        <v>46054</v>
      </c>
      <c r="L3734" t="s">
        <v>497</v>
      </c>
      <c r="M3734" t="s">
        <v>54</v>
      </c>
      <c r="N3734">
        <v>73077441</v>
      </c>
    </row>
    <row r="3735" spans="1:14" x14ac:dyDescent="0.25">
      <c r="A3735">
        <v>59317046</v>
      </c>
      <c r="B3735" t="s">
        <v>3174</v>
      </c>
      <c r="C3735" t="s">
        <v>8562</v>
      </c>
      <c r="D3735" t="s">
        <v>8563</v>
      </c>
      <c r="E3735">
        <v>7739318863</v>
      </c>
      <c r="F3735" t="s">
        <v>790</v>
      </c>
      <c r="G3735" t="s">
        <v>791</v>
      </c>
      <c r="I3735" t="s">
        <v>119</v>
      </c>
      <c r="J3735" s="13">
        <v>46029</v>
      </c>
      <c r="K3735" s="13">
        <v>46054</v>
      </c>
      <c r="L3735" t="s">
        <v>470</v>
      </c>
      <c r="M3735" t="s">
        <v>55</v>
      </c>
      <c r="N3735">
        <v>73077690</v>
      </c>
    </row>
    <row r="3736" spans="1:14" x14ac:dyDescent="0.25">
      <c r="A3736">
        <v>59317271</v>
      </c>
      <c r="B3736" t="s">
        <v>8564</v>
      </c>
      <c r="C3736" t="s">
        <v>6440</v>
      </c>
      <c r="D3736" t="s">
        <v>8565</v>
      </c>
      <c r="E3736">
        <v>9013404883</v>
      </c>
      <c r="F3736" t="s">
        <v>842</v>
      </c>
      <c r="G3736" t="s">
        <v>843</v>
      </c>
      <c r="I3736" t="s">
        <v>98</v>
      </c>
      <c r="J3736" s="13">
        <v>46029</v>
      </c>
      <c r="K3736" s="13">
        <v>46054</v>
      </c>
      <c r="L3736" t="s">
        <v>479</v>
      </c>
      <c r="M3736" t="s">
        <v>56</v>
      </c>
      <c r="N3736">
        <v>73077746</v>
      </c>
    </row>
    <row r="3737" spans="1:14" x14ac:dyDescent="0.25">
      <c r="A3737">
        <v>59322129</v>
      </c>
      <c r="B3737" t="s">
        <v>8566</v>
      </c>
      <c r="C3737" t="s">
        <v>8567</v>
      </c>
      <c r="D3737" t="s">
        <v>8568</v>
      </c>
      <c r="E3737">
        <v>7578694366</v>
      </c>
      <c r="F3737" t="s">
        <v>770</v>
      </c>
      <c r="G3737" t="s">
        <v>771</v>
      </c>
      <c r="I3737" t="s">
        <v>25</v>
      </c>
      <c r="J3737" s="13">
        <v>46029</v>
      </c>
      <c r="K3737" s="13">
        <v>46054</v>
      </c>
      <c r="L3737" t="s">
        <v>454</v>
      </c>
      <c r="M3737" t="s">
        <v>58</v>
      </c>
      <c r="N3737">
        <v>73078732</v>
      </c>
    </row>
    <row r="3738" spans="1:14" x14ac:dyDescent="0.25">
      <c r="A3738">
        <v>59326115</v>
      </c>
      <c r="B3738" t="s">
        <v>3459</v>
      </c>
      <c r="C3738" t="s">
        <v>8569</v>
      </c>
      <c r="D3738" t="s">
        <v>8570</v>
      </c>
      <c r="E3738">
        <v>2564771757</v>
      </c>
      <c r="F3738" t="s">
        <v>705</v>
      </c>
      <c r="G3738" t="s">
        <v>706</v>
      </c>
      <c r="I3738" t="s">
        <v>12</v>
      </c>
      <c r="J3738" s="13">
        <v>46029</v>
      </c>
      <c r="K3738" s="13">
        <v>46054</v>
      </c>
      <c r="L3738" t="s">
        <v>450</v>
      </c>
      <c r="M3738" t="s">
        <v>59</v>
      </c>
      <c r="N3738">
        <v>73079365</v>
      </c>
    </row>
    <row r="3739" spans="1:14" x14ac:dyDescent="0.25">
      <c r="A3739">
        <v>59327704</v>
      </c>
      <c r="B3739" t="s">
        <v>8571</v>
      </c>
      <c r="C3739" t="s">
        <v>3420</v>
      </c>
      <c r="D3739" t="s">
        <v>8572</v>
      </c>
      <c r="E3739">
        <v>8507764700</v>
      </c>
      <c r="F3739" t="s">
        <v>780</v>
      </c>
      <c r="G3739" t="s">
        <v>781</v>
      </c>
      <c r="I3739" t="s">
        <v>20</v>
      </c>
      <c r="J3739" s="13">
        <v>46029</v>
      </c>
      <c r="K3739" s="13">
        <v>46054</v>
      </c>
      <c r="L3739" t="s">
        <v>497</v>
      </c>
      <c r="M3739" t="s">
        <v>56</v>
      </c>
      <c r="N3739">
        <v>73079602</v>
      </c>
    </row>
    <row r="3740" spans="1:14" x14ac:dyDescent="0.25">
      <c r="A3740">
        <v>59328366</v>
      </c>
      <c r="B3740" t="s">
        <v>8573</v>
      </c>
      <c r="C3740" t="s">
        <v>8574</v>
      </c>
      <c r="D3740" t="s">
        <v>8575</v>
      </c>
      <c r="E3740">
        <v>4794261835</v>
      </c>
      <c r="F3740" t="s">
        <v>842</v>
      </c>
      <c r="G3740" t="s">
        <v>843</v>
      </c>
      <c r="I3740" t="s">
        <v>98</v>
      </c>
      <c r="J3740" s="13">
        <v>46029</v>
      </c>
      <c r="K3740" s="13">
        <v>46054</v>
      </c>
      <c r="L3740" t="s">
        <v>553</v>
      </c>
      <c r="M3740" t="s">
        <v>58</v>
      </c>
      <c r="N3740">
        <v>73079693</v>
      </c>
    </row>
    <row r="3741" spans="1:14" x14ac:dyDescent="0.25">
      <c r="A3741">
        <v>59329126</v>
      </c>
      <c r="B3741" t="s">
        <v>5882</v>
      </c>
      <c r="C3741" t="s">
        <v>581</v>
      </c>
      <c r="D3741" t="s">
        <v>8576</v>
      </c>
      <c r="E3741">
        <v>9288120128</v>
      </c>
      <c r="F3741" t="s">
        <v>416</v>
      </c>
      <c r="G3741" t="s">
        <v>417</v>
      </c>
      <c r="I3741" t="s">
        <v>26</v>
      </c>
      <c r="J3741" s="13">
        <v>46029</v>
      </c>
      <c r="K3741" s="13">
        <v>46054</v>
      </c>
      <c r="L3741" t="s">
        <v>1179</v>
      </c>
      <c r="M3741" t="s">
        <v>54</v>
      </c>
      <c r="N3741">
        <v>73079794</v>
      </c>
    </row>
    <row r="3742" spans="1:14" x14ac:dyDescent="0.25">
      <c r="A3742">
        <v>59329111</v>
      </c>
      <c r="B3742" t="s">
        <v>2794</v>
      </c>
      <c r="C3742" t="s">
        <v>8577</v>
      </c>
      <c r="D3742" t="s">
        <v>8578</v>
      </c>
      <c r="E3742">
        <v>4074800547</v>
      </c>
      <c r="F3742" t="s">
        <v>448</v>
      </c>
      <c r="G3742" t="s">
        <v>449</v>
      </c>
      <c r="I3742" t="s">
        <v>31</v>
      </c>
      <c r="J3742" s="13">
        <v>46029</v>
      </c>
      <c r="K3742" s="13">
        <v>46054</v>
      </c>
      <c r="L3742" t="s">
        <v>497</v>
      </c>
      <c r="M3742" t="s">
        <v>56</v>
      </c>
      <c r="N3742">
        <v>73079810</v>
      </c>
    </row>
    <row r="3743" spans="1:14" x14ac:dyDescent="0.25">
      <c r="A3743">
        <v>59329209</v>
      </c>
      <c r="B3743" t="s">
        <v>1309</v>
      </c>
      <c r="C3743" t="s">
        <v>2762</v>
      </c>
      <c r="D3743" t="s">
        <v>8579</v>
      </c>
      <c r="E3743">
        <v>7723423661</v>
      </c>
      <c r="F3743" t="s">
        <v>807</v>
      </c>
      <c r="G3743" t="s">
        <v>808</v>
      </c>
      <c r="I3743" t="s">
        <v>33</v>
      </c>
      <c r="J3743" s="13">
        <v>46029</v>
      </c>
      <c r="K3743" s="13">
        <v>46054</v>
      </c>
      <c r="L3743" t="s">
        <v>497</v>
      </c>
      <c r="M3743" t="s">
        <v>54</v>
      </c>
      <c r="N3743">
        <v>73079823</v>
      </c>
    </row>
    <row r="3744" spans="1:14" x14ac:dyDescent="0.25">
      <c r="A3744">
        <v>59330383</v>
      </c>
      <c r="B3744" t="s">
        <v>1540</v>
      </c>
      <c r="C3744" t="s">
        <v>8580</v>
      </c>
      <c r="D3744" t="s">
        <v>8581</v>
      </c>
      <c r="E3744">
        <v>8034153023</v>
      </c>
      <c r="F3744" t="s">
        <v>551</v>
      </c>
      <c r="G3744" t="s">
        <v>552</v>
      </c>
      <c r="I3744" t="s">
        <v>42</v>
      </c>
      <c r="J3744" s="13">
        <v>46029</v>
      </c>
      <c r="K3744" s="13">
        <v>46054</v>
      </c>
      <c r="L3744" t="s">
        <v>533</v>
      </c>
      <c r="M3744" t="s">
        <v>55</v>
      </c>
      <c r="N3744">
        <v>73080025</v>
      </c>
    </row>
    <row r="3745" spans="1:14" x14ac:dyDescent="0.25">
      <c r="A3745">
        <v>59330258</v>
      </c>
      <c r="B3745" t="s">
        <v>1853</v>
      </c>
      <c r="C3745" t="s">
        <v>3113</v>
      </c>
      <c r="D3745" t="s">
        <v>8582</v>
      </c>
      <c r="E3745">
        <v>3045329599</v>
      </c>
      <c r="F3745" t="s">
        <v>1067</v>
      </c>
      <c r="G3745" t="s">
        <v>1068</v>
      </c>
      <c r="I3745" t="s">
        <v>35</v>
      </c>
      <c r="J3745" s="13">
        <v>46029</v>
      </c>
      <c r="K3745" s="13">
        <v>46054</v>
      </c>
      <c r="L3745" t="s">
        <v>1188</v>
      </c>
      <c r="M3745" t="s">
        <v>56</v>
      </c>
      <c r="N3745">
        <v>73080037</v>
      </c>
    </row>
    <row r="3746" spans="1:14" x14ac:dyDescent="0.25">
      <c r="A3746">
        <v>59330557</v>
      </c>
      <c r="B3746" t="s">
        <v>1784</v>
      </c>
      <c r="C3746" t="s">
        <v>8583</v>
      </c>
      <c r="D3746" t="s">
        <v>8584</v>
      </c>
      <c r="E3746">
        <v>7728017461</v>
      </c>
      <c r="F3746" t="s">
        <v>569</v>
      </c>
      <c r="G3746" t="s">
        <v>570</v>
      </c>
      <c r="I3746" t="s">
        <v>34</v>
      </c>
      <c r="J3746" s="13">
        <v>46029</v>
      </c>
      <c r="K3746" s="13">
        <v>46054</v>
      </c>
      <c r="L3746" t="s">
        <v>497</v>
      </c>
      <c r="M3746" t="s">
        <v>54</v>
      </c>
      <c r="N3746">
        <v>73080078</v>
      </c>
    </row>
    <row r="3747" spans="1:14" x14ac:dyDescent="0.25">
      <c r="A3747">
        <v>59332730</v>
      </c>
      <c r="B3747" t="s">
        <v>521</v>
      </c>
      <c r="C3747" t="s">
        <v>8585</v>
      </c>
      <c r="D3747" t="s">
        <v>8586</v>
      </c>
      <c r="E3747">
        <v>9047933166</v>
      </c>
      <c r="F3747" t="s">
        <v>828</v>
      </c>
      <c r="G3747" t="s">
        <v>1148</v>
      </c>
      <c r="I3747" t="s">
        <v>17</v>
      </c>
      <c r="J3747" s="13">
        <v>46029</v>
      </c>
      <c r="K3747" s="13">
        <v>46054</v>
      </c>
      <c r="L3747" t="s">
        <v>497</v>
      </c>
      <c r="M3747" t="s">
        <v>56</v>
      </c>
      <c r="N3747">
        <v>73080402</v>
      </c>
    </row>
    <row r="3748" spans="1:14" x14ac:dyDescent="0.25">
      <c r="A3748">
        <v>59332905</v>
      </c>
      <c r="B3748" t="s">
        <v>8587</v>
      </c>
      <c r="C3748" t="s">
        <v>5439</v>
      </c>
      <c r="D3748" t="s">
        <v>8588</v>
      </c>
      <c r="E3748">
        <v>3146590733</v>
      </c>
      <c r="F3748" t="s">
        <v>474</v>
      </c>
      <c r="G3748" t="s">
        <v>475</v>
      </c>
      <c r="I3748" t="s">
        <v>132</v>
      </c>
      <c r="J3748" s="13">
        <v>46029</v>
      </c>
      <c r="K3748" s="13">
        <v>46054</v>
      </c>
      <c r="L3748" t="s">
        <v>434</v>
      </c>
      <c r="M3748" t="s">
        <v>55</v>
      </c>
      <c r="N3748">
        <v>73080431</v>
      </c>
    </row>
    <row r="3749" spans="1:14" x14ac:dyDescent="0.25">
      <c r="A3749">
        <v>59335545</v>
      </c>
      <c r="B3749" t="s">
        <v>1773</v>
      </c>
      <c r="C3749" t="s">
        <v>8589</v>
      </c>
      <c r="D3749" t="s">
        <v>8590</v>
      </c>
      <c r="E3749">
        <v>8704843130</v>
      </c>
      <c r="F3749" t="s">
        <v>842</v>
      </c>
      <c r="G3749" t="s">
        <v>843</v>
      </c>
      <c r="I3749" t="s">
        <v>98</v>
      </c>
      <c r="J3749" s="13">
        <v>46029</v>
      </c>
      <c r="K3749" s="13">
        <v>46054</v>
      </c>
      <c r="L3749" t="s">
        <v>553</v>
      </c>
      <c r="M3749" t="s">
        <v>59</v>
      </c>
      <c r="N3749">
        <v>73080859</v>
      </c>
    </row>
    <row r="3750" spans="1:14" x14ac:dyDescent="0.25">
      <c r="A3750">
        <v>59335968</v>
      </c>
      <c r="B3750" t="s">
        <v>8591</v>
      </c>
      <c r="C3750" t="s">
        <v>1587</v>
      </c>
      <c r="D3750" t="s">
        <v>8592</v>
      </c>
      <c r="E3750">
        <v>5618561017</v>
      </c>
      <c r="F3750" t="s">
        <v>423</v>
      </c>
      <c r="G3750" t="s">
        <v>424</v>
      </c>
      <c r="I3750" t="s">
        <v>46</v>
      </c>
      <c r="J3750" s="13">
        <v>46029</v>
      </c>
      <c r="K3750" s="13">
        <v>46054</v>
      </c>
      <c r="L3750" t="s">
        <v>497</v>
      </c>
      <c r="M3750" t="s">
        <v>54</v>
      </c>
      <c r="N3750">
        <v>73080891</v>
      </c>
    </row>
    <row r="3751" spans="1:14" x14ac:dyDescent="0.25">
      <c r="A3751">
        <v>59342443</v>
      </c>
      <c r="B3751" t="s">
        <v>517</v>
      </c>
      <c r="C3751" t="s">
        <v>8593</v>
      </c>
      <c r="D3751" t="s">
        <v>8594</v>
      </c>
      <c r="E3751">
        <v>5203324067</v>
      </c>
      <c r="F3751" t="s">
        <v>4853</v>
      </c>
      <c r="G3751" t="s">
        <v>5017</v>
      </c>
      <c r="I3751" t="s">
        <v>5018</v>
      </c>
      <c r="J3751" s="13">
        <v>46029</v>
      </c>
      <c r="K3751" s="13">
        <v>46054</v>
      </c>
      <c r="L3751" t="s">
        <v>1179</v>
      </c>
      <c r="M3751" t="s">
        <v>54</v>
      </c>
      <c r="N3751">
        <v>73083372</v>
      </c>
    </row>
    <row r="3752" spans="1:14" x14ac:dyDescent="0.25">
      <c r="A3752">
        <v>59343861</v>
      </c>
      <c r="B3752" t="s">
        <v>8595</v>
      </c>
      <c r="C3752" t="s">
        <v>8596</v>
      </c>
      <c r="D3752" t="s">
        <v>8597</v>
      </c>
      <c r="E3752">
        <v>6232847041</v>
      </c>
      <c r="F3752" t="s">
        <v>416</v>
      </c>
      <c r="G3752" t="s">
        <v>417</v>
      </c>
      <c r="I3752" t="s">
        <v>26</v>
      </c>
      <c r="J3752" s="13">
        <v>46029</v>
      </c>
      <c r="K3752" s="13">
        <v>46054</v>
      </c>
      <c r="L3752" t="s">
        <v>1179</v>
      </c>
      <c r="M3752" t="s">
        <v>56</v>
      </c>
      <c r="N3752">
        <v>73083640</v>
      </c>
    </row>
    <row r="3753" spans="1:14" x14ac:dyDescent="0.25">
      <c r="A3753">
        <v>59345457</v>
      </c>
      <c r="B3753" t="s">
        <v>5496</v>
      </c>
      <c r="C3753" t="s">
        <v>8598</v>
      </c>
      <c r="D3753" t="s">
        <v>8599</v>
      </c>
      <c r="E3753">
        <v>6185545161</v>
      </c>
      <c r="F3753" t="s">
        <v>790</v>
      </c>
      <c r="G3753" t="s">
        <v>791</v>
      </c>
      <c r="I3753" t="s">
        <v>119</v>
      </c>
      <c r="J3753" s="13">
        <v>46029</v>
      </c>
      <c r="K3753" s="13">
        <v>46054</v>
      </c>
      <c r="L3753" t="s">
        <v>470</v>
      </c>
      <c r="M3753" t="s">
        <v>58</v>
      </c>
      <c r="N3753">
        <v>73083898</v>
      </c>
    </row>
    <row r="3754" spans="1:14" x14ac:dyDescent="0.25">
      <c r="A3754">
        <v>59345938</v>
      </c>
      <c r="B3754" t="s">
        <v>867</v>
      </c>
      <c r="C3754" t="s">
        <v>8600</v>
      </c>
      <c r="D3754" t="s">
        <v>8601</v>
      </c>
      <c r="E3754">
        <v>6607340575</v>
      </c>
      <c r="F3754" t="s">
        <v>798</v>
      </c>
      <c r="G3754" t="s">
        <v>799</v>
      </c>
      <c r="I3754" t="s">
        <v>800</v>
      </c>
      <c r="J3754" s="13">
        <v>46029</v>
      </c>
      <c r="K3754" s="13">
        <v>46054</v>
      </c>
      <c r="L3754" t="s">
        <v>434</v>
      </c>
      <c r="M3754" t="s">
        <v>60</v>
      </c>
      <c r="N3754">
        <v>73083971</v>
      </c>
    </row>
    <row r="3755" spans="1:14" x14ac:dyDescent="0.25">
      <c r="A3755">
        <v>59347535</v>
      </c>
      <c r="B3755" t="s">
        <v>1278</v>
      </c>
      <c r="C3755" t="s">
        <v>8192</v>
      </c>
      <c r="D3755" t="s">
        <v>8602</v>
      </c>
      <c r="F3755" t="s">
        <v>551</v>
      </c>
      <c r="G3755" t="s">
        <v>552</v>
      </c>
      <c r="I3755" t="s">
        <v>42</v>
      </c>
      <c r="J3755" s="13">
        <v>46029</v>
      </c>
      <c r="K3755" s="13">
        <v>46054</v>
      </c>
      <c r="L3755" t="s">
        <v>454</v>
      </c>
      <c r="M3755" t="s">
        <v>58</v>
      </c>
      <c r="N3755">
        <v>73084175</v>
      </c>
    </row>
    <row r="3756" spans="1:14" x14ac:dyDescent="0.25">
      <c r="A3756">
        <v>59349695</v>
      </c>
      <c r="B3756" t="s">
        <v>1805</v>
      </c>
      <c r="C3756" t="s">
        <v>6945</v>
      </c>
      <c r="D3756" t="s">
        <v>8603</v>
      </c>
      <c r="E3756">
        <v>6235229884</v>
      </c>
      <c r="F3756" t="s">
        <v>423</v>
      </c>
      <c r="G3756" t="s">
        <v>424</v>
      </c>
      <c r="I3756" t="s">
        <v>46</v>
      </c>
      <c r="J3756" s="13">
        <v>46029</v>
      </c>
      <c r="K3756" s="13">
        <v>46054</v>
      </c>
      <c r="L3756" t="s">
        <v>1179</v>
      </c>
      <c r="M3756" t="s">
        <v>54</v>
      </c>
      <c r="N3756">
        <v>73084644</v>
      </c>
    </row>
    <row r="3757" spans="1:14" x14ac:dyDescent="0.25">
      <c r="A3757">
        <v>59351300</v>
      </c>
      <c r="B3757" t="s">
        <v>5994</v>
      </c>
      <c r="C3757" t="s">
        <v>8604</v>
      </c>
      <c r="D3757" t="s">
        <v>8605</v>
      </c>
      <c r="E3757">
        <v>7204591828</v>
      </c>
      <c r="F3757" t="s">
        <v>842</v>
      </c>
      <c r="G3757" t="s">
        <v>843</v>
      </c>
      <c r="I3757" t="s">
        <v>98</v>
      </c>
      <c r="J3757" s="13">
        <v>46029</v>
      </c>
      <c r="K3757" s="13">
        <v>46054</v>
      </c>
      <c r="L3757" t="s">
        <v>539</v>
      </c>
      <c r="M3757" t="s">
        <v>56</v>
      </c>
      <c r="N3757">
        <v>73084917</v>
      </c>
    </row>
    <row r="3758" spans="1:14" x14ac:dyDescent="0.25">
      <c r="A3758">
        <v>59353453</v>
      </c>
      <c r="B3758" t="s">
        <v>1905</v>
      </c>
      <c r="C3758" t="s">
        <v>7667</v>
      </c>
      <c r="D3758" t="s">
        <v>8606</v>
      </c>
      <c r="E3758">
        <v>9044868096</v>
      </c>
      <c r="F3758" t="s">
        <v>807</v>
      </c>
      <c r="G3758" t="s">
        <v>808</v>
      </c>
      <c r="I3758" t="s">
        <v>33</v>
      </c>
      <c r="J3758" s="13">
        <v>46029</v>
      </c>
      <c r="K3758" s="13">
        <v>46054</v>
      </c>
      <c r="L3758" t="s">
        <v>497</v>
      </c>
      <c r="M3758" t="s">
        <v>54</v>
      </c>
      <c r="N3758">
        <v>73085276</v>
      </c>
    </row>
    <row r="3759" spans="1:14" x14ac:dyDescent="0.25">
      <c r="A3759">
        <v>59354803</v>
      </c>
      <c r="B3759" t="s">
        <v>8607</v>
      </c>
      <c r="C3759" t="s">
        <v>1084</v>
      </c>
      <c r="D3759" t="s">
        <v>8608</v>
      </c>
      <c r="E3759">
        <v>7273203297</v>
      </c>
      <c r="F3759" t="s">
        <v>448</v>
      </c>
      <c r="G3759" t="s">
        <v>449</v>
      </c>
      <c r="I3759" t="s">
        <v>31</v>
      </c>
      <c r="J3759" s="13">
        <v>46029</v>
      </c>
      <c r="K3759" s="13">
        <v>46054</v>
      </c>
      <c r="L3759" t="s">
        <v>497</v>
      </c>
      <c r="M3759" t="s">
        <v>58</v>
      </c>
      <c r="N3759">
        <v>73085430</v>
      </c>
    </row>
    <row r="3760" spans="1:14" x14ac:dyDescent="0.25">
      <c r="A3760">
        <v>59356530</v>
      </c>
      <c r="B3760" t="s">
        <v>8609</v>
      </c>
      <c r="C3760" t="s">
        <v>1258</v>
      </c>
      <c r="D3760" t="s">
        <v>8610</v>
      </c>
      <c r="F3760" t="s">
        <v>628</v>
      </c>
      <c r="G3760" t="s">
        <v>629</v>
      </c>
      <c r="I3760" t="s">
        <v>24</v>
      </c>
      <c r="J3760" s="13">
        <v>46029</v>
      </c>
      <c r="K3760" s="13">
        <v>46054</v>
      </c>
      <c r="L3760" t="s">
        <v>497</v>
      </c>
      <c r="M3760" t="s">
        <v>54</v>
      </c>
      <c r="N3760">
        <v>73086139</v>
      </c>
    </row>
    <row r="3761" spans="1:14" x14ac:dyDescent="0.25">
      <c r="A3761">
        <v>59356858</v>
      </c>
      <c r="B3761" t="s">
        <v>8611</v>
      </c>
      <c r="C3761" t="s">
        <v>5724</v>
      </c>
      <c r="D3761" t="s">
        <v>8612</v>
      </c>
      <c r="E3761">
        <v>7738950434</v>
      </c>
      <c r="F3761" t="s">
        <v>474</v>
      </c>
      <c r="G3761" t="s">
        <v>475</v>
      </c>
      <c r="I3761" t="s">
        <v>132</v>
      </c>
      <c r="J3761" s="13">
        <v>46029</v>
      </c>
      <c r="K3761" s="13">
        <v>46054</v>
      </c>
      <c r="L3761" t="s">
        <v>470</v>
      </c>
      <c r="M3761" t="s">
        <v>59</v>
      </c>
      <c r="N3761">
        <v>73086180</v>
      </c>
    </row>
    <row r="3762" spans="1:14" x14ac:dyDescent="0.25">
      <c r="A3762">
        <v>59358052</v>
      </c>
      <c r="B3762" t="s">
        <v>8613</v>
      </c>
      <c r="C3762" t="s">
        <v>8614</v>
      </c>
      <c r="D3762" t="s">
        <v>8615</v>
      </c>
      <c r="E3762">
        <v>9049455606</v>
      </c>
      <c r="F3762" t="s">
        <v>569</v>
      </c>
      <c r="G3762" t="s">
        <v>570</v>
      </c>
      <c r="I3762" t="s">
        <v>34</v>
      </c>
      <c r="J3762" s="13">
        <v>46029</v>
      </c>
      <c r="K3762" s="13">
        <v>46054</v>
      </c>
      <c r="L3762" t="s">
        <v>497</v>
      </c>
      <c r="M3762" t="s">
        <v>54</v>
      </c>
      <c r="N3762">
        <v>73086780</v>
      </c>
    </row>
    <row r="3763" spans="1:14" x14ac:dyDescent="0.25">
      <c r="A3763">
        <v>59358238</v>
      </c>
      <c r="B3763" t="s">
        <v>4248</v>
      </c>
      <c r="C3763" t="s">
        <v>8616</v>
      </c>
      <c r="D3763" t="s">
        <v>8617</v>
      </c>
      <c r="E3763">
        <v>8152069624</v>
      </c>
      <c r="F3763" t="s">
        <v>770</v>
      </c>
      <c r="G3763" t="s">
        <v>771</v>
      </c>
      <c r="I3763" t="s">
        <v>25</v>
      </c>
      <c r="J3763" s="13">
        <v>46029</v>
      </c>
      <c r="K3763" s="13">
        <v>46054</v>
      </c>
      <c r="L3763" t="s">
        <v>497</v>
      </c>
      <c r="M3763" t="s">
        <v>58</v>
      </c>
      <c r="N3763">
        <v>73086809</v>
      </c>
    </row>
    <row r="3764" spans="1:14" x14ac:dyDescent="0.25">
      <c r="A3764">
        <v>59365600</v>
      </c>
      <c r="B3764" t="s">
        <v>8618</v>
      </c>
      <c r="C3764" t="s">
        <v>8619</v>
      </c>
      <c r="D3764" t="s">
        <v>8620</v>
      </c>
      <c r="E3764">
        <v>8152223625</v>
      </c>
      <c r="F3764" t="s">
        <v>790</v>
      </c>
      <c r="G3764" t="s">
        <v>791</v>
      </c>
      <c r="I3764" t="s">
        <v>119</v>
      </c>
      <c r="J3764" s="13">
        <v>46029</v>
      </c>
      <c r="K3764" s="13">
        <v>46054</v>
      </c>
      <c r="L3764" t="s">
        <v>470</v>
      </c>
      <c r="M3764" t="s">
        <v>59</v>
      </c>
      <c r="N3764">
        <v>73090166</v>
      </c>
    </row>
    <row r="3765" spans="1:14" x14ac:dyDescent="0.25">
      <c r="A3765">
        <v>59370402</v>
      </c>
      <c r="B3765" t="s">
        <v>5655</v>
      </c>
      <c r="C3765" t="s">
        <v>8621</v>
      </c>
      <c r="D3765" t="s">
        <v>8622</v>
      </c>
      <c r="E3765">
        <v>5206586258</v>
      </c>
      <c r="F3765" t="s">
        <v>569</v>
      </c>
      <c r="G3765" t="s">
        <v>570</v>
      </c>
      <c r="I3765" t="s">
        <v>34</v>
      </c>
      <c r="J3765" s="13">
        <v>46029</v>
      </c>
      <c r="K3765" s="13">
        <v>46054</v>
      </c>
      <c r="L3765" t="s">
        <v>1179</v>
      </c>
      <c r="M3765" t="s">
        <v>59</v>
      </c>
      <c r="N3765">
        <v>73091760</v>
      </c>
    </row>
    <row r="3766" spans="1:14" x14ac:dyDescent="0.25">
      <c r="A3766">
        <v>59372704</v>
      </c>
      <c r="B3766" t="s">
        <v>8623</v>
      </c>
      <c r="C3766" t="s">
        <v>2267</v>
      </c>
      <c r="D3766" t="s">
        <v>8624</v>
      </c>
      <c r="E3766">
        <v>6023847750</v>
      </c>
      <c r="F3766" t="s">
        <v>807</v>
      </c>
      <c r="G3766" t="s">
        <v>808</v>
      </c>
      <c r="I3766" t="s">
        <v>33</v>
      </c>
      <c r="J3766" s="13">
        <v>46029</v>
      </c>
      <c r="K3766" s="13">
        <v>46054</v>
      </c>
      <c r="L3766" t="s">
        <v>1179</v>
      </c>
      <c r="M3766" t="s">
        <v>56</v>
      </c>
      <c r="N3766">
        <v>73092444</v>
      </c>
    </row>
    <row r="3767" spans="1:14" x14ac:dyDescent="0.25">
      <c r="A3767">
        <v>59373096</v>
      </c>
      <c r="B3767" t="s">
        <v>8625</v>
      </c>
      <c r="C3767" t="s">
        <v>8626</v>
      </c>
      <c r="D3767" t="s">
        <v>8627</v>
      </c>
      <c r="E3767">
        <v>8285735608</v>
      </c>
      <c r="F3767" t="s">
        <v>628</v>
      </c>
      <c r="G3767" t="s">
        <v>629</v>
      </c>
      <c r="I3767" t="s">
        <v>24</v>
      </c>
      <c r="J3767" s="13">
        <v>46029</v>
      </c>
      <c r="K3767" s="13">
        <v>46054</v>
      </c>
      <c r="L3767" t="s">
        <v>603</v>
      </c>
      <c r="M3767" t="s">
        <v>59</v>
      </c>
      <c r="N3767">
        <v>73092488</v>
      </c>
    </row>
    <row r="3768" spans="1:14" x14ac:dyDescent="0.25">
      <c r="A3768">
        <v>59377144</v>
      </c>
      <c r="B3768" t="s">
        <v>3169</v>
      </c>
      <c r="C3768" t="s">
        <v>515</v>
      </c>
      <c r="D3768" t="s">
        <v>8628</v>
      </c>
      <c r="E3768">
        <v>2109933913</v>
      </c>
      <c r="F3768" t="s">
        <v>649</v>
      </c>
      <c r="G3768" t="s">
        <v>650</v>
      </c>
      <c r="I3768" t="s">
        <v>28</v>
      </c>
      <c r="J3768" s="13">
        <v>46029</v>
      </c>
      <c r="K3768" s="13">
        <v>46055</v>
      </c>
      <c r="L3768" t="s">
        <v>444</v>
      </c>
      <c r="M3768" t="s">
        <v>55</v>
      </c>
      <c r="N3768">
        <v>73093882</v>
      </c>
    </row>
    <row r="3769" spans="1:14" x14ac:dyDescent="0.25">
      <c r="A3769">
        <v>59380694</v>
      </c>
      <c r="B3769" t="s">
        <v>2442</v>
      </c>
      <c r="C3769" t="s">
        <v>2587</v>
      </c>
      <c r="D3769" t="s">
        <v>8629</v>
      </c>
      <c r="E3769">
        <v>9284296100</v>
      </c>
      <c r="F3769" t="s">
        <v>1345</v>
      </c>
      <c r="G3769" t="s">
        <v>799</v>
      </c>
      <c r="I3769" t="s">
        <v>47</v>
      </c>
      <c r="J3769" s="13">
        <v>46029</v>
      </c>
      <c r="K3769" s="13">
        <v>46054</v>
      </c>
      <c r="L3769" t="s">
        <v>1179</v>
      </c>
      <c r="M3769" t="s">
        <v>54</v>
      </c>
      <c r="N3769">
        <v>73094188</v>
      </c>
    </row>
    <row r="3770" spans="1:14" x14ac:dyDescent="0.25">
      <c r="A3770">
        <v>59385761</v>
      </c>
      <c r="B3770" t="s">
        <v>1148</v>
      </c>
      <c r="C3770" t="s">
        <v>8630</v>
      </c>
      <c r="D3770" t="s">
        <v>8631</v>
      </c>
      <c r="E3770">
        <v>9132719488</v>
      </c>
      <c r="F3770" t="s">
        <v>815</v>
      </c>
      <c r="G3770" t="s">
        <v>816</v>
      </c>
      <c r="I3770" t="s">
        <v>23</v>
      </c>
      <c r="J3770" s="13">
        <v>46029</v>
      </c>
      <c r="K3770" s="13">
        <v>46054</v>
      </c>
      <c r="L3770" t="s">
        <v>434</v>
      </c>
      <c r="M3770" t="s">
        <v>60</v>
      </c>
      <c r="N3770">
        <v>73094397</v>
      </c>
    </row>
    <row r="3771" spans="1:14" x14ac:dyDescent="0.25">
      <c r="A3771">
        <v>59396595</v>
      </c>
      <c r="B3771" t="s">
        <v>3214</v>
      </c>
      <c r="C3771" t="s">
        <v>6081</v>
      </c>
      <c r="D3771" t="s">
        <v>8632</v>
      </c>
      <c r="E3771">
        <v>3367849366</v>
      </c>
      <c r="F3771" t="s">
        <v>474</v>
      </c>
      <c r="G3771" t="s">
        <v>475</v>
      </c>
      <c r="I3771" t="s">
        <v>132</v>
      </c>
      <c r="J3771" s="13">
        <v>46030</v>
      </c>
      <c r="K3771" s="13">
        <v>46054</v>
      </c>
      <c r="L3771" t="s">
        <v>603</v>
      </c>
      <c r="M3771" t="s">
        <v>56</v>
      </c>
      <c r="N3771">
        <v>73100165</v>
      </c>
    </row>
    <row r="3772" spans="1:14" x14ac:dyDescent="0.25">
      <c r="A3772">
        <v>59403445</v>
      </c>
      <c r="B3772" t="s">
        <v>8633</v>
      </c>
      <c r="C3772" t="s">
        <v>8634</v>
      </c>
      <c r="D3772" t="s">
        <v>8635</v>
      </c>
      <c r="E3772">
        <v>8702439844</v>
      </c>
      <c r="F3772" t="s">
        <v>790</v>
      </c>
      <c r="G3772" t="s">
        <v>791</v>
      </c>
      <c r="I3772" t="s">
        <v>119</v>
      </c>
      <c r="J3772" s="13">
        <v>46030</v>
      </c>
      <c r="K3772" s="13">
        <v>46054</v>
      </c>
      <c r="L3772" t="s">
        <v>553</v>
      </c>
      <c r="M3772" t="s">
        <v>61</v>
      </c>
      <c r="N3772">
        <v>73100569</v>
      </c>
    </row>
    <row r="3773" spans="1:14" x14ac:dyDescent="0.25">
      <c r="A3773">
        <v>59398434</v>
      </c>
      <c r="B3773" t="s">
        <v>672</v>
      </c>
      <c r="C3773" t="s">
        <v>1435</v>
      </c>
      <c r="D3773" t="s">
        <v>8636</v>
      </c>
      <c r="E3773">
        <v>8644152527</v>
      </c>
      <c r="F3773" t="s">
        <v>423</v>
      </c>
      <c r="G3773" t="s">
        <v>424</v>
      </c>
      <c r="I3773" t="s">
        <v>46</v>
      </c>
      <c r="J3773" s="13">
        <v>46030</v>
      </c>
      <c r="K3773" s="13">
        <v>46054</v>
      </c>
      <c r="L3773" t="s">
        <v>533</v>
      </c>
      <c r="M3773" t="s">
        <v>59</v>
      </c>
      <c r="N3773">
        <v>73101148</v>
      </c>
    </row>
    <row r="3774" spans="1:14" x14ac:dyDescent="0.25">
      <c r="A3774">
        <v>59398818</v>
      </c>
      <c r="B3774" t="s">
        <v>3699</v>
      </c>
      <c r="C3774" t="s">
        <v>8637</v>
      </c>
      <c r="D3774" t="s">
        <v>8638</v>
      </c>
      <c r="E3774">
        <v>4806505959</v>
      </c>
      <c r="F3774" t="s">
        <v>4853</v>
      </c>
      <c r="G3774" t="s">
        <v>5017</v>
      </c>
      <c r="I3774" t="s">
        <v>5018</v>
      </c>
      <c r="J3774" s="13">
        <v>46030</v>
      </c>
      <c r="K3774" s="13">
        <v>46054</v>
      </c>
      <c r="L3774" t="s">
        <v>1179</v>
      </c>
      <c r="M3774" t="s">
        <v>54</v>
      </c>
      <c r="N3774">
        <v>73101367</v>
      </c>
    </row>
    <row r="3775" spans="1:14" x14ac:dyDescent="0.25">
      <c r="A3775">
        <v>59402416</v>
      </c>
      <c r="B3775" t="s">
        <v>8639</v>
      </c>
      <c r="C3775" t="s">
        <v>1598</v>
      </c>
      <c r="D3775" t="s">
        <v>8640</v>
      </c>
      <c r="E3775">
        <v>5619700746</v>
      </c>
      <c r="F3775" t="s">
        <v>807</v>
      </c>
      <c r="G3775" t="s">
        <v>808</v>
      </c>
      <c r="I3775" t="s">
        <v>33</v>
      </c>
      <c r="J3775" s="13">
        <v>46030</v>
      </c>
      <c r="K3775" s="13">
        <v>46054</v>
      </c>
      <c r="L3775" t="s">
        <v>497</v>
      </c>
      <c r="M3775" t="s">
        <v>56</v>
      </c>
      <c r="N3775">
        <v>73103652</v>
      </c>
    </row>
    <row r="3776" spans="1:14" x14ac:dyDescent="0.25">
      <c r="A3776">
        <v>59402583</v>
      </c>
      <c r="B3776" t="s">
        <v>8291</v>
      </c>
      <c r="C3776" t="s">
        <v>2482</v>
      </c>
      <c r="D3776" t="s">
        <v>8641</v>
      </c>
      <c r="E3776">
        <v>5042508529</v>
      </c>
      <c r="F3776" t="s">
        <v>462</v>
      </c>
      <c r="G3776" t="s">
        <v>463</v>
      </c>
      <c r="I3776" t="s">
        <v>39</v>
      </c>
      <c r="J3776" s="13">
        <v>46030</v>
      </c>
      <c r="K3776" s="13">
        <v>46054</v>
      </c>
      <c r="L3776" t="s">
        <v>612</v>
      </c>
      <c r="M3776" t="s">
        <v>56</v>
      </c>
      <c r="N3776">
        <v>73103776</v>
      </c>
    </row>
    <row r="3777" spans="1:14" x14ac:dyDescent="0.25">
      <c r="A3777">
        <v>59403605</v>
      </c>
      <c r="B3777" t="s">
        <v>517</v>
      </c>
      <c r="C3777" t="s">
        <v>2467</v>
      </c>
      <c r="D3777" t="s">
        <v>8642</v>
      </c>
      <c r="E3777">
        <v>2707090247</v>
      </c>
      <c r="F3777" t="s">
        <v>705</v>
      </c>
      <c r="G3777" t="s">
        <v>706</v>
      </c>
      <c r="I3777" t="s">
        <v>12</v>
      </c>
      <c r="J3777" s="13">
        <v>46030</v>
      </c>
      <c r="K3777" s="13">
        <v>46054</v>
      </c>
      <c r="L3777" t="s">
        <v>490</v>
      </c>
      <c r="M3777" t="s">
        <v>58</v>
      </c>
      <c r="N3777">
        <v>73104416</v>
      </c>
    </row>
    <row r="3778" spans="1:14" x14ac:dyDescent="0.25">
      <c r="A3778">
        <v>59403686</v>
      </c>
      <c r="B3778" t="s">
        <v>3610</v>
      </c>
      <c r="C3778" t="s">
        <v>8643</v>
      </c>
      <c r="D3778" t="s">
        <v>8644</v>
      </c>
      <c r="E3778">
        <v>9043159947</v>
      </c>
      <c r="F3778" t="s">
        <v>1067</v>
      </c>
      <c r="G3778" t="s">
        <v>1068</v>
      </c>
      <c r="I3778" t="s">
        <v>35</v>
      </c>
      <c r="J3778" s="13">
        <v>46030</v>
      </c>
      <c r="K3778" s="13">
        <v>46054</v>
      </c>
      <c r="L3778" t="s">
        <v>497</v>
      </c>
      <c r="M3778" t="s">
        <v>59</v>
      </c>
      <c r="N3778">
        <v>73104470</v>
      </c>
    </row>
    <row r="3779" spans="1:14" x14ac:dyDescent="0.25">
      <c r="A3779">
        <v>59404063</v>
      </c>
      <c r="B3779" t="s">
        <v>1408</v>
      </c>
      <c r="C3779" t="s">
        <v>2795</v>
      </c>
      <c r="D3779" t="s">
        <v>8645</v>
      </c>
      <c r="E3779">
        <v>9548257211</v>
      </c>
      <c r="F3779" t="s">
        <v>416</v>
      </c>
      <c r="G3779" t="s">
        <v>417</v>
      </c>
      <c r="I3779" t="s">
        <v>26</v>
      </c>
      <c r="J3779" s="13">
        <v>46030</v>
      </c>
      <c r="K3779" s="13">
        <v>46054</v>
      </c>
      <c r="L3779" t="s">
        <v>497</v>
      </c>
      <c r="M3779" t="s">
        <v>56</v>
      </c>
      <c r="N3779">
        <v>73104667</v>
      </c>
    </row>
    <row r="3780" spans="1:14" x14ac:dyDescent="0.25">
      <c r="A3780">
        <v>59405146</v>
      </c>
      <c r="B3780" t="s">
        <v>6001</v>
      </c>
      <c r="C3780" t="s">
        <v>8646</v>
      </c>
      <c r="D3780" t="s">
        <v>8647</v>
      </c>
      <c r="E3780">
        <v>3525755701</v>
      </c>
      <c r="F3780" t="s">
        <v>551</v>
      </c>
      <c r="G3780" t="s">
        <v>552</v>
      </c>
      <c r="I3780" t="s">
        <v>42</v>
      </c>
      <c r="J3780" s="13">
        <v>46030</v>
      </c>
      <c r="K3780" s="13">
        <v>46054</v>
      </c>
      <c r="L3780" t="s">
        <v>497</v>
      </c>
      <c r="M3780" t="s">
        <v>56</v>
      </c>
      <c r="N3780">
        <v>73105347</v>
      </c>
    </row>
    <row r="3781" spans="1:14" x14ac:dyDescent="0.25">
      <c r="A3781">
        <v>59405296</v>
      </c>
      <c r="B3781" t="s">
        <v>1316</v>
      </c>
      <c r="C3781" t="s">
        <v>8648</v>
      </c>
      <c r="D3781" t="s">
        <v>8649</v>
      </c>
      <c r="E3781">
        <v>6026684556</v>
      </c>
      <c r="F3781" t="s">
        <v>807</v>
      </c>
      <c r="G3781" t="s">
        <v>808</v>
      </c>
      <c r="I3781" t="s">
        <v>33</v>
      </c>
      <c r="J3781" s="13">
        <v>46030</v>
      </c>
      <c r="K3781" s="13">
        <v>46054</v>
      </c>
      <c r="L3781" t="s">
        <v>1179</v>
      </c>
      <c r="M3781" t="s">
        <v>56</v>
      </c>
      <c r="N3781">
        <v>73105472</v>
      </c>
    </row>
    <row r="3782" spans="1:14" x14ac:dyDescent="0.25">
      <c r="A3782">
        <v>59405504</v>
      </c>
      <c r="B3782" t="s">
        <v>1856</v>
      </c>
      <c r="C3782" t="s">
        <v>8650</v>
      </c>
      <c r="D3782" t="s">
        <v>8651</v>
      </c>
      <c r="E3782">
        <v>2175183827</v>
      </c>
      <c r="F3782" t="s">
        <v>790</v>
      </c>
      <c r="G3782" t="s">
        <v>791</v>
      </c>
      <c r="I3782" t="s">
        <v>119</v>
      </c>
      <c r="J3782" s="13">
        <v>46030</v>
      </c>
      <c r="K3782" s="13">
        <v>46054</v>
      </c>
      <c r="L3782" t="s">
        <v>470</v>
      </c>
      <c r="M3782" t="s">
        <v>58</v>
      </c>
      <c r="N3782">
        <v>73105601</v>
      </c>
    </row>
    <row r="3783" spans="1:14" x14ac:dyDescent="0.25">
      <c r="A3783">
        <v>59406534</v>
      </c>
      <c r="B3783" t="s">
        <v>2272</v>
      </c>
      <c r="C3783" t="s">
        <v>8652</v>
      </c>
      <c r="D3783" t="s">
        <v>8653</v>
      </c>
      <c r="E3783">
        <v>9415924589</v>
      </c>
      <c r="F3783" t="s">
        <v>569</v>
      </c>
      <c r="G3783" t="s">
        <v>570</v>
      </c>
      <c r="I3783" t="s">
        <v>34</v>
      </c>
      <c r="J3783" s="13">
        <v>46030</v>
      </c>
      <c r="K3783" s="13">
        <v>46054</v>
      </c>
      <c r="L3783" t="s">
        <v>497</v>
      </c>
      <c r="M3783" t="s">
        <v>56</v>
      </c>
      <c r="N3783">
        <v>73106177</v>
      </c>
    </row>
    <row r="3784" spans="1:14" x14ac:dyDescent="0.25">
      <c r="A3784">
        <v>59406832</v>
      </c>
      <c r="B3784" t="s">
        <v>8654</v>
      </c>
      <c r="C3784" t="s">
        <v>8655</v>
      </c>
      <c r="D3784" t="s">
        <v>8656</v>
      </c>
      <c r="E3784">
        <v>3369894108</v>
      </c>
      <c r="F3784" t="s">
        <v>649</v>
      </c>
      <c r="G3784" t="s">
        <v>650</v>
      </c>
      <c r="I3784" t="s">
        <v>28</v>
      </c>
      <c r="J3784" s="13">
        <v>46030</v>
      </c>
      <c r="K3784" s="13">
        <v>46055</v>
      </c>
      <c r="L3784" t="s">
        <v>603</v>
      </c>
      <c r="M3784" t="s">
        <v>56</v>
      </c>
      <c r="N3784">
        <v>73106359</v>
      </c>
    </row>
    <row r="3785" spans="1:14" x14ac:dyDescent="0.25">
      <c r="A3785">
        <v>60465280</v>
      </c>
      <c r="B3785" t="s">
        <v>1515</v>
      </c>
      <c r="C3785" t="s">
        <v>8657</v>
      </c>
      <c r="D3785" t="s">
        <v>8658</v>
      </c>
      <c r="E3785">
        <v>5613711289</v>
      </c>
      <c r="F3785" t="s">
        <v>448</v>
      </c>
      <c r="G3785" t="s">
        <v>449</v>
      </c>
      <c r="I3785" t="s">
        <v>31</v>
      </c>
      <c r="J3785" s="13">
        <v>46064</v>
      </c>
      <c r="K3785" s="13">
        <v>46082</v>
      </c>
      <c r="L3785" t="s">
        <v>497</v>
      </c>
      <c r="M3785" t="s">
        <v>56</v>
      </c>
      <c r="N3785">
        <v>73106439</v>
      </c>
    </row>
    <row r="3786" spans="1:14" x14ac:dyDescent="0.25">
      <c r="A3786">
        <v>59407094</v>
      </c>
      <c r="B3786" t="s">
        <v>3542</v>
      </c>
      <c r="C3786" t="s">
        <v>1787</v>
      </c>
      <c r="D3786" t="s">
        <v>8659</v>
      </c>
      <c r="E3786">
        <v>9412540624</v>
      </c>
      <c r="F3786" t="s">
        <v>1067</v>
      </c>
      <c r="G3786" t="s">
        <v>1068</v>
      </c>
      <c r="I3786" t="s">
        <v>35</v>
      </c>
      <c r="J3786" s="13">
        <v>46030</v>
      </c>
      <c r="K3786" s="13">
        <v>46054</v>
      </c>
      <c r="L3786" t="s">
        <v>497</v>
      </c>
      <c r="M3786" t="s">
        <v>56</v>
      </c>
      <c r="N3786">
        <v>73106512</v>
      </c>
    </row>
    <row r="3787" spans="1:14" x14ac:dyDescent="0.25">
      <c r="A3787">
        <v>59407226</v>
      </c>
      <c r="B3787" t="s">
        <v>1699</v>
      </c>
      <c r="C3787" t="s">
        <v>8660</v>
      </c>
      <c r="D3787" t="s">
        <v>8661</v>
      </c>
      <c r="E3787">
        <v>8506034794</v>
      </c>
      <c r="F3787" t="s">
        <v>928</v>
      </c>
      <c r="G3787" t="s">
        <v>929</v>
      </c>
      <c r="I3787" t="s">
        <v>30</v>
      </c>
      <c r="J3787" s="13">
        <v>46030</v>
      </c>
      <c r="K3787" s="13">
        <v>46054</v>
      </c>
      <c r="L3787" t="s">
        <v>497</v>
      </c>
      <c r="M3787" t="s">
        <v>56</v>
      </c>
      <c r="N3787">
        <v>73106570</v>
      </c>
    </row>
    <row r="3788" spans="1:14" x14ac:dyDescent="0.25">
      <c r="A3788">
        <v>59408264</v>
      </c>
      <c r="B3788" t="s">
        <v>1893</v>
      </c>
      <c r="C3788" t="s">
        <v>8662</v>
      </c>
      <c r="D3788" t="s">
        <v>8663</v>
      </c>
      <c r="E3788">
        <v>4347133198</v>
      </c>
      <c r="F3788" t="s">
        <v>551</v>
      </c>
      <c r="G3788" t="s">
        <v>552</v>
      </c>
      <c r="I3788" t="s">
        <v>42</v>
      </c>
      <c r="J3788" s="13">
        <v>46030</v>
      </c>
      <c r="K3788" s="13">
        <v>46054</v>
      </c>
      <c r="L3788" t="s">
        <v>454</v>
      </c>
      <c r="M3788" t="s">
        <v>419</v>
      </c>
      <c r="N3788">
        <v>73107012</v>
      </c>
    </row>
    <row r="3789" spans="1:14" x14ac:dyDescent="0.25">
      <c r="A3789">
        <v>59683739</v>
      </c>
      <c r="B3789" t="s">
        <v>8664</v>
      </c>
      <c r="C3789" t="s">
        <v>528</v>
      </c>
      <c r="D3789" t="s">
        <v>8665</v>
      </c>
      <c r="E3789">
        <v>5049941478</v>
      </c>
      <c r="F3789" t="s">
        <v>705</v>
      </c>
      <c r="G3789" t="s">
        <v>706</v>
      </c>
      <c r="I3789" t="s">
        <v>12</v>
      </c>
      <c r="J3789" s="13">
        <v>46041</v>
      </c>
      <c r="K3789" s="13">
        <v>46054</v>
      </c>
      <c r="L3789" t="s">
        <v>612</v>
      </c>
      <c r="M3789" t="s">
        <v>58</v>
      </c>
      <c r="N3789">
        <v>73107553</v>
      </c>
    </row>
    <row r="3790" spans="1:14" x14ac:dyDescent="0.25">
      <c r="A3790">
        <v>59409264</v>
      </c>
      <c r="B3790" t="s">
        <v>8666</v>
      </c>
      <c r="C3790" t="s">
        <v>8667</v>
      </c>
      <c r="D3790" t="s">
        <v>8668</v>
      </c>
      <c r="E3790">
        <v>9045231858</v>
      </c>
      <c r="F3790" t="s">
        <v>423</v>
      </c>
      <c r="G3790" t="s">
        <v>424</v>
      </c>
      <c r="I3790" t="s">
        <v>46</v>
      </c>
      <c r="J3790" s="13">
        <v>46030</v>
      </c>
      <c r="K3790" s="13">
        <v>46054</v>
      </c>
      <c r="L3790" t="s">
        <v>497</v>
      </c>
      <c r="M3790" t="s">
        <v>54</v>
      </c>
      <c r="N3790">
        <v>73107721</v>
      </c>
    </row>
    <row r="3791" spans="1:14" x14ac:dyDescent="0.25">
      <c r="A3791">
        <v>59409401</v>
      </c>
      <c r="B3791" t="s">
        <v>548</v>
      </c>
      <c r="C3791" t="s">
        <v>8669</v>
      </c>
      <c r="D3791" t="s">
        <v>8670</v>
      </c>
      <c r="E3791">
        <v>9043221614</v>
      </c>
      <c r="F3791" t="s">
        <v>462</v>
      </c>
      <c r="G3791" t="s">
        <v>463</v>
      </c>
      <c r="I3791" t="s">
        <v>39</v>
      </c>
      <c r="J3791" s="13">
        <v>46030</v>
      </c>
      <c r="K3791" s="13">
        <v>46054</v>
      </c>
      <c r="L3791" t="s">
        <v>497</v>
      </c>
      <c r="M3791" t="s">
        <v>54</v>
      </c>
      <c r="N3791">
        <v>73107799</v>
      </c>
    </row>
    <row r="3792" spans="1:14" x14ac:dyDescent="0.25">
      <c r="A3792">
        <v>59409453</v>
      </c>
      <c r="B3792" t="s">
        <v>1373</v>
      </c>
      <c r="C3792" t="s">
        <v>8671</v>
      </c>
      <c r="D3792" t="s">
        <v>8672</v>
      </c>
      <c r="E3792">
        <v>9415394113</v>
      </c>
      <c r="F3792" t="s">
        <v>628</v>
      </c>
      <c r="G3792" t="s">
        <v>629</v>
      </c>
      <c r="I3792" t="s">
        <v>24</v>
      </c>
      <c r="J3792" s="13">
        <v>46030</v>
      </c>
      <c r="K3792" s="13">
        <v>46054</v>
      </c>
      <c r="L3792" t="s">
        <v>497</v>
      </c>
      <c r="M3792" t="s">
        <v>56</v>
      </c>
      <c r="N3792">
        <v>73107828</v>
      </c>
    </row>
    <row r="3793" spans="1:14" x14ac:dyDescent="0.25">
      <c r="A3793">
        <v>59409530</v>
      </c>
      <c r="B3793" t="s">
        <v>6753</v>
      </c>
      <c r="C3793" t="s">
        <v>8673</v>
      </c>
      <c r="D3793" t="s">
        <v>8674</v>
      </c>
      <c r="E3793">
        <v>3185022655</v>
      </c>
      <c r="F3793" t="s">
        <v>790</v>
      </c>
      <c r="G3793" t="s">
        <v>791</v>
      </c>
      <c r="I3793" t="s">
        <v>119</v>
      </c>
      <c r="J3793" s="13">
        <v>46030</v>
      </c>
      <c r="K3793" s="13">
        <v>46054</v>
      </c>
      <c r="L3793" t="s">
        <v>612</v>
      </c>
      <c r="M3793" t="s">
        <v>58</v>
      </c>
      <c r="N3793">
        <v>73107850</v>
      </c>
    </row>
    <row r="3794" spans="1:14" x14ac:dyDescent="0.25">
      <c r="A3794">
        <v>59409590</v>
      </c>
      <c r="B3794" t="s">
        <v>8675</v>
      </c>
      <c r="C3794" t="s">
        <v>8676</v>
      </c>
      <c r="D3794" t="s">
        <v>8677</v>
      </c>
      <c r="E3794">
        <v>8133812257</v>
      </c>
      <c r="F3794" t="s">
        <v>474</v>
      </c>
      <c r="G3794" t="s">
        <v>475</v>
      </c>
      <c r="I3794" t="s">
        <v>132</v>
      </c>
      <c r="J3794" s="13">
        <v>46030</v>
      </c>
      <c r="K3794" s="13">
        <v>46054</v>
      </c>
      <c r="L3794" t="s">
        <v>497</v>
      </c>
      <c r="M3794" t="s">
        <v>59</v>
      </c>
      <c r="N3794">
        <v>73107971</v>
      </c>
    </row>
    <row r="3795" spans="1:14" x14ac:dyDescent="0.25">
      <c r="A3795">
        <v>59410049</v>
      </c>
      <c r="B3795" t="s">
        <v>8678</v>
      </c>
      <c r="C3795" t="s">
        <v>515</v>
      </c>
      <c r="D3795" t="s">
        <v>8679</v>
      </c>
      <c r="E3795">
        <v>4174967097</v>
      </c>
      <c r="F3795" t="s">
        <v>815</v>
      </c>
      <c r="G3795" t="s">
        <v>816</v>
      </c>
      <c r="I3795" t="s">
        <v>23</v>
      </c>
      <c r="J3795" s="13">
        <v>46030</v>
      </c>
      <c r="K3795" s="13">
        <v>46054</v>
      </c>
      <c r="L3795" t="s">
        <v>434</v>
      </c>
      <c r="M3795" t="s">
        <v>56</v>
      </c>
      <c r="N3795">
        <v>73108288</v>
      </c>
    </row>
    <row r="3796" spans="1:14" x14ac:dyDescent="0.25">
      <c r="A3796">
        <v>59411100</v>
      </c>
      <c r="B3796" t="s">
        <v>8680</v>
      </c>
      <c r="C3796" t="s">
        <v>8681</v>
      </c>
      <c r="D3796" t="s">
        <v>8682</v>
      </c>
      <c r="E3796">
        <v>3469886054</v>
      </c>
      <c r="F3796" t="s">
        <v>649</v>
      </c>
      <c r="G3796" t="s">
        <v>650</v>
      </c>
      <c r="I3796" t="s">
        <v>28</v>
      </c>
      <c r="J3796" s="13">
        <v>46030</v>
      </c>
      <c r="K3796" s="13">
        <v>46055</v>
      </c>
      <c r="L3796" t="s">
        <v>444</v>
      </c>
      <c r="M3796" t="s">
        <v>58</v>
      </c>
      <c r="N3796">
        <v>73109042</v>
      </c>
    </row>
    <row r="3797" spans="1:14" x14ac:dyDescent="0.25">
      <c r="A3797">
        <v>59412602</v>
      </c>
      <c r="B3797" t="s">
        <v>445</v>
      </c>
      <c r="C3797" t="s">
        <v>8683</v>
      </c>
      <c r="D3797" t="s">
        <v>8684</v>
      </c>
      <c r="E3797">
        <v>8135804869</v>
      </c>
      <c r="F3797" t="s">
        <v>1345</v>
      </c>
      <c r="G3797" t="s">
        <v>799</v>
      </c>
      <c r="I3797" t="s">
        <v>47</v>
      </c>
      <c r="J3797" s="13">
        <v>46030</v>
      </c>
      <c r="K3797" s="13">
        <v>46054</v>
      </c>
      <c r="L3797" t="s">
        <v>497</v>
      </c>
      <c r="M3797" t="s">
        <v>419</v>
      </c>
      <c r="N3797">
        <v>73110114</v>
      </c>
    </row>
    <row r="3798" spans="1:14" x14ac:dyDescent="0.25">
      <c r="A3798">
        <v>59413936</v>
      </c>
      <c r="B3798" t="s">
        <v>669</v>
      </c>
      <c r="C3798" t="s">
        <v>8685</v>
      </c>
      <c r="D3798" t="s">
        <v>8686</v>
      </c>
      <c r="E3798">
        <v>9705235631</v>
      </c>
      <c r="F3798" t="s">
        <v>448</v>
      </c>
      <c r="G3798" t="s">
        <v>449</v>
      </c>
      <c r="I3798" t="s">
        <v>31</v>
      </c>
      <c r="J3798" s="13">
        <v>46030</v>
      </c>
      <c r="K3798" s="13">
        <v>46054</v>
      </c>
      <c r="L3798" t="s">
        <v>539</v>
      </c>
      <c r="M3798" t="s">
        <v>60</v>
      </c>
      <c r="N3798">
        <v>73110876</v>
      </c>
    </row>
    <row r="3799" spans="1:14" x14ac:dyDescent="0.25">
      <c r="A3799">
        <v>59414588</v>
      </c>
      <c r="B3799" t="s">
        <v>1784</v>
      </c>
      <c r="C3799" t="s">
        <v>8687</v>
      </c>
      <c r="D3799" t="s">
        <v>8688</v>
      </c>
      <c r="E3799">
        <v>3345077378</v>
      </c>
      <c r="F3799" t="s">
        <v>474</v>
      </c>
      <c r="G3799" t="s">
        <v>475</v>
      </c>
      <c r="I3799" t="s">
        <v>132</v>
      </c>
      <c r="J3799" s="13">
        <v>46030</v>
      </c>
      <c r="K3799" s="13">
        <v>46054</v>
      </c>
      <c r="L3799" t="s">
        <v>450</v>
      </c>
      <c r="M3799" t="s">
        <v>56</v>
      </c>
      <c r="N3799">
        <v>73111169</v>
      </c>
    </row>
    <row r="3800" spans="1:14" x14ac:dyDescent="0.25">
      <c r="A3800">
        <v>59414707</v>
      </c>
      <c r="B3800" t="s">
        <v>552</v>
      </c>
      <c r="C3800" t="s">
        <v>8689</v>
      </c>
      <c r="D3800" t="s">
        <v>8690</v>
      </c>
      <c r="E3800">
        <v>9047138425</v>
      </c>
      <c r="F3800" t="s">
        <v>815</v>
      </c>
      <c r="G3800" t="s">
        <v>816</v>
      </c>
      <c r="I3800" t="s">
        <v>23</v>
      </c>
      <c r="J3800" s="13">
        <v>46030</v>
      </c>
      <c r="K3800" s="13">
        <v>46054</v>
      </c>
      <c r="L3800" t="s">
        <v>497</v>
      </c>
      <c r="M3800" t="s">
        <v>54</v>
      </c>
      <c r="N3800">
        <v>73111225</v>
      </c>
    </row>
    <row r="3801" spans="1:14" x14ac:dyDescent="0.25">
      <c r="A3801">
        <v>59417802</v>
      </c>
      <c r="B3801" t="s">
        <v>8691</v>
      </c>
      <c r="C3801" t="s">
        <v>8692</v>
      </c>
      <c r="D3801" t="s">
        <v>8693</v>
      </c>
      <c r="E3801">
        <v>6025758174</v>
      </c>
      <c r="F3801" t="s">
        <v>462</v>
      </c>
      <c r="G3801" t="s">
        <v>463</v>
      </c>
      <c r="I3801" t="s">
        <v>39</v>
      </c>
      <c r="J3801" s="13">
        <v>46030</v>
      </c>
      <c r="K3801" s="13">
        <v>46054</v>
      </c>
      <c r="L3801" t="s">
        <v>1179</v>
      </c>
      <c r="M3801" t="s">
        <v>54</v>
      </c>
      <c r="N3801">
        <v>73112509</v>
      </c>
    </row>
    <row r="3802" spans="1:14" x14ac:dyDescent="0.25">
      <c r="A3802">
        <v>59417814</v>
      </c>
      <c r="B3802" t="s">
        <v>2836</v>
      </c>
      <c r="C3802" t="s">
        <v>3374</v>
      </c>
      <c r="D3802" t="s">
        <v>8694</v>
      </c>
      <c r="E3802">
        <v>2144757782</v>
      </c>
      <c r="F3802" t="s">
        <v>828</v>
      </c>
      <c r="G3802" t="s">
        <v>1148</v>
      </c>
      <c r="I3802" t="s">
        <v>17</v>
      </c>
      <c r="J3802" s="13">
        <v>46030</v>
      </c>
      <c r="K3802" s="13">
        <v>46054</v>
      </c>
      <c r="L3802" t="s">
        <v>444</v>
      </c>
      <c r="M3802" t="s">
        <v>56</v>
      </c>
      <c r="N3802">
        <v>73112515</v>
      </c>
    </row>
    <row r="3803" spans="1:14" x14ac:dyDescent="0.25">
      <c r="A3803">
        <v>59418109</v>
      </c>
      <c r="B3803" t="s">
        <v>8695</v>
      </c>
      <c r="C3803" t="s">
        <v>831</v>
      </c>
      <c r="D3803" t="s">
        <v>8696</v>
      </c>
      <c r="E3803">
        <v>9284325007</v>
      </c>
      <c r="F3803" t="s">
        <v>4853</v>
      </c>
      <c r="G3803" t="s">
        <v>5017</v>
      </c>
      <c r="I3803" t="s">
        <v>5018</v>
      </c>
      <c r="J3803" s="13">
        <v>46030</v>
      </c>
      <c r="K3803" s="13">
        <v>46054</v>
      </c>
      <c r="L3803" t="s">
        <v>1179</v>
      </c>
      <c r="M3803" t="s">
        <v>54</v>
      </c>
      <c r="N3803">
        <v>73112620</v>
      </c>
    </row>
    <row r="3804" spans="1:14" x14ac:dyDescent="0.25">
      <c r="A3804">
        <v>59419646</v>
      </c>
      <c r="B3804" t="s">
        <v>8697</v>
      </c>
      <c r="C3804" t="s">
        <v>8698</v>
      </c>
      <c r="D3804" t="s">
        <v>8699</v>
      </c>
      <c r="E3804">
        <v>6062450417</v>
      </c>
      <c r="F3804" t="s">
        <v>790</v>
      </c>
      <c r="G3804" t="s">
        <v>791</v>
      </c>
      <c r="I3804" t="s">
        <v>119</v>
      </c>
      <c r="J3804" s="13">
        <v>46030</v>
      </c>
      <c r="K3804" s="13">
        <v>46054</v>
      </c>
      <c r="L3804" t="s">
        <v>490</v>
      </c>
      <c r="M3804" t="s">
        <v>58</v>
      </c>
      <c r="N3804">
        <v>73112956</v>
      </c>
    </row>
    <row r="3805" spans="1:14" x14ac:dyDescent="0.25">
      <c r="A3805">
        <v>59419651</v>
      </c>
      <c r="B3805" t="s">
        <v>5643</v>
      </c>
      <c r="C3805" t="s">
        <v>2215</v>
      </c>
      <c r="D3805" t="s">
        <v>8700</v>
      </c>
      <c r="E3805">
        <v>5615776568</v>
      </c>
      <c r="F3805" t="s">
        <v>1067</v>
      </c>
      <c r="G3805" t="s">
        <v>1068</v>
      </c>
      <c r="I3805" t="s">
        <v>35</v>
      </c>
      <c r="J3805" s="13">
        <v>46030</v>
      </c>
      <c r="K3805" s="13">
        <v>46054</v>
      </c>
      <c r="L3805" t="s">
        <v>497</v>
      </c>
      <c r="M3805" t="s">
        <v>56</v>
      </c>
      <c r="N3805">
        <v>73113252</v>
      </c>
    </row>
    <row r="3806" spans="1:14" x14ac:dyDescent="0.25">
      <c r="A3806">
        <v>59419686</v>
      </c>
      <c r="B3806" t="s">
        <v>8701</v>
      </c>
      <c r="C3806" t="s">
        <v>8702</v>
      </c>
      <c r="D3806" t="s">
        <v>8703</v>
      </c>
      <c r="E3806">
        <v>6204234379</v>
      </c>
      <c r="F3806" t="s">
        <v>474</v>
      </c>
      <c r="G3806" t="s">
        <v>475</v>
      </c>
      <c r="I3806" t="s">
        <v>132</v>
      </c>
      <c r="J3806" s="13">
        <v>46030</v>
      </c>
      <c r="K3806" s="13">
        <v>46054</v>
      </c>
      <c r="L3806" t="s">
        <v>434</v>
      </c>
      <c r="M3806" t="s">
        <v>59</v>
      </c>
      <c r="N3806">
        <v>73113286</v>
      </c>
    </row>
    <row r="3807" spans="1:14" x14ac:dyDescent="0.25">
      <c r="A3807">
        <v>59421835</v>
      </c>
      <c r="B3807" t="s">
        <v>8704</v>
      </c>
      <c r="C3807" t="s">
        <v>8705</v>
      </c>
      <c r="D3807" t="s">
        <v>8706</v>
      </c>
      <c r="E3807">
        <v>8434326974</v>
      </c>
      <c r="F3807" t="s">
        <v>628</v>
      </c>
      <c r="G3807" t="s">
        <v>629</v>
      </c>
      <c r="I3807" t="s">
        <v>24</v>
      </c>
      <c r="J3807" s="13">
        <v>46030</v>
      </c>
      <c r="K3807" s="13">
        <v>46054</v>
      </c>
      <c r="L3807" t="s">
        <v>497</v>
      </c>
      <c r="M3807" t="s">
        <v>59</v>
      </c>
      <c r="N3807">
        <v>73114579</v>
      </c>
    </row>
    <row r="3808" spans="1:14" x14ac:dyDescent="0.25">
      <c r="A3808">
        <v>59421953</v>
      </c>
      <c r="B3808" t="s">
        <v>6760</v>
      </c>
      <c r="C3808" t="s">
        <v>8707</v>
      </c>
      <c r="D3808" t="s">
        <v>8708</v>
      </c>
      <c r="E3808">
        <v>6084444659</v>
      </c>
      <c r="F3808" t="s">
        <v>705</v>
      </c>
      <c r="G3808" t="s">
        <v>706</v>
      </c>
      <c r="I3808" t="s">
        <v>12</v>
      </c>
      <c r="J3808" s="13">
        <v>46030</v>
      </c>
      <c r="K3808" s="13">
        <v>46054</v>
      </c>
      <c r="L3808" t="s">
        <v>539</v>
      </c>
      <c r="M3808" t="s">
        <v>59</v>
      </c>
      <c r="N3808">
        <v>73114665</v>
      </c>
    </row>
    <row r="3809" spans="1:14" x14ac:dyDescent="0.25">
      <c r="A3809">
        <v>59422000</v>
      </c>
      <c r="B3809" t="s">
        <v>2214</v>
      </c>
      <c r="C3809" t="s">
        <v>8709</v>
      </c>
      <c r="D3809" t="s">
        <v>8710</v>
      </c>
      <c r="E3809">
        <v>4803531928</v>
      </c>
      <c r="F3809" t="s">
        <v>462</v>
      </c>
      <c r="G3809" t="s">
        <v>463</v>
      </c>
      <c r="I3809" t="s">
        <v>39</v>
      </c>
      <c r="J3809" s="13">
        <v>46030</v>
      </c>
      <c r="K3809" s="13">
        <v>46054</v>
      </c>
      <c r="L3809" t="s">
        <v>1179</v>
      </c>
      <c r="M3809" t="s">
        <v>54</v>
      </c>
      <c r="N3809">
        <v>73114697</v>
      </c>
    </row>
    <row r="3810" spans="1:14" x14ac:dyDescent="0.25">
      <c r="A3810">
        <v>59422725</v>
      </c>
      <c r="B3810" t="s">
        <v>8711</v>
      </c>
      <c r="C3810" t="s">
        <v>8712</v>
      </c>
      <c r="D3810" t="s">
        <v>8713</v>
      </c>
      <c r="E3810">
        <v>7024891436</v>
      </c>
      <c r="F3810" t="s">
        <v>569</v>
      </c>
      <c r="G3810" t="s">
        <v>570</v>
      </c>
      <c r="I3810" t="s">
        <v>34</v>
      </c>
      <c r="J3810" s="13">
        <v>46030</v>
      </c>
      <c r="K3810" s="13">
        <v>46054</v>
      </c>
      <c r="L3810" t="s">
        <v>1179</v>
      </c>
      <c r="M3810" t="s">
        <v>54</v>
      </c>
      <c r="N3810">
        <v>73115292</v>
      </c>
    </row>
    <row r="3811" spans="1:14" x14ac:dyDescent="0.25">
      <c r="A3811">
        <v>59422911</v>
      </c>
      <c r="B3811" t="s">
        <v>476</v>
      </c>
      <c r="C3811" t="s">
        <v>546</v>
      </c>
      <c r="D3811" t="s">
        <v>8714</v>
      </c>
      <c r="E3811">
        <v>4045361358</v>
      </c>
      <c r="F3811" t="s">
        <v>416</v>
      </c>
      <c r="G3811" t="s">
        <v>417</v>
      </c>
      <c r="I3811" t="s">
        <v>26</v>
      </c>
      <c r="J3811" s="13">
        <v>46030</v>
      </c>
      <c r="K3811" s="13">
        <v>46054</v>
      </c>
      <c r="L3811" t="s">
        <v>621</v>
      </c>
      <c r="M3811" t="s">
        <v>60</v>
      </c>
      <c r="N3811">
        <v>73115416</v>
      </c>
    </row>
    <row r="3812" spans="1:14" x14ac:dyDescent="0.25">
      <c r="A3812">
        <v>59423152</v>
      </c>
      <c r="B3812" t="s">
        <v>604</v>
      </c>
      <c r="C3812" t="s">
        <v>1036</v>
      </c>
      <c r="D3812" t="s">
        <v>8715</v>
      </c>
      <c r="E3812">
        <v>9728373606</v>
      </c>
      <c r="F3812" t="s">
        <v>551</v>
      </c>
      <c r="G3812" t="s">
        <v>552</v>
      </c>
      <c r="I3812" t="s">
        <v>42</v>
      </c>
      <c r="J3812" s="13">
        <v>46030</v>
      </c>
      <c r="K3812" s="13">
        <v>46054</v>
      </c>
      <c r="L3812" t="s">
        <v>553</v>
      </c>
      <c r="M3812" t="s">
        <v>61</v>
      </c>
      <c r="N3812">
        <v>73115454</v>
      </c>
    </row>
    <row r="3813" spans="1:14" x14ac:dyDescent="0.25">
      <c r="A3813">
        <v>59423084</v>
      </c>
      <c r="B3813" t="s">
        <v>8716</v>
      </c>
      <c r="C3813" t="s">
        <v>8717</v>
      </c>
      <c r="D3813" t="s">
        <v>8718</v>
      </c>
      <c r="E3813">
        <v>5207717357</v>
      </c>
      <c r="F3813" t="s">
        <v>807</v>
      </c>
      <c r="G3813" t="s">
        <v>808</v>
      </c>
      <c r="I3813" t="s">
        <v>33</v>
      </c>
      <c r="J3813" s="13">
        <v>46030</v>
      </c>
      <c r="K3813" s="13">
        <v>46054</v>
      </c>
      <c r="L3813" t="s">
        <v>1179</v>
      </c>
      <c r="M3813" t="s">
        <v>59</v>
      </c>
      <c r="N3813">
        <v>73115526</v>
      </c>
    </row>
    <row r="3814" spans="1:14" x14ac:dyDescent="0.25">
      <c r="A3814">
        <v>59423353</v>
      </c>
      <c r="B3814" t="s">
        <v>2681</v>
      </c>
      <c r="C3814" t="s">
        <v>8719</v>
      </c>
      <c r="D3814" t="s">
        <v>8720</v>
      </c>
      <c r="E3814">
        <v>5014184854</v>
      </c>
      <c r="F3814" t="s">
        <v>790</v>
      </c>
      <c r="G3814" t="s">
        <v>791</v>
      </c>
      <c r="I3814" t="s">
        <v>119</v>
      </c>
      <c r="J3814" s="13">
        <v>46030</v>
      </c>
      <c r="K3814" s="13">
        <v>46054</v>
      </c>
      <c r="L3814" t="s">
        <v>553</v>
      </c>
      <c r="M3814" t="s">
        <v>61</v>
      </c>
      <c r="N3814">
        <v>73115671</v>
      </c>
    </row>
    <row r="3815" spans="1:14" x14ac:dyDescent="0.25">
      <c r="A3815">
        <v>60127489</v>
      </c>
      <c r="B3815" t="s">
        <v>1643</v>
      </c>
      <c r="C3815" t="s">
        <v>8721</v>
      </c>
      <c r="D3815" t="s">
        <v>8722</v>
      </c>
      <c r="E3815">
        <v>3364978483</v>
      </c>
      <c r="F3815" t="s">
        <v>474</v>
      </c>
      <c r="G3815" t="s">
        <v>475</v>
      </c>
      <c r="I3815" t="s">
        <v>132</v>
      </c>
      <c r="J3815" s="13">
        <v>46052</v>
      </c>
      <c r="K3815" s="13">
        <v>46054</v>
      </c>
      <c r="L3815" t="s">
        <v>603</v>
      </c>
      <c r="M3815" t="s">
        <v>61</v>
      </c>
      <c r="N3815">
        <v>73115898</v>
      </c>
    </row>
    <row r="3816" spans="1:14" x14ac:dyDescent="0.25">
      <c r="A3816">
        <v>59431910</v>
      </c>
      <c r="B3816" t="s">
        <v>4199</v>
      </c>
      <c r="C3816" t="s">
        <v>5644</v>
      </c>
      <c r="D3816" t="s">
        <v>8723</v>
      </c>
      <c r="E3816">
        <v>8598021177</v>
      </c>
      <c r="F3816" t="s">
        <v>842</v>
      </c>
      <c r="G3816" t="s">
        <v>843</v>
      </c>
      <c r="I3816" t="s">
        <v>98</v>
      </c>
      <c r="J3816" s="13">
        <v>46031</v>
      </c>
      <c r="K3816" s="13">
        <v>46054</v>
      </c>
      <c r="L3816" t="s">
        <v>490</v>
      </c>
      <c r="M3816" t="s">
        <v>59</v>
      </c>
      <c r="N3816">
        <v>73121090</v>
      </c>
    </row>
    <row r="3817" spans="1:14" x14ac:dyDescent="0.25">
      <c r="A3817">
        <v>59432178</v>
      </c>
      <c r="B3817" t="s">
        <v>1167</v>
      </c>
      <c r="C3817" t="s">
        <v>6892</v>
      </c>
      <c r="D3817" t="s">
        <v>8724</v>
      </c>
      <c r="E3817">
        <v>9044775505</v>
      </c>
      <c r="F3817" t="s">
        <v>416</v>
      </c>
      <c r="G3817" t="s">
        <v>417</v>
      </c>
      <c r="I3817" t="s">
        <v>26</v>
      </c>
      <c r="J3817" s="13">
        <v>46031</v>
      </c>
      <c r="K3817" s="13">
        <v>46054</v>
      </c>
      <c r="L3817" t="s">
        <v>497</v>
      </c>
      <c r="M3817" t="s">
        <v>58</v>
      </c>
      <c r="N3817">
        <v>73121259</v>
      </c>
    </row>
    <row r="3818" spans="1:14" x14ac:dyDescent="0.25">
      <c r="A3818">
        <v>59433534</v>
      </c>
      <c r="B3818" t="s">
        <v>1148</v>
      </c>
      <c r="C3818" t="s">
        <v>2544</v>
      </c>
      <c r="D3818" t="s">
        <v>8725</v>
      </c>
      <c r="E3818">
        <v>7273708243</v>
      </c>
      <c r="F3818" t="s">
        <v>423</v>
      </c>
      <c r="G3818" t="s">
        <v>424</v>
      </c>
      <c r="I3818" t="s">
        <v>46</v>
      </c>
      <c r="J3818" s="13">
        <v>46031</v>
      </c>
      <c r="K3818" s="13">
        <v>46054</v>
      </c>
      <c r="L3818" t="s">
        <v>497</v>
      </c>
      <c r="M3818" t="s">
        <v>54</v>
      </c>
      <c r="N3818">
        <v>73122042</v>
      </c>
    </row>
    <row r="3819" spans="1:14" x14ac:dyDescent="0.25">
      <c r="A3819">
        <v>59433882</v>
      </c>
      <c r="B3819" t="s">
        <v>8726</v>
      </c>
      <c r="C3819" t="s">
        <v>8727</v>
      </c>
      <c r="D3819" t="s">
        <v>8728</v>
      </c>
      <c r="E3819">
        <v>8034208576</v>
      </c>
      <c r="F3819" t="s">
        <v>474</v>
      </c>
      <c r="G3819" t="s">
        <v>475</v>
      </c>
      <c r="I3819" t="s">
        <v>132</v>
      </c>
      <c r="J3819" s="13">
        <v>46031</v>
      </c>
      <c r="K3819" s="13">
        <v>46054</v>
      </c>
      <c r="L3819" t="s">
        <v>533</v>
      </c>
      <c r="M3819" t="s">
        <v>56</v>
      </c>
      <c r="N3819">
        <v>73122328</v>
      </c>
    </row>
    <row r="3820" spans="1:14" x14ac:dyDescent="0.25">
      <c r="A3820">
        <v>59434147</v>
      </c>
      <c r="B3820" t="s">
        <v>600</v>
      </c>
      <c r="C3820" t="s">
        <v>8729</v>
      </c>
      <c r="D3820" t="s">
        <v>8730</v>
      </c>
      <c r="E3820">
        <v>7043228347</v>
      </c>
      <c r="F3820" t="s">
        <v>828</v>
      </c>
      <c r="G3820" t="s">
        <v>1148</v>
      </c>
      <c r="I3820" t="s">
        <v>17</v>
      </c>
      <c r="J3820" s="13">
        <v>46031</v>
      </c>
      <c r="K3820" s="13">
        <v>46054</v>
      </c>
      <c r="L3820" t="s">
        <v>603</v>
      </c>
      <c r="M3820" t="s">
        <v>58</v>
      </c>
      <c r="N3820">
        <v>73123010</v>
      </c>
    </row>
    <row r="3821" spans="1:14" x14ac:dyDescent="0.25">
      <c r="A3821">
        <v>59434424</v>
      </c>
      <c r="B3821" t="s">
        <v>787</v>
      </c>
      <c r="C3821" t="s">
        <v>7029</v>
      </c>
      <c r="D3821" t="s">
        <v>8731</v>
      </c>
      <c r="E3821">
        <v>8288177691</v>
      </c>
      <c r="F3821" t="s">
        <v>448</v>
      </c>
      <c r="G3821" t="s">
        <v>449</v>
      </c>
      <c r="I3821" t="s">
        <v>31</v>
      </c>
      <c r="J3821" s="13">
        <v>46031</v>
      </c>
      <c r="K3821" s="13">
        <v>46054</v>
      </c>
      <c r="L3821" t="s">
        <v>533</v>
      </c>
      <c r="M3821" t="s">
        <v>59</v>
      </c>
      <c r="N3821">
        <v>73124821</v>
      </c>
    </row>
    <row r="3822" spans="1:14" x14ac:dyDescent="0.25">
      <c r="A3822">
        <v>59434931</v>
      </c>
      <c r="B3822" t="s">
        <v>8732</v>
      </c>
      <c r="C3822" t="s">
        <v>2908</v>
      </c>
      <c r="D3822" t="s">
        <v>8733</v>
      </c>
      <c r="E3822">
        <v>4807611882</v>
      </c>
      <c r="F3822" t="s">
        <v>4853</v>
      </c>
      <c r="G3822" t="s">
        <v>5017</v>
      </c>
      <c r="I3822" t="s">
        <v>5018</v>
      </c>
      <c r="J3822" s="13">
        <v>46031</v>
      </c>
      <c r="K3822" s="13">
        <v>46054</v>
      </c>
      <c r="L3822" t="s">
        <v>1179</v>
      </c>
      <c r="M3822" t="s">
        <v>54</v>
      </c>
      <c r="N3822">
        <v>73128117</v>
      </c>
    </row>
    <row r="3823" spans="1:14" x14ac:dyDescent="0.25">
      <c r="A3823">
        <v>59435394</v>
      </c>
      <c r="B3823" t="s">
        <v>1316</v>
      </c>
      <c r="C3823" t="s">
        <v>8734</v>
      </c>
      <c r="D3823" t="s">
        <v>8735</v>
      </c>
      <c r="E3823">
        <v>9545512001</v>
      </c>
      <c r="F3823" t="s">
        <v>1067</v>
      </c>
      <c r="G3823" t="s">
        <v>1068</v>
      </c>
      <c r="I3823" t="s">
        <v>35</v>
      </c>
      <c r="J3823" s="13">
        <v>46031</v>
      </c>
      <c r="K3823" s="13">
        <v>46054</v>
      </c>
      <c r="L3823" t="s">
        <v>497</v>
      </c>
      <c r="M3823" t="s">
        <v>56</v>
      </c>
      <c r="N3823">
        <v>73128354</v>
      </c>
    </row>
    <row r="3824" spans="1:14" x14ac:dyDescent="0.25">
      <c r="A3824">
        <v>59435597</v>
      </c>
      <c r="B3824" t="s">
        <v>1100</v>
      </c>
      <c r="C3824" t="s">
        <v>8736</v>
      </c>
      <c r="D3824" t="s">
        <v>8737</v>
      </c>
      <c r="E3824">
        <v>4804533965</v>
      </c>
      <c r="F3824" t="s">
        <v>574</v>
      </c>
      <c r="G3824" t="s">
        <v>575</v>
      </c>
      <c r="I3824" t="s">
        <v>14</v>
      </c>
      <c r="J3824" s="13">
        <v>46031</v>
      </c>
      <c r="K3824" s="13">
        <v>46054</v>
      </c>
      <c r="L3824" t="s">
        <v>1179</v>
      </c>
      <c r="M3824" t="s">
        <v>56</v>
      </c>
      <c r="N3824">
        <v>73128517</v>
      </c>
    </row>
    <row r="3825" spans="1:14" x14ac:dyDescent="0.25">
      <c r="A3825">
        <v>59436371</v>
      </c>
      <c r="B3825" t="s">
        <v>5965</v>
      </c>
      <c r="C3825" t="s">
        <v>1839</v>
      </c>
      <c r="D3825" t="s">
        <v>8738</v>
      </c>
      <c r="E3825">
        <v>7272764202</v>
      </c>
      <c r="F3825" t="s">
        <v>807</v>
      </c>
      <c r="G3825" t="s">
        <v>808</v>
      </c>
      <c r="I3825" t="s">
        <v>33</v>
      </c>
      <c r="J3825" s="13">
        <v>46031</v>
      </c>
      <c r="K3825" s="13">
        <v>46054</v>
      </c>
      <c r="L3825" t="s">
        <v>497</v>
      </c>
      <c r="M3825" t="s">
        <v>56</v>
      </c>
      <c r="N3825">
        <v>73129543</v>
      </c>
    </row>
    <row r="3826" spans="1:14" x14ac:dyDescent="0.25">
      <c r="A3826">
        <v>59439177</v>
      </c>
      <c r="B3826" t="s">
        <v>2214</v>
      </c>
      <c r="C3826" t="s">
        <v>8739</v>
      </c>
      <c r="D3826" t="s">
        <v>8740</v>
      </c>
      <c r="E3826">
        <v>5618181346</v>
      </c>
      <c r="F3826" t="s">
        <v>628</v>
      </c>
      <c r="G3826" t="s">
        <v>629</v>
      </c>
      <c r="I3826" t="s">
        <v>24</v>
      </c>
      <c r="J3826" s="13">
        <v>46031</v>
      </c>
      <c r="K3826" s="13">
        <v>46054</v>
      </c>
      <c r="L3826" t="s">
        <v>497</v>
      </c>
      <c r="M3826" t="s">
        <v>56</v>
      </c>
      <c r="N3826">
        <v>73131651</v>
      </c>
    </row>
    <row r="3827" spans="1:14" x14ac:dyDescent="0.25">
      <c r="A3827">
        <v>59439387</v>
      </c>
      <c r="B3827" t="s">
        <v>4480</v>
      </c>
      <c r="C3827" t="s">
        <v>8741</v>
      </c>
      <c r="D3827" t="s">
        <v>8742</v>
      </c>
      <c r="E3827">
        <v>9016447404</v>
      </c>
      <c r="F3827" t="s">
        <v>928</v>
      </c>
      <c r="G3827" t="s">
        <v>929</v>
      </c>
      <c r="I3827" t="s">
        <v>30</v>
      </c>
      <c r="J3827" s="13">
        <v>46031</v>
      </c>
      <c r="K3827" s="13">
        <v>46054</v>
      </c>
      <c r="L3827" t="s">
        <v>479</v>
      </c>
      <c r="M3827" t="s">
        <v>419</v>
      </c>
      <c r="N3827">
        <v>73131738</v>
      </c>
    </row>
    <row r="3828" spans="1:14" x14ac:dyDescent="0.25">
      <c r="A3828">
        <v>59439945</v>
      </c>
      <c r="B3828" t="s">
        <v>8743</v>
      </c>
      <c r="C3828" t="s">
        <v>8744</v>
      </c>
      <c r="D3828" t="s">
        <v>8745</v>
      </c>
      <c r="E3828">
        <v>6062735746</v>
      </c>
      <c r="F3828" t="s">
        <v>551</v>
      </c>
      <c r="G3828" t="s">
        <v>552</v>
      </c>
      <c r="I3828" t="s">
        <v>42</v>
      </c>
      <c r="J3828" s="13">
        <v>46031</v>
      </c>
      <c r="K3828" s="13">
        <v>46054</v>
      </c>
      <c r="L3828" t="s">
        <v>490</v>
      </c>
      <c r="M3828" t="s">
        <v>59</v>
      </c>
      <c r="N3828">
        <v>73132294</v>
      </c>
    </row>
    <row r="3829" spans="1:14" x14ac:dyDescent="0.25">
      <c r="A3829">
        <v>59441190</v>
      </c>
      <c r="B3829" t="s">
        <v>8746</v>
      </c>
      <c r="C3829" t="s">
        <v>8747</v>
      </c>
      <c r="D3829" t="s">
        <v>8748</v>
      </c>
      <c r="E3829">
        <v>4802976987</v>
      </c>
      <c r="F3829" t="s">
        <v>423</v>
      </c>
      <c r="G3829" t="s">
        <v>424</v>
      </c>
      <c r="I3829" t="s">
        <v>46</v>
      </c>
      <c r="J3829" s="13">
        <v>46031</v>
      </c>
      <c r="K3829" s="13">
        <v>46054</v>
      </c>
      <c r="L3829" t="s">
        <v>1179</v>
      </c>
      <c r="M3829" t="s">
        <v>56</v>
      </c>
      <c r="N3829">
        <v>73132928</v>
      </c>
    </row>
    <row r="3830" spans="1:14" x14ac:dyDescent="0.25">
      <c r="A3830">
        <v>59441273</v>
      </c>
      <c r="B3830" t="s">
        <v>1385</v>
      </c>
      <c r="C3830" t="s">
        <v>8749</v>
      </c>
      <c r="D3830" t="s">
        <v>8750</v>
      </c>
      <c r="E3830">
        <v>6238792523</v>
      </c>
      <c r="F3830" t="s">
        <v>4853</v>
      </c>
      <c r="G3830" t="s">
        <v>5017</v>
      </c>
      <c r="I3830" t="s">
        <v>5018</v>
      </c>
      <c r="J3830" s="13">
        <v>46031</v>
      </c>
      <c r="K3830" s="13">
        <v>46054</v>
      </c>
      <c r="L3830" t="s">
        <v>1179</v>
      </c>
      <c r="M3830" t="s">
        <v>61</v>
      </c>
      <c r="N3830">
        <v>73133067</v>
      </c>
    </row>
    <row r="3831" spans="1:14" x14ac:dyDescent="0.25">
      <c r="A3831">
        <v>59442252</v>
      </c>
      <c r="B3831" t="s">
        <v>8494</v>
      </c>
      <c r="C3831" t="s">
        <v>8751</v>
      </c>
      <c r="D3831" t="s">
        <v>8752</v>
      </c>
      <c r="E3831">
        <v>2059552071</v>
      </c>
      <c r="F3831" t="s">
        <v>474</v>
      </c>
      <c r="G3831" t="s">
        <v>475</v>
      </c>
      <c r="I3831" t="s">
        <v>132</v>
      </c>
      <c r="J3831" s="13">
        <v>46031</v>
      </c>
      <c r="K3831" s="13">
        <v>46054</v>
      </c>
      <c r="L3831" t="s">
        <v>450</v>
      </c>
      <c r="M3831" t="s">
        <v>56</v>
      </c>
      <c r="N3831">
        <v>73133334</v>
      </c>
    </row>
    <row r="3832" spans="1:14" x14ac:dyDescent="0.25">
      <c r="A3832">
        <v>59443272</v>
      </c>
      <c r="B3832" t="s">
        <v>2972</v>
      </c>
      <c r="C3832" t="s">
        <v>8753</v>
      </c>
      <c r="D3832" t="s">
        <v>8754</v>
      </c>
      <c r="E3832">
        <v>9415244419</v>
      </c>
      <c r="F3832" t="s">
        <v>1067</v>
      </c>
      <c r="G3832" t="s">
        <v>1068</v>
      </c>
      <c r="I3832" t="s">
        <v>35</v>
      </c>
      <c r="J3832" s="13">
        <v>46031</v>
      </c>
      <c r="K3832" s="13">
        <v>46054</v>
      </c>
      <c r="L3832" t="s">
        <v>497</v>
      </c>
      <c r="M3832" t="s">
        <v>59</v>
      </c>
      <c r="N3832">
        <v>73133654</v>
      </c>
    </row>
    <row r="3833" spans="1:14" x14ac:dyDescent="0.25">
      <c r="A3833">
        <v>59443617</v>
      </c>
      <c r="B3833" t="s">
        <v>3699</v>
      </c>
      <c r="C3833" t="s">
        <v>8755</v>
      </c>
      <c r="D3833" t="s">
        <v>8756</v>
      </c>
      <c r="E3833">
        <v>7658208164</v>
      </c>
      <c r="F3833" t="s">
        <v>798</v>
      </c>
      <c r="G3833" t="s">
        <v>799</v>
      </c>
      <c r="I3833" t="s">
        <v>800</v>
      </c>
      <c r="J3833" s="13">
        <v>46031</v>
      </c>
      <c r="K3833" s="13">
        <v>46054</v>
      </c>
      <c r="L3833" t="s">
        <v>470</v>
      </c>
      <c r="M3833" t="s">
        <v>60</v>
      </c>
      <c r="N3833">
        <v>73133860</v>
      </c>
    </row>
    <row r="3834" spans="1:14" x14ac:dyDescent="0.25">
      <c r="A3834">
        <v>59443849</v>
      </c>
      <c r="B3834" t="s">
        <v>2177</v>
      </c>
      <c r="C3834" t="s">
        <v>8757</v>
      </c>
      <c r="D3834" t="s">
        <v>8758</v>
      </c>
      <c r="E3834">
        <v>3195417715</v>
      </c>
      <c r="F3834" t="s">
        <v>551</v>
      </c>
      <c r="G3834" t="s">
        <v>552</v>
      </c>
      <c r="I3834" t="s">
        <v>42</v>
      </c>
      <c r="J3834" s="13">
        <v>46031</v>
      </c>
      <c r="K3834" s="13">
        <v>46054</v>
      </c>
      <c r="L3834" t="s">
        <v>470</v>
      </c>
      <c r="M3834" t="s">
        <v>61</v>
      </c>
      <c r="N3834">
        <v>73133922</v>
      </c>
    </row>
    <row r="3835" spans="1:14" x14ac:dyDescent="0.25">
      <c r="A3835">
        <v>59444373</v>
      </c>
      <c r="B3835" t="s">
        <v>702</v>
      </c>
      <c r="C3835" t="s">
        <v>8759</v>
      </c>
      <c r="D3835" t="s">
        <v>8760</v>
      </c>
      <c r="E3835">
        <v>8133686612</v>
      </c>
      <c r="F3835" t="s">
        <v>448</v>
      </c>
      <c r="G3835" t="s">
        <v>449</v>
      </c>
      <c r="I3835" t="s">
        <v>31</v>
      </c>
      <c r="J3835" s="13">
        <v>46031</v>
      </c>
      <c r="K3835" s="13">
        <v>46054</v>
      </c>
      <c r="L3835" t="s">
        <v>497</v>
      </c>
      <c r="M3835" t="s">
        <v>54</v>
      </c>
      <c r="N3835">
        <v>73134548</v>
      </c>
    </row>
    <row r="3836" spans="1:14" x14ac:dyDescent="0.25">
      <c r="A3836">
        <v>59444827</v>
      </c>
      <c r="B3836" t="s">
        <v>8761</v>
      </c>
      <c r="C3836" t="s">
        <v>8762</v>
      </c>
      <c r="D3836" t="s">
        <v>8763</v>
      </c>
      <c r="E3836">
        <v>8136677340</v>
      </c>
      <c r="F3836" t="s">
        <v>1345</v>
      </c>
      <c r="G3836" t="s">
        <v>799</v>
      </c>
      <c r="I3836" t="s">
        <v>47</v>
      </c>
      <c r="J3836" s="13">
        <v>46031</v>
      </c>
      <c r="K3836" s="13">
        <v>46054</v>
      </c>
      <c r="L3836" t="s">
        <v>497</v>
      </c>
      <c r="M3836" t="s">
        <v>54</v>
      </c>
      <c r="N3836">
        <v>73134863</v>
      </c>
    </row>
    <row r="3837" spans="1:14" x14ac:dyDescent="0.25">
      <c r="A3837">
        <v>59445366</v>
      </c>
      <c r="B3837" t="s">
        <v>8764</v>
      </c>
      <c r="C3837" t="s">
        <v>8765</v>
      </c>
      <c r="D3837" t="s">
        <v>8766</v>
      </c>
      <c r="E3837">
        <v>3347645128</v>
      </c>
      <c r="F3837" t="s">
        <v>474</v>
      </c>
      <c r="G3837" t="s">
        <v>475</v>
      </c>
      <c r="I3837" t="s">
        <v>132</v>
      </c>
      <c r="J3837" s="13">
        <v>46031</v>
      </c>
      <c r="K3837" s="13">
        <v>46054</v>
      </c>
      <c r="L3837" t="s">
        <v>450</v>
      </c>
      <c r="M3837" t="s">
        <v>56</v>
      </c>
      <c r="N3837">
        <v>73135163</v>
      </c>
    </row>
    <row r="3838" spans="1:14" x14ac:dyDescent="0.25">
      <c r="A3838">
        <v>59445385</v>
      </c>
      <c r="B3838" t="s">
        <v>8767</v>
      </c>
      <c r="C3838" t="s">
        <v>423</v>
      </c>
      <c r="D3838" t="s">
        <v>8768</v>
      </c>
      <c r="E3838">
        <v>2253371448</v>
      </c>
      <c r="F3838" t="s">
        <v>770</v>
      </c>
      <c r="G3838" t="s">
        <v>771</v>
      </c>
      <c r="I3838" t="s">
        <v>25</v>
      </c>
      <c r="J3838" s="13">
        <v>46031</v>
      </c>
      <c r="K3838" s="13">
        <v>46054</v>
      </c>
      <c r="L3838" t="s">
        <v>612</v>
      </c>
      <c r="M3838" t="s">
        <v>58</v>
      </c>
      <c r="N3838">
        <v>73135180</v>
      </c>
    </row>
    <row r="3839" spans="1:14" x14ac:dyDescent="0.25">
      <c r="A3839">
        <v>59445699</v>
      </c>
      <c r="B3839" t="s">
        <v>8769</v>
      </c>
      <c r="C3839" t="s">
        <v>8770</v>
      </c>
      <c r="D3839" t="s">
        <v>8771</v>
      </c>
      <c r="E3839">
        <v>4802467550</v>
      </c>
      <c r="F3839" t="s">
        <v>416</v>
      </c>
      <c r="G3839" t="s">
        <v>417</v>
      </c>
      <c r="I3839" t="s">
        <v>26</v>
      </c>
      <c r="J3839" s="13">
        <v>46031</v>
      </c>
      <c r="K3839" s="13">
        <v>46054</v>
      </c>
      <c r="L3839" t="s">
        <v>1179</v>
      </c>
      <c r="M3839" t="s">
        <v>56</v>
      </c>
      <c r="N3839">
        <v>73135603</v>
      </c>
    </row>
    <row r="3840" spans="1:14" x14ac:dyDescent="0.25">
      <c r="A3840">
        <v>59445660</v>
      </c>
      <c r="B3840" t="s">
        <v>8772</v>
      </c>
      <c r="C3840" t="s">
        <v>8442</v>
      </c>
      <c r="D3840" t="s">
        <v>8773</v>
      </c>
      <c r="E3840">
        <v>7073103033</v>
      </c>
      <c r="F3840" t="s">
        <v>705</v>
      </c>
      <c r="G3840" t="s">
        <v>706</v>
      </c>
      <c r="I3840" t="s">
        <v>12</v>
      </c>
      <c r="J3840" s="13">
        <v>46031</v>
      </c>
      <c r="K3840" s="13">
        <v>46054</v>
      </c>
      <c r="L3840" t="s">
        <v>450</v>
      </c>
      <c r="M3840" t="s">
        <v>55</v>
      </c>
      <c r="N3840">
        <v>73135605</v>
      </c>
    </row>
    <row r="3841" spans="1:14" x14ac:dyDescent="0.25">
      <c r="A3841">
        <v>59446043</v>
      </c>
      <c r="B3841" t="s">
        <v>651</v>
      </c>
      <c r="C3841" t="s">
        <v>8774</v>
      </c>
      <c r="D3841" t="s">
        <v>8775</v>
      </c>
      <c r="E3841">
        <v>6234184128</v>
      </c>
      <c r="F3841" t="s">
        <v>448</v>
      </c>
      <c r="G3841" t="s">
        <v>449</v>
      </c>
      <c r="I3841" t="s">
        <v>31</v>
      </c>
      <c r="J3841" s="13">
        <v>46031</v>
      </c>
      <c r="K3841" s="13">
        <v>46054</v>
      </c>
      <c r="L3841" t="s">
        <v>1179</v>
      </c>
      <c r="M3841" t="s">
        <v>55</v>
      </c>
      <c r="N3841">
        <v>73135848</v>
      </c>
    </row>
    <row r="3842" spans="1:14" x14ac:dyDescent="0.25">
      <c r="A3842">
        <v>59446129</v>
      </c>
      <c r="B3842" t="s">
        <v>8776</v>
      </c>
      <c r="C3842" t="s">
        <v>8518</v>
      </c>
      <c r="D3842" t="s">
        <v>8777</v>
      </c>
      <c r="E3842">
        <v>2565715469</v>
      </c>
      <c r="F3842" t="s">
        <v>628</v>
      </c>
      <c r="G3842" t="s">
        <v>629</v>
      </c>
      <c r="I3842" t="s">
        <v>24</v>
      </c>
      <c r="J3842" s="13">
        <v>46031</v>
      </c>
      <c r="K3842" s="13">
        <v>46054</v>
      </c>
      <c r="L3842" t="s">
        <v>450</v>
      </c>
      <c r="M3842" t="s">
        <v>59</v>
      </c>
      <c r="N3842">
        <v>73135910</v>
      </c>
    </row>
    <row r="3843" spans="1:14" x14ac:dyDescent="0.25">
      <c r="A3843">
        <v>59447163</v>
      </c>
      <c r="B3843" t="s">
        <v>737</v>
      </c>
      <c r="C3843" t="s">
        <v>8778</v>
      </c>
      <c r="D3843" t="s">
        <v>8779</v>
      </c>
      <c r="E3843" t="s">
        <v>8780</v>
      </c>
      <c r="F3843" t="s">
        <v>928</v>
      </c>
      <c r="G3843" t="s">
        <v>929</v>
      </c>
      <c r="I3843" t="s">
        <v>30</v>
      </c>
      <c r="J3843" s="13">
        <v>46031</v>
      </c>
      <c r="K3843" s="13">
        <v>46054</v>
      </c>
      <c r="L3843" t="s">
        <v>497</v>
      </c>
      <c r="M3843" t="s">
        <v>58</v>
      </c>
      <c r="N3843">
        <v>73136668</v>
      </c>
    </row>
    <row r="3844" spans="1:14" x14ac:dyDescent="0.25">
      <c r="A3844">
        <v>59447877</v>
      </c>
      <c r="B3844" t="s">
        <v>8781</v>
      </c>
      <c r="C3844" t="s">
        <v>8782</v>
      </c>
      <c r="D3844" t="s">
        <v>8783</v>
      </c>
      <c r="E3844">
        <v>8706327615</v>
      </c>
      <c r="F3844" t="s">
        <v>1067</v>
      </c>
      <c r="G3844" t="s">
        <v>1068</v>
      </c>
      <c r="I3844" t="s">
        <v>35</v>
      </c>
      <c r="J3844" s="13">
        <v>46031</v>
      </c>
      <c r="K3844" s="13">
        <v>46054</v>
      </c>
      <c r="L3844" t="s">
        <v>553</v>
      </c>
      <c r="M3844" t="s">
        <v>56</v>
      </c>
      <c r="N3844">
        <v>73137152</v>
      </c>
    </row>
    <row r="3845" spans="1:14" x14ac:dyDescent="0.25">
      <c r="A3845">
        <v>59447904</v>
      </c>
      <c r="B3845" t="s">
        <v>517</v>
      </c>
      <c r="C3845" t="s">
        <v>8784</v>
      </c>
      <c r="D3845" t="s">
        <v>8785</v>
      </c>
      <c r="E3845">
        <v>4809968010</v>
      </c>
      <c r="F3845" t="s">
        <v>4853</v>
      </c>
      <c r="G3845" t="s">
        <v>5017</v>
      </c>
      <c r="I3845" t="s">
        <v>5018</v>
      </c>
      <c r="J3845" s="13">
        <v>46031</v>
      </c>
      <c r="K3845" s="13">
        <v>46054</v>
      </c>
      <c r="L3845" t="s">
        <v>1179</v>
      </c>
      <c r="M3845" t="s">
        <v>54</v>
      </c>
      <c r="N3845">
        <v>73137170</v>
      </c>
    </row>
    <row r="3846" spans="1:14" x14ac:dyDescent="0.25">
      <c r="A3846">
        <v>59448579</v>
      </c>
      <c r="B3846" t="s">
        <v>8786</v>
      </c>
      <c r="C3846" t="s">
        <v>8787</v>
      </c>
      <c r="D3846" t="s">
        <v>8788</v>
      </c>
      <c r="E3846">
        <v>3529493806</v>
      </c>
      <c r="F3846" t="s">
        <v>474</v>
      </c>
      <c r="G3846" t="s">
        <v>475</v>
      </c>
      <c r="I3846" t="s">
        <v>132</v>
      </c>
      <c r="J3846" s="13">
        <v>46031</v>
      </c>
      <c r="K3846" s="13">
        <v>46054</v>
      </c>
      <c r="L3846" t="s">
        <v>497</v>
      </c>
      <c r="M3846" t="s">
        <v>56</v>
      </c>
      <c r="N3846">
        <v>73137623</v>
      </c>
    </row>
    <row r="3847" spans="1:14" x14ac:dyDescent="0.25">
      <c r="A3847">
        <v>59448701</v>
      </c>
      <c r="B3847" t="s">
        <v>8789</v>
      </c>
      <c r="C3847" t="s">
        <v>8790</v>
      </c>
      <c r="D3847" t="s">
        <v>8791</v>
      </c>
      <c r="E3847">
        <v>2562002120</v>
      </c>
      <c r="F3847" t="s">
        <v>574</v>
      </c>
      <c r="G3847" t="s">
        <v>575</v>
      </c>
      <c r="I3847" t="s">
        <v>14</v>
      </c>
      <c r="J3847" s="13">
        <v>46031</v>
      </c>
      <c r="K3847" s="13">
        <v>46054</v>
      </c>
      <c r="L3847" t="s">
        <v>450</v>
      </c>
      <c r="M3847" t="s">
        <v>58</v>
      </c>
      <c r="N3847">
        <v>73137706</v>
      </c>
    </row>
    <row r="3848" spans="1:14" x14ac:dyDescent="0.25">
      <c r="A3848">
        <v>59448828</v>
      </c>
      <c r="B3848" t="s">
        <v>1123</v>
      </c>
      <c r="C3848" t="s">
        <v>8792</v>
      </c>
      <c r="D3848" t="s">
        <v>8793</v>
      </c>
      <c r="E3848">
        <v>4143445956</v>
      </c>
      <c r="F3848" t="s">
        <v>649</v>
      </c>
      <c r="G3848" t="s">
        <v>650</v>
      </c>
      <c r="I3848" t="s">
        <v>28</v>
      </c>
      <c r="J3848" s="13">
        <v>46031</v>
      </c>
      <c r="K3848" s="13">
        <v>46054</v>
      </c>
      <c r="L3848" t="s">
        <v>533</v>
      </c>
      <c r="M3848" t="s">
        <v>58</v>
      </c>
      <c r="N3848">
        <v>73137771</v>
      </c>
    </row>
    <row r="3849" spans="1:14" x14ac:dyDescent="0.25">
      <c r="A3849">
        <v>59449081</v>
      </c>
      <c r="B3849" t="s">
        <v>2193</v>
      </c>
      <c r="C3849" t="s">
        <v>8794</v>
      </c>
      <c r="D3849" t="s">
        <v>8795</v>
      </c>
      <c r="E3849">
        <v>5203581731</v>
      </c>
      <c r="F3849" t="s">
        <v>807</v>
      </c>
      <c r="G3849" t="s">
        <v>808</v>
      </c>
      <c r="I3849" t="s">
        <v>33</v>
      </c>
      <c r="J3849" s="13">
        <v>46031</v>
      </c>
      <c r="K3849" s="13">
        <v>46054</v>
      </c>
      <c r="L3849" t="s">
        <v>1179</v>
      </c>
      <c r="M3849" t="s">
        <v>59</v>
      </c>
      <c r="N3849">
        <v>73137925</v>
      </c>
    </row>
    <row r="3850" spans="1:14" x14ac:dyDescent="0.25">
      <c r="A3850">
        <v>59449314</v>
      </c>
      <c r="B3850" t="s">
        <v>687</v>
      </c>
      <c r="C3850" t="s">
        <v>8796</v>
      </c>
      <c r="D3850" t="s">
        <v>8797</v>
      </c>
      <c r="E3850">
        <v>4075029033</v>
      </c>
      <c r="F3850" t="s">
        <v>474</v>
      </c>
      <c r="G3850" t="s">
        <v>475</v>
      </c>
      <c r="I3850" t="s">
        <v>132</v>
      </c>
      <c r="J3850" s="13">
        <v>46031</v>
      </c>
      <c r="K3850" s="13">
        <v>46054</v>
      </c>
      <c r="L3850" t="s">
        <v>497</v>
      </c>
      <c r="M3850" t="s">
        <v>55</v>
      </c>
      <c r="N3850">
        <v>73138074</v>
      </c>
    </row>
    <row r="3851" spans="1:14" x14ac:dyDescent="0.25">
      <c r="A3851">
        <v>59449517</v>
      </c>
      <c r="B3851" t="s">
        <v>3742</v>
      </c>
      <c r="C3851" t="s">
        <v>8798</v>
      </c>
      <c r="D3851" t="s">
        <v>8799</v>
      </c>
      <c r="E3851">
        <v>4048802274</v>
      </c>
      <c r="F3851" t="s">
        <v>790</v>
      </c>
      <c r="G3851" t="s">
        <v>791</v>
      </c>
      <c r="I3851" t="s">
        <v>119</v>
      </c>
      <c r="J3851" s="13">
        <v>46031</v>
      </c>
      <c r="K3851" s="13">
        <v>46054</v>
      </c>
      <c r="L3851" t="s">
        <v>621</v>
      </c>
      <c r="M3851" t="s">
        <v>56</v>
      </c>
      <c r="N3851">
        <v>73138213</v>
      </c>
    </row>
    <row r="3852" spans="1:14" x14ac:dyDescent="0.25">
      <c r="A3852">
        <v>59449548</v>
      </c>
      <c r="B3852" t="s">
        <v>3354</v>
      </c>
      <c r="C3852" t="s">
        <v>8800</v>
      </c>
      <c r="D3852" t="s">
        <v>8801</v>
      </c>
      <c r="E3852">
        <v>8137033070</v>
      </c>
      <c r="F3852" t="s">
        <v>416</v>
      </c>
      <c r="G3852" t="s">
        <v>417</v>
      </c>
      <c r="I3852" t="s">
        <v>26</v>
      </c>
      <c r="J3852" s="13">
        <v>46031</v>
      </c>
      <c r="K3852" s="13">
        <v>46054</v>
      </c>
      <c r="L3852" t="s">
        <v>497</v>
      </c>
      <c r="M3852" t="s">
        <v>56</v>
      </c>
      <c r="N3852">
        <v>73138230</v>
      </c>
    </row>
    <row r="3853" spans="1:14" x14ac:dyDescent="0.25">
      <c r="A3853">
        <v>59449777</v>
      </c>
      <c r="B3853" t="s">
        <v>645</v>
      </c>
      <c r="C3853" t="s">
        <v>8802</v>
      </c>
      <c r="D3853" t="s">
        <v>8803</v>
      </c>
      <c r="E3853">
        <v>8162611515</v>
      </c>
      <c r="F3853" t="s">
        <v>928</v>
      </c>
      <c r="G3853" t="s">
        <v>929</v>
      </c>
      <c r="I3853" t="s">
        <v>30</v>
      </c>
      <c r="J3853" s="13">
        <v>46031</v>
      </c>
      <c r="K3853" s="13">
        <v>46054</v>
      </c>
      <c r="L3853" t="s">
        <v>434</v>
      </c>
      <c r="M3853" t="s">
        <v>58</v>
      </c>
      <c r="N3853">
        <v>73138357</v>
      </c>
    </row>
    <row r="3854" spans="1:14" x14ac:dyDescent="0.25">
      <c r="A3854">
        <v>59451371</v>
      </c>
      <c r="B3854" t="s">
        <v>1106</v>
      </c>
      <c r="C3854" t="s">
        <v>1389</v>
      </c>
      <c r="D3854" t="s">
        <v>8804</v>
      </c>
      <c r="E3854">
        <v>5202306322</v>
      </c>
      <c r="F3854" t="s">
        <v>4853</v>
      </c>
      <c r="G3854" t="s">
        <v>5017</v>
      </c>
      <c r="I3854" t="s">
        <v>5018</v>
      </c>
      <c r="J3854" s="13">
        <v>46031</v>
      </c>
      <c r="K3854" s="13">
        <v>46054</v>
      </c>
      <c r="L3854" t="s">
        <v>1179</v>
      </c>
      <c r="M3854" t="s">
        <v>54</v>
      </c>
      <c r="N3854">
        <v>73139081</v>
      </c>
    </row>
    <row r="3855" spans="1:14" x14ac:dyDescent="0.25">
      <c r="A3855">
        <v>59451764</v>
      </c>
      <c r="B3855" t="s">
        <v>7862</v>
      </c>
      <c r="C3855" t="s">
        <v>8805</v>
      </c>
      <c r="D3855" t="s">
        <v>8806</v>
      </c>
      <c r="E3855" t="s">
        <v>8807</v>
      </c>
      <c r="F3855" t="s">
        <v>828</v>
      </c>
      <c r="G3855" t="s">
        <v>1148</v>
      </c>
      <c r="I3855" t="s">
        <v>17</v>
      </c>
      <c r="J3855" s="13">
        <v>46031</v>
      </c>
      <c r="K3855" s="13">
        <v>46054</v>
      </c>
      <c r="L3855" t="s">
        <v>497</v>
      </c>
      <c r="M3855" t="s">
        <v>56</v>
      </c>
      <c r="N3855">
        <v>73139267</v>
      </c>
    </row>
    <row r="3856" spans="1:14" x14ac:dyDescent="0.25">
      <c r="A3856">
        <v>59451962</v>
      </c>
      <c r="B3856" t="s">
        <v>2600</v>
      </c>
      <c r="C3856" t="s">
        <v>8808</v>
      </c>
      <c r="D3856" t="s">
        <v>8809</v>
      </c>
      <c r="E3856">
        <v>2162808637</v>
      </c>
      <c r="F3856" t="s">
        <v>798</v>
      </c>
      <c r="G3856" t="s">
        <v>799</v>
      </c>
      <c r="I3856" t="s">
        <v>800</v>
      </c>
      <c r="J3856" s="13">
        <v>46031</v>
      </c>
      <c r="K3856" s="13">
        <v>46054</v>
      </c>
      <c r="L3856" t="s">
        <v>1179</v>
      </c>
      <c r="M3856" t="s">
        <v>58</v>
      </c>
      <c r="N3856">
        <v>73139395</v>
      </c>
    </row>
    <row r="3857" spans="1:14" x14ac:dyDescent="0.25">
      <c r="A3857">
        <v>59467665</v>
      </c>
      <c r="B3857" t="s">
        <v>2418</v>
      </c>
      <c r="C3857" t="s">
        <v>1984</v>
      </c>
      <c r="D3857" t="s">
        <v>8810</v>
      </c>
      <c r="E3857">
        <v>3523212763</v>
      </c>
      <c r="F3857" t="s">
        <v>474</v>
      </c>
      <c r="G3857" t="s">
        <v>475</v>
      </c>
      <c r="I3857" t="s">
        <v>132</v>
      </c>
      <c r="J3857" s="13">
        <v>46034</v>
      </c>
      <c r="K3857" s="13">
        <v>46054</v>
      </c>
      <c r="L3857" t="s">
        <v>497</v>
      </c>
      <c r="M3857" t="s">
        <v>56</v>
      </c>
      <c r="N3857">
        <v>73190261</v>
      </c>
    </row>
    <row r="3858" spans="1:14" x14ac:dyDescent="0.25">
      <c r="A3858">
        <v>59467765</v>
      </c>
      <c r="B3858" t="s">
        <v>8811</v>
      </c>
      <c r="C3858" t="s">
        <v>8812</v>
      </c>
      <c r="D3858" t="s">
        <v>8813</v>
      </c>
      <c r="E3858">
        <v>4802669474</v>
      </c>
      <c r="F3858" t="s">
        <v>569</v>
      </c>
      <c r="G3858" t="s">
        <v>570</v>
      </c>
      <c r="I3858" t="s">
        <v>34</v>
      </c>
      <c r="J3858" s="13">
        <v>46034</v>
      </c>
      <c r="K3858" s="13">
        <v>46054</v>
      </c>
      <c r="L3858" t="s">
        <v>1179</v>
      </c>
      <c r="M3858" t="s">
        <v>54</v>
      </c>
      <c r="N3858">
        <v>73190404</v>
      </c>
    </row>
    <row r="3859" spans="1:14" x14ac:dyDescent="0.25">
      <c r="A3859">
        <v>59468243</v>
      </c>
      <c r="B3859" t="s">
        <v>4908</v>
      </c>
      <c r="C3859" t="s">
        <v>2681</v>
      </c>
      <c r="D3859" t="s">
        <v>8814</v>
      </c>
      <c r="E3859">
        <v>5405753136</v>
      </c>
      <c r="F3859" t="s">
        <v>423</v>
      </c>
      <c r="G3859" t="s">
        <v>424</v>
      </c>
      <c r="I3859" t="s">
        <v>46</v>
      </c>
      <c r="J3859" s="13">
        <v>46034</v>
      </c>
      <c r="K3859" s="13">
        <v>46054</v>
      </c>
      <c r="L3859" t="s">
        <v>454</v>
      </c>
      <c r="M3859" t="s">
        <v>56</v>
      </c>
      <c r="N3859">
        <v>73190687</v>
      </c>
    </row>
    <row r="3860" spans="1:14" x14ac:dyDescent="0.25">
      <c r="A3860">
        <v>59468435</v>
      </c>
      <c r="B3860" t="s">
        <v>8542</v>
      </c>
      <c r="C3860" t="s">
        <v>7997</v>
      </c>
      <c r="D3860" t="s">
        <v>8815</v>
      </c>
      <c r="E3860">
        <v>7144026850</v>
      </c>
      <c r="F3860" t="s">
        <v>416</v>
      </c>
      <c r="G3860" t="s">
        <v>417</v>
      </c>
      <c r="I3860" t="s">
        <v>26</v>
      </c>
      <c r="J3860" s="13">
        <v>46034</v>
      </c>
      <c r="K3860" s="13">
        <v>46054</v>
      </c>
      <c r="L3860" t="s">
        <v>1179</v>
      </c>
      <c r="M3860" t="s">
        <v>54</v>
      </c>
      <c r="N3860">
        <v>73190808</v>
      </c>
    </row>
    <row r="3861" spans="1:14" x14ac:dyDescent="0.25">
      <c r="A3861">
        <v>59469553</v>
      </c>
      <c r="B3861" t="s">
        <v>8816</v>
      </c>
      <c r="C3861" t="s">
        <v>8817</v>
      </c>
      <c r="D3861" t="s">
        <v>8818</v>
      </c>
      <c r="E3861">
        <v>5616333868</v>
      </c>
      <c r="F3861" t="s">
        <v>775</v>
      </c>
      <c r="G3861" t="s">
        <v>776</v>
      </c>
      <c r="I3861" t="s">
        <v>22</v>
      </c>
      <c r="J3861" s="13">
        <v>46034</v>
      </c>
      <c r="K3861" s="13">
        <v>46054</v>
      </c>
      <c r="L3861" t="s">
        <v>497</v>
      </c>
      <c r="M3861" t="s">
        <v>54</v>
      </c>
      <c r="N3861">
        <v>73191821</v>
      </c>
    </row>
    <row r="3862" spans="1:14" x14ac:dyDescent="0.25">
      <c r="A3862">
        <v>59470274</v>
      </c>
      <c r="B3862" t="s">
        <v>4833</v>
      </c>
      <c r="C3862" t="s">
        <v>2681</v>
      </c>
      <c r="D3862" t="s">
        <v>8819</v>
      </c>
      <c r="E3862" t="s">
        <v>8820</v>
      </c>
      <c r="F3862" t="s">
        <v>423</v>
      </c>
      <c r="G3862" t="s">
        <v>424</v>
      </c>
      <c r="I3862" t="s">
        <v>46</v>
      </c>
      <c r="J3862" s="13">
        <v>46034</v>
      </c>
      <c r="K3862" s="13">
        <v>46054</v>
      </c>
      <c r="L3862" t="s">
        <v>454</v>
      </c>
      <c r="M3862" t="s">
        <v>56</v>
      </c>
      <c r="N3862">
        <v>73191828</v>
      </c>
    </row>
    <row r="3863" spans="1:14" x14ac:dyDescent="0.25">
      <c r="A3863">
        <v>59471063</v>
      </c>
      <c r="B3863" t="s">
        <v>5927</v>
      </c>
      <c r="C3863" t="s">
        <v>8821</v>
      </c>
      <c r="D3863" t="s">
        <v>8822</v>
      </c>
      <c r="E3863" t="s">
        <v>8823</v>
      </c>
      <c r="F3863" t="s">
        <v>551</v>
      </c>
      <c r="G3863" t="s">
        <v>552</v>
      </c>
      <c r="I3863" t="s">
        <v>42</v>
      </c>
      <c r="J3863" s="13">
        <v>46034</v>
      </c>
      <c r="K3863" s="13">
        <v>46054</v>
      </c>
      <c r="L3863" t="s">
        <v>497</v>
      </c>
      <c r="M3863" t="s">
        <v>56</v>
      </c>
      <c r="N3863">
        <v>73192948</v>
      </c>
    </row>
    <row r="3864" spans="1:14" x14ac:dyDescent="0.25">
      <c r="A3864">
        <v>59471123</v>
      </c>
      <c r="B3864" t="s">
        <v>1773</v>
      </c>
      <c r="C3864" t="s">
        <v>8824</v>
      </c>
      <c r="D3864" t="s">
        <v>8825</v>
      </c>
      <c r="E3864">
        <v>9048023709</v>
      </c>
      <c r="F3864" t="s">
        <v>462</v>
      </c>
      <c r="G3864" t="s">
        <v>463</v>
      </c>
      <c r="I3864" t="s">
        <v>39</v>
      </c>
      <c r="J3864" s="13">
        <v>46034</v>
      </c>
      <c r="K3864" s="13">
        <v>46054</v>
      </c>
      <c r="L3864" t="s">
        <v>497</v>
      </c>
      <c r="M3864" t="s">
        <v>58</v>
      </c>
      <c r="N3864">
        <v>73193102</v>
      </c>
    </row>
    <row r="3865" spans="1:14" x14ac:dyDescent="0.25">
      <c r="A3865">
        <v>59471268</v>
      </c>
      <c r="B3865" t="s">
        <v>3351</v>
      </c>
      <c r="C3865" t="s">
        <v>8826</v>
      </c>
      <c r="D3865" t="s">
        <v>8827</v>
      </c>
      <c r="E3865">
        <v>7192432000</v>
      </c>
      <c r="F3865" t="s">
        <v>474</v>
      </c>
      <c r="G3865" t="s">
        <v>475</v>
      </c>
      <c r="I3865" t="s">
        <v>132</v>
      </c>
      <c r="J3865" s="13">
        <v>46034</v>
      </c>
      <c r="K3865" s="13">
        <v>46054</v>
      </c>
      <c r="L3865" t="s">
        <v>539</v>
      </c>
      <c r="M3865" t="s">
        <v>59</v>
      </c>
      <c r="N3865">
        <v>73193206</v>
      </c>
    </row>
    <row r="3866" spans="1:14" x14ac:dyDescent="0.25">
      <c r="A3866">
        <v>59471282</v>
      </c>
      <c r="B3866" t="s">
        <v>1160</v>
      </c>
      <c r="C3866" t="s">
        <v>8828</v>
      </c>
      <c r="D3866" t="s">
        <v>8829</v>
      </c>
      <c r="E3866">
        <v>2058630532</v>
      </c>
      <c r="F3866" t="s">
        <v>828</v>
      </c>
      <c r="G3866" t="s">
        <v>1148</v>
      </c>
      <c r="I3866" t="s">
        <v>17</v>
      </c>
      <c r="J3866" s="13">
        <v>46034</v>
      </c>
      <c r="K3866" s="13">
        <v>46054</v>
      </c>
      <c r="L3866" t="s">
        <v>450</v>
      </c>
      <c r="M3866" t="s">
        <v>55</v>
      </c>
      <c r="N3866">
        <v>73193217</v>
      </c>
    </row>
    <row r="3867" spans="1:14" x14ac:dyDescent="0.25">
      <c r="A3867">
        <v>59471331</v>
      </c>
      <c r="B3867" t="s">
        <v>8830</v>
      </c>
      <c r="C3867" t="s">
        <v>8831</v>
      </c>
      <c r="D3867" t="s">
        <v>8832</v>
      </c>
      <c r="E3867">
        <v>7274559414</v>
      </c>
      <c r="F3867" t="s">
        <v>1067</v>
      </c>
      <c r="G3867" t="s">
        <v>1068</v>
      </c>
      <c r="I3867" t="s">
        <v>35</v>
      </c>
      <c r="J3867" s="13">
        <v>46034</v>
      </c>
      <c r="K3867" s="13">
        <v>46054</v>
      </c>
      <c r="L3867" t="s">
        <v>497</v>
      </c>
      <c r="M3867" t="s">
        <v>56</v>
      </c>
      <c r="N3867">
        <v>73193259</v>
      </c>
    </row>
    <row r="3868" spans="1:14" x14ac:dyDescent="0.25">
      <c r="A3868">
        <v>59474763</v>
      </c>
      <c r="B3868" t="s">
        <v>2972</v>
      </c>
      <c r="C3868" t="s">
        <v>957</v>
      </c>
      <c r="D3868" t="s">
        <v>8833</v>
      </c>
      <c r="E3868">
        <v>5733150305</v>
      </c>
      <c r="F3868" t="s">
        <v>448</v>
      </c>
      <c r="G3868" t="s">
        <v>449</v>
      </c>
      <c r="I3868" t="s">
        <v>31</v>
      </c>
      <c r="J3868" s="13">
        <v>46034</v>
      </c>
      <c r="K3868" s="13">
        <v>46054</v>
      </c>
      <c r="L3868" t="s">
        <v>434</v>
      </c>
      <c r="M3868" t="s">
        <v>59</v>
      </c>
      <c r="N3868">
        <v>73194964</v>
      </c>
    </row>
    <row r="3869" spans="1:14" x14ac:dyDescent="0.25">
      <c r="A3869">
        <v>59476461</v>
      </c>
      <c r="B3869" t="s">
        <v>1872</v>
      </c>
      <c r="C3869" t="s">
        <v>8834</v>
      </c>
      <c r="D3869" t="s">
        <v>8835</v>
      </c>
      <c r="E3869">
        <v>4809809065</v>
      </c>
      <c r="F3869" t="s">
        <v>416</v>
      </c>
      <c r="G3869" t="s">
        <v>417</v>
      </c>
      <c r="I3869" t="s">
        <v>26</v>
      </c>
      <c r="J3869" s="13">
        <v>46034</v>
      </c>
      <c r="K3869" s="13">
        <v>46054</v>
      </c>
      <c r="L3869" t="s">
        <v>1179</v>
      </c>
      <c r="M3869" t="s">
        <v>54</v>
      </c>
      <c r="N3869">
        <v>73196177</v>
      </c>
    </row>
    <row r="3870" spans="1:14" x14ac:dyDescent="0.25">
      <c r="A3870">
        <v>59477212</v>
      </c>
      <c r="B3870" t="s">
        <v>5305</v>
      </c>
      <c r="C3870" t="s">
        <v>8836</v>
      </c>
      <c r="D3870" t="s">
        <v>8837</v>
      </c>
      <c r="E3870">
        <v>9545739926</v>
      </c>
      <c r="F3870" t="s">
        <v>1067</v>
      </c>
      <c r="G3870" t="s">
        <v>1068</v>
      </c>
      <c r="I3870" t="s">
        <v>35</v>
      </c>
      <c r="J3870" s="13">
        <v>46034</v>
      </c>
      <c r="K3870" s="13">
        <v>46054</v>
      </c>
      <c r="L3870" t="s">
        <v>497</v>
      </c>
      <c r="M3870" t="s">
        <v>56</v>
      </c>
      <c r="N3870">
        <v>73196712</v>
      </c>
    </row>
    <row r="3871" spans="1:14" x14ac:dyDescent="0.25">
      <c r="A3871">
        <v>59477590</v>
      </c>
      <c r="B3871" t="s">
        <v>1106</v>
      </c>
      <c r="C3871" t="s">
        <v>8838</v>
      </c>
      <c r="D3871" t="s">
        <v>8839</v>
      </c>
      <c r="E3871">
        <v>3146161897</v>
      </c>
      <c r="F3871" t="s">
        <v>628</v>
      </c>
      <c r="G3871" t="s">
        <v>629</v>
      </c>
      <c r="I3871" t="s">
        <v>24</v>
      </c>
      <c r="J3871" s="13">
        <v>46034</v>
      </c>
      <c r="K3871" s="13">
        <v>46054</v>
      </c>
      <c r="L3871" t="s">
        <v>434</v>
      </c>
      <c r="M3871" t="s">
        <v>56</v>
      </c>
      <c r="N3871">
        <v>73196953</v>
      </c>
    </row>
    <row r="3872" spans="1:14" x14ac:dyDescent="0.25">
      <c r="A3872">
        <v>59478513</v>
      </c>
      <c r="B3872" t="s">
        <v>2296</v>
      </c>
      <c r="C3872" t="s">
        <v>8840</v>
      </c>
      <c r="D3872" t="s">
        <v>8841</v>
      </c>
      <c r="E3872" t="s">
        <v>8842</v>
      </c>
      <c r="F3872" t="s">
        <v>775</v>
      </c>
      <c r="G3872" t="s">
        <v>776</v>
      </c>
      <c r="I3872" t="s">
        <v>22</v>
      </c>
      <c r="J3872" s="13">
        <v>46034</v>
      </c>
      <c r="K3872" s="13">
        <v>46054</v>
      </c>
      <c r="L3872" t="s">
        <v>490</v>
      </c>
      <c r="M3872" t="s">
        <v>56</v>
      </c>
      <c r="N3872">
        <v>73197356</v>
      </c>
    </row>
    <row r="3873" spans="1:14" x14ac:dyDescent="0.25">
      <c r="A3873">
        <v>59478952</v>
      </c>
      <c r="B3873" t="s">
        <v>3914</v>
      </c>
      <c r="C3873" t="s">
        <v>2482</v>
      </c>
      <c r="D3873" t="s">
        <v>8843</v>
      </c>
      <c r="E3873">
        <v>3185198164</v>
      </c>
      <c r="F3873" t="s">
        <v>569</v>
      </c>
      <c r="G3873" t="s">
        <v>570</v>
      </c>
      <c r="I3873" t="s">
        <v>34</v>
      </c>
      <c r="J3873" s="13">
        <v>46034</v>
      </c>
      <c r="K3873" s="13">
        <v>46054</v>
      </c>
      <c r="L3873" t="s">
        <v>612</v>
      </c>
      <c r="M3873" t="s">
        <v>58</v>
      </c>
      <c r="N3873">
        <v>73197550</v>
      </c>
    </row>
    <row r="3874" spans="1:14" x14ac:dyDescent="0.25">
      <c r="A3874">
        <v>59480821</v>
      </c>
      <c r="B3874" t="s">
        <v>501</v>
      </c>
      <c r="C3874" t="s">
        <v>8844</v>
      </c>
      <c r="D3874" t="s">
        <v>8845</v>
      </c>
      <c r="E3874">
        <v>9415451819</v>
      </c>
      <c r="F3874" t="s">
        <v>448</v>
      </c>
      <c r="G3874" t="s">
        <v>449</v>
      </c>
      <c r="I3874" t="s">
        <v>31</v>
      </c>
      <c r="J3874" s="13">
        <v>46034</v>
      </c>
      <c r="K3874" s="13">
        <v>46054</v>
      </c>
      <c r="L3874" t="s">
        <v>497</v>
      </c>
      <c r="M3874" t="s">
        <v>56</v>
      </c>
      <c r="N3874">
        <v>73198778</v>
      </c>
    </row>
    <row r="3875" spans="1:14" x14ac:dyDescent="0.25">
      <c r="A3875">
        <v>59480983</v>
      </c>
      <c r="B3875" t="s">
        <v>8846</v>
      </c>
      <c r="C3875" t="s">
        <v>8847</v>
      </c>
      <c r="D3875" t="s">
        <v>8848</v>
      </c>
      <c r="E3875">
        <v>4796536228</v>
      </c>
      <c r="F3875" t="s">
        <v>828</v>
      </c>
      <c r="G3875" t="s">
        <v>1148</v>
      </c>
      <c r="I3875" t="s">
        <v>17</v>
      </c>
      <c r="J3875" s="13">
        <v>46034</v>
      </c>
      <c r="K3875" s="13">
        <v>46054</v>
      </c>
      <c r="L3875" t="s">
        <v>553</v>
      </c>
      <c r="M3875" t="s">
        <v>56</v>
      </c>
      <c r="N3875">
        <v>73198842</v>
      </c>
    </row>
    <row r="3876" spans="1:14" x14ac:dyDescent="0.25">
      <c r="A3876">
        <v>59481926</v>
      </c>
      <c r="B3876" t="s">
        <v>4120</v>
      </c>
      <c r="C3876" t="s">
        <v>8849</v>
      </c>
      <c r="D3876" t="s">
        <v>8850</v>
      </c>
      <c r="E3876">
        <v>9415451819</v>
      </c>
      <c r="F3876" t="s">
        <v>448</v>
      </c>
      <c r="G3876" t="s">
        <v>449</v>
      </c>
      <c r="I3876" t="s">
        <v>31</v>
      </c>
      <c r="J3876" s="13">
        <v>46034</v>
      </c>
      <c r="K3876" s="13">
        <v>46054</v>
      </c>
      <c r="L3876" t="s">
        <v>497</v>
      </c>
      <c r="M3876" t="s">
        <v>56</v>
      </c>
      <c r="N3876">
        <v>73199447</v>
      </c>
    </row>
    <row r="3877" spans="1:14" x14ac:dyDescent="0.25">
      <c r="A3877">
        <v>60282513</v>
      </c>
      <c r="B3877" t="s">
        <v>2600</v>
      </c>
      <c r="C3877" t="s">
        <v>8851</v>
      </c>
      <c r="D3877" t="s">
        <v>8852</v>
      </c>
      <c r="E3877">
        <v>4077015655</v>
      </c>
      <c r="F3877" t="s">
        <v>1013</v>
      </c>
      <c r="G3877" t="s">
        <v>1014</v>
      </c>
      <c r="I3877" t="s">
        <v>43</v>
      </c>
      <c r="J3877" s="13">
        <v>46058</v>
      </c>
      <c r="K3877" s="13">
        <v>46082</v>
      </c>
      <c r="L3877" t="s">
        <v>497</v>
      </c>
      <c r="M3877" t="s">
        <v>56</v>
      </c>
      <c r="N3877">
        <v>73199803</v>
      </c>
    </row>
    <row r="3878" spans="1:14" x14ac:dyDescent="0.25">
      <c r="A3878">
        <v>59482337</v>
      </c>
      <c r="B3878" t="s">
        <v>2972</v>
      </c>
      <c r="C3878" t="s">
        <v>8853</v>
      </c>
      <c r="D3878" t="s">
        <v>8854</v>
      </c>
      <c r="E3878">
        <v>5109325845</v>
      </c>
      <c r="F3878" t="s">
        <v>807</v>
      </c>
      <c r="G3878" t="s">
        <v>808</v>
      </c>
      <c r="I3878" t="s">
        <v>33</v>
      </c>
      <c r="J3878" s="13">
        <v>46034</v>
      </c>
      <c r="K3878" s="13">
        <v>46054</v>
      </c>
      <c r="L3878" t="s">
        <v>1179</v>
      </c>
      <c r="M3878" t="s">
        <v>54</v>
      </c>
      <c r="N3878">
        <v>73199832</v>
      </c>
    </row>
    <row r="3879" spans="1:14" x14ac:dyDescent="0.25">
      <c r="A3879">
        <v>59483015</v>
      </c>
      <c r="B3879" t="s">
        <v>8855</v>
      </c>
      <c r="C3879" t="s">
        <v>1068</v>
      </c>
      <c r="D3879" t="s">
        <v>8856</v>
      </c>
      <c r="E3879">
        <v>9047884149</v>
      </c>
      <c r="F3879" t="s">
        <v>551</v>
      </c>
      <c r="G3879" t="s">
        <v>552</v>
      </c>
      <c r="I3879" t="s">
        <v>42</v>
      </c>
      <c r="J3879" s="13">
        <v>46034</v>
      </c>
      <c r="K3879" s="13">
        <v>46054</v>
      </c>
      <c r="L3879" t="s">
        <v>497</v>
      </c>
      <c r="M3879" t="s">
        <v>56</v>
      </c>
      <c r="N3879">
        <v>73200126</v>
      </c>
    </row>
    <row r="3880" spans="1:14" x14ac:dyDescent="0.25">
      <c r="A3880">
        <v>59483734</v>
      </c>
      <c r="B3880" t="s">
        <v>706</v>
      </c>
      <c r="C3880" t="s">
        <v>5052</v>
      </c>
      <c r="D3880" t="s">
        <v>8857</v>
      </c>
      <c r="E3880">
        <v>4805406392</v>
      </c>
      <c r="F3880" t="s">
        <v>416</v>
      </c>
      <c r="G3880" t="s">
        <v>417</v>
      </c>
      <c r="I3880" t="s">
        <v>26</v>
      </c>
      <c r="J3880" s="13">
        <v>46034</v>
      </c>
      <c r="K3880" s="13">
        <v>46054</v>
      </c>
      <c r="L3880" t="s">
        <v>1179</v>
      </c>
      <c r="M3880" t="s">
        <v>54</v>
      </c>
      <c r="N3880">
        <v>73200745</v>
      </c>
    </row>
    <row r="3881" spans="1:14" x14ac:dyDescent="0.25">
      <c r="A3881">
        <v>59485258</v>
      </c>
      <c r="B3881" t="s">
        <v>517</v>
      </c>
      <c r="C3881" t="s">
        <v>8858</v>
      </c>
      <c r="D3881" t="s">
        <v>8859</v>
      </c>
      <c r="E3881">
        <v>4807588496</v>
      </c>
      <c r="F3881" t="s">
        <v>569</v>
      </c>
      <c r="G3881" t="s">
        <v>570</v>
      </c>
      <c r="I3881" t="s">
        <v>34</v>
      </c>
      <c r="J3881" s="13">
        <v>46034</v>
      </c>
      <c r="K3881" s="13">
        <v>46054</v>
      </c>
      <c r="L3881" t="s">
        <v>1179</v>
      </c>
      <c r="M3881" t="s">
        <v>54</v>
      </c>
      <c r="N3881">
        <v>73204646</v>
      </c>
    </row>
    <row r="3882" spans="1:14" x14ac:dyDescent="0.25">
      <c r="A3882">
        <v>59485311</v>
      </c>
      <c r="B3882" t="s">
        <v>1148</v>
      </c>
      <c r="C3882" t="s">
        <v>3467</v>
      </c>
      <c r="D3882" t="s">
        <v>8860</v>
      </c>
      <c r="E3882">
        <v>2285677499</v>
      </c>
      <c r="F3882" t="s">
        <v>705</v>
      </c>
      <c r="G3882" t="s">
        <v>706</v>
      </c>
      <c r="I3882" t="s">
        <v>12</v>
      </c>
      <c r="J3882" s="13">
        <v>46034</v>
      </c>
      <c r="K3882" s="13">
        <v>46054</v>
      </c>
      <c r="L3882" t="s">
        <v>450</v>
      </c>
      <c r="M3882" t="s">
        <v>55</v>
      </c>
      <c r="N3882">
        <v>73204690</v>
      </c>
    </row>
    <row r="3883" spans="1:14" x14ac:dyDescent="0.25">
      <c r="A3883">
        <v>59488845</v>
      </c>
      <c r="B3883" t="s">
        <v>899</v>
      </c>
      <c r="C3883" t="s">
        <v>3373</v>
      </c>
      <c r="D3883" t="s">
        <v>8861</v>
      </c>
      <c r="E3883">
        <v>7403501512</v>
      </c>
      <c r="F3883" t="s">
        <v>828</v>
      </c>
      <c r="G3883" t="s">
        <v>1148</v>
      </c>
      <c r="I3883" t="s">
        <v>17</v>
      </c>
      <c r="J3883" s="13">
        <v>46034</v>
      </c>
      <c r="K3883" s="13">
        <v>46054</v>
      </c>
      <c r="L3883" t="s">
        <v>418</v>
      </c>
      <c r="M3883" t="s">
        <v>60</v>
      </c>
      <c r="N3883">
        <v>73207439</v>
      </c>
    </row>
    <row r="3884" spans="1:14" x14ac:dyDescent="0.25">
      <c r="A3884">
        <v>59489020</v>
      </c>
      <c r="B3884" t="s">
        <v>8862</v>
      </c>
      <c r="C3884" t="s">
        <v>3874</v>
      </c>
      <c r="D3884" t="s">
        <v>8863</v>
      </c>
      <c r="E3884">
        <v>5204149010</v>
      </c>
      <c r="F3884" t="s">
        <v>416</v>
      </c>
      <c r="G3884" t="s">
        <v>417</v>
      </c>
      <c r="I3884" t="s">
        <v>26</v>
      </c>
      <c r="J3884" s="13">
        <v>46034</v>
      </c>
      <c r="K3884" s="13">
        <v>46054</v>
      </c>
      <c r="L3884" t="s">
        <v>1179</v>
      </c>
      <c r="M3884" t="s">
        <v>54</v>
      </c>
      <c r="N3884">
        <v>73207540</v>
      </c>
    </row>
    <row r="3885" spans="1:14" x14ac:dyDescent="0.25">
      <c r="A3885">
        <v>59496183</v>
      </c>
      <c r="B3885" t="s">
        <v>1675</v>
      </c>
      <c r="C3885" t="s">
        <v>8864</v>
      </c>
      <c r="D3885" t="s">
        <v>8865</v>
      </c>
      <c r="F3885" t="s">
        <v>1013</v>
      </c>
      <c r="G3885" t="s">
        <v>1014</v>
      </c>
      <c r="I3885" t="s">
        <v>43</v>
      </c>
      <c r="J3885" s="13">
        <v>46035</v>
      </c>
      <c r="K3885" s="13">
        <v>46054</v>
      </c>
      <c r="L3885" t="s">
        <v>603</v>
      </c>
      <c r="M3885" t="s">
        <v>56</v>
      </c>
      <c r="N3885">
        <v>73212887</v>
      </c>
    </row>
    <row r="3886" spans="1:14" x14ac:dyDescent="0.25">
      <c r="A3886">
        <v>59505952</v>
      </c>
      <c r="B3886" t="s">
        <v>1699</v>
      </c>
      <c r="C3886" t="s">
        <v>8866</v>
      </c>
      <c r="D3886" t="s">
        <v>8867</v>
      </c>
      <c r="E3886">
        <v>7156064463</v>
      </c>
      <c r="F3886" t="s">
        <v>928</v>
      </c>
      <c r="G3886" t="s">
        <v>929</v>
      </c>
      <c r="I3886" t="s">
        <v>30</v>
      </c>
      <c r="J3886" s="13">
        <v>46035</v>
      </c>
      <c r="K3886" s="13">
        <v>46054</v>
      </c>
      <c r="L3886" t="s">
        <v>675</v>
      </c>
      <c r="M3886" t="s">
        <v>419</v>
      </c>
      <c r="N3886">
        <v>73213267</v>
      </c>
    </row>
    <row r="3887" spans="1:14" x14ac:dyDescent="0.25">
      <c r="A3887">
        <v>59498334</v>
      </c>
      <c r="B3887" t="s">
        <v>1297</v>
      </c>
      <c r="C3887" t="s">
        <v>4115</v>
      </c>
      <c r="D3887" t="s">
        <v>8868</v>
      </c>
      <c r="E3887">
        <v>5016555371</v>
      </c>
      <c r="F3887" t="s">
        <v>705</v>
      </c>
      <c r="G3887" t="s">
        <v>706</v>
      </c>
      <c r="I3887" t="s">
        <v>12</v>
      </c>
      <c r="J3887" s="13">
        <v>46035</v>
      </c>
      <c r="K3887" s="13">
        <v>46054</v>
      </c>
      <c r="L3887" t="s">
        <v>553</v>
      </c>
      <c r="M3887" t="s">
        <v>60</v>
      </c>
      <c r="N3887">
        <v>73214894</v>
      </c>
    </row>
    <row r="3888" spans="1:14" x14ac:dyDescent="0.25">
      <c r="A3888">
        <v>59498429</v>
      </c>
      <c r="B3888" t="s">
        <v>8869</v>
      </c>
      <c r="C3888" t="s">
        <v>8870</v>
      </c>
      <c r="D3888" t="s">
        <v>8871</v>
      </c>
      <c r="E3888">
        <v>2109049097</v>
      </c>
      <c r="F3888" t="s">
        <v>1013</v>
      </c>
      <c r="G3888" t="s">
        <v>1014</v>
      </c>
      <c r="I3888" t="s">
        <v>43</v>
      </c>
      <c r="J3888" s="13">
        <v>46035</v>
      </c>
      <c r="K3888" s="13">
        <v>46055</v>
      </c>
      <c r="L3888" t="s">
        <v>444</v>
      </c>
      <c r="M3888" t="s">
        <v>59</v>
      </c>
      <c r="N3888">
        <v>73214929</v>
      </c>
    </row>
    <row r="3889" spans="1:14" x14ac:dyDescent="0.25">
      <c r="A3889">
        <v>59499244</v>
      </c>
      <c r="B3889" t="s">
        <v>8872</v>
      </c>
      <c r="C3889" t="s">
        <v>8873</v>
      </c>
      <c r="D3889" t="s">
        <v>8874</v>
      </c>
      <c r="E3889">
        <v>2623536112</v>
      </c>
      <c r="F3889" t="s">
        <v>628</v>
      </c>
      <c r="G3889" t="s">
        <v>629</v>
      </c>
      <c r="I3889" t="s">
        <v>24</v>
      </c>
      <c r="J3889" s="13">
        <v>46035</v>
      </c>
      <c r="K3889" s="13">
        <v>46054</v>
      </c>
      <c r="L3889" t="s">
        <v>675</v>
      </c>
      <c r="M3889" t="s">
        <v>58</v>
      </c>
      <c r="N3889">
        <v>73215671</v>
      </c>
    </row>
    <row r="3890" spans="1:14" x14ac:dyDescent="0.25">
      <c r="A3890">
        <v>59500283</v>
      </c>
      <c r="B3890" t="s">
        <v>954</v>
      </c>
      <c r="C3890" t="s">
        <v>4853</v>
      </c>
      <c r="D3890" t="s">
        <v>8875</v>
      </c>
      <c r="E3890">
        <v>9047590240</v>
      </c>
      <c r="F3890" t="s">
        <v>828</v>
      </c>
      <c r="G3890" t="s">
        <v>1148</v>
      </c>
      <c r="I3890" t="s">
        <v>17</v>
      </c>
      <c r="J3890" s="13">
        <v>46035</v>
      </c>
      <c r="K3890" s="13">
        <v>46054</v>
      </c>
      <c r="L3890" t="s">
        <v>497</v>
      </c>
      <c r="M3890" t="s">
        <v>56</v>
      </c>
      <c r="N3890">
        <v>73216676</v>
      </c>
    </row>
    <row r="3891" spans="1:14" x14ac:dyDescent="0.25">
      <c r="A3891">
        <v>59500626</v>
      </c>
      <c r="B3891" t="s">
        <v>2794</v>
      </c>
      <c r="C3891" t="s">
        <v>8876</v>
      </c>
      <c r="D3891" t="s">
        <v>8877</v>
      </c>
      <c r="E3891" t="s">
        <v>8878</v>
      </c>
      <c r="F3891" t="s">
        <v>474</v>
      </c>
      <c r="G3891" t="s">
        <v>475</v>
      </c>
      <c r="I3891" t="s">
        <v>132</v>
      </c>
      <c r="J3891" s="13">
        <v>46035</v>
      </c>
      <c r="K3891" s="13">
        <v>46054</v>
      </c>
      <c r="L3891" t="s">
        <v>497</v>
      </c>
      <c r="M3891" t="s">
        <v>56</v>
      </c>
      <c r="N3891">
        <v>73216890</v>
      </c>
    </row>
    <row r="3892" spans="1:14" x14ac:dyDescent="0.25">
      <c r="A3892">
        <v>59501412</v>
      </c>
      <c r="B3892" t="s">
        <v>8879</v>
      </c>
      <c r="C3892" t="s">
        <v>8880</v>
      </c>
      <c r="D3892" t="s">
        <v>8881</v>
      </c>
      <c r="E3892">
        <v>6027084184</v>
      </c>
      <c r="F3892" t="s">
        <v>775</v>
      </c>
      <c r="G3892" t="s">
        <v>776</v>
      </c>
      <c r="I3892" t="s">
        <v>22</v>
      </c>
      <c r="J3892" s="13">
        <v>46035</v>
      </c>
      <c r="K3892" s="13">
        <v>46054</v>
      </c>
      <c r="L3892" t="s">
        <v>1179</v>
      </c>
      <c r="M3892" t="s">
        <v>54</v>
      </c>
      <c r="N3892">
        <v>73217328</v>
      </c>
    </row>
    <row r="3893" spans="1:14" x14ac:dyDescent="0.25">
      <c r="A3893">
        <v>59503120</v>
      </c>
      <c r="B3893" t="s">
        <v>1472</v>
      </c>
      <c r="C3893" t="s">
        <v>8882</v>
      </c>
      <c r="D3893" t="s">
        <v>8883</v>
      </c>
      <c r="E3893">
        <v>6026007388</v>
      </c>
      <c r="F3893" t="s">
        <v>1013</v>
      </c>
      <c r="G3893" t="s">
        <v>1014</v>
      </c>
      <c r="I3893" t="s">
        <v>43</v>
      </c>
      <c r="J3893" s="13">
        <v>46035</v>
      </c>
      <c r="K3893" s="13">
        <v>46054</v>
      </c>
      <c r="L3893" t="s">
        <v>1179</v>
      </c>
      <c r="M3893" t="s">
        <v>55</v>
      </c>
      <c r="N3893">
        <v>73218233</v>
      </c>
    </row>
    <row r="3894" spans="1:14" x14ac:dyDescent="0.25">
      <c r="A3894">
        <v>59503559</v>
      </c>
      <c r="B3894" t="s">
        <v>1185</v>
      </c>
      <c r="C3894" t="s">
        <v>8884</v>
      </c>
      <c r="D3894" t="s">
        <v>8885</v>
      </c>
      <c r="E3894">
        <v>8508660960</v>
      </c>
      <c r="F3894" t="s">
        <v>448</v>
      </c>
      <c r="G3894" t="s">
        <v>449</v>
      </c>
      <c r="I3894" t="s">
        <v>31</v>
      </c>
      <c r="J3894" s="13">
        <v>46035</v>
      </c>
      <c r="K3894" s="13">
        <v>46054</v>
      </c>
      <c r="L3894" t="s">
        <v>497</v>
      </c>
      <c r="M3894" t="s">
        <v>56</v>
      </c>
      <c r="N3894">
        <v>73218603</v>
      </c>
    </row>
    <row r="3895" spans="1:14" x14ac:dyDescent="0.25">
      <c r="A3895">
        <v>59504314</v>
      </c>
      <c r="B3895" t="s">
        <v>1621</v>
      </c>
      <c r="C3895" t="s">
        <v>8886</v>
      </c>
      <c r="D3895" t="s">
        <v>8887</v>
      </c>
      <c r="E3895">
        <v>6028561798</v>
      </c>
      <c r="F3895" t="s">
        <v>807</v>
      </c>
      <c r="G3895" t="s">
        <v>808</v>
      </c>
      <c r="I3895" t="s">
        <v>33</v>
      </c>
      <c r="J3895" s="13">
        <v>46035</v>
      </c>
      <c r="K3895" s="13">
        <v>46054</v>
      </c>
      <c r="L3895" t="s">
        <v>1179</v>
      </c>
      <c r="M3895" t="s">
        <v>59</v>
      </c>
      <c r="N3895">
        <v>73219059</v>
      </c>
    </row>
    <row r="3896" spans="1:14" x14ac:dyDescent="0.25">
      <c r="A3896">
        <v>59509170</v>
      </c>
      <c r="B3896" t="s">
        <v>3252</v>
      </c>
      <c r="C3896" t="s">
        <v>8888</v>
      </c>
      <c r="D3896" t="s">
        <v>8889</v>
      </c>
      <c r="E3896">
        <v>9786900041</v>
      </c>
      <c r="F3896" t="s">
        <v>649</v>
      </c>
      <c r="G3896" t="s">
        <v>650</v>
      </c>
      <c r="I3896" t="s">
        <v>28</v>
      </c>
      <c r="J3896" s="13">
        <v>46035</v>
      </c>
      <c r="K3896" s="13">
        <v>46054</v>
      </c>
      <c r="L3896" t="s">
        <v>418</v>
      </c>
      <c r="M3896" t="s">
        <v>59</v>
      </c>
      <c r="N3896">
        <v>73222848</v>
      </c>
    </row>
    <row r="3897" spans="1:14" x14ac:dyDescent="0.25">
      <c r="A3897">
        <v>59509880</v>
      </c>
      <c r="B3897" t="s">
        <v>712</v>
      </c>
      <c r="C3897" t="s">
        <v>6436</v>
      </c>
      <c r="D3897" t="s">
        <v>8890</v>
      </c>
      <c r="E3897">
        <v>4807990107</v>
      </c>
      <c r="F3897" t="s">
        <v>416</v>
      </c>
      <c r="G3897" t="s">
        <v>417</v>
      </c>
      <c r="I3897" t="s">
        <v>26</v>
      </c>
      <c r="J3897" s="13">
        <v>46035</v>
      </c>
      <c r="K3897" s="13">
        <v>46054</v>
      </c>
      <c r="L3897" t="s">
        <v>1179</v>
      </c>
      <c r="M3897" t="s">
        <v>56</v>
      </c>
      <c r="N3897">
        <v>73223068</v>
      </c>
    </row>
    <row r="3898" spans="1:14" x14ac:dyDescent="0.25">
      <c r="A3898">
        <v>59511410</v>
      </c>
      <c r="B3898" t="s">
        <v>672</v>
      </c>
      <c r="C3898" t="s">
        <v>8891</v>
      </c>
      <c r="D3898" t="s">
        <v>8892</v>
      </c>
      <c r="E3898">
        <v>8632051184</v>
      </c>
      <c r="F3898" t="s">
        <v>423</v>
      </c>
      <c r="G3898" t="s">
        <v>424</v>
      </c>
      <c r="I3898" t="s">
        <v>46</v>
      </c>
      <c r="J3898" s="13">
        <v>46035</v>
      </c>
      <c r="K3898" s="13">
        <v>46054</v>
      </c>
      <c r="L3898" t="s">
        <v>497</v>
      </c>
      <c r="M3898" t="s">
        <v>58</v>
      </c>
      <c r="N3898">
        <v>73223492</v>
      </c>
    </row>
    <row r="3899" spans="1:14" x14ac:dyDescent="0.25">
      <c r="A3899">
        <v>59510887</v>
      </c>
      <c r="B3899" t="s">
        <v>3742</v>
      </c>
      <c r="C3899" t="s">
        <v>8893</v>
      </c>
      <c r="D3899" t="s">
        <v>8894</v>
      </c>
      <c r="E3899">
        <v>8638775752</v>
      </c>
      <c r="F3899" t="s">
        <v>1067</v>
      </c>
      <c r="G3899" t="s">
        <v>1068</v>
      </c>
      <c r="I3899" t="s">
        <v>35</v>
      </c>
      <c r="J3899" s="13">
        <v>46035</v>
      </c>
      <c r="K3899" s="13">
        <v>46054</v>
      </c>
      <c r="L3899" t="s">
        <v>497</v>
      </c>
      <c r="M3899" t="s">
        <v>56</v>
      </c>
      <c r="N3899">
        <v>73224023</v>
      </c>
    </row>
    <row r="3900" spans="1:14" x14ac:dyDescent="0.25">
      <c r="A3900">
        <v>59512792</v>
      </c>
      <c r="B3900" t="s">
        <v>7798</v>
      </c>
      <c r="C3900" t="s">
        <v>2544</v>
      </c>
      <c r="D3900" t="s">
        <v>8895</v>
      </c>
      <c r="E3900">
        <v>2255379865</v>
      </c>
      <c r="F3900" t="s">
        <v>705</v>
      </c>
      <c r="G3900" t="s">
        <v>706</v>
      </c>
      <c r="I3900" t="s">
        <v>12</v>
      </c>
      <c r="J3900" s="13">
        <v>46035</v>
      </c>
      <c r="K3900" s="13">
        <v>46054</v>
      </c>
      <c r="L3900" t="s">
        <v>612</v>
      </c>
      <c r="M3900" t="s">
        <v>59</v>
      </c>
      <c r="N3900">
        <v>73225560</v>
      </c>
    </row>
    <row r="3901" spans="1:14" x14ac:dyDescent="0.25">
      <c r="A3901">
        <v>59513760</v>
      </c>
      <c r="B3901" t="s">
        <v>8896</v>
      </c>
      <c r="C3901" t="s">
        <v>7281</v>
      </c>
      <c r="D3901" t="s">
        <v>8897</v>
      </c>
      <c r="E3901">
        <v>9542264603</v>
      </c>
      <c r="F3901" t="s">
        <v>775</v>
      </c>
      <c r="G3901" t="s">
        <v>776</v>
      </c>
      <c r="I3901" t="s">
        <v>22</v>
      </c>
      <c r="J3901" s="13">
        <v>46035</v>
      </c>
      <c r="K3901" s="13">
        <v>46054</v>
      </c>
      <c r="L3901" t="s">
        <v>497</v>
      </c>
      <c r="M3901" t="s">
        <v>58</v>
      </c>
      <c r="N3901">
        <v>73226143</v>
      </c>
    </row>
    <row r="3902" spans="1:14" x14ac:dyDescent="0.25">
      <c r="A3902">
        <v>59514135</v>
      </c>
      <c r="B3902" t="s">
        <v>3193</v>
      </c>
      <c r="C3902" t="s">
        <v>8898</v>
      </c>
      <c r="D3902" t="s">
        <v>8899</v>
      </c>
      <c r="E3902">
        <v>2075570431</v>
      </c>
      <c r="F3902" t="s">
        <v>780</v>
      </c>
      <c r="G3902" t="s">
        <v>781</v>
      </c>
      <c r="I3902" t="s">
        <v>20</v>
      </c>
      <c r="J3902" s="13">
        <v>46035</v>
      </c>
      <c r="K3902" s="13">
        <v>46054</v>
      </c>
      <c r="L3902" t="s">
        <v>941</v>
      </c>
      <c r="M3902" t="s">
        <v>56</v>
      </c>
      <c r="N3902">
        <v>73226301</v>
      </c>
    </row>
    <row r="3903" spans="1:14" x14ac:dyDescent="0.25">
      <c r="A3903">
        <v>59514487</v>
      </c>
      <c r="B3903" t="s">
        <v>8900</v>
      </c>
      <c r="C3903" t="s">
        <v>8901</v>
      </c>
      <c r="D3903" t="s">
        <v>8902</v>
      </c>
      <c r="E3903">
        <v>2059203390</v>
      </c>
      <c r="F3903" t="s">
        <v>448</v>
      </c>
      <c r="G3903" t="s">
        <v>449</v>
      </c>
      <c r="I3903" t="s">
        <v>31</v>
      </c>
      <c r="J3903" s="13">
        <v>46035</v>
      </c>
      <c r="K3903" s="13">
        <v>46054</v>
      </c>
      <c r="L3903" t="s">
        <v>450</v>
      </c>
      <c r="M3903" t="s">
        <v>56</v>
      </c>
      <c r="N3903">
        <v>73226381</v>
      </c>
    </row>
    <row r="3904" spans="1:14" x14ac:dyDescent="0.25">
      <c r="A3904">
        <v>59515155</v>
      </c>
      <c r="B3904" t="s">
        <v>2135</v>
      </c>
      <c r="C3904" t="s">
        <v>8903</v>
      </c>
      <c r="D3904" t="s">
        <v>8904</v>
      </c>
      <c r="E3904">
        <v>9549287099</v>
      </c>
      <c r="F3904" t="s">
        <v>474</v>
      </c>
      <c r="G3904" t="s">
        <v>475</v>
      </c>
      <c r="I3904" t="s">
        <v>132</v>
      </c>
      <c r="J3904" s="13">
        <v>46035</v>
      </c>
      <c r="K3904" s="13">
        <v>46054</v>
      </c>
      <c r="L3904" t="s">
        <v>497</v>
      </c>
      <c r="M3904" t="s">
        <v>58</v>
      </c>
      <c r="N3904">
        <v>73226672</v>
      </c>
    </row>
    <row r="3905" spans="1:14" x14ac:dyDescent="0.25">
      <c r="A3905">
        <v>59515894</v>
      </c>
      <c r="B3905" t="s">
        <v>8905</v>
      </c>
      <c r="C3905" t="s">
        <v>8906</v>
      </c>
      <c r="D3905" t="s">
        <v>8907</v>
      </c>
      <c r="E3905">
        <v>9016901097</v>
      </c>
      <c r="F3905" t="s">
        <v>928</v>
      </c>
      <c r="G3905" t="s">
        <v>929</v>
      </c>
      <c r="I3905" t="s">
        <v>30</v>
      </c>
      <c r="J3905" s="13">
        <v>46035</v>
      </c>
      <c r="K3905" s="13">
        <v>46054</v>
      </c>
      <c r="L3905" t="s">
        <v>479</v>
      </c>
      <c r="M3905" t="s">
        <v>58</v>
      </c>
      <c r="N3905">
        <v>73227550</v>
      </c>
    </row>
    <row r="3906" spans="1:14" x14ac:dyDescent="0.25">
      <c r="A3906">
        <v>59517459</v>
      </c>
      <c r="B3906" t="s">
        <v>1900</v>
      </c>
      <c r="C3906" t="s">
        <v>8908</v>
      </c>
      <c r="D3906" t="s">
        <v>8909</v>
      </c>
      <c r="E3906">
        <v>5204036566</v>
      </c>
      <c r="F3906" t="s">
        <v>474</v>
      </c>
      <c r="G3906" t="s">
        <v>475</v>
      </c>
      <c r="I3906" t="s">
        <v>132</v>
      </c>
      <c r="J3906" s="13">
        <v>46035</v>
      </c>
      <c r="K3906" s="13">
        <v>46054</v>
      </c>
      <c r="L3906" t="s">
        <v>1179</v>
      </c>
      <c r="M3906" t="s">
        <v>56</v>
      </c>
      <c r="N3906">
        <v>73228772</v>
      </c>
    </row>
    <row r="3907" spans="1:14" x14ac:dyDescent="0.25">
      <c r="A3907">
        <v>59518108</v>
      </c>
      <c r="B3907" t="s">
        <v>2244</v>
      </c>
      <c r="C3907" t="s">
        <v>8910</v>
      </c>
      <c r="D3907" t="s">
        <v>8911</v>
      </c>
      <c r="E3907" t="s">
        <v>8912</v>
      </c>
      <c r="F3907" t="s">
        <v>1345</v>
      </c>
      <c r="G3907" t="s">
        <v>799</v>
      </c>
      <c r="I3907" t="s">
        <v>47</v>
      </c>
      <c r="J3907" s="13">
        <v>46035</v>
      </c>
      <c r="K3907" s="13">
        <v>46054</v>
      </c>
      <c r="L3907" t="s">
        <v>1179</v>
      </c>
      <c r="M3907" t="s">
        <v>56</v>
      </c>
      <c r="N3907">
        <v>73229319</v>
      </c>
    </row>
    <row r="3908" spans="1:14" x14ac:dyDescent="0.25">
      <c r="A3908">
        <v>59518860</v>
      </c>
      <c r="B3908" t="s">
        <v>5527</v>
      </c>
      <c r="C3908" t="s">
        <v>8913</v>
      </c>
      <c r="D3908" t="s">
        <v>8914</v>
      </c>
      <c r="E3908">
        <v>5206063505</v>
      </c>
      <c r="F3908" t="s">
        <v>705</v>
      </c>
      <c r="G3908" t="s">
        <v>706</v>
      </c>
      <c r="I3908" t="s">
        <v>12</v>
      </c>
      <c r="J3908" s="13">
        <v>46035</v>
      </c>
      <c r="K3908" s="13">
        <v>46054</v>
      </c>
      <c r="L3908" t="s">
        <v>1179</v>
      </c>
      <c r="M3908" t="s">
        <v>59</v>
      </c>
      <c r="N3908">
        <v>73229984</v>
      </c>
    </row>
    <row r="3909" spans="1:14" x14ac:dyDescent="0.25">
      <c r="A3909">
        <v>59519309</v>
      </c>
      <c r="B3909" t="s">
        <v>8915</v>
      </c>
      <c r="C3909" t="s">
        <v>4536</v>
      </c>
      <c r="D3909" t="s">
        <v>8916</v>
      </c>
      <c r="E3909">
        <v>9285148120</v>
      </c>
      <c r="F3909" t="s">
        <v>569</v>
      </c>
      <c r="G3909" t="s">
        <v>570</v>
      </c>
      <c r="I3909" t="s">
        <v>34</v>
      </c>
      <c r="J3909" s="13">
        <v>46035</v>
      </c>
      <c r="K3909" s="13">
        <v>46054</v>
      </c>
      <c r="L3909" t="s">
        <v>1179</v>
      </c>
      <c r="M3909" t="s">
        <v>54</v>
      </c>
      <c r="N3909">
        <v>73230438</v>
      </c>
    </row>
    <row r="3910" spans="1:14" x14ac:dyDescent="0.25">
      <c r="A3910">
        <v>59522139</v>
      </c>
      <c r="B3910" t="s">
        <v>2329</v>
      </c>
      <c r="C3910" t="s">
        <v>8917</v>
      </c>
      <c r="D3910" t="s">
        <v>8918</v>
      </c>
      <c r="E3910">
        <v>4808538060</v>
      </c>
      <c r="F3910" t="s">
        <v>775</v>
      </c>
      <c r="G3910" t="s">
        <v>776</v>
      </c>
      <c r="I3910" t="s">
        <v>22</v>
      </c>
      <c r="J3910" s="13">
        <v>46035</v>
      </c>
      <c r="K3910" s="13">
        <v>46054</v>
      </c>
      <c r="L3910" t="s">
        <v>1179</v>
      </c>
      <c r="M3910" t="s">
        <v>59</v>
      </c>
      <c r="N3910">
        <v>73233088</v>
      </c>
    </row>
    <row r="3911" spans="1:14" x14ac:dyDescent="0.25">
      <c r="A3911">
        <v>59522955</v>
      </c>
      <c r="B3911" t="s">
        <v>948</v>
      </c>
      <c r="C3911" t="s">
        <v>8919</v>
      </c>
      <c r="D3911" t="s">
        <v>8920</v>
      </c>
      <c r="E3911">
        <v>7275106156</v>
      </c>
      <c r="F3911" t="s">
        <v>770</v>
      </c>
      <c r="G3911" t="s">
        <v>771</v>
      </c>
      <c r="I3911" t="s">
        <v>25</v>
      </c>
      <c r="J3911" s="13">
        <v>46035</v>
      </c>
      <c r="K3911" s="13">
        <v>46054</v>
      </c>
      <c r="L3911" t="s">
        <v>497</v>
      </c>
      <c r="M3911" t="s">
        <v>56</v>
      </c>
      <c r="N3911">
        <v>73233699</v>
      </c>
    </row>
    <row r="3912" spans="1:14" x14ac:dyDescent="0.25">
      <c r="A3912">
        <v>59523770</v>
      </c>
      <c r="B3912" t="s">
        <v>867</v>
      </c>
      <c r="C3912" t="s">
        <v>8921</v>
      </c>
      <c r="D3912" t="s">
        <v>8922</v>
      </c>
      <c r="E3912">
        <v>7279221025</v>
      </c>
      <c r="F3912" t="s">
        <v>928</v>
      </c>
      <c r="G3912" t="s">
        <v>929</v>
      </c>
      <c r="I3912" t="s">
        <v>30</v>
      </c>
      <c r="J3912" s="13">
        <v>46035</v>
      </c>
      <c r="K3912" s="13">
        <v>46054</v>
      </c>
      <c r="L3912" t="s">
        <v>497</v>
      </c>
      <c r="M3912" t="s">
        <v>56</v>
      </c>
      <c r="N3912">
        <v>73235663</v>
      </c>
    </row>
    <row r="3913" spans="1:14" x14ac:dyDescent="0.25">
      <c r="A3913">
        <v>59524378</v>
      </c>
      <c r="B3913" t="s">
        <v>2994</v>
      </c>
      <c r="C3913" t="s">
        <v>1053</v>
      </c>
      <c r="D3913" t="s">
        <v>8923</v>
      </c>
      <c r="E3913" t="s">
        <v>8924</v>
      </c>
      <c r="F3913" t="s">
        <v>423</v>
      </c>
      <c r="G3913" t="s">
        <v>424</v>
      </c>
      <c r="I3913" t="s">
        <v>46</v>
      </c>
      <c r="J3913" s="13">
        <v>46035</v>
      </c>
      <c r="K3913" s="13">
        <v>46054</v>
      </c>
      <c r="L3913" t="s">
        <v>497</v>
      </c>
      <c r="M3913" t="s">
        <v>56</v>
      </c>
      <c r="N3913">
        <v>73236026</v>
      </c>
    </row>
    <row r="3914" spans="1:14" x14ac:dyDescent="0.25">
      <c r="A3914">
        <v>59524451</v>
      </c>
      <c r="B3914" t="s">
        <v>1784</v>
      </c>
      <c r="C3914" t="s">
        <v>8925</v>
      </c>
      <c r="D3914" t="s">
        <v>8926</v>
      </c>
      <c r="E3914">
        <v>8706089756</v>
      </c>
      <c r="F3914" t="s">
        <v>705</v>
      </c>
      <c r="G3914" t="s">
        <v>706</v>
      </c>
      <c r="I3914" t="s">
        <v>12</v>
      </c>
      <c r="J3914" s="13">
        <v>46035</v>
      </c>
      <c r="K3914" s="13">
        <v>46054</v>
      </c>
      <c r="L3914" t="s">
        <v>553</v>
      </c>
      <c r="M3914" t="s">
        <v>58</v>
      </c>
      <c r="N3914">
        <v>73236164</v>
      </c>
    </row>
    <row r="3915" spans="1:14" x14ac:dyDescent="0.25">
      <c r="A3915">
        <v>59524556</v>
      </c>
      <c r="B3915" t="s">
        <v>8927</v>
      </c>
      <c r="C3915" t="s">
        <v>8928</v>
      </c>
      <c r="D3915" t="s">
        <v>8929</v>
      </c>
      <c r="E3915">
        <v>7277763103</v>
      </c>
      <c r="F3915" t="s">
        <v>828</v>
      </c>
      <c r="G3915" t="s">
        <v>1148</v>
      </c>
      <c r="I3915" t="s">
        <v>17</v>
      </c>
      <c r="J3915" s="13">
        <v>46035</v>
      </c>
      <c r="K3915" s="13">
        <v>46054</v>
      </c>
      <c r="L3915" t="s">
        <v>497</v>
      </c>
      <c r="M3915" t="s">
        <v>58</v>
      </c>
      <c r="N3915">
        <v>73236250</v>
      </c>
    </row>
    <row r="3916" spans="1:14" x14ac:dyDescent="0.25">
      <c r="A3916">
        <v>59524907</v>
      </c>
      <c r="B3916" t="s">
        <v>8930</v>
      </c>
      <c r="C3916" t="s">
        <v>2813</v>
      </c>
      <c r="D3916" t="s">
        <v>8931</v>
      </c>
      <c r="E3916">
        <v>5017721847</v>
      </c>
      <c r="F3916" t="s">
        <v>649</v>
      </c>
      <c r="G3916" t="s">
        <v>650</v>
      </c>
      <c r="I3916" t="s">
        <v>28</v>
      </c>
      <c r="J3916" s="13">
        <v>46035</v>
      </c>
      <c r="K3916" s="13">
        <v>46054</v>
      </c>
      <c r="L3916" t="s">
        <v>553</v>
      </c>
      <c r="M3916" t="s">
        <v>59</v>
      </c>
      <c r="N3916">
        <v>73236469</v>
      </c>
    </row>
    <row r="3917" spans="1:14" x14ac:dyDescent="0.25">
      <c r="A3917">
        <v>59525101</v>
      </c>
      <c r="B3917" t="s">
        <v>8932</v>
      </c>
      <c r="C3917" t="s">
        <v>8933</v>
      </c>
      <c r="D3917" t="s">
        <v>8934</v>
      </c>
      <c r="E3917">
        <v>4802551318</v>
      </c>
      <c r="F3917" t="s">
        <v>416</v>
      </c>
      <c r="G3917" t="s">
        <v>417</v>
      </c>
      <c r="I3917" t="s">
        <v>26</v>
      </c>
      <c r="J3917" s="13">
        <v>46035</v>
      </c>
      <c r="K3917" s="13">
        <v>46054</v>
      </c>
      <c r="L3917" t="s">
        <v>1179</v>
      </c>
      <c r="M3917" t="s">
        <v>55</v>
      </c>
      <c r="N3917">
        <v>73236588</v>
      </c>
    </row>
    <row r="3918" spans="1:14" x14ac:dyDescent="0.25">
      <c r="A3918">
        <v>59525135</v>
      </c>
      <c r="B3918" t="s">
        <v>715</v>
      </c>
      <c r="C3918" t="s">
        <v>8935</v>
      </c>
      <c r="D3918" t="s">
        <v>8936</v>
      </c>
      <c r="E3918">
        <v>7403408019</v>
      </c>
      <c r="F3918" t="s">
        <v>790</v>
      </c>
      <c r="G3918" t="s">
        <v>791</v>
      </c>
      <c r="I3918" t="s">
        <v>119</v>
      </c>
      <c r="J3918" s="13">
        <v>46035</v>
      </c>
      <c r="K3918" s="13">
        <v>46054</v>
      </c>
      <c r="L3918" t="s">
        <v>418</v>
      </c>
      <c r="M3918" t="s">
        <v>58</v>
      </c>
      <c r="N3918">
        <v>73236618</v>
      </c>
    </row>
    <row r="3919" spans="1:14" x14ac:dyDescent="0.25">
      <c r="A3919">
        <v>59525350</v>
      </c>
      <c r="B3919" t="s">
        <v>4374</v>
      </c>
      <c r="C3919" t="s">
        <v>8937</v>
      </c>
      <c r="D3919" t="s">
        <v>8938</v>
      </c>
      <c r="E3919">
        <v>5202732123</v>
      </c>
      <c r="F3919" t="s">
        <v>1345</v>
      </c>
      <c r="G3919" t="s">
        <v>799</v>
      </c>
      <c r="I3919" t="s">
        <v>47</v>
      </c>
      <c r="J3919" s="13">
        <v>46035</v>
      </c>
      <c r="K3919" s="13">
        <v>46054</v>
      </c>
      <c r="L3919" t="s">
        <v>1179</v>
      </c>
      <c r="M3919" t="s">
        <v>59</v>
      </c>
      <c r="N3919">
        <v>73236778</v>
      </c>
    </row>
    <row r="3920" spans="1:14" x14ac:dyDescent="0.25">
      <c r="A3920">
        <v>59531610</v>
      </c>
      <c r="B3920" t="s">
        <v>2360</v>
      </c>
      <c r="C3920" t="s">
        <v>8939</v>
      </c>
      <c r="D3920" t="s">
        <v>8940</v>
      </c>
      <c r="E3920">
        <v>3049401183</v>
      </c>
      <c r="F3920" t="s">
        <v>448</v>
      </c>
      <c r="G3920" t="s">
        <v>449</v>
      </c>
      <c r="I3920" t="s">
        <v>31</v>
      </c>
      <c r="J3920" s="13">
        <v>46036</v>
      </c>
      <c r="K3920" s="13">
        <v>46054</v>
      </c>
      <c r="L3920" t="s">
        <v>1188</v>
      </c>
      <c r="M3920" t="s">
        <v>56</v>
      </c>
      <c r="N3920">
        <v>73242191</v>
      </c>
    </row>
    <row r="3921" spans="1:14" x14ac:dyDescent="0.25">
      <c r="A3921">
        <v>59531949</v>
      </c>
      <c r="B3921" t="s">
        <v>925</v>
      </c>
      <c r="C3921" t="s">
        <v>8941</v>
      </c>
      <c r="D3921" t="s">
        <v>8942</v>
      </c>
      <c r="E3921">
        <v>2707247280</v>
      </c>
      <c r="F3921" t="s">
        <v>474</v>
      </c>
      <c r="G3921" t="s">
        <v>475</v>
      </c>
      <c r="I3921" t="s">
        <v>132</v>
      </c>
      <c r="J3921" s="13">
        <v>46036</v>
      </c>
      <c r="K3921" s="13">
        <v>46054</v>
      </c>
      <c r="L3921" t="s">
        <v>490</v>
      </c>
      <c r="M3921" t="s">
        <v>61</v>
      </c>
      <c r="N3921">
        <v>73242397</v>
      </c>
    </row>
    <row r="3922" spans="1:14" x14ac:dyDescent="0.25">
      <c r="A3922">
        <v>59533466</v>
      </c>
      <c r="B3922" t="s">
        <v>3833</v>
      </c>
      <c r="C3922" t="s">
        <v>8943</v>
      </c>
      <c r="D3922" t="s">
        <v>8944</v>
      </c>
      <c r="E3922">
        <v>9047292825</v>
      </c>
      <c r="F3922" t="s">
        <v>416</v>
      </c>
      <c r="G3922" t="s">
        <v>417</v>
      </c>
      <c r="I3922" t="s">
        <v>26</v>
      </c>
      <c r="J3922" s="13">
        <v>46036</v>
      </c>
      <c r="K3922" s="13">
        <v>46054</v>
      </c>
      <c r="L3922" t="s">
        <v>497</v>
      </c>
      <c r="M3922" t="s">
        <v>56</v>
      </c>
      <c r="N3922">
        <v>73243399</v>
      </c>
    </row>
    <row r="3923" spans="1:14" x14ac:dyDescent="0.25">
      <c r="A3923">
        <v>59533664</v>
      </c>
      <c r="B3923" t="s">
        <v>4864</v>
      </c>
      <c r="C3923" t="s">
        <v>8945</v>
      </c>
      <c r="D3923" t="s">
        <v>8946</v>
      </c>
      <c r="E3923">
        <v>7753018061</v>
      </c>
      <c r="F3923" t="s">
        <v>928</v>
      </c>
      <c r="G3923" t="s">
        <v>929</v>
      </c>
      <c r="I3923" t="s">
        <v>30</v>
      </c>
      <c r="J3923" s="13">
        <v>46036</v>
      </c>
      <c r="K3923" s="13">
        <v>46054</v>
      </c>
      <c r="L3923" t="s">
        <v>483</v>
      </c>
      <c r="M3923" t="s">
        <v>56</v>
      </c>
      <c r="N3923">
        <v>73243863</v>
      </c>
    </row>
    <row r="3924" spans="1:14" x14ac:dyDescent="0.25">
      <c r="A3924">
        <v>59533800</v>
      </c>
      <c r="B3924" t="s">
        <v>8947</v>
      </c>
      <c r="C3924" t="s">
        <v>8948</v>
      </c>
      <c r="D3924" t="s">
        <v>8949</v>
      </c>
      <c r="E3924">
        <v>2058942542</v>
      </c>
      <c r="F3924" t="s">
        <v>705</v>
      </c>
      <c r="G3924" t="s">
        <v>706</v>
      </c>
      <c r="I3924" t="s">
        <v>12</v>
      </c>
      <c r="J3924" s="13">
        <v>46036</v>
      </c>
      <c r="K3924" s="13">
        <v>46054</v>
      </c>
      <c r="L3924" t="s">
        <v>450</v>
      </c>
      <c r="M3924" t="s">
        <v>58</v>
      </c>
      <c r="N3924">
        <v>73243939</v>
      </c>
    </row>
    <row r="3925" spans="1:14" x14ac:dyDescent="0.25">
      <c r="A3925">
        <v>59533912</v>
      </c>
      <c r="B3925" t="s">
        <v>476</v>
      </c>
      <c r="C3925" t="s">
        <v>8950</v>
      </c>
      <c r="D3925" t="s">
        <v>8951</v>
      </c>
      <c r="E3925">
        <v>7272448202</v>
      </c>
      <c r="F3925" t="s">
        <v>551</v>
      </c>
      <c r="G3925" t="s">
        <v>552</v>
      </c>
      <c r="I3925" t="s">
        <v>42</v>
      </c>
      <c r="J3925" s="13">
        <v>46036</v>
      </c>
      <c r="K3925" s="13">
        <v>46054</v>
      </c>
      <c r="L3925" t="s">
        <v>497</v>
      </c>
      <c r="M3925" t="s">
        <v>56</v>
      </c>
      <c r="N3925">
        <v>73243990</v>
      </c>
    </row>
    <row r="3926" spans="1:14" x14ac:dyDescent="0.25">
      <c r="A3926">
        <v>59533906</v>
      </c>
      <c r="B3926" t="s">
        <v>8952</v>
      </c>
      <c r="C3926" t="s">
        <v>8646</v>
      </c>
      <c r="D3926" t="s">
        <v>8953</v>
      </c>
      <c r="E3926">
        <v>7577714868</v>
      </c>
      <c r="F3926" t="s">
        <v>775</v>
      </c>
      <c r="G3926" t="s">
        <v>776</v>
      </c>
      <c r="I3926" t="s">
        <v>22</v>
      </c>
      <c r="J3926" s="13">
        <v>46036</v>
      </c>
      <c r="K3926" s="13">
        <v>46054</v>
      </c>
      <c r="L3926" t="s">
        <v>454</v>
      </c>
      <c r="M3926" t="s">
        <v>56</v>
      </c>
      <c r="N3926">
        <v>73244011</v>
      </c>
    </row>
    <row r="3927" spans="1:14" x14ac:dyDescent="0.25">
      <c r="A3927">
        <v>59535125</v>
      </c>
      <c r="B3927" t="s">
        <v>8954</v>
      </c>
      <c r="C3927" t="s">
        <v>1368</v>
      </c>
      <c r="D3927" t="s">
        <v>8955</v>
      </c>
      <c r="E3927">
        <v>3045492649</v>
      </c>
      <c r="F3927" t="s">
        <v>649</v>
      </c>
      <c r="G3927" t="s">
        <v>650</v>
      </c>
      <c r="I3927" t="s">
        <v>28</v>
      </c>
      <c r="J3927" s="13">
        <v>46036</v>
      </c>
      <c r="K3927" s="13">
        <v>46054</v>
      </c>
      <c r="L3927" t="s">
        <v>1188</v>
      </c>
      <c r="M3927" t="s">
        <v>60</v>
      </c>
      <c r="N3927">
        <v>73246581</v>
      </c>
    </row>
    <row r="3928" spans="1:14" x14ac:dyDescent="0.25">
      <c r="A3928">
        <v>59535228</v>
      </c>
      <c r="B3928" t="s">
        <v>8956</v>
      </c>
      <c r="C3928" t="s">
        <v>8957</v>
      </c>
      <c r="D3928" t="s">
        <v>8958</v>
      </c>
      <c r="E3928">
        <v>8707401810</v>
      </c>
      <c r="F3928" t="s">
        <v>1013</v>
      </c>
      <c r="G3928" t="s">
        <v>1014</v>
      </c>
      <c r="I3928" t="s">
        <v>43</v>
      </c>
      <c r="J3928" s="13">
        <v>46036</v>
      </c>
      <c r="K3928" s="13">
        <v>46054</v>
      </c>
      <c r="L3928" t="s">
        <v>553</v>
      </c>
      <c r="M3928" t="s">
        <v>56</v>
      </c>
      <c r="N3928">
        <v>73246666</v>
      </c>
    </row>
    <row r="3929" spans="1:14" x14ac:dyDescent="0.25">
      <c r="A3929">
        <v>59535890</v>
      </c>
      <c r="B3929" t="s">
        <v>618</v>
      </c>
      <c r="C3929" t="s">
        <v>766</v>
      </c>
      <c r="D3929" t="s">
        <v>8959</v>
      </c>
      <c r="E3929">
        <v>2137084748</v>
      </c>
      <c r="F3929" t="s">
        <v>790</v>
      </c>
      <c r="G3929" t="s">
        <v>791</v>
      </c>
      <c r="I3929" t="s">
        <v>119</v>
      </c>
      <c r="J3929" s="13">
        <v>46036</v>
      </c>
      <c r="K3929" s="13">
        <v>46054</v>
      </c>
      <c r="L3929" t="s">
        <v>553</v>
      </c>
      <c r="M3929" t="s">
        <v>58</v>
      </c>
      <c r="N3929">
        <v>73247102</v>
      </c>
    </row>
    <row r="3930" spans="1:14" x14ac:dyDescent="0.25">
      <c r="A3930">
        <v>59536209</v>
      </c>
      <c r="B3930" t="s">
        <v>5552</v>
      </c>
      <c r="C3930" t="s">
        <v>8960</v>
      </c>
      <c r="D3930" t="s">
        <v>8961</v>
      </c>
      <c r="E3930">
        <v>5613521189</v>
      </c>
      <c r="F3930" t="s">
        <v>815</v>
      </c>
      <c r="G3930" t="s">
        <v>816</v>
      </c>
      <c r="I3930" t="s">
        <v>23</v>
      </c>
      <c r="J3930" s="13">
        <v>46036</v>
      </c>
      <c r="K3930" s="13">
        <v>46054</v>
      </c>
      <c r="L3930" t="s">
        <v>497</v>
      </c>
      <c r="M3930" t="s">
        <v>56</v>
      </c>
      <c r="N3930">
        <v>73247330</v>
      </c>
    </row>
    <row r="3931" spans="1:14" x14ac:dyDescent="0.25">
      <c r="A3931">
        <v>60378821</v>
      </c>
      <c r="B3931" t="s">
        <v>1304</v>
      </c>
      <c r="C3931" t="s">
        <v>8962</v>
      </c>
      <c r="D3931" t="s">
        <v>8963</v>
      </c>
      <c r="E3931">
        <v>9288560033</v>
      </c>
      <c r="F3931" t="s">
        <v>569</v>
      </c>
      <c r="G3931" t="s">
        <v>570</v>
      </c>
      <c r="I3931" t="s">
        <v>34</v>
      </c>
      <c r="J3931" s="13">
        <v>46062</v>
      </c>
      <c r="K3931" s="13">
        <v>46082</v>
      </c>
      <c r="L3931" t="s">
        <v>1179</v>
      </c>
      <c r="M3931" t="s">
        <v>61</v>
      </c>
      <c r="N3931">
        <v>73248066</v>
      </c>
    </row>
    <row r="3932" spans="1:14" x14ac:dyDescent="0.25">
      <c r="A3932">
        <v>59537217</v>
      </c>
      <c r="B3932" t="s">
        <v>2071</v>
      </c>
      <c r="C3932" t="s">
        <v>8964</v>
      </c>
      <c r="D3932" t="s">
        <v>8965</v>
      </c>
      <c r="E3932">
        <v>9288628800</v>
      </c>
      <c r="F3932" t="s">
        <v>448</v>
      </c>
      <c r="G3932" t="s">
        <v>449</v>
      </c>
      <c r="I3932" t="s">
        <v>31</v>
      </c>
      <c r="J3932" s="13">
        <v>46036</v>
      </c>
      <c r="K3932" s="13">
        <v>46054</v>
      </c>
      <c r="L3932" t="s">
        <v>1179</v>
      </c>
      <c r="M3932" t="s">
        <v>56</v>
      </c>
      <c r="N3932">
        <v>73248103</v>
      </c>
    </row>
    <row r="3933" spans="1:14" x14ac:dyDescent="0.25">
      <c r="A3933">
        <v>59537482</v>
      </c>
      <c r="B3933" t="s">
        <v>1766</v>
      </c>
      <c r="C3933" t="s">
        <v>1238</v>
      </c>
      <c r="D3933" t="s">
        <v>8966</v>
      </c>
      <c r="E3933">
        <v>9032558070</v>
      </c>
      <c r="F3933" t="s">
        <v>474</v>
      </c>
      <c r="G3933" t="s">
        <v>475</v>
      </c>
      <c r="I3933" t="s">
        <v>132</v>
      </c>
      <c r="J3933" s="13">
        <v>46036</v>
      </c>
      <c r="K3933" s="13">
        <v>46054</v>
      </c>
      <c r="L3933" t="s">
        <v>444</v>
      </c>
      <c r="M3933" t="s">
        <v>56</v>
      </c>
      <c r="N3933">
        <v>73248306</v>
      </c>
    </row>
    <row r="3934" spans="1:14" x14ac:dyDescent="0.25">
      <c r="A3934">
        <v>59537705</v>
      </c>
      <c r="B3934" t="s">
        <v>2464</v>
      </c>
      <c r="C3934" t="s">
        <v>8967</v>
      </c>
      <c r="D3934" t="s">
        <v>8968</v>
      </c>
      <c r="E3934">
        <v>2626856899</v>
      </c>
      <c r="F3934" t="s">
        <v>928</v>
      </c>
      <c r="G3934" t="s">
        <v>929</v>
      </c>
      <c r="I3934" t="s">
        <v>30</v>
      </c>
      <c r="J3934" s="13">
        <v>46036</v>
      </c>
      <c r="K3934" s="13">
        <v>46054</v>
      </c>
      <c r="L3934" t="s">
        <v>675</v>
      </c>
      <c r="M3934" t="s">
        <v>56</v>
      </c>
      <c r="N3934">
        <v>73248485</v>
      </c>
    </row>
    <row r="3935" spans="1:14" x14ac:dyDescent="0.25">
      <c r="A3935">
        <v>59539309</v>
      </c>
      <c r="B3935" t="s">
        <v>4908</v>
      </c>
      <c r="C3935" t="s">
        <v>8969</v>
      </c>
      <c r="D3935" t="s">
        <v>8970</v>
      </c>
      <c r="E3935">
        <v>9382559541</v>
      </c>
      <c r="F3935" t="s">
        <v>828</v>
      </c>
      <c r="G3935" t="s">
        <v>1148</v>
      </c>
      <c r="I3935" t="s">
        <v>17</v>
      </c>
      <c r="J3935" s="13">
        <v>46036</v>
      </c>
      <c r="K3935" s="13">
        <v>46054</v>
      </c>
      <c r="L3935" t="s">
        <v>450</v>
      </c>
      <c r="M3935" t="s">
        <v>55</v>
      </c>
      <c r="N3935">
        <v>73249519</v>
      </c>
    </row>
    <row r="3936" spans="1:14" x14ac:dyDescent="0.25">
      <c r="A3936">
        <v>59539423</v>
      </c>
      <c r="B3936" t="s">
        <v>4414</v>
      </c>
      <c r="C3936" t="s">
        <v>1287</v>
      </c>
      <c r="D3936" t="s">
        <v>8971</v>
      </c>
      <c r="E3936">
        <v>8133304010</v>
      </c>
      <c r="F3936" t="s">
        <v>423</v>
      </c>
      <c r="G3936" t="s">
        <v>424</v>
      </c>
      <c r="I3936" t="s">
        <v>46</v>
      </c>
      <c r="J3936" s="13">
        <v>46036</v>
      </c>
      <c r="K3936" s="13">
        <v>46054</v>
      </c>
      <c r="L3936" t="s">
        <v>497</v>
      </c>
      <c r="M3936" t="s">
        <v>56</v>
      </c>
      <c r="N3936">
        <v>73249576</v>
      </c>
    </row>
    <row r="3937" spans="1:14" x14ac:dyDescent="0.25">
      <c r="A3937">
        <v>59540066</v>
      </c>
      <c r="B3937" t="s">
        <v>1853</v>
      </c>
      <c r="C3937" t="s">
        <v>1203</v>
      </c>
      <c r="D3937" t="s">
        <v>8972</v>
      </c>
      <c r="E3937">
        <v>9287011119</v>
      </c>
      <c r="F3937" t="s">
        <v>775</v>
      </c>
      <c r="G3937" t="s">
        <v>776</v>
      </c>
      <c r="I3937" t="s">
        <v>22</v>
      </c>
      <c r="J3937" s="13">
        <v>46036</v>
      </c>
      <c r="K3937" s="13">
        <v>46054</v>
      </c>
      <c r="L3937" t="s">
        <v>1179</v>
      </c>
      <c r="M3937" t="s">
        <v>54</v>
      </c>
      <c r="N3937">
        <v>73250052</v>
      </c>
    </row>
    <row r="3938" spans="1:14" x14ac:dyDescent="0.25">
      <c r="A3938">
        <v>59540195</v>
      </c>
      <c r="B3938" t="s">
        <v>8973</v>
      </c>
      <c r="C3938" t="s">
        <v>1203</v>
      </c>
      <c r="D3938" t="s">
        <v>8974</v>
      </c>
      <c r="E3938">
        <v>9724046587</v>
      </c>
      <c r="F3938" t="s">
        <v>705</v>
      </c>
      <c r="G3938" t="s">
        <v>706</v>
      </c>
      <c r="I3938" t="s">
        <v>12</v>
      </c>
      <c r="J3938" s="13">
        <v>46036</v>
      </c>
      <c r="K3938" s="13">
        <v>46054</v>
      </c>
      <c r="L3938" t="s">
        <v>444</v>
      </c>
      <c r="M3938" t="s">
        <v>56</v>
      </c>
      <c r="N3938">
        <v>73250119</v>
      </c>
    </row>
    <row r="3939" spans="1:14" x14ac:dyDescent="0.25">
      <c r="A3939">
        <v>59550386</v>
      </c>
      <c r="B3939" t="s">
        <v>8975</v>
      </c>
      <c r="C3939" t="s">
        <v>8976</v>
      </c>
      <c r="D3939" t="s">
        <v>8977</v>
      </c>
      <c r="E3939">
        <v>5615629664</v>
      </c>
      <c r="F3939" t="s">
        <v>1067</v>
      </c>
      <c r="G3939" t="s">
        <v>1068</v>
      </c>
      <c r="I3939" t="s">
        <v>35</v>
      </c>
      <c r="J3939" s="13">
        <v>46036</v>
      </c>
      <c r="K3939" s="13">
        <v>46054</v>
      </c>
      <c r="L3939" t="s">
        <v>497</v>
      </c>
      <c r="M3939" t="s">
        <v>56</v>
      </c>
      <c r="N3939">
        <v>73255568</v>
      </c>
    </row>
    <row r="3940" spans="1:14" x14ac:dyDescent="0.25">
      <c r="A3940">
        <v>59551803</v>
      </c>
      <c r="B3940" t="s">
        <v>8978</v>
      </c>
      <c r="C3940" t="s">
        <v>8976</v>
      </c>
      <c r="D3940" t="s">
        <v>8979</v>
      </c>
      <c r="E3940">
        <v>2072284558</v>
      </c>
      <c r="F3940" t="s">
        <v>1067</v>
      </c>
      <c r="G3940" t="s">
        <v>1068</v>
      </c>
      <c r="I3940" t="s">
        <v>35</v>
      </c>
      <c r="J3940" s="13">
        <v>46036</v>
      </c>
      <c r="K3940" s="13">
        <v>46054</v>
      </c>
      <c r="L3940" t="s">
        <v>497</v>
      </c>
      <c r="M3940" t="s">
        <v>56</v>
      </c>
      <c r="N3940">
        <v>73256503</v>
      </c>
    </row>
    <row r="3941" spans="1:14" x14ac:dyDescent="0.25">
      <c r="A3941">
        <v>59553898</v>
      </c>
      <c r="B3941" t="s">
        <v>3737</v>
      </c>
      <c r="C3941" t="s">
        <v>4483</v>
      </c>
      <c r="D3941" t="s">
        <v>8980</v>
      </c>
      <c r="E3941">
        <v>5748358463</v>
      </c>
      <c r="F3941" t="s">
        <v>790</v>
      </c>
      <c r="G3941" t="s">
        <v>791</v>
      </c>
      <c r="I3941" t="s">
        <v>119</v>
      </c>
      <c r="J3941" s="13">
        <v>46036</v>
      </c>
      <c r="K3941" s="13">
        <v>46054</v>
      </c>
      <c r="L3941" t="s">
        <v>1188</v>
      </c>
      <c r="M3941" t="s">
        <v>56</v>
      </c>
      <c r="N3941">
        <v>73258169</v>
      </c>
    </row>
    <row r="3942" spans="1:14" x14ac:dyDescent="0.25">
      <c r="A3942">
        <v>59554754</v>
      </c>
      <c r="B3942" t="s">
        <v>1784</v>
      </c>
      <c r="C3942" t="s">
        <v>8981</v>
      </c>
      <c r="D3942" t="s">
        <v>8982</v>
      </c>
      <c r="E3942">
        <v>5204145770</v>
      </c>
      <c r="F3942" t="s">
        <v>1013</v>
      </c>
      <c r="G3942" t="s">
        <v>1014</v>
      </c>
      <c r="I3942" t="s">
        <v>43</v>
      </c>
      <c r="J3942" s="13">
        <v>46036</v>
      </c>
      <c r="K3942" s="13">
        <v>46054</v>
      </c>
      <c r="L3942" t="s">
        <v>1179</v>
      </c>
      <c r="M3942" t="s">
        <v>55</v>
      </c>
      <c r="N3942">
        <v>73258980</v>
      </c>
    </row>
    <row r="3943" spans="1:14" x14ac:dyDescent="0.25">
      <c r="A3943">
        <v>59556085</v>
      </c>
      <c r="B3943" t="s">
        <v>5078</v>
      </c>
      <c r="C3943" t="s">
        <v>8983</v>
      </c>
      <c r="D3943" t="s">
        <v>8984</v>
      </c>
      <c r="E3943">
        <v>5208408729</v>
      </c>
      <c r="F3943" t="s">
        <v>423</v>
      </c>
      <c r="G3943" t="s">
        <v>424</v>
      </c>
      <c r="I3943" t="s">
        <v>46</v>
      </c>
      <c r="J3943" s="13">
        <v>46036</v>
      </c>
      <c r="K3943" s="13">
        <v>46054</v>
      </c>
      <c r="L3943" t="s">
        <v>1179</v>
      </c>
      <c r="M3943" t="s">
        <v>54</v>
      </c>
      <c r="N3943">
        <v>73259730</v>
      </c>
    </row>
    <row r="3944" spans="1:14" x14ac:dyDescent="0.25">
      <c r="A3944">
        <v>59556719</v>
      </c>
      <c r="B3944" t="s">
        <v>5503</v>
      </c>
      <c r="C3944" t="s">
        <v>8732</v>
      </c>
      <c r="D3944" t="s">
        <v>8985</v>
      </c>
      <c r="E3944">
        <v>5613354465</v>
      </c>
      <c r="F3944" t="s">
        <v>474</v>
      </c>
      <c r="G3944" t="s">
        <v>475</v>
      </c>
      <c r="I3944" t="s">
        <v>132</v>
      </c>
      <c r="J3944" s="13">
        <v>46036</v>
      </c>
      <c r="K3944" s="13">
        <v>46054</v>
      </c>
      <c r="L3944" t="s">
        <v>497</v>
      </c>
      <c r="M3944" t="s">
        <v>56</v>
      </c>
      <c r="N3944">
        <v>73260690</v>
      </c>
    </row>
    <row r="3945" spans="1:14" x14ac:dyDescent="0.25">
      <c r="A3945">
        <v>59559411</v>
      </c>
      <c r="B3945" t="s">
        <v>5025</v>
      </c>
      <c r="C3945" t="s">
        <v>2647</v>
      </c>
      <c r="D3945" t="s">
        <v>8986</v>
      </c>
      <c r="E3945">
        <v>7273422675</v>
      </c>
      <c r="F3945" t="s">
        <v>828</v>
      </c>
      <c r="G3945" t="s">
        <v>1148</v>
      </c>
      <c r="I3945" t="s">
        <v>17</v>
      </c>
      <c r="J3945" s="13">
        <v>46036</v>
      </c>
      <c r="K3945" s="13">
        <v>46054</v>
      </c>
      <c r="L3945" t="s">
        <v>497</v>
      </c>
      <c r="M3945" t="s">
        <v>56</v>
      </c>
      <c r="N3945">
        <v>73262996</v>
      </c>
    </row>
    <row r="3946" spans="1:14" x14ac:dyDescent="0.25">
      <c r="A3946">
        <v>59563637</v>
      </c>
      <c r="B3946" t="s">
        <v>5530</v>
      </c>
      <c r="C3946" t="s">
        <v>1181</v>
      </c>
      <c r="D3946" t="s">
        <v>8987</v>
      </c>
      <c r="E3946">
        <v>3863597660</v>
      </c>
      <c r="F3946" t="s">
        <v>569</v>
      </c>
      <c r="G3946" t="s">
        <v>570</v>
      </c>
      <c r="I3946" t="s">
        <v>34</v>
      </c>
      <c r="J3946" s="13">
        <v>46036</v>
      </c>
      <c r="K3946" s="13">
        <v>46054</v>
      </c>
      <c r="L3946" t="s">
        <v>497</v>
      </c>
      <c r="M3946" t="s">
        <v>56</v>
      </c>
      <c r="N3946">
        <v>73266446</v>
      </c>
    </row>
    <row r="3947" spans="1:14" x14ac:dyDescent="0.25">
      <c r="A3947">
        <v>59564228</v>
      </c>
      <c r="B3947" t="s">
        <v>8988</v>
      </c>
      <c r="C3947" t="s">
        <v>2702</v>
      </c>
      <c r="D3947" t="s">
        <v>8989</v>
      </c>
      <c r="E3947">
        <v>5205517715</v>
      </c>
      <c r="F3947" t="s">
        <v>705</v>
      </c>
      <c r="G3947" t="s">
        <v>706</v>
      </c>
      <c r="I3947" t="s">
        <v>12</v>
      </c>
      <c r="J3947" s="13">
        <v>46036</v>
      </c>
      <c r="K3947" s="13">
        <v>46054</v>
      </c>
      <c r="L3947" t="s">
        <v>1179</v>
      </c>
      <c r="M3947" t="s">
        <v>55</v>
      </c>
      <c r="N3947">
        <v>73266995</v>
      </c>
    </row>
    <row r="3948" spans="1:14" x14ac:dyDescent="0.25">
      <c r="A3948">
        <v>59566724</v>
      </c>
      <c r="B3948" t="s">
        <v>702</v>
      </c>
      <c r="C3948" t="s">
        <v>8990</v>
      </c>
      <c r="D3948" t="s">
        <v>8991</v>
      </c>
      <c r="E3948">
        <v>5022573547</v>
      </c>
      <c r="F3948" t="s">
        <v>448</v>
      </c>
      <c r="G3948" t="s">
        <v>449</v>
      </c>
      <c r="I3948" t="s">
        <v>31</v>
      </c>
      <c r="J3948" s="13">
        <v>46036</v>
      </c>
      <c r="K3948" s="13">
        <v>46054</v>
      </c>
      <c r="L3948" t="s">
        <v>490</v>
      </c>
      <c r="M3948" t="s">
        <v>56</v>
      </c>
      <c r="N3948">
        <v>73269148</v>
      </c>
    </row>
    <row r="3949" spans="1:14" x14ac:dyDescent="0.25">
      <c r="A3949">
        <v>59566773</v>
      </c>
      <c r="B3949" t="s">
        <v>5807</v>
      </c>
      <c r="C3949" t="s">
        <v>546</v>
      </c>
      <c r="D3949" t="s">
        <v>8992</v>
      </c>
      <c r="E3949">
        <v>8136979032</v>
      </c>
      <c r="F3949" t="s">
        <v>551</v>
      </c>
      <c r="G3949" t="s">
        <v>552</v>
      </c>
      <c r="I3949" t="s">
        <v>42</v>
      </c>
      <c r="J3949" s="13">
        <v>46036</v>
      </c>
      <c r="K3949" s="13">
        <v>46054</v>
      </c>
      <c r="L3949" t="s">
        <v>497</v>
      </c>
      <c r="M3949" t="s">
        <v>59</v>
      </c>
      <c r="N3949">
        <v>73269156</v>
      </c>
    </row>
    <row r="3950" spans="1:14" x14ac:dyDescent="0.25">
      <c r="A3950">
        <v>59566758</v>
      </c>
      <c r="B3950" t="s">
        <v>8993</v>
      </c>
      <c r="C3950" t="s">
        <v>8994</v>
      </c>
      <c r="D3950" t="s">
        <v>8995</v>
      </c>
      <c r="E3950">
        <v>9413016432</v>
      </c>
      <c r="F3950" t="s">
        <v>423</v>
      </c>
      <c r="G3950" t="s">
        <v>424</v>
      </c>
      <c r="I3950" t="s">
        <v>46</v>
      </c>
      <c r="J3950" s="13">
        <v>46036</v>
      </c>
      <c r="K3950" s="13">
        <v>46054</v>
      </c>
      <c r="L3950" t="s">
        <v>497</v>
      </c>
      <c r="M3950" t="s">
        <v>56</v>
      </c>
      <c r="N3950">
        <v>73269159</v>
      </c>
    </row>
    <row r="3951" spans="1:14" x14ac:dyDescent="0.25">
      <c r="A3951">
        <v>59566804</v>
      </c>
      <c r="B3951" t="s">
        <v>1297</v>
      </c>
      <c r="C3951" t="s">
        <v>8996</v>
      </c>
      <c r="D3951" t="s">
        <v>8997</v>
      </c>
      <c r="E3951">
        <v>6819104394</v>
      </c>
      <c r="F3951" t="s">
        <v>574</v>
      </c>
      <c r="G3951" t="s">
        <v>575</v>
      </c>
      <c r="I3951" t="s">
        <v>14</v>
      </c>
      <c r="J3951" s="13">
        <v>46036</v>
      </c>
      <c r="K3951" s="13">
        <v>46054</v>
      </c>
      <c r="L3951" t="s">
        <v>1188</v>
      </c>
      <c r="M3951" t="s">
        <v>56</v>
      </c>
      <c r="N3951">
        <v>73269207</v>
      </c>
    </row>
    <row r="3952" spans="1:14" x14ac:dyDescent="0.25">
      <c r="A3952">
        <v>59566829</v>
      </c>
      <c r="B3952" t="s">
        <v>672</v>
      </c>
      <c r="C3952" t="s">
        <v>8998</v>
      </c>
      <c r="D3952" t="s">
        <v>8999</v>
      </c>
      <c r="E3952">
        <v>6362590301</v>
      </c>
      <c r="F3952" t="s">
        <v>1013</v>
      </c>
      <c r="G3952" t="s">
        <v>1014</v>
      </c>
      <c r="I3952" t="s">
        <v>43</v>
      </c>
      <c r="J3952" s="13">
        <v>46036</v>
      </c>
      <c r="K3952" s="13">
        <v>46054</v>
      </c>
      <c r="L3952" t="s">
        <v>434</v>
      </c>
      <c r="M3952" t="s">
        <v>56</v>
      </c>
      <c r="N3952">
        <v>73269216</v>
      </c>
    </row>
    <row r="3953" spans="1:14" x14ac:dyDescent="0.25">
      <c r="A3953">
        <v>59566941</v>
      </c>
      <c r="B3953" t="s">
        <v>2177</v>
      </c>
      <c r="C3953" t="s">
        <v>9000</v>
      </c>
      <c r="D3953" t="s">
        <v>9001</v>
      </c>
      <c r="E3953">
        <v>3472369962</v>
      </c>
      <c r="F3953" t="s">
        <v>770</v>
      </c>
      <c r="G3953" t="s">
        <v>771</v>
      </c>
      <c r="I3953" t="s">
        <v>25</v>
      </c>
      <c r="J3953" s="13">
        <v>46036</v>
      </c>
      <c r="K3953" s="13">
        <v>46054</v>
      </c>
      <c r="L3953" t="s">
        <v>454</v>
      </c>
      <c r="M3953" t="s">
        <v>56</v>
      </c>
      <c r="N3953">
        <v>73269309</v>
      </c>
    </row>
    <row r="3954" spans="1:14" x14ac:dyDescent="0.25">
      <c r="A3954">
        <v>59566984</v>
      </c>
      <c r="B3954" t="s">
        <v>9002</v>
      </c>
      <c r="C3954" t="s">
        <v>9003</v>
      </c>
      <c r="D3954" t="s">
        <v>9004</v>
      </c>
      <c r="E3954">
        <v>6234568379</v>
      </c>
      <c r="F3954" t="s">
        <v>1345</v>
      </c>
      <c r="G3954" t="s">
        <v>799</v>
      </c>
      <c r="I3954" t="s">
        <v>47</v>
      </c>
      <c r="J3954" s="13">
        <v>46036</v>
      </c>
      <c r="K3954" s="13">
        <v>46054</v>
      </c>
      <c r="L3954" t="s">
        <v>1179</v>
      </c>
      <c r="M3954" t="s">
        <v>54</v>
      </c>
      <c r="N3954">
        <v>73269359</v>
      </c>
    </row>
    <row r="3955" spans="1:14" x14ac:dyDescent="0.25">
      <c r="A3955">
        <v>59567152</v>
      </c>
      <c r="B3955" t="s">
        <v>3435</v>
      </c>
      <c r="C3955" t="s">
        <v>9005</v>
      </c>
      <c r="D3955" t="s">
        <v>9006</v>
      </c>
      <c r="E3955">
        <v>8645860969</v>
      </c>
      <c r="F3955" t="s">
        <v>1067</v>
      </c>
      <c r="G3955" t="s">
        <v>1068</v>
      </c>
      <c r="I3955" t="s">
        <v>35</v>
      </c>
      <c r="J3955" s="13">
        <v>46036</v>
      </c>
      <c r="K3955" s="13">
        <v>46054</v>
      </c>
      <c r="L3955" t="s">
        <v>533</v>
      </c>
      <c r="M3955" t="s">
        <v>56</v>
      </c>
      <c r="N3955">
        <v>73269513</v>
      </c>
    </row>
    <row r="3956" spans="1:14" x14ac:dyDescent="0.25">
      <c r="A3956">
        <v>59567843</v>
      </c>
      <c r="B3956" t="s">
        <v>2214</v>
      </c>
      <c r="C3956" t="s">
        <v>2291</v>
      </c>
      <c r="D3956" t="s">
        <v>9007</v>
      </c>
      <c r="E3956">
        <v>5205603173</v>
      </c>
      <c r="F3956" t="s">
        <v>775</v>
      </c>
      <c r="G3956" t="s">
        <v>776</v>
      </c>
      <c r="I3956" t="s">
        <v>22</v>
      </c>
      <c r="J3956" s="13">
        <v>46036</v>
      </c>
      <c r="K3956" s="13">
        <v>46054</v>
      </c>
      <c r="L3956" t="s">
        <v>1179</v>
      </c>
      <c r="M3956" t="s">
        <v>55</v>
      </c>
      <c r="N3956">
        <v>73269980</v>
      </c>
    </row>
    <row r="3957" spans="1:14" x14ac:dyDescent="0.25">
      <c r="A3957">
        <v>59568005</v>
      </c>
      <c r="B3957" t="s">
        <v>2296</v>
      </c>
      <c r="C3957" t="s">
        <v>1203</v>
      </c>
      <c r="D3957" t="s">
        <v>9008</v>
      </c>
      <c r="E3957">
        <v>6025407372</v>
      </c>
      <c r="F3957" t="s">
        <v>815</v>
      </c>
      <c r="G3957" t="s">
        <v>816</v>
      </c>
      <c r="I3957" t="s">
        <v>23</v>
      </c>
      <c r="J3957" s="13">
        <v>46036</v>
      </c>
      <c r="K3957" s="13">
        <v>46054</v>
      </c>
      <c r="L3957" t="s">
        <v>1179</v>
      </c>
      <c r="M3957" t="s">
        <v>54</v>
      </c>
      <c r="N3957">
        <v>73270108</v>
      </c>
    </row>
    <row r="3958" spans="1:14" x14ac:dyDescent="0.25">
      <c r="A3958">
        <v>59575498</v>
      </c>
      <c r="B3958" t="s">
        <v>9009</v>
      </c>
      <c r="C3958" t="s">
        <v>649</v>
      </c>
      <c r="D3958" t="s">
        <v>9010</v>
      </c>
      <c r="E3958">
        <v>5404660207</v>
      </c>
      <c r="F3958" t="s">
        <v>448</v>
      </c>
      <c r="G3958" t="s">
        <v>449</v>
      </c>
      <c r="I3958" t="s">
        <v>31</v>
      </c>
      <c r="J3958" s="13">
        <v>46037</v>
      </c>
      <c r="K3958" s="13">
        <v>46054</v>
      </c>
      <c r="L3958" t="s">
        <v>1188</v>
      </c>
      <c r="M3958" t="s">
        <v>56</v>
      </c>
      <c r="N3958">
        <v>73276363</v>
      </c>
    </row>
    <row r="3959" spans="1:14" x14ac:dyDescent="0.25">
      <c r="A3959">
        <v>59577250</v>
      </c>
      <c r="B3959" t="s">
        <v>709</v>
      </c>
      <c r="C3959" t="s">
        <v>788</v>
      </c>
      <c r="D3959" t="s">
        <v>9011</v>
      </c>
      <c r="E3959">
        <v>3046774441</v>
      </c>
      <c r="F3959" t="s">
        <v>569</v>
      </c>
      <c r="G3959" t="s">
        <v>570</v>
      </c>
      <c r="I3959" t="s">
        <v>34</v>
      </c>
      <c r="J3959" s="13">
        <v>46037</v>
      </c>
      <c r="K3959" s="13">
        <v>46054</v>
      </c>
      <c r="L3959" t="s">
        <v>1188</v>
      </c>
      <c r="M3959" t="s">
        <v>56</v>
      </c>
      <c r="N3959">
        <v>73277647</v>
      </c>
    </row>
    <row r="3960" spans="1:14" x14ac:dyDescent="0.25">
      <c r="A3960">
        <v>59579329</v>
      </c>
      <c r="B3960" t="s">
        <v>672</v>
      </c>
      <c r="C3960" t="s">
        <v>4338</v>
      </c>
      <c r="D3960" t="s">
        <v>9012</v>
      </c>
      <c r="E3960">
        <v>7274814907</v>
      </c>
      <c r="F3960" t="s">
        <v>828</v>
      </c>
      <c r="G3960" t="s">
        <v>1148</v>
      </c>
      <c r="I3960" t="s">
        <v>17</v>
      </c>
      <c r="J3960" s="13">
        <v>46037</v>
      </c>
      <c r="K3960" s="13">
        <v>46054</v>
      </c>
      <c r="L3960" t="s">
        <v>497</v>
      </c>
      <c r="M3960" t="s">
        <v>60</v>
      </c>
      <c r="N3960">
        <v>73279339</v>
      </c>
    </row>
    <row r="3961" spans="1:14" x14ac:dyDescent="0.25">
      <c r="A3961">
        <v>59581549</v>
      </c>
      <c r="B3961" t="s">
        <v>804</v>
      </c>
      <c r="C3961" t="s">
        <v>2660</v>
      </c>
      <c r="D3961" t="s">
        <v>2661</v>
      </c>
      <c r="E3961">
        <v>4808828883</v>
      </c>
      <c r="F3961" t="s">
        <v>4853</v>
      </c>
      <c r="G3961" t="s">
        <v>5017</v>
      </c>
      <c r="I3961" t="s">
        <v>5018</v>
      </c>
      <c r="J3961" s="13">
        <v>46037</v>
      </c>
      <c r="K3961" s="13">
        <v>46054</v>
      </c>
      <c r="L3961" t="s">
        <v>1179</v>
      </c>
      <c r="M3961" t="s">
        <v>54</v>
      </c>
      <c r="N3961">
        <v>73281157</v>
      </c>
    </row>
    <row r="3962" spans="1:14" x14ac:dyDescent="0.25">
      <c r="A3962">
        <v>59582211</v>
      </c>
      <c r="B3962" t="s">
        <v>9013</v>
      </c>
      <c r="C3962" t="s">
        <v>2544</v>
      </c>
      <c r="D3962" t="s">
        <v>9014</v>
      </c>
      <c r="E3962">
        <v>5136962823</v>
      </c>
      <c r="F3962" t="s">
        <v>474</v>
      </c>
      <c r="G3962" t="s">
        <v>475</v>
      </c>
      <c r="I3962" t="s">
        <v>132</v>
      </c>
      <c r="J3962" s="13">
        <v>46037</v>
      </c>
      <c r="K3962" s="13">
        <v>46054</v>
      </c>
      <c r="L3962" t="s">
        <v>454</v>
      </c>
      <c r="M3962" t="s">
        <v>58</v>
      </c>
      <c r="N3962">
        <v>73281669</v>
      </c>
    </row>
    <row r="3963" spans="1:14" x14ac:dyDescent="0.25">
      <c r="A3963">
        <v>59582299</v>
      </c>
      <c r="B3963" t="s">
        <v>9015</v>
      </c>
      <c r="C3963" t="s">
        <v>9016</v>
      </c>
      <c r="D3963" t="s">
        <v>9017</v>
      </c>
      <c r="E3963">
        <v>8135147722</v>
      </c>
      <c r="F3963" t="s">
        <v>448</v>
      </c>
      <c r="G3963" t="s">
        <v>449</v>
      </c>
      <c r="I3963" t="s">
        <v>31</v>
      </c>
      <c r="J3963" s="13">
        <v>46037</v>
      </c>
      <c r="K3963" s="13">
        <v>46054</v>
      </c>
      <c r="L3963" t="s">
        <v>497</v>
      </c>
      <c r="M3963" t="s">
        <v>56</v>
      </c>
      <c r="N3963">
        <v>73281731</v>
      </c>
    </row>
    <row r="3964" spans="1:14" x14ac:dyDescent="0.25">
      <c r="A3964">
        <v>59586303</v>
      </c>
      <c r="B3964" t="s">
        <v>431</v>
      </c>
      <c r="C3964" t="s">
        <v>9018</v>
      </c>
      <c r="D3964" t="s">
        <v>9019</v>
      </c>
      <c r="E3964">
        <v>5207560161</v>
      </c>
      <c r="F3964" t="s">
        <v>775</v>
      </c>
      <c r="G3964" t="s">
        <v>776</v>
      </c>
      <c r="I3964" t="s">
        <v>22</v>
      </c>
      <c r="J3964" s="13">
        <v>46037</v>
      </c>
      <c r="K3964" s="13">
        <v>46054</v>
      </c>
      <c r="L3964" t="s">
        <v>1179</v>
      </c>
      <c r="M3964" t="s">
        <v>54</v>
      </c>
      <c r="N3964">
        <v>73285071</v>
      </c>
    </row>
    <row r="3965" spans="1:14" x14ac:dyDescent="0.25">
      <c r="A3965">
        <v>59587158</v>
      </c>
      <c r="B3965" t="s">
        <v>2532</v>
      </c>
      <c r="C3965" t="s">
        <v>546</v>
      </c>
      <c r="D3965" t="s">
        <v>9020</v>
      </c>
      <c r="E3965">
        <v>3139157691</v>
      </c>
      <c r="F3965" t="s">
        <v>578</v>
      </c>
      <c r="G3965" t="s">
        <v>579</v>
      </c>
      <c r="I3965" t="s">
        <v>15</v>
      </c>
      <c r="J3965" s="13">
        <v>46037</v>
      </c>
      <c r="K3965" s="13">
        <v>46054</v>
      </c>
      <c r="L3965" t="s">
        <v>8329</v>
      </c>
      <c r="M3965" t="s">
        <v>62</v>
      </c>
      <c r="N3965">
        <v>73285442</v>
      </c>
    </row>
    <row r="3966" spans="1:14" x14ac:dyDescent="0.25">
      <c r="A3966">
        <v>59587747</v>
      </c>
      <c r="B3966" t="s">
        <v>8203</v>
      </c>
      <c r="C3966" t="s">
        <v>9021</v>
      </c>
      <c r="D3966" t="s">
        <v>9022</v>
      </c>
      <c r="E3966">
        <v>4802429977</v>
      </c>
      <c r="F3966" t="s">
        <v>423</v>
      </c>
      <c r="G3966" t="s">
        <v>424</v>
      </c>
      <c r="I3966" t="s">
        <v>46</v>
      </c>
      <c r="J3966" s="13">
        <v>46037</v>
      </c>
      <c r="K3966" s="13">
        <v>46054</v>
      </c>
      <c r="L3966" t="s">
        <v>1179</v>
      </c>
      <c r="M3966" t="s">
        <v>56</v>
      </c>
      <c r="N3966">
        <v>73285472</v>
      </c>
    </row>
    <row r="3967" spans="1:14" x14ac:dyDescent="0.25">
      <c r="A3967">
        <v>59595384</v>
      </c>
      <c r="B3967" t="s">
        <v>1527</v>
      </c>
      <c r="C3967" t="s">
        <v>9023</v>
      </c>
      <c r="D3967" t="s">
        <v>9024</v>
      </c>
      <c r="E3967">
        <v>2709451994</v>
      </c>
      <c r="F3967" t="s">
        <v>798</v>
      </c>
      <c r="G3967" t="s">
        <v>799</v>
      </c>
      <c r="I3967" t="s">
        <v>800</v>
      </c>
      <c r="J3967" s="13">
        <v>46037</v>
      </c>
      <c r="K3967" s="13">
        <v>46054</v>
      </c>
      <c r="L3967" t="s">
        <v>490</v>
      </c>
      <c r="M3967" t="s">
        <v>59</v>
      </c>
      <c r="N3967">
        <v>73291000</v>
      </c>
    </row>
    <row r="3968" spans="1:14" x14ac:dyDescent="0.25">
      <c r="A3968">
        <v>59596132</v>
      </c>
      <c r="B3968" t="s">
        <v>2392</v>
      </c>
      <c r="C3968" t="s">
        <v>770</v>
      </c>
      <c r="D3968" t="s">
        <v>9025</v>
      </c>
      <c r="E3968">
        <v>2162874830</v>
      </c>
      <c r="F3968" t="s">
        <v>551</v>
      </c>
      <c r="G3968" t="s">
        <v>552</v>
      </c>
      <c r="I3968" t="s">
        <v>42</v>
      </c>
      <c r="J3968" s="13">
        <v>46037</v>
      </c>
      <c r="K3968" s="13">
        <v>46054</v>
      </c>
      <c r="L3968" t="s">
        <v>418</v>
      </c>
      <c r="M3968" t="s">
        <v>55</v>
      </c>
      <c r="N3968">
        <v>73291206</v>
      </c>
    </row>
    <row r="3969" spans="1:14" x14ac:dyDescent="0.25">
      <c r="A3969">
        <v>59597850</v>
      </c>
      <c r="B3969" t="s">
        <v>1900</v>
      </c>
      <c r="C3969" t="s">
        <v>6049</v>
      </c>
      <c r="D3969" t="s">
        <v>9026</v>
      </c>
      <c r="E3969">
        <v>9284522985</v>
      </c>
      <c r="F3969" t="s">
        <v>1345</v>
      </c>
      <c r="G3969" t="s">
        <v>799</v>
      </c>
      <c r="I3969" t="s">
        <v>47</v>
      </c>
      <c r="J3969" s="13">
        <v>46037</v>
      </c>
      <c r="K3969" s="13">
        <v>46054</v>
      </c>
      <c r="L3969" t="s">
        <v>1179</v>
      </c>
      <c r="M3969" t="s">
        <v>59</v>
      </c>
      <c r="N3969">
        <v>73292187</v>
      </c>
    </row>
    <row r="3970" spans="1:14" x14ac:dyDescent="0.25">
      <c r="A3970">
        <v>59598178</v>
      </c>
      <c r="B3970" t="s">
        <v>9027</v>
      </c>
      <c r="C3970" t="s">
        <v>9028</v>
      </c>
      <c r="D3970" t="s">
        <v>9029</v>
      </c>
      <c r="E3970">
        <v>7276874806</v>
      </c>
      <c r="F3970" t="s">
        <v>474</v>
      </c>
      <c r="G3970" t="s">
        <v>475</v>
      </c>
      <c r="I3970" t="s">
        <v>132</v>
      </c>
      <c r="J3970" s="13">
        <v>46037</v>
      </c>
      <c r="K3970" s="13">
        <v>46054</v>
      </c>
      <c r="L3970" t="s">
        <v>497</v>
      </c>
      <c r="M3970" t="s">
        <v>54</v>
      </c>
      <c r="N3970">
        <v>73292420</v>
      </c>
    </row>
    <row r="3971" spans="1:14" x14ac:dyDescent="0.25">
      <c r="A3971">
        <v>59891758</v>
      </c>
      <c r="B3971" t="s">
        <v>517</v>
      </c>
      <c r="C3971" t="s">
        <v>9030</v>
      </c>
      <c r="D3971" t="s">
        <v>9031</v>
      </c>
      <c r="E3971">
        <v>6238882872</v>
      </c>
      <c r="F3971" t="s">
        <v>423</v>
      </c>
      <c r="G3971" t="s">
        <v>424</v>
      </c>
      <c r="I3971" t="s">
        <v>46</v>
      </c>
      <c r="J3971" s="13">
        <v>46048</v>
      </c>
      <c r="K3971" s="13">
        <v>46054</v>
      </c>
      <c r="L3971" t="s">
        <v>1179</v>
      </c>
      <c r="M3971" t="s">
        <v>56</v>
      </c>
      <c r="N3971">
        <v>73292472</v>
      </c>
    </row>
    <row r="3972" spans="1:14" x14ac:dyDescent="0.25">
      <c r="A3972">
        <v>59598610</v>
      </c>
      <c r="B3972" t="s">
        <v>1643</v>
      </c>
      <c r="C3972" t="s">
        <v>7409</v>
      </c>
      <c r="D3972" t="s">
        <v>9032</v>
      </c>
      <c r="E3972">
        <v>5612577400</v>
      </c>
      <c r="F3972" t="s">
        <v>416</v>
      </c>
      <c r="G3972" t="s">
        <v>417</v>
      </c>
      <c r="I3972" t="s">
        <v>26</v>
      </c>
      <c r="J3972" s="13">
        <v>46037</v>
      </c>
      <c r="K3972" s="13">
        <v>46054</v>
      </c>
      <c r="L3972" t="s">
        <v>497</v>
      </c>
      <c r="M3972" t="s">
        <v>54</v>
      </c>
      <c r="N3972">
        <v>73292654</v>
      </c>
    </row>
    <row r="3973" spans="1:14" x14ac:dyDescent="0.25">
      <c r="A3973">
        <v>60364311</v>
      </c>
      <c r="B3973" t="s">
        <v>1427</v>
      </c>
      <c r="C3973" t="s">
        <v>735</v>
      </c>
      <c r="D3973" t="s">
        <v>9033</v>
      </c>
      <c r="E3973">
        <v>5202139223</v>
      </c>
      <c r="F3973" t="s">
        <v>578</v>
      </c>
      <c r="G3973" t="s">
        <v>579</v>
      </c>
      <c r="I3973" t="s">
        <v>15</v>
      </c>
      <c r="J3973" s="13">
        <v>46062</v>
      </c>
      <c r="K3973" s="13">
        <v>46082</v>
      </c>
      <c r="L3973" t="s">
        <v>1179</v>
      </c>
      <c r="M3973" t="s">
        <v>54</v>
      </c>
      <c r="N3973">
        <v>73292762</v>
      </c>
    </row>
    <row r="3974" spans="1:14" x14ac:dyDescent="0.25">
      <c r="A3974">
        <v>59598885</v>
      </c>
      <c r="B3974" t="s">
        <v>8494</v>
      </c>
      <c r="C3974" t="s">
        <v>1917</v>
      </c>
      <c r="D3974" t="s">
        <v>9034</v>
      </c>
      <c r="E3974">
        <v>7739915181</v>
      </c>
      <c r="F3974" t="s">
        <v>790</v>
      </c>
      <c r="G3974" t="s">
        <v>791</v>
      </c>
      <c r="I3974" t="s">
        <v>119</v>
      </c>
      <c r="J3974" s="13">
        <v>46037</v>
      </c>
      <c r="K3974" s="13">
        <v>46054</v>
      </c>
      <c r="L3974" t="s">
        <v>470</v>
      </c>
      <c r="M3974" t="s">
        <v>56</v>
      </c>
      <c r="N3974">
        <v>73292814</v>
      </c>
    </row>
    <row r="3975" spans="1:14" x14ac:dyDescent="0.25">
      <c r="A3975">
        <v>59599148</v>
      </c>
      <c r="B3975" t="s">
        <v>431</v>
      </c>
      <c r="C3975" t="s">
        <v>9035</v>
      </c>
      <c r="D3975" t="s">
        <v>9036</v>
      </c>
      <c r="E3975">
        <v>8594210076</v>
      </c>
      <c r="F3975" t="s">
        <v>770</v>
      </c>
      <c r="G3975" t="s">
        <v>771</v>
      </c>
      <c r="I3975" t="s">
        <v>25</v>
      </c>
      <c r="J3975" s="13">
        <v>46037</v>
      </c>
      <c r="K3975" s="13">
        <v>46054</v>
      </c>
      <c r="L3975" t="s">
        <v>490</v>
      </c>
      <c r="M3975" t="s">
        <v>56</v>
      </c>
      <c r="N3975">
        <v>73293000</v>
      </c>
    </row>
    <row r="3976" spans="1:14" x14ac:dyDescent="0.25">
      <c r="A3976">
        <v>59599646</v>
      </c>
      <c r="B3976" t="s">
        <v>9037</v>
      </c>
      <c r="C3976" t="s">
        <v>4667</v>
      </c>
      <c r="D3976" t="s">
        <v>9038</v>
      </c>
      <c r="E3976">
        <v>4794595427</v>
      </c>
      <c r="F3976" t="s">
        <v>815</v>
      </c>
      <c r="G3976" t="s">
        <v>816</v>
      </c>
      <c r="I3976" t="s">
        <v>23</v>
      </c>
      <c r="J3976" s="13">
        <v>46037</v>
      </c>
      <c r="K3976" s="13">
        <v>46054</v>
      </c>
      <c r="L3976" t="s">
        <v>553</v>
      </c>
      <c r="M3976" t="s">
        <v>58</v>
      </c>
      <c r="N3976">
        <v>73293338</v>
      </c>
    </row>
    <row r="3977" spans="1:14" x14ac:dyDescent="0.25">
      <c r="A3977">
        <v>59600942</v>
      </c>
      <c r="B3977" t="s">
        <v>876</v>
      </c>
      <c r="C3977" t="s">
        <v>8821</v>
      </c>
      <c r="D3977" t="s">
        <v>9039</v>
      </c>
      <c r="E3977">
        <v>4175313360</v>
      </c>
      <c r="F3977" t="s">
        <v>1345</v>
      </c>
      <c r="G3977" t="s">
        <v>799</v>
      </c>
      <c r="I3977" t="s">
        <v>47</v>
      </c>
      <c r="J3977" s="13">
        <v>46037</v>
      </c>
      <c r="K3977" s="13">
        <v>46054</v>
      </c>
      <c r="L3977" t="s">
        <v>1179</v>
      </c>
      <c r="M3977" t="s">
        <v>59</v>
      </c>
      <c r="N3977">
        <v>73294196</v>
      </c>
    </row>
    <row r="3978" spans="1:14" x14ac:dyDescent="0.25">
      <c r="A3978">
        <v>59602058</v>
      </c>
      <c r="B3978" t="s">
        <v>3542</v>
      </c>
      <c r="C3978" t="s">
        <v>9040</v>
      </c>
      <c r="D3978" t="s">
        <v>9041</v>
      </c>
      <c r="E3978">
        <v>3059864174</v>
      </c>
      <c r="F3978" t="s">
        <v>1067</v>
      </c>
      <c r="G3978" t="s">
        <v>1068</v>
      </c>
      <c r="I3978" t="s">
        <v>35</v>
      </c>
      <c r="J3978" s="13">
        <v>46037</v>
      </c>
      <c r="K3978" s="13">
        <v>46054</v>
      </c>
      <c r="L3978" t="s">
        <v>497</v>
      </c>
      <c r="M3978" t="s">
        <v>59</v>
      </c>
      <c r="N3978">
        <v>73295383</v>
      </c>
    </row>
    <row r="3979" spans="1:14" x14ac:dyDescent="0.25">
      <c r="A3979">
        <v>59602066</v>
      </c>
      <c r="B3979" t="s">
        <v>9042</v>
      </c>
      <c r="C3979" t="s">
        <v>4730</v>
      </c>
      <c r="D3979" t="s">
        <v>9043</v>
      </c>
      <c r="E3979">
        <v>7203532758</v>
      </c>
      <c r="F3979" t="s">
        <v>828</v>
      </c>
      <c r="G3979" t="s">
        <v>1148</v>
      </c>
      <c r="I3979" t="s">
        <v>17</v>
      </c>
      <c r="J3979" s="13">
        <v>46037</v>
      </c>
      <c r="K3979" s="13">
        <v>46054</v>
      </c>
      <c r="L3979" t="s">
        <v>539</v>
      </c>
      <c r="M3979" t="s">
        <v>59</v>
      </c>
      <c r="N3979">
        <v>73295388</v>
      </c>
    </row>
    <row r="3980" spans="1:14" x14ac:dyDescent="0.25">
      <c r="A3980">
        <v>60655139</v>
      </c>
      <c r="B3980" t="s">
        <v>6170</v>
      </c>
      <c r="C3980" t="s">
        <v>9044</v>
      </c>
      <c r="D3980" t="s">
        <v>9045</v>
      </c>
      <c r="E3980">
        <v>6235709183</v>
      </c>
      <c r="F3980" t="s">
        <v>1013</v>
      </c>
      <c r="G3980" t="s">
        <v>1014</v>
      </c>
      <c r="I3980" t="s">
        <v>43</v>
      </c>
      <c r="J3980" s="13">
        <v>46070</v>
      </c>
      <c r="K3980" s="13">
        <v>46082</v>
      </c>
      <c r="L3980" t="s">
        <v>1179</v>
      </c>
      <c r="M3980" t="s">
        <v>54</v>
      </c>
      <c r="N3980">
        <v>73296092</v>
      </c>
    </row>
    <row r="3981" spans="1:14" x14ac:dyDescent="0.25">
      <c r="A3981">
        <v>59603100</v>
      </c>
      <c r="B3981" t="s">
        <v>1176</v>
      </c>
      <c r="C3981" t="s">
        <v>9046</v>
      </c>
      <c r="D3981" t="s">
        <v>9047</v>
      </c>
      <c r="E3981" t="s">
        <v>9048</v>
      </c>
      <c r="F3981" t="s">
        <v>705</v>
      </c>
      <c r="G3981" t="s">
        <v>706</v>
      </c>
      <c r="I3981" t="s">
        <v>12</v>
      </c>
      <c r="J3981" s="13">
        <v>46037</v>
      </c>
      <c r="K3981" s="13">
        <v>46054</v>
      </c>
      <c r="L3981" t="s">
        <v>490</v>
      </c>
      <c r="M3981" t="s">
        <v>58</v>
      </c>
      <c r="N3981">
        <v>73296114</v>
      </c>
    </row>
    <row r="3982" spans="1:14" x14ac:dyDescent="0.25">
      <c r="A3982">
        <v>59603330</v>
      </c>
      <c r="B3982" t="s">
        <v>9049</v>
      </c>
      <c r="C3982" t="s">
        <v>9050</v>
      </c>
      <c r="D3982" t="s">
        <v>9051</v>
      </c>
      <c r="E3982">
        <v>5013506521</v>
      </c>
      <c r="F3982" t="s">
        <v>790</v>
      </c>
      <c r="G3982" t="s">
        <v>791</v>
      </c>
      <c r="I3982" t="s">
        <v>119</v>
      </c>
      <c r="J3982" s="13">
        <v>46037</v>
      </c>
      <c r="K3982" s="13">
        <v>46054</v>
      </c>
      <c r="L3982" t="s">
        <v>553</v>
      </c>
      <c r="M3982" t="s">
        <v>58</v>
      </c>
      <c r="N3982">
        <v>73296239</v>
      </c>
    </row>
    <row r="3983" spans="1:14" x14ac:dyDescent="0.25">
      <c r="A3983">
        <v>59603475</v>
      </c>
      <c r="B3983" t="s">
        <v>604</v>
      </c>
      <c r="C3983" t="s">
        <v>9052</v>
      </c>
      <c r="D3983" t="s">
        <v>9053</v>
      </c>
      <c r="E3983">
        <v>6028866220</v>
      </c>
      <c r="F3983" t="s">
        <v>775</v>
      </c>
      <c r="G3983" t="s">
        <v>776</v>
      </c>
      <c r="I3983" t="s">
        <v>22</v>
      </c>
      <c r="J3983" s="13">
        <v>46037</v>
      </c>
      <c r="K3983" s="13">
        <v>46054</v>
      </c>
      <c r="L3983" t="s">
        <v>1179</v>
      </c>
      <c r="M3983" t="s">
        <v>58</v>
      </c>
      <c r="N3983">
        <v>73296344</v>
      </c>
    </row>
    <row r="3984" spans="1:14" x14ac:dyDescent="0.25">
      <c r="A3984">
        <v>59608346</v>
      </c>
      <c r="B3984" t="s">
        <v>1699</v>
      </c>
      <c r="C3984" t="s">
        <v>8192</v>
      </c>
      <c r="D3984" t="s">
        <v>9054</v>
      </c>
      <c r="E3984">
        <v>7754005718</v>
      </c>
      <c r="F3984" t="s">
        <v>423</v>
      </c>
      <c r="G3984" t="s">
        <v>424</v>
      </c>
      <c r="I3984" t="s">
        <v>46</v>
      </c>
      <c r="J3984" s="13">
        <v>46037</v>
      </c>
      <c r="K3984" s="13">
        <v>46054</v>
      </c>
      <c r="L3984" t="s">
        <v>483</v>
      </c>
      <c r="M3984" t="s">
        <v>56</v>
      </c>
      <c r="N3984">
        <v>73300030</v>
      </c>
    </row>
    <row r="3985" spans="1:14" x14ac:dyDescent="0.25">
      <c r="A3985">
        <v>59608243</v>
      </c>
      <c r="B3985" t="s">
        <v>980</v>
      </c>
      <c r="C3985" t="s">
        <v>413</v>
      </c>
      <c r="D3985" t="s">
        <v>9055</v>
      </c>
      <c r="E3985">
        <v>4803161741</v>
      </c>
      <c r="F3985" t="s">
        <v>1345</v>
      </c>
      <c r="G3985" t="s">
        <v>799</v>
      </c>
      <c r="I3985" t="s">
        <v>47</v>
      </c>
      <c r="J3985" s="13">
        <v>46037</v>
      </c>
      <c r="K3985" s="13">
        <v>46054</v>
      </c>
      <c r="L3985" t="s">
        <v>1179</v>
      </c>
      <c r="M3985" t="s">
        <v>54</v>
      </c>
      <c r="N3985">
        <v>73300091</v>
      </c>
    </row>
    <row r="3986" spans="1:14" x14ac:dyDescent="0.25">
      <c r="A3986">
        <v>59609939</v>
      </c>
      <c r="B3986" t="s">
        <v>8117</v>
      </c>
      <c r="C3986" t="s">
        <v>9056</v>
      </c>
      <c r="D3986" t="s">
        <v>9057</v>
      </c>
      <c r="E3986">
        <v>2627457810</v>
      </c>
      <c r="F3986" t="s">
        <v>628</v>
      </c>
      <c r="G3986" t="s">
        <v>629</v>
      </c>
      <c r="I3986" t="s">
        <v>24</v>
      </c>
      <c r="J3986" s="13">
        <v>46037</v>
      </c>
      <c r="K3986" s="13">
        <v>46054</v>
      </c>
      <c r="L3986" t="s">
        <v>675</v>
      </c>
      <c r="M3986" t="s">
        <v>61</v>
      </c>
      <c r="N3986">
        <v>73301591</v>
      </c>
    </row>
    <row r="3987" spans="1:14" x14ac:dyDescent="0.25">
      <c r="A3987">
        <v>59610282</v>
      </c>
      <c r="B3987" t="s">
        <v>9058</v>
      </c>
      <c r="C3987" t="s">
        <v>2077</v>
      </c>
      <c r="D3987" t="s">
        <v>9059</v>
      </c>
      <c r="E3987" t="s">
        <v>9060</v>
      </c>
      <c r="F3987" t="s">
        <v>569</v>
      </c>
      <c r="G3987" t="s">
        <v>570</v>
      </c>
      <c r="I3987" t="s">
        <v>34</v>
      </c>
      <c r="J3987" s="13">
        <v>46037</v>
      </c>
      <c r="K3987" s="13">
        <v>46054</v>
      </c>
      <c r="L3987" t="s">
        <v>497</v>
      </c>
      <c r="M3987" t="s">
        <v>56</v>
      </c>
      <c r="N3987">
        <v>73301925</v>
      </c>
    </row>
    <row r="3988" spans="1:14" x14ac:dyDescent="0.25">
      <c r="A3988">
        <v>59610990</v>
      </c>
      <c r="B3988" t="s">
        <v>530</v>
      </c>
      <c r="C3988" t="s">
        <v>2245</v>
      </c>
      <c r="D3988" t="s">
        <v>9061</v>
      </c>
      <c r="E3988">
        <v>4803219961</v>
      </c>
      <c r="F3988" t="s">
        <v>807</v>
      </c>
      <c r="G3988" t="s">
        <v>808</v>
      </c>
      <c r="I3988" t="s">
        <v>33</v>
      </c>
      <c r="J3988" s="13">
        <v>46037</v>
      </c>
      <c r="K3988" s="13">
        <v>46054</v>
      </c>
      <c r="L3988" t="s">
        <v>1179</v>
      </c>
      <c r="M3988" t="s">
        <v>59</v>
      </c>
      <c r="N3988">
        <v>73302561</v>
      </c>
    </row>
    <row r="3989" spans="1:14" x14ac:dyDescent="0.25">
      <c r="A3989">
        <v>59611238</v>
      </c>
      <c r="B3989" t="s">
        <v>1658</v>
      </c>
      <c r="C3989" t="s">
        <v>9062</v>
      </c>
      <c r="D3989" t="s">
        <v>9063</v>
      </c>
      <c r="E3989">
        <v>6085421653</v>
      </c>
      <c r="F3989" t="s">
        <v>928</v>
      </c>
      <c r="G3989" t="s">
        <v>929</v>
      </c>
      <c r="I3989" t="s">
        <v>30</v>
      </c>
      <c r="J3989" s="13">
        <v>46037</v>
      </c>
      <c r="K3989" s="13">
        <v>46054</v>
      </c>
      <c r="L3989" t="s">
        <v>675</v>
      </c>
      <c r="M3989" t="s">
        <v>419</v>
      </c>
      <c r="N3989">
        <v>73302776</v>
      </c>
    </row>
    <row r="3990" spans="1:14" x14ac:dyDescent="0.25">
      <c r="A3990">
        <v>59612368</v>
      </c>
      <c r="B3990" t="s">
        <v>9064</v>
      </c>
      <c r="C3990" t="s">
        <v>1917</v>
      </c>
      <c r="D3990" t="s">
        <v>9065</v>
      </c>
      <c r="E3990">
        <v>5019609643</v>
      </c>
      <c r="F3990" t="s">
        <v>828</v>
      </c>
      <c r="G3990" t="s">
        <v>1148</v>
      </c>
      <c r="I3990" t="s">
        <v>17</v>
      </c>
      <c r="J3990" s="13">
        <v>46037</v>
      </c>
      <c r="K3990" s="13">
        <v>46054</v>
      </c>
      <c r="L3990" t="s">
        <v>553</v>
      </c>
      <c r="M3990" t="s">
        <v>56</v>
      </c>
      <c r="N3990">
        <v>73303792</v>
      </c>
    </row>
    <row r="3991" spans="1:14" x14ac:dyDescent="0.25">
      <c r="A3991">
        <v>59612516</v>
      </c>
      <c r="B3991" t="s">
        <v>6187</v>
      </c>
      <c r="C3991" t="s">
        <v>9066</v>
      </c>
      <c r="D3991" t="s">
        <v>9067</v>
      </c>
      <c r="E3991">
        <v>8153423555</v>
      </c>
      <c r="F3991" t="s">
        <v>705</v>
      </c>
      <c r="G3991" t="s">
        <v>706</v>
      </c>
      <c r="I3991" t="s">
        <v>12</v>
      </c>
      <c r="J3991" s="13">
        <v>46037</v>
      </c>
      <c r="K3991" s="13">
        <v>46054</v>
      </c>
      <c r="L3991" t="s">
        <v>470</v>
      </c>
      <c r="M3991" t="s">
        <v>55</v>
      </c>
      <c r="N3991">
        <v>73303885</v>
      </c>
    </row>
    <row r="3992" spans="1:14" x14ac:dyDescent="0.25">
      <c r="A3992">
        <v>59612549</v>
      </c>
      <c r="B3992" t="s">
        <v>737</v>
      </c>
      <c r="C3992" t="s">
        <v>9068</v>
      </c>
      <c r="D3992" t="s">
        <v>9069</v>
      </c>
      <c r="E3992">
        <v>4803632599</v>
      </c>
      <c r="F3992" t="s">
        <v>1013</v>
      </c>
      <c r="G3992" t="s">
        <v>1014</v>
      </c>
      <c r="I3992" t="s">
        <v>43</v>
      </c>
      <c r="J3992" s="13">
        <v>46037</v>
      </c>
      <c r="K3992" s="13">
        <v>46054</v>
      </c>
      <c r="L3992" t="s">
        <v>1179</v>
      </c>
      <c r="M3992" t="s">
        <v>54</v>
      </c>
      <c r="N3992">
        <v>73303914</v>
      </c>
    </row>
    <row r="3993" spans="1:14" x14ac:dyDescent="0.25">
      <c r="A3993">
        <v>59613005</v>
      </c>
      <c r="B3993" t="s">
        <v>4976</v>
      </c>
      <c r="C3993" t="s">
        <v>9070</v>
      </c>
      <c r="D3993" t="s">
        <v>9071</v>
      </c>
      <c r="F3993" t="s">
        <v>574</v>
      </c>
      <c r="G3993" t="s">
        <v>575</v>
      </c>
      <c r="I3993" t="s">
        <v>14</v>
      </c>
      <c r="J3993" s="13">
        <v>46037</v>
      </c>
      <c r="K3993" s="13">
        <v>46054</v>
      </c>
      <c r="L3993" t="s">
        <v>418</v>
      </c>
      <c r="M3993" t="s">
        <v>58</v>
      </c>
      <c r="N3993">
        <v>73304290</v>
      </c>
    </row>
    <row r="3994" spans="1:14" x14ac:dyDescent="0.25">
      <c r="A3994">
        <v>59613063</v>
      </c>
      <c r="B3994" t="s">
        <v>9072</v>
      </c>
      <c r="C3994" t="s">
        <v>1240</v>
      </c>
      <c r="D3994" t="s">
        <v>9073</v>
      </c>
      <c r="E3994">
        <v>2142802834</v>
      </c>
      <c r="F3994" t="s">
        <v>790</v>
      </c>
      <c r="G3994" t="s">
        <v>791</v>
      </c>
      <c r="I3994" t="s">
        <v>119</v>
      </c>
      <c r="J3994" s="13">
        <v>46037</v>
      </c>
      <c r="K3994" s="13">
        <v>46054</v>
      </c>
      <c r="L3994" t="s">
        <v>444</v>
      </c>
      <c r="M3994" t="s">
        <v>58</v>
      </c>
      <c r="N3994">
        <v>73304329</v>
      </c>
    </row>
    <row r="3995" spans="1:14" x14ac:dyDescent="0.25">
      <c r="A3995">
        <v>59613583</v>
      </c>
      <c r="B3995" t="s">
        <v>554</v>
      </c>
      <c r="C3995" t="s">
        <v>9074</v>
      </c>
      <c r="D3995" t="s">
        <v>9075</v>
      </c>
      <c r="E3995">
        <v>6238064876</v>
      </c>
      <c r="F3995" t="s">
        <v>4853</v>
      </c>
      <c r="G3995" t="s">
        <v>5017</v>
      </c>
      <c r="I3995" t="s">
        <v>5018</v>
      </c>
      <c r="J3995" s="13">
        <v>46037</v>
      </c>
      <c r="K3995" s="13">
        <v>46054</v>
      </c>
      <c r="L3995" t="s">
        <v>1179</v>
      </c>
      <c r="M3995" t="s">
        <v>61</v>
      </c>
      <c r="N3995">
        <v>73304682</v>
      </c>
    </row>
    <row r="3996" spans="1:14" x14ac:dyDescent="0.25">
      <c r="A3996">
        <v>59613715</v>
      </c>
      <c r="B3996" t="s">
        <v>4461</v>
      </c>
      <c r="C3996" t="s">
        <v>9076</v>
      </c>
      <c r="D3996" t="s">
        <v>9077</v>
      </c>
      <c r="E3996">
        <v>4802413015</v>
      </c>
      <c r="F3996" t="s">
        <v>569</v>
      </c>
      <c r="G3996" t="s">
        <v>570</v>
      </c>
      <c r="I3996" t="s">
        <v>34</v>
      </c>
      <c r="J3996" s="13">
        <v>46037</v>
      </c>
      <c r="K3996" s="13">
        <v>46054</v>
      </c>
      <c r="L3996" t="s">
        <v>1179</v>
      </c>
      <c r="M3996" t="s">
        <v>54</v>
      </c>
      <c r="N3996">
        <v>73304775</v>
      </c>
    </row>
    <row r="3997" spans="1:14" x14ac:dyDescent="0.25">
      <c r="A3997">
        <v>59623503</v>
      </c>
      <c r="B3997" t="s">
        <v>1297</v>
      </c>
      <c r="C3997" t="s">
        <v>6545</v>
      </c>
      <c r="D3997" t="s">
        <v>9078</v>
      </c>
      <c r="E3997">
        <v>8705439314</v>
      </c>
      <c r="F3997" t="s">
        <v>423</v>
      </c>
      <c r="G3997" t="s">
        <v>424</v>
      </c>
      <c r="I3997" t="s">
        <v>46</v>
      </c>
      <c r="J3997" s="13">
        <v>46038</v>
      </c>
      <c r="K3997" s="13">
        <v>46054</v>
      </c>
      <c r="L3997" t="s">
        <v>553</v>
      </c>
      <c r="M3997" t="s">
        <v>56</v>
      </c>
      <c r="N3997">
        <v>73312380</v>
      </c>
    </row>
    <row r="3998" spans="1:14" x14ac:dyDescent="0.25">
      <c r="A3998">
        <v>59623854</v>
      </c>
      <c r="B3998" t="s">
        <v>9079</v>
      </c>
      <c r="C3998" t="s">
        <v>9080</v>
      </c>
      <c r="D3998" t="s">
        <v>9081</v>
      </c>
      <c r="E3998">
        <v>2563436279</v>
      </c>
      <c r="F3998" t="s">
        <v>474</v>
      </c>
      <c r="G3998" t="s">
        <v>475</v>
      </c>
      <c r="I3998" t="s">
        <v>132</v>
      </c>
      <c r="J3998" s="13">
        <v>46038</v>
      </c>
      <c r="K3998" s="13">
        <v>46054</v>
      </c>
      <c r="L3998" t="s">
        <v>450</v>
      </c>
      <c r="M3998" t="s">
        <v>56</v>
      </c>
      <c r="N3998">
        <v>73312737</v>
      </c>
    </row>
    <row r="3999" spans="1:14" x14ac:dyDescent="0.25">
      <c r="A3999">
        <v>59624798</v>
      </c>
      <c r="B3999" t="s">
        <v>3767</v>
      </c>
      <c r="C3999" t="s">
        <v>9082</v>
      </c>
      <c r="D3999" t="s">
        <v>9083</v>
      </c>
      <c r="E3999">
        <v>7722924486</v>
      </c>
      <c r="F3999" t="s">
        <v>1067</v>
      </c>
      <c r="G3999" t="s">
        <v>1068</v>
      </c>
      <c r="I3999" t="s">
        <v>35</v>
      </c>
      <c r="J3999" s="13">
        <v>46038</v>
      </c>
      <c r="K3999" s="13">
        <v>46054</v>
      </c>
      <c r="L3999" t="s">
        <v>497</v>
      </c>
      <c r="M3999" t="s">
        <v>56</v>
      </c>
      <c r="N3999">
        <v>73313464</v>
      </c>
    </row>
    <row r="4000" spans="1:14" x14ac:dyDescent="0.25">
      <c r="A4000">
        <v>59630138</v>
      </c>
      <c r="B4000" t="s">
        <v>498</v>
      </c>
      <c r="C4000" t="s">
        <v>2558</v>
      </c>
      <c r="D4000" t="s">
        <v>9084</v>
      </c>
      <c r="E4000">
        <v>9376579518</v>
      </c>
      <c r="F4000" t="s">
        <v>790</v>
      </c>
      <c r="G4000" t="s">
        <v>791</v>
      </c>
      <c r="I4000" t="s">
        <v>119</v>
      </c>
      <c r="J4000" s="13">
        <v>46038</v>
      </c>
      <c r="K4000" s="13">
        <v>46054</v>
      </c>
      <c r="L4000" t="s">
        <v>470</v>
      </c>
      <c r="M4000" t="s">
        <v>55</v>
      </c>
      <c r="N4000">
        <v>73317224</v>
      </c>
    </row>
    <row r="4001" spans="1:14" x14ac:dyDescent="0.25">
      <c r="A4001">
        <v>59632823</v>
      </c>
      <c r="B4001" t="s">
        <v>1482</v>
      </c>
      <c r="C4001" t="s">
        <v>9085</v>
      </c>
      <c r="D4001" t="s">
        <v>9086</v>
      </c>
      <c r="E4001">
        <v>4073412180</v>
      </c>
      <c r="F4001" t="s">
        <v>423</v>
      </c>
      <c r="G4001" t="s">
        <v>424</v>
      </c>
      <c r="I4001" t="s">
        <v>46</v>
      </c>
      <c r="J4001" s="13">
        <v>46038</v>
      </c>
      <c r="K4001" s="13">
        <v>46054</v>
      </c>
      <c r="L4001" t="s">
        <v>497</v>
      </c>
      <c r="M4001" t="s">
        <v>59</v>
      </c>
      <c r="N4001">
        <v>73317578</v>
      </c>
    </row>
    <row r="4002" spans="1:14" x14ac:dyDescent="0.25">
      <c r="A4002">
        <v>59632526</v>
      </c>
      <c r="B4002" t="s">
        <v>5707</v>
      </c>
      <c r="C4002" t="s">
        <v>9087</v>
      </c>
      <c r="D4002" t="s">
        <v>9088</v>
      </c>
      <c r="E4002">
        <v>2512420940</v>
      </c>
      <c r="F4002" t="s">
        <v>474</v>
      </c>
      <c r="G4002" t="s">
        <v>475</v>
      </c>
      <c r="I4002" t="s">
        <v>132</v>
      </c>
      <c r="J4002" s="13">
        <v>46038</v>
      </c>
      <c r="K4002" s="13">
        <v>46054</v>
      </c>
      <c r="L4002" t="s">
        <v>450</v>
      </c>
      <c r="M4002" t="s">
        <v>55</v>
      </c>
      <c r="N4002">
        <v>73319312</v>
      </c>
    </row>
    <row r="4003" spans="1:14" x14ac:dyDescent="0.25">
      <c r="A4003">
        <v>59634155</v>
      </c>
      <c r="B4003" t="s">
        <v>517</v>
      </c>
      <c r="C4003" t="s">
        <v>9089</v>
      </c>
      <c r="D4003" t="s">
        <v>9090</v>
      </c>
      <c r="E4003">
        <v>3046981717</v>
      </c>
      <c r="F4003" t="s">
        <v>1013</v>
      </c>
      <c r="G4003" t="s">
        <v>1014</v>
      </c>
      <c r="I4003" t="s">
        <v>43</v>
      </c>
      <c r="J4003" s="13">
        <v>46038</v>
      </c>
      <c r="K4003" s="13">
        <v>46054</v>
      </c>
      <c r="L4003" t="s">
        <v>1188</v>
      </c>
      <c r="M4003" t="s">
        <v>56</v>
      </c>
      <c r="N4003">
        <v>73320388</v>
      </c>
    </row>
    <row r="4004" spans="1:14" x14ac:dyDescent="0.25">
      <c r="A4004">
        <v>59635929</v>
      </c>
      <c r="B4004" t="s">
        <v>709</v>
      </c>
      <c r="C4004" t="s">
        <v>3922</v>
      </c>
      <c r="D4004" t="s">
        <v>9091</v>
      </c>
      <c r="E4004">
        <v>3183489814</v>
      </c>
      <c r="F4004" t="s">
        <v>705</v>
      </c>
      <c r="G4004" t="s">
        <v>706</v>
      </c>
      <c r="I4004" t="s">
        <v>12</v>
      </c>
      <c r="J4004" s="13">
        <v>46038</v>
      </c>
      <c r="K4004" s="13">
        <v>46054</v>
      </c>
      <c r="L4004" t="s">
        <v>612</v>
      </c>
      <c r="M4004" t="s">
        <v>58</v>
      </c>
      <c r="N4004">
        <v>73321729</v>
      </c>
    </row>
    <row r="4005" spans="1:14" x14ac:dyDescent="0.25">
      <c r="A4005">
        <v>59642668</v>
      </c>
      <c r="B4005" t="s">
        <v>8666</v>
      </c>
      <c r="C4005" t="s">
        <v>9092</v>
      </c>
      <c r="D4005" t="s">
        <v>9093</v>
      </c>
      <c r="E4005">
        <v>3047312554</v>
      </c>
      <c r="F4005" t="s">
        <v>423</v>
      </c>
      <c r="G4005" t="s">
        <v>424</v>
      </c>
      <c r="I4005" t="s">
        <v>46</v>
      </c>
      <c r="J4005" s="13">
        <v>46038</v>
      </c>
      <c r="K4005" s="13">
        <v>46054</v>
      </c>
      <c r="L4005" t="s">
        <v>1188</v>
      </c>
      <c r="M4005" t="s">
        <v>56</v>
      </c>
      <c r="N4005">
        <v>73326530</v>
      </c>
    </row>
    <row r="4006" spans="1:14" x14ac:dyDescent="0.25">
      <c r="A4006">
        <v>59642618</v>
      </c>
      <c r="B4006" t="s">
        <v>5151</v>
      </c>
      <c r="C4006" t="s">
        <v>9094</v>
      </c>
      <c r="D4006" t="s">
        <v>9095</v>
      </c>
      <c r="E4006">
        <v>5025984270</v>
      </c>
      <c r="F4006" t="s">
        <v>448</v>
      </c>
      <c r="G4006" t="s">
        <v>449</v>
      </c>
      <c r="I4006" t="s">
        <v>31</v>
      </c>
      <c r="J4006" s="13">
        <v>46038</v>
      </c>
      <c r="K4006" s="13">
        <v>46054</v>
      </c>
      <c r="L4006" t="s">
        <v>490</v>
      </c>
      <c r="M4006" t="s">
        <v>58</v>
      </c>
      <c r="N4006">
        <v>73326754</v>
      </c>
    </row>
    <row r="4007" spans="1:14" x14ac:dyDescent="0.25">
      <c r="A4007">
        <v>59642957</v>
      </c>
      <c r="B4007" t="s">
        <v>9096</v>
      </c>
      <c r="C4007" t="s">
        <v>9097</v>
      </c>
      <c r="D4007" t="s">
        <v>9098</v>
      </c>
      <c r="E4007">
        <v>9546966946</v>
      </c>
      <c r="F4007" t="s">
        <v>569</v>
      </c>
      <c r="G4007" t="s">
        <v>570</v>
      </c>
      <c r="I4007" t="s">
        <v>34</v>
      </c>
      <c r="J4007" s="13">
        <v>46038</v>
      </c>
      <c r="K4007" s="13">
        <v>46054</v>
      </c>
      <c r="L4007" t="s">
        <v>497</v>
      </c>
      <c r="M4007" t="s">
        <v>56</v>
      </c>
      <c r="N4007">
        <v>73326952</v>
      </c>
    </row>
    <row r="4008" spans="1:14" x14ac:dyDescent="0.25">
      <c r="A4008">
        <v>59643701</v>
      </c>
      <c r="B4008" t="s">
        <v>3526</v>
      </c>
      <c r="C4008" t="s">
        <v>4330</v>
      </c>
      <c r="D4008" t="s">
        <v>9099</v>
      </c>
      <c r="E4008">
        <v>5612940622</v>
      </c>
      <c r="F4008" t="s">
        <v>551</v>
      </c>
      <c r="G4008" t="s">
        <v>552</v>
      </c>
      <c r="I4008" t="s">
        <v>42</v>
      </c>
      <c r="J4008" s="13">
        <v>46038</v>
      </c>
      <c r="K4008" s="13">
        <v>46054</v>
      </c>
      <c r="L4008" t="s">
        <v>497</v>
      </c>
      <c r="M4008" t="s">
        <v>59</v>
      </c>
      <c r="N4008">
        <v>73327443</v>
      </c>
    </row>
    <row r="4009" spans="1:14" x14ac:dyDescent="0.25">
      <c r="A4009">
        <v>59644466</v>
      </c>
      <c r="B4009" t="s">
        <v>9100</v>
      </c>
      <c r="C4009" t="s">
        <v>9101</v>
      </c>
      <c r="D4009" t="s">
        <v>9102</v>
      </c>
      <c r="E4009">
        <v>8707181463</v>
      </c>
      <c r="F4009" t="s">
        <v>474</v>
      </c>
      <c r="G4009" t="s">
        <v>475</v>
      </c>
      <c r="I4009" t="s">
        <v>132</v>
      </c>
      <c r="J4009" s="13">
        <v>46038</v>
      </c>
      <c r="K4009" s="13">
        <v>46054</v>
      </c>
      <c r="L4009" t="s">
        <v>553</v>
      </c>
      <c r="M4009" t="s">
        <v>56</v>
      </c>
      <c r="N4009">
        <v>73327918</v>
      </c>
    </row>
    <row r="4010" spans="1:14" x14ac:dyDescent="0.25">
      <c r="A4010">
        <v>59644629</v>
      </c>
      <c r="B4010" t="s">
        <v>1160</v>
      </c>
      <c r="C4010" t="s">
        <v>9103</v>
      </c>
      <c r="D4010" t="s">
        <v>9104</v>
      </c>
      <c r="E4010">
        <v>7403124263</v>
      </c>
      <c r="F4010" t="s">
        <v>448</v>
      </c>
      <c r="G4010" t="s">
        <v>449</v>
      </c>
      <c r="I4010" t="s">
        <v>31</v>
      </c>
      <c r="J4010" s="13">
        <v>46038</v>
      </c>
      <c r="K4010" s="13">
        <v>46054</v>
      </c>
      <c r="L4010" t="s">
        <v>418</v>
      </c>
      <c r="M4010" t="s">
        <v>60</v>
      </c>
      <c r="N4010">
        <v>73328028</v>
      </c>
    </row>
    <row r="4011" spans="1:14" x14ac:dyDescent="0.25">
      <c r="A4011">
        <v>59644691</v>
      </c>
      <c r="B4011" t="s">
        <v>9105</v>
      </c>
      <c r="C4011" t="s">
        <v>4667</v>
      </c>
      <c r="D4011" t="s">
        <v>9106</v>
      </c>
      <c r="E4011">
        <v>7542040532</v>
      </c>
      <c r="F4011" t="s">
        <v>775</v>
      </c>
      <c r="G4011" t="s">
        <v>776</v>
      </c>
      <c r="I4011" t="s">
        <v>22</v>
      </c>
      <c r="J4011" s="13">
        <v>46038</v>
      </c>
      <c r="K4011" s="13">
        <v>46054</v>
      </c>
      <c r="L4011" t="s">
        <v>497</v>
      </c>
      <c r="M4011" t="s">
        <v>56</v>
      </c>
      <c r="N4011">
        <v>73328081</v>
      </c>
    </row>
    <row r="4012" spans="1:14" x14ac:dyDescent="0.25">
      <c r="A4012">
        <v>59644880</v>
      </c>
      <c r="B4012" t="s">
        <v>9107</v>
      </c>
      <c r="C4012" t="s">
        <v>9108</v>
      </c>
      <c r="D4012" t="s">
        <v>9109</v>
      </c>
      <c r="E4012">
        <v>2623715414</v>
      </c>
      <c r="F4012" t="s">
        <v>574</v>
      </c>
      <c r="G4012" t="s">
        <v>575</v>
      </c>
      <c r="I4012" t="s">
        <v>14</v>
      </c>
      <c r="J4012" s="13">
        <v>46038</v>
      </c>
      <c r="K4012" s="13">
        <v>46054</v>
      </c>
      <c r="L4012" t="s">
        <v>675</v>
      </c>
      <c r="M4012" t="s">
        <v>61</v>
      </c>
      <c r="N4012">
        <v>73328226</v>
      </c>
    </row>
    <row r="4013" spans="1:14" x14ac:dyDescent="0.25">
      <c r="A4013">
        <v>59647079</v>
      </c>
      <c r="B4013" t="s">
        <v>7125</v>
      </c>
      <c r="C4013" t="s">
        <v>4667</v>
      </c>
      <c r="D4013" t="s">
        <v>9110</v>
      </c>
      <c r="E4013">
        <v>3343272799</v>
      </c>
      <c r="F4013" t="s">
        <v>815</v>
      </c>
      <c r="G4013" t="s">
        <v>816</v>
      </c>
      <c r="I4013" t="s">
        <v>23</v>
      </c>
      <c r="J4013" s="13">
        <v>46038</v>
      </c>
      <c r="K4013" s="13">
        <v>46054</v>
      </c>
      <c r="L4013" t="s">
        <v>450</v>
      </c>
      <c r="M4013" t="s">
        <v>55</v>
      </c>
      <c r="N4013">
        <v>73329095</v>
      </c>
    </row>
    <row r="4014" spans="1:14" x14ac:dyDescent="0.25">
      <c r="A4014">
        <v>59648727</v>
      </c>
      <c r="B4014" t="s">
        <v>9111</v>
      </c>
      <c r="C4014" t="s">
        <v>9112</v>
      </c>
      <c r="D4014" t="s">
        <v>9113</v>
      </c>
      <c r="E4014">
        <v>9043866870</v>
      </c>
      <c r="F4014" t="s">
        <v>649</v>
      </c>
      <c r="G4014" t="s">
        <v>650</v>
      </c>
      <c r="I4014" t="s">
        <v>28</v>
      </c>
      <c r="J4014" s="13">
        <v>46038</v>
      </c>
      <c r="K4014" s="13">
        <v>46054</v>
      </c>
      <c r="L4014" t="s">
        <v>450</v>
      </c>
      <c r="M4014" t="s">
        <v>56</v>
      </c>
      <c r="N4014">
        <v>73329334</v>
      </c>
    </row>
    <row r="4015" spans="1:14" x14ac:dyDescent="0.25">
      <c r="A4015">
        <v>59652969</v>
      </c>
      <c r="B4015" t="s">
        <v>9114</v>
      </c>
      <c r="C4015" t="s">
        <v>9115</v>
      </c>
      <c r="D4015" t="s">
        <v>9116</v>
      </c>
      <c r="E4015">
        <v>6172564022</v>
      </c>
      <c r="F4015" t="s">
        <v>1067</v>
      </c>
      <c r="G4015" t="s">
        <v>1068</v>
      </c>
      <c r="I4015" t="s">
        <v>35</v>
      </c>
      <c r="J4015" s="13">
        <v>46038</v>
      </c>
      <c r="K4015" s="13">
        <v>46054</v>
      </c>
      <c r="L4015" t="s">
        <v>497</v>
      </c>
      <c r="M4015" t="s">
        <v>60</v>
      </c>
      <c r="N4015">
        <v>73330140</v>
      </c>
    </row>
    <row r="4016" spans="1:14" x14ac:dyDescent="0.25">
      <c r="A4016">
        <v>59653863</v>
      </c>
      <c r="B4016" t="s">
        <v>9117</v>
      </c>
      <c r="C4016" t="s">
        <v>8013</v>
      </c>
      <c r="D4016" t="s">
        <v>9118</v>
      </c>
      <c r="E4016">
        <v>9173787777</v>
      </c>
      <c r="F4016" t="s">
        <v>423</v>
      </c>
      <c r="G4016" t="s">
        <v>424</v>
      </c>
      <c r="I4016" t="s">
        <v>46</v>
      </c>
      <c r="J4016" s="13">
        <v>46038</v>
      </c>
      <c r="K4016" s="13">
        <v>46054</v>
      </c>
      <c r="L4016" t="s">
        <v>497</v>
      </c>
      <c r="M4016" t="s">
        <v>56</v>
      </c>
      <c r="N4016">
        <v>73330494</v>
      </c>
    </row>
    <row r="4017" spans="1:14" x14ac:dyDescent="0.25">
      <c r="A4017">
        <v>59653396</v>
      </c>
      <c r="B4017" t="s">
        <v>6695</v>
      </c>
      <c r="C4017" t="s">
        <v>9119</v>
      </c>
      <c r="D4017" t="s">
        <v>9120</v>
      </c>
      <c r="E4017">
        <v>7265002969</v>
      </c>
      <c r="F4017" t="s">
        <v>828</v>
      </c>
      <c r="G4017" t="s">
        <v>1148</v>
      </c>
      <c r="I4017" t="s">
        <v>17</v>
      </c>
      <c r="J4017" s="13">
        <v>46038</v>
      </c>
      <c r="K4017" s="13">
        <v>46054</v>
      </c>
      <c r="L4017" t="s">
        <v>444</v>
      </c>
      <c r="M4017" t="s">
        <v>59</v>
      </c>
      <c r="N4017">
        <v>73330523</v>
      </c>
    </row>
    <row r="4018" spans="1:14" x14ac:dyDescent="0.25">
      <c r="A4018">
        <v>59656303</v>
      </c>
      <c r="B4018" t="s">
        <v>760</v>
      </c>
      <c r="C4018" t="s">
        <v>9121</v>
      </c>
      <c r="D4018" t="s">
        <v>9122</v>
      </c>
      <c r="E4018">
        <v>7152020425</v>
      </c>
      <c r="F4018" t="s">
        <v>448</v>
      </c>
      <c r="G4018" t="s">
        <v>449</v>
      </c>
      <c r="I4018" t="s">
        <v>31</v>
      </c>
      <c r="J4018" s="13">
        <v>46038</v>
      </c>
      <c r="K4018" s="13">
        <v>46054</v>
      </c>
      <c r="L4018" t="s">
        <v>675</v>
      </c>
      <c r="M4018" t="s">
        <v>419</v>
      </c>
      <c r="N4018">
        <v>73331495</v>
      </c>
    </row>
    <row r="4019" spans="1:14" x14ac:dyDescent="0.25">
      <c r="A4019">
        <v>59658187</v>
      </c>
      <c r="B4019" t="s">
        <v>9123</v>
      </c>
      <c r="C4019" t="s">
        <v>9124</v>
      </c>
      <c r="D4019" t="s">
        <v>9125</v>
      </c>
      <c r="E4019">
        <v>4792805524</v>
      </c>
      <c r="F4019" t="s">
        <v>569</v>
      </c>
      <c r="G4019" t="s">
        <v>570</v>
      </c>
      <c r="I4019" t="s">
        <v>34</v>
      </c>
      <c r="J4019" s="13">
        <v>46038</v>
      </c>
      <c r="K4019" s="13">
        <v>46054</v>
      </c>
      <c r="L4019" t="s">
        <v>553</v>
      </c>
      <c r="M4019" t="s">
        <v>56</v>
      </c>
      <c r="N4019">
        <v>73331860</v>
      </c>
    </row>
    <row r="4020" spans="1:14" x14ac:dyDescent="0.25">
      <c r="A4020">
        <v>59659099</v>
      </c>
      <c r="B4020" t="s">
        <v>8297</v>
      </c>
      <c r="C4020" t="s">
        <v>9126</v>
      </c>
      <c r="D4020" t="s">
        <v>9127</v>
      </c>
      <c r="E4020">
        <v>2566545708</v>
      </c>
      <c r="F4020" t="s">
        <v>574</v>
      </c>
      <c r="G4020" t="s">
        <v>575</v>
      </c>
      <c r="I4020" t="s">
        <v>14</v>
      </c>
      <c r="J4020" s="13">
        <v>46038</v>
      </c>
      <c r="K4020" s="13">
        <v>46054</v>
      </c>
      <c r="L4020" t="s">
        <v>450</v>
      </c>
      <c r="M4020" t="s">
        <v>56</v>
      </c>
      <c r="N4020">
        <v>73332102</v>
      </c>
    </row>
    <row r="4021" spans="1:14" x14ac:dyDescent="0.25">
      <c r="A4021">
        <v>59661151</v>
      </c>
      <c r="B4021" t="s">
        <v>9128</v>
      </c>
      <c r="C4021" t="s">
        <v>9129</v>
      </c>
      <c r="D4021" t="s">
        <v>9130</v>
      </c>
      <c r="E4021">
        <v>3044002163</v>
      </c>
      <c r="F4021" t="s">
        <v>790</v>
      </c>
      <c r="G4021" t="s">
        <v>791</v>
      </c>
      <c r="I4021" t="s">
        <v>119</v>
      </c>
      <c r="J4021" s="13">
        <v>46038</v>
      </c>
      <c r="K4021" s="13">
        <v>46054</v>
      </c>
      <c r="L4021" t="s">
        <v>1188</v>
      </c>
      <c r="M4021" t="s">
        <v>56</v>
      </c>
      <c r="N4021">
        <v>73332646</v>
      </c>
    </row>
    <row r="4022" spans="1:14" x14ac:dyDescent="0.25">
      <c r="A4022">
        <v>59661559</v>
      </c>
      <c r="B4022" t="s">
        <v>1941</v>
      </c>
      <c r="C4022" t="s">
        <v>1279</v>
      </c>
      <c r="D4022" t="s">
        <v>9131</v>
      </c>
      <c r="E4022">
        <v>6086049654</v>
      </c>
      <c r="F4022" t="s">
        <v>423</v>
      </c>
      <c r="G4022" t="s">
        <v>424</v>
      </c>
      <c r="I4022" t="s">
        <v>46</v>
      </c>
      <c r="J4022" s="13">
        <v>46038</v>
      </c>
      <c r="K4022" s="13">
        <v>46054</v>
      </c>
      <c r="L4022" t="s">
        <v>675</v>
      </c>
      <c r="M4022" t="s">
        <v>56</v>
      </c>
      <c r="N4022">
        <v>73332683</v>
      </c>
    </row>
    <row r="4023" spans="1:14" x14ac:dyDescent="0.25">
      <c r="A4023">
        <v>59663943</v>
      </c>
      <c r="B4023" t="s">
        <v>524</v>
      </c>
      <c r="C4023" t="s">
        <v>1617</v>
      </c>
      <c r="D4023" t="s">
        <v>9132</v>
      </c>
      <c r="E4023">
        <v>7209516631</v>
      </c>
      <c r="F4023" t="s">
        <v>474</v>
      </c>
      <c r="G4023" t="s">
        <v>475</v>
      </c>
      <c r="I4023" t="s">
        <v>132</v>
      </c>
      <c r="J4023" s="13">
        <v>46038</v>
      </c>
      <c r="K4023" s="13">
        <v>46054</v>
      </c>
      <c r="L4023" t="s">
        <v>539</v>
      </c>
      <c r="M4023" t="s">
        <v>58</v>
      </c>
      <c r="N4023">
        <v>73333013</v>
      </c>
    </row>
    <row r="4024" spans="1:14" x14ac:dyDescent="0.25">
      <c r="A4024">
        <v>59664906</v>
      </c>
      <c r="B4024" t="s">
        <v>975</v>
      </c>
      <c r="C4024" t="s">
        <v>9133</v>
      </c>
      <c r="D4024" t="s">
        <v>9134</v>
      </c>
      <c r="E4024">
        <v>6063714975</v>
      </c>
      <c r="F4024" t="s">
        <v>815</v>
      </c>
      <c r="G4024" t="s">
        <v>816</v>
      </c>
      <c r="I4024" t="s">
        <v>23</v>
      </c>
      <c r="J4024" s="13">
        <v>46038</v>
      </c>
      <c r="K4024" s="13">
        <v>46054</v>
      </c>
      <c r="L4024" t="s">
        <v>490</v>
      </c>
      <c r="M4024" t="s">
        <v>61</v>
      </c>
      <c r="N4024">
        <v>73333293</v>
      </c>
    </row>
    <row r="4025" spans="1:14" x14ac:dyDescent="0.25">
      <c r="A4025">
        <v>59665191</v>
      </c>
      <c r="B4025" t="s">
        <v>548</v>
      </c>
      <c r="C4025" t="s">
        <v>1287</v>
      </c>
      <c r="D4025" t="s">
        <v>9135</v>
      </c>
      <c r="E4025">
        <v>5208221481</v>
      </c>
      <c r="F4025" t="s">
        <v>770</v>
      </c>
      <c r="G4025" t="s">
        <v>771</v>
      </c>
      <c r="I4025" t="s">
        <v>25</v>
      </c>
      <c r="J4025" s="13">
        <v>46038</v>
      </c>
      <c r="K4025" s="13">
        <v>46055</v>
      </c>
      <c r="L4025" t="s">
        <v>1179</v>
      </c>
      <c r="M4025" t="s">
        <v>58</v>
      </c>
      <c r="N4025">
        <v>73333560</v>
      </c>
    </row>
    <row r="4026" spans="1:14" x14ac:dyDescent="0.25">
      <c r="A4026">
        <v>60597145</v>
      </c>
      <c r="B4026" t="s">
        <v>1997</v>
      </c>
      <c r="C4026" t="s">
        <v>1292</v>
      </c>
      <c r="D4026" t="s">
        <v>9136</v>
      </c>
      <c r="E4026">
        <v>7047968809</v>
      </c>
      <c r="F4026" t="s">
        <v>649</v>
      </c>
      <c r="G4026" t="s">
        <v>650</v>
      </c>
      <c r="I4026" t="s">
        <v>28</v>
      </c>
      <c r="J4026" s="13">
        <v>46066</v>
      </c>
      <c r="K4026" s="13">
        <v>46082</v>
      </c>
      <c r="L4026" t="s">
        <v>603</v>
      </c>
      <c r="M4026" t="s">
        <v>58</v>
      </c>
      <c r="N4026">
        <v>73333610</v>
      </c>
    </row>
    <row r="4027" spans="1:14" x14ac:dyDescent="0.25">
      <c r="A4027">
        <v>59665810</v>
      </c>
      <c r="B4027" t="s">
        <v>9137</v>
      </c>
      <c r="C4027" t="s">
        <v>9138</v>
      </c>
      <c r="D4027" t="s">
        <v>9139</v>
      </c>
      <c r="E4027">
        <v>7627724303</v>
      </c>
      <c r="F4027" t="s">
        <v>780</v>
      </c>
      <c r="G4027" t="s">
        <v>781</v>
      </c>
      <c r="I4027" t="s">
        <v>20</v>
      </c>
      <c r="J4027" s="13">
        <v>46038</v>
      </c>
      <c r="K4027" s="13">
        <v>46054</v>
      </c>
      <c r="L4027" t="s">
        <v>418</v>
      </c>
      <c r="M4027" t="s">
        <v>56</v>
      </c>
      <c r="N4027">
        <v>73334798</v>
      </c>
    </row>
    <row r="4028" spans="1:14" x14ac:dyDescent="0.25">
      <c r="A4028">
        <v>59665840</v>
      </c>
      <c r="B4028" t="s">
        <v>420</v>
      </c>
      <c r="C4028" t="s">
        <v>9140</v>
      </c>
      <c r="D4028" t="s">
        <v>9141</v>
      </c>
      <c r="E4028">
        <v>3346729031</v>
      </c>
      <c r="F4028" t="s">
        <v>828</v>
      </c>
      <c r="G4028" t="s">
        <v>1148</v>
      </c>
      <c r="I4028" t="s">
        <v>17</v>
      </c>
      <c r="J4028" s="13">
        <v>46038</v>
      </c>
      <c r="K4028" s="13">
        <v>46054</v>
      </c>
      <c r="L4028" t="s">
        <v>450</v>
      </c>
      <c r="M4028" t="s">
        <v>58</v>
      </c>
      <c r="N4028">
        <v>73334819</v>
      </c>
    </row>
    <row r="4029" spans="1:14" x14ac:dyDescent="0.25">
      <c r="A4029">
        <v>59666040</v>
      </c>
      <c r="B4029" t="s">
        <v>9142</v>
      </c>
      <c r="C4029" t="s">
        <v>9143</v>
      </c>
      <c r="D4029" t="s">
        <v>9144</v>
      </c>
      <c r="E4029">
        <v>7708910853</v>
      </c>
      <c r="F4029" t="s">
        <v>574</v>
      </c>
      <c r="G4029" t="s">
        <v>575</v>
      </c>
      <c r="I4029" t="s">
        <v>14</v>
      </c>
      <c r="J4029" s="13">
        <v>46038</v>
      </c>
      <c r="K4029" s="13">
        <v>46054</v>
      </c>
      <c r="L4029" t="s">
        <v>621</v>
      </c>
      <c r="M4029" t="s">
        <v>59</v>
      </c>
      <c r="N4029">
        <v>73334967</v>
      </c>
    </row>
    <row r="4030" spans="1:14" x14ac:dyDescent="0.25">
      <c r="A4030">
        <v>59666050</v>
      </c>
      <c r="B4030" t="s">
        <v>791</v>
      </c>
      <c r="C4030" t="s">
        <v>2513</v>
      </c>
      <c r="D4030" t="s">
        <v>9145</v>
      </c>
      <c r="E4030">
        <v>2709882185</v>
      </c>
      <c r="F4030" t="s">
        <v>569</v>
      </c>
      <c r="G4030" t="s">
        <v>570</v>
      </c>
      <c r="I4030" t="s">
        <v>34</v>
      </c>
      <c r="J4030" s="13">
        <v>46038</v>
      </c>
      <c r="K4030" s="13">
        <v>46054</v>
      </c>
      <c r="L4030" t="s">
        <v>490</v>
      </c>
      <c r="M4030" t="s">
        <v>56</v>
      </c>
      <c r="N4030">
        <v>73334971</v>
      </c>
    </row>
    <row r="4031" spans="1:14" x14ac:dyDescent="0.25">
      <c r="A4031">
        <v>59678156</v>
      </c>
      <c r="B4031" t="s">
        <v>1518</v>
      </c>
      <c r="C4031" t="s">
        <v>9146</v>
      </c>
      <c r="D4031" t="s">
        <v>9147</v>
      </c>
      <c r="E4031">
        <v>5677124454</v>
      </c>
      <c r="F4031" t="s">
        <v>423</v>
      </c>
      <c r="G4031" t="s">
        <v>424</v>
      </c>
      <c r="I4031" t="s">
        <v>46</v>
      </c>
      <c r="J4031" s="13">
        <v>46041</v>
      </c>
      <c r="K4031" s="13">
        <v>46054</v>
      </c>
      <c r="L4031" t="s">
        <v>418</v>
      </c>
      <c r="M4031" t="s">
        <v>60</v>
      </c>
      <c r="N4031">
        <v>73344499</v>
      </c>
    </row>
    <row r="4032" spans="1:14" x14ac:dyDescent="0.25">
      <c r="A4032">
        <v>59681013</v>
      </c>
      <c r="B4032" t="s">
        <v>9148</v>
      </c>
      <c r="C4032" t="s">
        <v>4115</v>
      </c>
      <c r="D4032" t="s">
        <v>9149</v>
      </c>
      <c r="E4032">
        <v>3302892958</v>
      </c>
      <c r="F4032" t="s">
        <v>1013</v>
      </c>
      <c r="G4032" t="s">
        <v>1014</v>
      </c>
      <c r="I4032" t="s">
        <v>43</v>
      </c>
      <c r="J4032" s="13">
        <v>46041</v>
      </c>
      <c r="K4032" s="13">
        <v>46054</v>
      </c>
      <c r="L4032" t="s">
        <v>418</v>
      </c>
      <c r="M4032" t="s">
        <v>59</v>
      </c>
      <c r="N4032">
        <v>73345553</v>
      </c>
    </row>
    <row r="4033" spans="1:14" x14ac:dyDescent="0.25">
      <c r="A4033">
        <v>59681230</v>
      </c>
      <c r="B4033" t="s">
        <v>9150</v>
      </c>
      <c r="C4033" t="s">
        <v>2795</v>
      </c>
      <c r="D4033" t="s">
        <v>9151</v>
      </c>
      <c r="E4033">
        <v>2109142814</v>
      </c>
      <c r="F4033" t="s">
        <v>828</v>
      </c>
      <c r="G4033" t="s">
        <v>1148</v>
      </c>
      <c r="I4033" t="s">
        <v>17</v>
      </c>
      <c r="J4033" s="13">
        <v>46041</v>
      </c>
      <c r="K4033" s="13">
        <v>46054</v>
      </c>
      <c r="L4033" t="s">
        <v>444</v>
      </c>
      <c r="M4033" t="s">
        <v>56</v>
      </c>
      <c r="N4033">
        <v>73345697</v>
      </c>
    </row>
    <row r="4034" spans="1:14" x14ac:dyDescent="0.25">
      <c r="A4034">
        <v>59681414</v>
      </c>
      <c r="B4034" t="s">
        <v>629</v>
      </c>
      <c r="C4034" t="s">
        <v>9152</v>
      </c>
      <c r="D4034" t="s">
        <v>9153</v>
      </c>
      <c r="E4034" t="s">
        <v>9154</v>
      </c>
      <c r="F4034" t="s">
        <v>705</v>
      </c>
      <c r="G4034" t="s">
        <v>706</v>
      </c>
      <c r="I4034" t="s">
        <v>12</v>
      </c>
      <c r="J4034" s="13">
        <v>46041</v>
      </c>
      <c r="K4034" s="13">
        <v>46054</v>
      </c>
      <c r="L4034" t="s">
        <v>1179</v>
      </c>
      <c r="M4034" t="s">
        <v>55</v>
      </c>
      <c r="N4034">
        <v>73345822</v>
      </c>
    </row>
    <row r="4035" spans="1:14" x14ac:dyDescent="0.25">
      <c r="A4035">
        <v>59682491</v>
      </c>
      <c r="B4035" t="s">
        <v>1316</v>
      </c>
      <c r="C4035" t="s">
        <v>9155</v>
      </c>
      <c r="D4035" t="s">
        <v>9156</v>
      </c>
      <c r="E4035">
        <v>9738005063</v>
      </c>
      <c r="F4035" t="s">
        <v>551</v>
      </c>
      <c r="G4035" t="s">
        <v>552</v>
      </c>
      <c r="I4035" t="s">
        <v>42</v>
      </c>
      <c r="J4035" s="13">
        <v>46041</v>
      </c>
      <c r="K4035" s="13">
        <v>46054</v>
      </c>
      <c r="L4035" t="s">
        <v>497</v>
      </c>
      <c r="M4035" t="s">
        <v>60</v>
      </c>
      <c r="N4035">
        <v>73346258</v>
      </c>
    </row>
    <row r="4036" spans="1:14" x14ac:dyDescent="0.25">
      <c r="A4036">
        <v>59682375</v>
      </c>
      <c r="B4036" t="s">
        <v>2296</v>
      </c>
      <c r="C4036" t="s">
        <v>9157</v>
      </c>
      <c r="D4036" t="s">
        <v>9158</v>
      </c>
      <c r="E4036">
        <v>8139005301</v>
      </c>
      <c r="F4036" t="s">
        <v>780</v>
      </c>
      <c r="G4036" t="s">
        <v>781</v>
      </c>
      <c r="I4036" t="s">
        <v>20</v>
      </c>
      <c r="J4036" s="13">
        <v>46041</v>
      </c>
      <c r="K4036" s="13">
        <v>46054</v>
      </c>
      <c r="L4036" t="s">
        <v>497</v>
      </c>
      <c r="M4036" t="s">
        <v>59</v>
      </c>
      <c r="N4036">
        <v>73346396</v>
      </c>
    </row>
    <row r="4037" spans="1:14" x14ac:dyDescent="0.25">
      <c r="A4037">
        <v>59682881</v>
      </c>
      <c r="B4037" t="s">
        <v>812</v>
      </c>
      <c r="C4037" t="s">
        <v>9159</v>
      </c>
      <c r="D4037" t="s">
        <v>9160</v>
      </c>
      <c r="E4037">
        <v>6146480662</v>
      </c>
      <c r="F4037" t="s">
        <v>448</v>
      </c>
      <c r="G4037" t="s">
        <v>449</v>
      </c>
      <c r="I4037" t="s">
        <v>31</v>
      </c>
      <c r="J4037" s="13">
        <v>46041</v>
      </c>
      <c r="K4037" s="13">
        <v>46054</v>
      </c>
      <c r="L4037" t="s">
        <v>418</v>
      </c>
      <c r="M4037" t="s">
        <v>56</v>
      </c>
      <c r="N4037">
        <v>73346667</v>
      </c>
    </row>
    <row r="4038" spans="1:14" x14ac:dyDescent="0.25">
      <c r="A4038">
        <v>59682914</v>
      </c>
      <c r="B4038" t="s">
        <v>9161</v>
      </c>
      <c r="C4038" t="s">
        <v>2498</v>
      </c>
      <c r="D4038" t="s">
        <v>9162</v>
      </c>
      <c r="E4038">
        <v>4707171143</v>
      </c>
      <c r="F4038" t="s">
        <v>628</v>
      </c>
      <c r="G4038" t="s">
        <v>629</v>
      </c>
      <c r="I4038" t="s">
        <v>24</v>
      </c>
      <c r="J4038" s="13">
        <v>46041</v>
      </c>
      <c r="K4038" s="13">
        <v>46054</v>
      </c>
      <c r="L4038" t="s">
        <v>621</v>
      </c>
      <c r="M4038" t="s">
        <v>58</v>
      </c>
      <c r="N4038">
        <v>73346678</v>
      </c>
    </row>
    <row r="4039" spans="1:14" x14ac:dyDescent="0.25">
      <c r="A4039">
        <v>59683523</v>
      </c>
      <c r="B4039" t="s">
        <v>4263</v>
      </c>
      <c r="C4039" t="s">
        <v>5773</v>
      </c>
      <c r="D4039" t="s">
        <v>9163</v>
      </c>
      <c r="E4039">
        <v>6066701547</v>
      </c>
      <c r="F4039" t="s">
        <v>790</v>
      </c>
      <c r="G4039" t="s">
        <v>791</v>
      </c>
      <c r="I4039" t="s">
        <v>119</v>
      </c>
      <c r="J4039" s="13">
        <v>46041</v>
      </c>
      <c r="K4039" s="13">
        <v>46054</v>
      </c>
      <c r="L4039" t="s">
        <v>490</v>
      </c>
      <c r="M4039" t="s">
        <v>59</v>
      </c>
      <c r="N4039">
        <v>73346912</v>
      </c>
    </row>
    <row r="4040" spans="1:14" x14ac:dyDescent="0.25">
      <c r="A4040">
        <v>59683785</v>
      </c>
      <c r="B4040" t="s">
        <v>428</v>
      </c>
      <c r="C4040" t="s">
        <v>9164</v>
      </c>
      <c r="D4040" t="s">
        <v>9165</v>
      </c>
      <c r="E4040">
        <v>7404125086</v>
      </c>
      <c r="F4040" t="s">
        <v>649</v>
      </c>
      <c r="G4040" t="s">
        <v>650</v>
      </c>
      <c r="I4040" t="s">
        <v>28</v>
      </c>
      <c r="J4040" s="13">
        <v>46041</v>
      </c>
      <c r="K4040" s="13">
        <v>46054</v>
      </c>
      <c r="L4040" t="s">
        <v>418</v>
      </c>
      <c r="M4040" t="s">
        <v>58</v>
      </c>
      <c r="N4040">
        <v>73347050</v>
      </c>
    </row>
    <row r="4041" spans="1:14" x14ac:dyDescent="0.25">
      <c r="A4041">
        <v>59683836</v>
      </c>
      <c r="B4041" t="s">
        <v>1784</v>
      </c>
      <c r="C4041" t="s">
        <v>9166</v>
      </c>
      <c r="D4041" t="s">
        <v>9167</v>
      </c>
      <c r="E4041">
        <v>6029195104</v>
      </c>
      <c r="F4041" t="s">
        <v>1345</v>
      </c>
      <c r="G4041" t="s">
        <v>799</v>
      </c>
      <c r="I4041" t="s">
        <v>47</v>
      </c>
      <c r="J4041" s="13">
        <v>46041</v>
      </c>
      <c r="K4041" s="13">
        <v>46054</v>
      </c>
      <c r="L4041" t="s">
        <v>1179</v>
      </c>
      <c r="M4041" t="s">
        <v>54</v>
      </c>
      <c r="N4041">
        <v>73347091</v>
      </c>
    </row>
    <row r="4042" spans="1:14" x14ac:dyDescent="0.25">
      <c r="A4042">
        <v>59684745</v>
      </c>
      <c r="B4042" t="s">
        <v>1427</v>
      </c>
      <c r="C4042" t="s">
        <v>9168</v>
      </c>
      <c r="D4042" t="s">
        <v>9169</v>
      </c>
      <c r="E4042">
        <v>9046007042</v>
      </c>
      <c r="F4042" t="s">
        <v>928</v>
      </c>
      <c r="G4042" t="s">
        <v>929</v>
      </c>
      <c r="I4042" t="s">
        <v>30</v>
      </c>
      <c r="J4042" s="13">
        <v>46041</v>
      </c>
      <c r="K4042" s="13">
        <v>46054</v>
      </c>
      <c r="L4042" t="s">
        <v>497</v>
      </c>
      <c r="M4042" t="s">
        <v>58</v>
      </c>
      <c r="N4042">
        <v>73347783</v>
      </c>
    </row>
    <row r="4043" spans="1:14" x14ac:dyDescent="0.25">
      <c r="A4043">
        <v>59685019</v>
      </c>
      <c r="B4043" t="s">
        <v>9170</v>
      </c>
      <c r="C4043" t="s">
        <v>5617</v>
      </c>
      <c r="D4043" t="s">
        <v>9171</v>
      </c>
      <c r="E4043">
        <v>6609733169</v>
      </c>
      <c r="F4043" t="s">
        <v>474</v>
      </c>
      <c r="G4043" t="s">
        <v>475</v>
      </c>
      <c r="I4043" t="s">
        <v>132</v>
      </c>
      <c r="J4043" s="13">
        <v>46041</v>
      </c>
      <c r="K4043" s="13">
        <v>46054</v>
      </c>
      <c r="L4043" t="s">
        <v>434</v>
      </c>
      <c r="M4043" t="s">
        <v>58</v>
      </c>
      <c r="N4043">
        <v>73347958</v>
      </c>
    </row>
    <row r="4044" spans="1:14" x14ac:dyDescent="0.25">
      <c r="A4044">
        <v>59686139</v>
      </c>
      <c r="B4044" t="s">
        <v>672</v>
      </c>
      <c r="C4044" t="s">
        <v>9172</v>
      </c>
      <c r="D4044" t="s">
        <v>9173</v>
      </c>
      <c r="E4044">
        <v>5022290078</v>
      </c>
      <c r="F4044" t="s">
        <v>828</v>
      </c>
      <c r="G4044" t="s">
        <v>1148</v>
      </c>
      <c r="I4044" t="s">
        <v>17</v>
      </c>
      <c r="J4044" s="13">
        <v>46041</v>
      </c>
      <c r="K4044" s="13">
        <v>46054</v>
      </c>
      <c r="L4044" t="s">
        <v>490</v>
      </c>
      <c r="M4044" t="s">
        <v>56</v>
      </c>
      <c r="N4044">
        <v>73348812</v>
      </c>
    </row>
    <row r="4045" spans="1:14" x14ac:dyDescent="0.25">
      <c r="A4045">
        <v>59686252</v>
      </c>
      <c r="B4045" t="s">
        <v>9174</v>
      </c>
      <c r="C4045" t="s">
        <v>9175</v>
      </c>
      <c r="D4045" t="s">
        <v>9176</v>
      </c>
      <c r="E4045">
        <v>6233876789</v>
      </c>
      <c r="F4045" t="s">
        <v>1013</v>
      </c>
      <c r="G4045" t="s">
        <v>1014</v>
      </c>
      <c r="I4045" t="s">
        <v>43</v>
      </c>
      <c r="J4045" s="13">
        <v>46041</v>
      </c>
      <c r="K4045" s="13">
        <v>46054</v>
      </c>
      <c r="L4045" t="s">
        <v>1179</v>
      </c>
      <c r="M4045" t="s">
        <v>54</v>
      </c>
      <c r="N4045">
        <v>73348877</v>
      </c>
    </row>
    <row r="4046" spans="1:14" x14ac:dyDescent="0.25">
      <c r="A4046">
        <v>59686484</v>
      </c>
      <c r="B4046" t="s">
        <v>9177</v>
      </c>
      <c r="C4046" t="s">
        <v>5119</v>
      </c>
      <c r="D4046" t="s">
        <v>9178</v>
      </c>
      <c r="E4046">
        <v>4802751535</v>
      </c>
      <c r="F4046" t="s">
        <v>775</v>
      </c>
      <c r="G4046" t="s">
        <v>776</v>
      </c>
      <c r="I4046" t="s">
        <v>22</v>
      </c>
      <c r="J4046" s="13">
        <v>46041</v>
      </c>
      <c r="K4046" s="13">
        <v>46054</v>
      </c>
      <c r="L4046" t="s">
        <v>1179</v>
      </c>
      <c r="M4046" t="s">
        <v>54</v>
      </c>
      <c r="N4046">
        <v>73349022</v>
      </c>
    </row>
    <row r="4047" spans="1:14" x14ac:dyDescent="0.25">
      <c r="A4047">
        <v>59687568</v>
      </c>
      <c r="B4047" t="s">
        <v>2296</v>
      </c>
      <c r="C4047" t="s">
        <v>9179</v>
      </c>
      <c r="D4047" t="s">
        <v>9180</v>
      </c>
      <c r="E4047">
        <v>2107505021</v>
      </c>
      <c r="F4047" t="s">
        <v>705</v>
      </c>
      <c r="G4047" t="s">
        <v>706</v>
      </c>
      <c r="I4047" t="s">
        <v>12</v>
      </c>
      <c r="J4047" s="13">
        <v>46041</v>
      </c>
      <c r="K4047" s="13">
        <v>46054</v>
      </c>
      <c r="L4047" t="s">
        <v>444</v>
      </c>
      <c r="M4047" t="s">
        <v>59</v>
      </c>
      <c r="N4047">
        <v>73349570</v>
      </c>
    </row>
    <row r="4048" spans="1:14" x14ac:dyDescent="0.25">
      <c r="A4048">
        <v>59689915</v>
      </c>
      <c r="B4048" t="s">
        <v>990</v>
      </c>
      <c r="C4048" t="s">
        <v>9181</v>
      </c>
      <c r="D4048" t="s">
        <v>9182</v>
      </c>
      <c r="E4048">
        <v>6063053808</v>
      </c>
      <c r="F4048" t="s">
        <v>798</v>
      </c>
      <c r="G4048" t="s">
        <v>799</v>
      </c>
      <c r="I4048" t="s">
        <v>800</v>
      </c>
      <c r="J4048" s="13">
        <v>46041</v>
      </c>
      <c r="K4048" s="13">
        <v>46054</v>
      </c>
      <c r="L4048" t="s">
        <v>490</v>
      </c>
      <c r="M4048" t="s">
        <v>61</v>
      </c>
      <c r="N4048">
        <v>73350656</v>
      </c>
    </row>
    <row r="4049" spans="1:14" x14ac:dyDescent="0.25">
      <c r="A4049">
        <v>59690008</v>
      </c>
      <c r="B4049" t="s">
        <v>521</v>
      </c>
      <c r="C4049" t="s">
        <v>4529</v>
      </c>
      <c r="D4049" t="s">
        <v>9183</v>
      </c>
      <c r="E4049">
        <v>5735162151</v>
      </c>
      <c r="F4049" t="s">
        <v>1013</v>
      </c>
      <c r="G4049" t="s">
        <v>1014</v>
      </c>
      <c r="I4049" t="s">
        <v>43</v>
      </c>
      <c r="J4049" s="13">
        <v>46041</v>
      </c>
      <c r="K4049" s="13">
        <v>46054</v>
      </c>
      <c r="L4049" t="s">
        <v>434</v>
      </c>
      <c r="M4049" t="s">
        <v>56</v>
      </c>
      <c r="N4049">
        <v>73350733</v>
      </c>
    </row>
    <row r="4050" spans="1:14" x14ac:dyDescent="0.25">
      <c r="A4050">
        <v>59690273</v>
      </c>
      <c r="B4050" t="s">
        <v>6170</v>
      </c>
      <c r="C4050" t="s">
        <v>799</v>
      </c>
      <c r="D4050" t="s">
        <v>9184</v>
      </c>
      <c r="E4050">
        <v>3524785033</v>
      </c>
      <c r="F4050" t="s">
        <v>780</v>
      </c>
      <c r="G4050" t="s">
        <v>781</v>
      </c>
      <c r="I4050" t="s">
        <v>20</v>
      </c>
      <c r="J4050" s="13">
        <v>46041</v>
      </c>
      <c r="K4050" s="13">
        <v>46054</v>
      </c>
      <c r="L4050" t="s">
        <v>497</v>
      </c>
      <c r="M4050" t="s">
        <v>54</v>
      </c>
      <c r="N4050">
        <v>73350915</v>
      </c>
    </row>
    <row r="4051" spans="1:14" x14ac:dyDescent="0.25">
      <c r="A4051">
        <v>59690648</v>
      </c>
      <c r="B4051" t="s">
        <v>867</v>
      </c>
      <c r="C4051" t="s">
        <v>9185</v>
      </c>
      <c r="D4051" t="s">
        <v>9186</v>
      </c>
      <c r="E4051">
        <v>4047816888</v>
      </c>
      <c r="F4051" t="s">
        <v>815</v>
      </c>
      <c r="G4051" t="s">
        <v>816</v>
      </c>
      <c r="I4051" t="s">
        <v>23</v>
      </c>
      <c r="J4051" s="13">
        <v>46041</v>
      </c>
      <c r="K4051" s="13">
        <v>46054</v>
      </c>
      <c r="L4051" t="s">
        <v>621</v>
      </c>
      <c r="M4051" t="s">
        <v>58</v>
      </c>
      <c r="N4051">
        <v>73351149</v>
      </c>
    </row>
    <row r="4052" spans="1:14" x14ac:dyDescent="0.25">
      <c r="A4052">
        <v>59690832</v>
      </c>
      <c r="B4052" t="s">
        <v>517</v>
      </c>
      <c r="C4052" t="s">
        <v>9187</v>
      </c>
      <c r="D4052" t="s">
        <v>9188</v>
      </c>
      <c r="E4052">
        <v>7155572769</v>
      </c>
      <c r="F4052" t="s">
        <v>423</v>
      </c>
      <c r="G4052" t="s">
        <v>424</v>
      </c>
      <c r="I4052" t="s">
        <v>46</v>
      </c>
      <c r="J4052" s="13">
        <v>46041</v>
      </c>
      <c r="K4052" s="13">
        <v>46054</v>
      </c>
      <c r="L4052" t="s">
        <v>675</v>
      </c>
      <c r="M4052" t="s">
        <v>419</v>
      </c>
      <c r="N4052">
        <v>73351196</v>
      </c>
    </row>
    <row r="4053" spans="1:14" x14ac:dyDescent="0.25">
      <c r="A4053">
        <v>59690758</v>
      </c>
      <c r="B4053" t="s">
        <v>2927</v>
      </c>
      <c r="C4053" t="s">
        <v>2077</v>
      </c>
      <c r="D4053" t="s">
        <v>9189</v>
      </c>
      <c r="E4053">
        <v>5612940119</v>
      </c>
      <c r="F4053" t="s">
        <v>775</v>
      </c>
      <c r="G4053" t="s">
        <v>776</v>
      </c>
      <c r="I4053" t="s">
        <v>22</v>
      </c>
      <c r="J4053" s="13">
        <v>46041</v>
      </c>
      <c r="K4053" s="13">
        <v>46054</v>
      </c>
      <c r="L4053" t="s">
        <v>497</v>
      </c>
      <c r="M4053" t="s">
        <v>58</v>
      </c>
      <c r="N4053">
        <v>73351220</v>
      </c>
    </row>
    <row r="4054" spans="1:14" x14ac:dyDescent="0.25">
      <c r="A4054">
        <v>59690996</v>
      </c>
      <c r="B4054" t="s">
        <v>9190</v>
      </c>
      <c r="C4054" t="s">
        <v>2482</v>
      </c>
      <c r="D4054" t="s">
        <v>9191</v>
      </c>
      <c r="E4054">
        <v>8049869068</v>
      </c>
      <c r="F4054" t="s">
        <v>628</v>
      </c>
      <c r="G4054" t="s">
        <v>629</v>
      </c>
      <c r="I4054" t="s">
        <v>24</v>
      </c>
      <c r="J4054" s="13">
        <v>46041</v>
      </c>
      <c r="K4054" s="13">
        <v>46054</v>
      </c>
      <c r="L4054" t="s">
        <v>454</v>
      </c>
      <c r="M4054" t="s">
        <v>59</v>
      </c>
      <c r="N4054">
        <v>73351360</v>
      </c>
    </row>
    <row r="4055" spans="1:14" x14ac:dyDescent="0.25">
      <c r="A4055">
        <v>59691110</v>
      </c>
      <c r="B4055" t="s">
        <v>2503</v>
      </c>
      <c r="C4055" t="s">
        <v>9192</v>
      </c>
      <c r="D4055" t="s">
        <v>9193</v>
      </c>
      <c r="E4055">
        <v>5132373115</v>
      </c>
      <c r="F4055" t="s">
        <v>828</v>
      </c>
      <c r="G4055" t="s">
        <v>1148</v>
      </c>
      <c r="I4055" t="s">
        <v>17</v>
      </c>
      <c r="J4055" s="13">
        <v>46041</v>
      </c>
      <c r="K4055" s="13">
        <v>46054</v>
      </c>
      <c r="L4055" t="s">
        <v>418</v>
      </c>
      <c r="M4055" t="s">
        <v>55</v>
      </c>
      <c r="N4055">
        <v>73351429</v>
      </c>
    </row>
    <row r="4056" spans="1:14" x14ac:dyDescent="0.25">
      <c r="A4056">
        <v>59691867</v>
      </c>
      <c r="B4056" t="s">
        <v>9194</v>
      </c>
      <c r="C4056" t="s">
        <v>1967</v>
      </c>
      <c r="D4056" t="s">
        <v>9195</v>
      </c>
      <c r="E4056">
        <v>3219614071</v>
      </c>
      <c r="F4056" t="s">
        <v>1345</v>
      </c>
      <c r="G4056" t="s">
        <v>799</v>
      </c>
      <c r="I4056" t="s">
        <v>47</v>
      </c>
      <c r="J4056" s="13">
        <v>46041</v>
      </c>
      <c r="K4056" s="13">
        <v>46054</v>
      </c>
      <c r="L4056" t="s">
        <v>497</v>
      </c>
      <c r="M4056" t="s">
        <v>54</v>
      </c>
      <c r="N4056">
        <v>73351802</v>
      </c>
    </row>
    <row r="4057" spans="1:14" x14ac:dyDescent="0.25">
      <c r="A4057">
        <v>59692429</v>
      </c>
      <c r="B4057" t="s">
        <v>2418</v>
      </c>
      <c r="C4057" t="s">
        <v>6400</v>
      </c>
      <c r="D4057" t="s">
        <v>9196</v>
      </c>
      <c r="E4057">
        <v>3189476099</v>
      </c>
      <c r="F4057" t="s">
        <v>790</v>
      </c>
      <c r="G4057" t="s">
        <v>791</v>
      </c>
      <c r="I4057" t="s">
        <v>119</v>
      </c>
      <c r="J4057" s="13">
        <v>46041</v>
      </c>
      <c r="K4057" s="13">
        <v>46054</v>
      </c>
      <c r="L4057" t="s">
        <v>612</v>
      </c>
      <c r="M4057" t="s">
        <v>58</v>
      </c>
      <c r="N4057">
        <v>73352142</v>
      </c>
    </row>
    <row r="4058" spans="1:14" x14ac:dyDescent="0.25">
      <c r="A4058">
        <v>59693191</v>
      </c>
      <c r="B4058" t="s">
        <v>1961</v>
      </c>
      <c r="C4058" t="s">
        <v>9197</v>
      </c>
      <c r="D4058" t="s">
        <v>9198</v>
      </c>
      <c r="E4058">
        <v>5209552174</v>
      </c>
      <c r="F4058" t="s">
        <v>807</v>
      </c>
      <c r="G4058" t="s">
        <v>808</v>
      </c>
      <c r="I4058" t="s">
        <v>33</v>
      </c>
      <c r="J4058" s="13">
        <v>46041</v>
      </c>
      <c r="K4058" s="13">
        <v>46054</v>
      </c>
      <c r="L4058" t="s">
        <v>1179</v>
      </c>
      <c r="M4058" t="s">
        <v>59</v>
      </c>
      <c r="N4058">
        <v>73352727</v>
      </c>
    </row>
    <row r="4059" spans="1:14" x14ac:dyDescent="0.25">
      <c r="A4059">
        <v>59693223</v>
      </c>
      <c r="B4059" t="s">
        <v>9199</v>
      </c>
      <c r="C4059" t="s">
        <v>4965</v>
      </c>
      <c r="D4059" t="s">
        <v>9200</v>
      </c>
      <c r="E4059">
        <v>5206601223</v>
      </c>
      <c r="F4059" t="s">
        <v>628</v>
      </c>
      <c r="G4059" t="s">
        <v>629</v>
      </c>
      <c r="I4059" t="s">
        <v>24</v>
      </c>
      <c r="J4059" s="13">
        <v>46041</v>
      </c>
      <c r="K4059" s="13">
        <v>46054</v>
      </c>
      <c r="L4059" t="s">
        <v>1179</v>
      </c>
      <c r="M4059" t="s">
        <v>59</v>
      </c>
      <c r="N4059">
        <v>73352747</v>
      </c>
    </row>
    <row r="4060" spans="1:14" x14ac:dyDescent="0.25">
      <c r="A4060">
        <v>59693325</v>
      </c>
      <c r="B4060" t="s">
        <v>548</v>
      </c>
      <c r="C4060" t="s">
        <v>9201</v>
      </c>
      <c r="D4060" t="s">
        <v>9202</v>
      </c>
      <c r="E4060">
        <v>5208618638</v>
      </c>
      <c r="F4060" t="s">
        <v>770</v>
      </c>
      <c r="G4060" t="s">
        <v>771</v>
      </c>
      <c r="I4060" t="s">
        <v>25</v>
      </c>
      <c r="J4060" s="13">
        <v>46041</v>
      </c>
      <c r="K4060" s="13">
        <v>46054</v>
      </c>
      <c r="L4060" t="s">
        <v>1179</v>
      </c>
      <c r="M4060" t="s">
        <v>54</v>
      </c>
      <c r="N4060">
        <v>73352811</v>
      </c>
    </row>
    <row r="4061" spans="1:14" x14ac:dyDescent="0.25">
      <c r="A4061">
        <v>59693327</v>
      </c>
      <c r="B4061" t="s">
        <v>1106</v>
      </c>
      <c r="C4061" t="s">
        <v>751</v>
      </c>
      <c r="D4061" t="s">
        <v>9203</v>
      </c>
      <c r="E4061">
        <v>7275606884</v>
      </c>
      <c r="F4061" t="s">
        <v>1067</v>
      </c>
      <c r="G4061" t="s">
        <v>1068</v>
      </c>
      <c r="I4061" t="s">
        <v>35</v>
      </c>
      <c r="J4061" s="13">
        <v>46041</v>
      </c>
      <c r="K4061" s="13">
        <v>46054</v>
      </c>
      <c r="L4061" t="s">
        <v>497</v>
      </c>
      <c r="M4061" t="s">
        <v>56</v>
      </c>
      <c r="N4061">
        <v>73352816</v>
      </c>
    </row>
    <row r="4062" spans="1:14" x14ac:dyDescent="0.25">
      <c r="A4062">
        <v>59693366</v>
      </c>
      <c r="B4062" t="s">
        <v>9204</v>
      </c>
      <c r="C4062" t="s">
        <v>9205</v>
      </c>
      <c r="D4062" t="s">
        <v>9206</v>
      </c>
      <c r="E4062">
        <v>4792140054</v>
      </c>
      <c r="F4062" t="s">
        <v>815</v>
      </c>
      <c r="G4062" t="s">
        <v>816</v>
      </c>
      <c r="I4062" t="s">
        <v>23</v>
      </c>
      <c r="J4062" s="13">
        <v>46041</v>
      </c>
      <c r="K4062" s="13">
        <v>46054</v>
      </c>
      <c r="L4062" t="s">
        <v>553</v>
      </c>
      <c r="M4062" t="s">
        <v>60</v>
      </c>
      <c r="N4062">
        <v>73352843</v>
      </c>
    </row>
    <row r="4063" spans="1:14" x14ac:dyDescent="0.25">
      <c r="A4063">
        <v>59693454</v>
      </c>
      <c r="B4063" t="s">
        <v>548</v>
      </c>
      <c r="C4063" t="s">
        <v>3104</v>
      </c>
      <c r="D4063" t="s">
        <v>9207</v>
      </c>
      <c r="E4063">
        <v>7273130670</v>
      </c>
      <c r="F4063" t="s">
        <v>828</v>
      </c>
      <c r="G4063" t="s">
        <v>1148</v>
      </c>
      <c r="I4063" t="s">
        <v>17</v>
      </c>
      <c r="J4063" s="13">
        <v>46041</v>
      </c>
      <c r="K4063" s="13">
        <v>46054</v>
      </c>
      <c r="L4063" t="s">
        <v>497</v>
      </c>
      <c r="M4063" t="s">
        <v>56</v>
      </c>
      <c r="N4063">
        <v>73352897</v>
      </c>
    </row>
    <row r="4064" spans="1:14" x14ac:dyDescent="0.25">
      <c r="A4064">
        <v>59693638</v>
      </c>
      <c r="B4064" t="s">
        <v>1922</v>
      </c>
      <c r="C4064" t="s">
        <v>5318</v>
      </c>
      <c r="D4064" t="s">
        <v>9208</v>
      </c>
      <c r="E4064">
        <v>4064937665</v>
      </c>
      <c r="F4064" t="s">
        <v>798</v>
      </c>
      <c r="G4064" t="s">
        <v>799</v>
      </c>
      <c r="I4064" t="s">
        <v>800</v>
      </c>
      <c r="J4064" s="13">
        <v>46041</v>
      </c>
      <c r="K4064" s="13">
        <v>46054</v>
      </c>
      <c r="L4064" t="s">
        <v>490</v>
      </c>
      <c r="M4064" t="s">
        <v>61</v>
      </c>
      <c r="N4064">
        <v>73353024</v>
      </c>
    </row>
    <row r="4065" spans="1:14" x14ac:dyDescent="0.25">
      <c r="A4065">
        <v>59697842</v>
      </c>
      <c r="B4065" t="s">
        <v>425</v>
      </c>
      <c r="C4065" t="s">
        <v>9209</v>
      </c>
      <c r="D4065" t="s">
        <v>9210</v>
      </c>
      <c r="E4065">
        <v>2053319124</v>
      </c>
      <c r="F4065" t="s">
        <v>474</v>
      </c>
      <c r="G4065" t="s">
        <v>475</v>
      </c>
      <c r="I4065" t="s">
        <v>132</v>
      </c>
      <c r="J4065" s="13">
        <v>46042</v>
      </c>
      <c r="K4065" s="13">
        <v>46054</v>
      </c>
      <c r="L4065" t="s">
        <v>450</v>
      </c>
      <c r="M4065" t="s">
        <v>58</v>
      </c>
      <c r="N4065">
        <v>73356616</v>
      </c>
    </row>
    <row r="4066" spans="1:14" x14ac:dyDescent="0.25">
      <c r="A4066">
        <v>59697943</v>
      </c>
      <c r="B4066" t="s">
        <v>1925</v>
      </c>
      <c r="C4066" t="s">
        <v>4667</v>
      </c>
      <c r="D4066" t="s">
        <v>9211</v>
      </c>
      <c r="E4066">
        <v>6608888037</v>
      </c>
      <c r="F4066" t="s">
        <v>1013</v>
      </c>
      <c r="G4066" t="s">
        <v>1014</v>
      </c>
      <c r="I4066" t="s">
        <v>43</v>
      </c>
      <c r="J4066" s="13">
        <v>46042</v>
      </c>
      <c r="K4066" s="13">
        <v>46054</v>
      </c>
      <c r="L4066" t="s">
        <v>434</v>
      </c>
      <c r="M4066" t="s">
        <v>56</v>
      </c>
      <c r="N4066">
        <v>73356689</v>
      </c>
    </row>
    <row r="4067" spans="1:14" x14ac:dyDescent="0.25">
      <c r="A4067">
        <v>59700371</v>
      </c>
      <c r="B4067" t="s">
        <v>812</v>
      </c>
      <c r="C4067" t="s">
        <v>5870</v>
      </c>
      <c r="D4067" t="s">
        <v>9212</v>
      </c>
      <c r="E4067">
        <v>3044812561</v>
      </c>
      <c r="F4067" t="s">
        <v>649</v>
      </c>
      <c r="G4067" t="s">
        <v>650</v>
      </c>
      <c r="I4067" t="s">
        <v>28</v>
      </c>
      <c r="J4067" s="13">
        <v>46042</v>
      </c>
      <c r="K4067" s="13">
        <v>46054</v>
      </c>
      <c r="L4067" t="s">
        <v>1188</v>
      </c>
      <c r="M4067" t="s">
        <v>56</v>
      </c>
      <c r="N4067">
        <v>73358340</v>
      </c>
    </row>
    <row r="4068" spans="1:14" x14ac:dyDescent="0.25">
      <c r="A4068">
        <v>59701167</v>
      </c>
      <c r="B4068" t="s">
        <v>9213</v>
      </c>
      <c r="C4068" t="s">
        <v>9214</v>
      </c>
      <c r="D4068" t="s">
        <v>9215</v>
      </c>
      <c r="E4068">
        <v>4145445696</v>
      </c>
      <c r="F4068" t="s">
        <v>628</v>
      </c>
      <c r="G4068" t="s">
        <v>629</v>
      </c>
      <c r="I4068" t="s">
        <v>24</v>
      </c>
      <c r="J4068" s="13">
        <v>46042</v>
      </c>
      <c r="K4068" s="13">
        <v>46054</v>
      </c>
      <c r="L4068" t="s">
        <v>675</v>
      </c>
      <c r="M4068" t="s">
        <v>58</v>
      </c>
      <c r="N4068">
        <v>73359037</v>
      </c>
    </row>
    <row r="4069" spans="1:14" x14ac:dyDescent="0.25">
      <c r="A4069">
        <v>59702137</v>
      </c>
      <c r="B4069" t="s">
        <v>9216</v>
      </c>
      <c r="C4069" t="s">
        <v>9217</v>
      </c>
      <c r="D4069" t="s">
        <v>9218</v>
      </c>
      <c r="E4069">
        <v>8134641950</v>
      </c>
      <c r="F4069" t="s">
        <v>474</v>
      </c>
      <c r="G4069" t="s">
        <v>475</v>
      </c>
      <c r="I4069" t="s">
        <v>132</v>
      </c>
      <c r="J4069" s="13">
        <v>46042</v>
      </c>
      <c r="K4069" s="13">
        <v>46054</v>
      </c>
      <c r="L4069" t="s">
        <v>497</v>
      </c>
      <c r="M4069" t="s">
        <v>58</v>
      </c>
      <c r="N4069">
        <v>73360161</v>
      </c>
    </row>
    <row r="4070" spans="1:14" x14ac:dyDescent="0.25">
      <c r="A4070">
        <v>60646569</v>
      </c>
      <c r="B4070" t="s">
        <v>1922</v>
      </c>
      <c r="C4070" t="s">
        <v>9219</v>
      </c>
      <c r="D4070" t="s">
        <v>9220</v>
      </c>
      <c r="E4070">
        <v>2104284192</v>
      </c>
      <c r="F4070" t="s">
        <v>815</v>
      </c>
      <c r="G4070" t="s">
        <v>816</v>
      </c>
      <c r="I4070" t="s">
        <v>23</v>
      </c>
      <c r="J4070" s="13">
        <v>46070</v>
      </c>
      <c r="K4070" s="13">
        <v>46082</v>
      </c>
      <c r="L4070" t="s">
        <v>444</v>
      </c>
      <c r="M4070" t="s">
        <v>55</v>
      </c>
      <c r="N4070">
        <v>73360443</v>
      </c>
    </row>
    <row r="4071" spans="1:14" x14ac:dyDescent="0.25">
      <c r="A4071">
        <v>59705419</v>
      </c>
      <c r="B4071" t="s">
        <v>9221</v>
      </c>
      <c r="C4071" t="s">
        <v>9222</v>
      </c>
      <c r="D4071" t="s">
        <v>9223</v>
      </c>
      <c r="E4071">
        <v>7065185052</v>
      </c>
      <c r="F4071" t="s">
        <v>1013</v>
      </c>
      <c r="G4071" t="s">
        <v>1014</v>
      </c>
      <c r="I4071" t="s">
        <v>43</v>
      </c>
      <c r="J4071" s="13">
        <v>46042</v>
      </c>
      <c r="K4071" s="13">
        <v>46054</v>
      </c>
      <c r="L4071" t="s">
        <v>450</v>
      </c>
      <c r="M4071" t="s">
        <v>59</v>
      </c>
      <c r="N4071">
        <v>73368995</v>
      </c>
    </row>
    <row r="4072" spans="1:14" x14ac:dyDescent="0.25">
      <c r="A4072">
        <v>59706040</v>
      </c>
      <c r="B4072" t="s">
        <v>1566</v>
      </c>
      <c r="C4072" t="s">
        <v>564</v>
      </c>
      <c r="D4072" t="s">
        <v>9224</v>
      </c>
      <c r="E4072">
        <v>9075757554</v>
      </c>
      <c r="F4072" t="s">
        <v>798</v>
      </c>
      <c r="G4072" t="s">
        <v>799</v>
      </c>
      <c r="I4072" t="s">
        <v>800</v>
      </c>
      <c r="J4072" s="13">
        <v>46042</v>
      </c>
      <c r="K4072" s="13">
        <v>46054</v>
      </c>
      <c r="L4072" t="s">
        <v>490</v>
      </c>
      <c r="M4072" t="s">
        <v>59</v>
      </c>
      <c r="N4072">
        <v>73369580</v>
      </c>
    </row>
    <row r="4073" spans="1:14" x14ac:dyDescent="0.25">
      <c r="A4073">
        <v>59706611</v>
      </c>
      <c r="B4073" t="s">
        <v>7879</v>
      </c>
      <c r="C4073" t="s">
        <v>9225</v>
      </c>
      <c r="D4073" t="s">
        <v>9226</v>
      </c>
      <c r="E4073">
        <v>6026637295</v>
      </c>
      <c r="F4073" t="s">
        <v>1345</v>
      </c>
      <c r="G4073" t="s">
        <v>799</v>
      </c>
      <c r="I4073" t="s">
        <v>47</v>
      </c>
      <c r="J4073" s="13">
        <v>46042</v>
      </c>
      <c r="K4073" s="13">
        <v>46054</v>
      </c>
      <c r="L4073" t="s">
        <v>1179</v>
      </c>
      <c r="M4073" t="s">
        <v>56</v>
      </c>
      <c r="N4073">
        <v>73369930</v>
      </c>
    </row>
    <row r="4074" spans="1:14" x14ac:dyDescent="0.25">
      <c r="A4074">
        <v>59706779</v>
      </c>
      <c r="B4074" t="s">
        <v>6138</v>
      </c>
      <c r="C4074" t="s">
        <v>9227</v>
      </c>
      <c r="D4074" t="s">
        <v>9228</v>
      </c>
      <c r="E4074">
        <v>3345443478</v>
      </c>
      <c r="F4074" t="s">
        <v>705</v>
      </c>
      <c r="G4074" t="s">
        <v>706</v>
      </c>
      <c r="I4074" t="s">
        <v>12</v>
      </c>
      <c r="J4074" s="13">
        <v>46042</v>
      </c>
      <c r="K4074" s="13">
        <v>46054</v>
      </c>
      <c r="L4074" t="s">
        <v>450</v>
      </c>
      <c r="M4074" t="s">
        <v>58</v>
      </c>
      <c r="N4074">
        <v>73370023</v>
      </c>
    </row>
    <row r="4075" spans="1:14" x14ac:dyDescent="0.25">
      <c r="A4075">
        <v>59707901</v>
      </c>
      <c r="B4075" t="s">
        <v>9229</v>
      </c>
      <c r="C4075" t="s">
        <v>2614</v>
      </c>
      <c r="D4075" t="s">
        <v>9230</v>
      </c>
      <c r="E4075">
        <v>6038180692</v>
      </c>
      <c r="F4075" t="s">
        <v>551</v>
      </c>
      <c r="G4075" t="s">
        <v>552</v>
      </c>
      <c r="I4075" t="s">
        <v>42</v>
      </c>
      <c r="J4075" s="13">
        <v>46042</v>
      </c>
      <c r="K4075" s="13">
        <v>46054</v>
      </c>
      <c r="L4075" t="s">
        <v>533</v>
      </c>
      <c r="M4075" t="s">
        <v>61</v>
      </c>
      <c r="N4075">
        <v>73371329</v>
      </c>
    </row>
    <row r="4076" spans="1:14" x14ac:dyDescent="0.25">
      <c r="A4076">
        <v>59710475</v>
      </c>
      <c r="B4076" t="s">
        <v>9231</v>
      </c>
      <c r="C4076" t="s">
        <v>9232</v>
      </c>
      <c r="D4076" t="s">
        <v>9233</v>
      </c>
      <c r="F4076" t="s">
        <v>807</v>
      </c>
      <c r="G4076" t="s">
        <v>808</v>
      </c>
      <c r="I4076" t="s">
        <v>33</v>
      </c>
      <c r="J4076" s="13">
        <v>46042</v>
      </c>
      <c r="K4076" s="13">
        <v>46054</v>
      </c>
      <c r="L4076" t="s">
        <v>1179</v>
      </c>
      <c r="M4076" t="s">
        <v>59</v>
      </c>
      <c r="N4076">
        <v>73373713</v>
      </c>
    </row>
    <row r="4077" spans="1:14" x14ac:dyDescent="0.25">
      <c r="A4077">
        <v>59710658</v>
      </c>
      <c r="B4077" t="s">
        <v>9234</v>
      </c>
      <c r="C4077" t="s">
        <v>939</v>
      </c>
      <c r="D4077" t="s">
        <v>9235</v>
      </c>
      <c r="E4077">
        <v>8645808210</v>
      </c>
      <c r="F4077" t="s">
        <v>474</v>
      </c>
      <c r="G4077" t="s">
        <v>475</v>
      </c>
      <c r="I4077" t="s">
        <v>132</v>
      </c>
      <c r="J4077" s="13">
        <v>46042</v>
      </c>
      <c r="K4077" s="13">
        <v>46054</v>
      </c>
      <c r="L4077" t="s">
        <v>533</v>
      </c>
      <c r="M4077" t="s">
        <v>55</v>
      </c>
      <c r="N4077">
        <v>73373814</v>
      </c>
    </row>
    <row r="4078" spans="1:14" x14ac:dyDescent="0.25">
      <c r="A4078">
        <v>59711389</v>
      </c>
      <c r="B4078" t="s">
        <v>7615</v>
      </c>
      <c r="C4078" t="s">
        <v>9236</v>
      </c>
      <c r="D4078" t="s">
        <v>9237</v>
      </c>
      <c r="E4078" t="s">
        <v>9238</v>
      </c>
      <c r="F4078" t="s">
        <v>1345</v>
      </c>
      <c r="G4078" t="s">
        <v>799</v>
      </c>
      <c r="I4078" t="s">
        <v>47</v>
      </c>
      <c r="J4078" s="13">
        <v>46042</v>
      </c>
      <c r="K4078" s="13">
        <v>46054</v>
      </c>
      <c r="L4078" t="s">
        <v>1179</v>
      </c>
      <c r="M4078" t="s">
        <v>54</v>
      </c>
      <c r="N4078">
        <v>73374025</v>
      </c>
    </row>
    <row r="4079" spans="1:14" x14ac:dyDescent="0.25">
      <c r="A4079">
        <v>59713059</v>
      </c>
      <c r="B4079" t="s">
        <v>4976</v>
      </c>
      <c r="C4079" t="s">
        <v>9239</v>
      </c>
      <c r="D4079" t="s">
        <v>9240</v>
      </c>
      <c r="E4079">
        <v>9282340890</v>
      </c>
      <c r="F4079" t="s">
        <v>780</v>
      </c>
      <c r="G4079" t="s">
        <v>781</v>
      </c>
      <c r="I4079" t="s">
        <v>20</v>
      </c>
      <c r="J4079" s="13">
        <v>46042</v>
      </c>
      <c r="K4079" s="13">
        <v>46054</v>
      </c>
      <c r="L4079" t="s">
        <v>1179</v>
      </c>
      <c r="M4079" t="s">
        <v>56</v>
      </c>
      <c r="N4079">
        <v>73375792</v>
      </c>
    </row>
    <row r="4080" spans="1:14" x14ac:dyDescent="0.25">
      <c r="A4080">
        <v>59713418</v>
      </c>
      <c r="B4080" t="s">
        <v>1106</v>
      </c>
      <c r="C4080" t="s">
        <v>9241</v>
      </c>
      <c r="D4080" t="s">
        <v>9242</v>
      </c>
      <c r="E4080">
        <v>9412282724</v>
      </c>
      <c r="F4080" t="s">
        <v>474</v>
      </c>
      <c r="G4080" t="s">
        <v>475</v>
      </c>
      <c r="I4080" t="s">
        <v>132</v>
      </c>
      <c r="J4080" s="13">
        <v>46042</v>
      </c>
      <c r="K4080" s="13">
        <v>46054</v>
      </c>
      <c r="L4080" t="s">
        <v>497</v>
      </c>
      <c r="M4080" t="s">
        <v>56</v>
      </c>
      <c r="N4080">
        <v>73376385</v>
      </c>
    </row>
    <row r="4081" spans="1:14" x14ac:dyDescent="0.25">
      <c r="A4081">
        <v>59713452</v>
      </c>
      <c r="B4081" t="s">
        <v>2254</v>
      </c>
      <c r="C4081" t="s">
        <v>9243</v>
      </c>
      <c r="D4081" t="s">
        <v>9244</v>
      </c>
      <c r="E4081">
        <v>4408215775</v>
      </c>
      <c r="F4081" t="s">
        <v>1013</v>
      </c>
      <c r="G4081" t="s">
        <v>1014</v>
      </c>
      <c r="I4081" t="s">
        <v>43</v>
      </c>
      <c r="J4081" s="13">
        <v>46042</v>
      </c>
      <c r="K4081" s="13">
        <v>46054</v>
      </c>
      <c r="L4081" t="s">
        <v>418</v>
      </c>
      <c r="M4081" t="s">
        <v>62</v>
      </c>
      <c r="N4081">
        <v>73376508</v>
      </c>
    </row>
    <row r="4082" spans="1:14" x14ac:dyDescent="0.25">
      <c r="A4082">
        <v>59713753</v>
      </c>
      <c r="B4082" t="s">
        <v>936</v>
      </c>
      <c r="C4082" t="s">
        <v>9245</v>
      </c>
      <c r="D4082" t="s">
        <v>9246</v>
      </c>
      <c r="E4082">
        <v>8705406972</v>
      </c>
      <c r="F4082" t="s">
        <v>628</v>
      </c>
      <c r="G4082" t="s">
        <v>629</v>
      </c>
      <c r="I4082" t="s">
        <v>24</v>
      </c>
      <c r="J4082" s="13">
        <v>46042</v>
      </c>
      <c r="K4082" s="13">
        <v>46113</v>
      </c>
      <c r="L4082" t="s">
        <v>553</v>
      </c>
      <c r="M4082" t="s">
        <v>61</v>
      </c>
      <c r="N4082">
        <v>73378450</v>
      </c>
    </row>
    <row r="4083" spans="1:14" x14ac:dyDescent="0.25">
      <c r="A4083">
        <v>59714634</v>
      </c>
      <c r="B4083" t="s">
        <v>517</v>
      </c>
      <c r="C4083" t="s">
        <v>9247</v>
      </c>
      <c r="D4083" t="s">
        <v>9248</v>
      </c>
      <c r="E4083">
        <v>8133856292</v>
      </c>
      <c r="F4083" t="s">
        <v>574</v>
      </c>
      <c r="G4083" t="s">
        <v>575</v>
      </c>
      <c r="I4083" t="s">
        <v>14</v>
      </c>
      <c r="J4083" s="13">
        <v>46042</v>
      </c>
      <c r="K4083" s="13">
        <v>46054</v>
      </c>
      <c r="L4083" t="s">
        <v>497</v>
      </c>
      <c r="M4083" t="s">
        <v>56</v>
      </c>
      <c r="N4083">
        <v>73380354</v>
      </c>
    </row>
    <row r="4084" spans="1:14" x14ac:dyDescent="0.25">
      <c r="A4084">
        <v>59715385</v>
      </c>
      <c r="B4084" t="s">
        <v>9249</v>
      </c>
      <c r="C4084" t="s">
        <v>1792</v>
      </c>
      <c r="D4084" t="s">
        <v>9250</v>
      </c>
      <c r="E4084">
        <v>9105422275</v>
      </c>
      <c r="F4084" t="s">
        <v>551</v>
      </c>
      <c r="G4084" t="s">
        <v>552</v>
      </c>
      <c r="I4084" t="s">
        <v>42</v>
      </c>
      <c r="J4084" s="13">
        <v>46042</v>
      </c>
      <c r="K4084" s="13">
        <v>46054</v>
      </c>
      <c r="L4084" t="s">
        <v>603</v>
      </c>
      <c r="M4084" t="s">
        <v>58</v>
      </c>
      <c r="N4084">
        <v>73382111</v>
      </c>
    </row>
    <row r="4085" spans="1:14" x14ac:dyDescent="0.25">
      <c r="A4085">
        <v>59715799</v>
      </c>
      <c r="B4085" t="s">
        <v>1679</v>
      </c>
      <c r="C4085" t="s">
        <v>9251</v>
      </c>
      <c r="D4085" t="s">
        <v>9252</v>
      </c>
      <c r="E4085">
        <v>3147067847</v>
      </c>
      <c r="F4085" t="s">
        <v>828</v>
      </c>
      <c r="G4085" t="s">
        <v>1148</v>
      </c>
      <c r="I4085" t="s">
        <v>17</v>
      </c>
      <c r="J4085" s="13">
        <v>46042</v>
      </c>
      <c r="K4085" s="13">
        <v>46054</v>
      </c>
      <c r="L4085" t="s">
        <v>434</v>
      </c>
      <c r="M4085" t="s">
        <v>59</v>
      </c>
      <c r="N4085">
        <v>73382488</v>
      </c>
    </row>
    <row r="4086" spans="1:14" x14ac:dyDescent="0.25">
      <c r="A4086">
        <v>59716368</v>
      </c>
      <c r="B4086" t="s">
        <v>9253</v>
      </c>
      <c r="C4086" t="s">
        <v>9254</v>
      </c>
      <c r="D4086" t="s">
        <v>9255</v>
      </c>
      <c r="E4086">
        <v>5203479639</v>
      </c>
      <c r="F4086" t="s">
        <v>798</v>
      </c>
      <c r="G4086" t="s">
        <v>799</v>
      </c>
      <c r="I4086" t="s">
        <v>800</v>
      </c>
      <c r="J4086" s="13">
        <v>46042</v>
      </c>
      <c r="K4086" s="13">
        <v>46054</v>
      </c>
      <c r="L4086" t="s">
        <v>1179</v>
      </c>
      <c r="M4086" t="s">
        <v>61</v>
      </c>
      <c r="N4086">
        <v>73383233</v>
      </c>
    </row>
    <row r="4087" spans="1:14" x14ac:dyDescent="0.25">
      <c r="A4087">
        <v>59716535</v>
      </c>
      <c r="B4087" t="s">
        <v>1033</v>
      </c>
      <c r="C4087" t="s">
        <v>9256</v>
      </c>
      <c r="D4087" t="s">
        <v>9257</v>
      </c>
      <c r="E4087">
        <v>8635858495</v>
      </c>
      <c r="F4087" t="s">
        <v>807</v>
      </c>
      <c r="G4087" t="s">
        <v>808</v>
      </c>
      <c r="I4087" t="s">
        <v>33</v>
      </c>
      <c r="J4087" s="13">
        <v>46042</v>
      </c>
      <c r="K4087" s="13">
        <v>46054</v>
      </c>
      <c r="L4087" t="s">
        <v>497</v>
      </c>
      <c r="M4087" t="s">
        <v>59</v>
      </c>
      <c r="N4087">
        <v>73383602</v>
      </c>
    </row>
    <row r="4088" spans="1:14" x14ac:dyDescent="0.25">
      <c r="A4088">
        <v>59717890</v>
      </c>
      <c r="B4088" t="s">
        <v>9258</v>
      </c>
      <c r="C4088" t="s">
        <v>9259</v>
      </c>
      <c r="D4088" t="s">
        <v>9260</v>
      </c>
      <c r="E4088">
        <v>8702786539</v>
      </c>
      <c r="F4088" t="s">
        <v>790</v>
      </c>
      <c r="G4088" t="s">
        <v>791</v>
      </c>
      <c r="I4088" t="s">
        <v>119</v>
      </c>
      <c r="J4088" s="13">
        <v>46042</v>
      </c>
      <c r="K4088" s="13">
        <v>46054</v>
      </c>
      <c r="L4088" t="s">
        <v>553</v>
      </c>
      <c r="M4088" t="s">
        <v>59</v>
      </c>
      <c r="N4088">
        <v>73385742</v>
      </c>
    </row>
    <row r="4089" spans="1:14" x14ac:dyDescent="0.25">
      <c r="A4089">
        <v>59721157</v>
      </c>
      <c r="B4089" t="s">
        <v>867</v>
      </c>
      <c r="C4089" t="s">
        <v>9261</v>
      </c>
      <c r="D4089" t="s">
        <v>9262</v>
      </c>
      <c r="E4089" t="s">
        <v>9263</v>
      </c>
      <c r="F4089" t="s">
        <v>474</v>
      </c>
      <c r="G4089" t="s">
        <v>475</v>
      </c>
      <c r="I4089" t="s">
        <v>132</v>
      </c>
      <c r="J4089" s="13">
        <v>46042</v>
      </c>
      <c r="K4089" s="13">
        <v>46054</v>
      </c>
      <c r="L4089" t="s">
        <v>1179</v>
      </c>
      <c r="M4089" t="s">
        <v>56</v>
      </c>
      <c r="N4089">
        <v>73388768</v>
      </c>
    </row>
    <row r="4090" spans="1:14" x14ac:dyDescent="0.25">
      <c r="A4090">
        <v>59721288</v>
      </c>
      <c r="B4090" t="s">
        <v>9264</v>
      </c>
      <c r="C4090" t="s">
        <v>9265</v>
      </c>
      <c r="D4090" t="s">
        <v>9266</v>
      </c>
      <c r="E4090">
        <v>4806512724</v>
      </c>
      <c r="F4090" t="s">
        <v>474</v>
      </c>
      <c r="G4090" t="s">
        <v>475</v>
      </c>
      <c r="I4090" t="s">
        <v>132</v>
      </c>
      <c r="J4090" s="13">
        <v>46042</v>
      </c>
      <c r="K4090" s="13">
        <v>46054</v>
      </c>
      <c r="L4090" t="s">
        <v>1179</v>
      </c>
      <c r="M4090" t="s">
        <v>56</v>
      </c>
      <c r="N4090">
        <v>73388847</v>
      </c>
    </row>
    <row r="4091" spans="1:14" x14ac:dyDescent="0.25">
      <c r="A4091">
        <v>60204904</v>
      </c>
      <c r="B4091" t="s">
        <v>9267</v>
      </c>
      <c r="C4091" t="s">
        <v>9268</v>
      </c>
      <c r="D4091" t="s">
        <v>9269</v>
      </c>
      <c r="E4091">
        <v>9546848135</v>
      </c>
      <c r="F4091" t="s">
        <v>780</v>
      </c>
      <c r="G4091" t="s">
        <v>781</v>
      </c>
      <c r="I4091" t="s">
        <v>20</v>
      </c>
      <c r="J4091" s="13">
        <v>46056</v>
      </c>
      <c r="K4091" s="13">
        <v>46082</v>
      </c>
      <c r="L4091" t="s">
        <v>497</v>
      </c>
      <c r="M4091" t="s">
        <v>56</v>
      </c>
      <c r="N4091">
        <v>73389568</v>
      </c>
    </row>
    <row r="4092" spans="1:14" x14ac:dyDescent="0.25">
      <c r="A4092">
        <v>59724215</v>
      </c>
      <c r="B4092" t="s">
        <v>6622</v>
      </c>
      <c r="C4092" t="s">
        <v>9270</v>
      </c>
      <c r="D4092" t="s">
        <v>9271</v>
      </c>
      <c r="E4092">
        <v>7628503511</v>
      </c>
      <c r="F4092" t="s">
        <v>628</v>
      </c>
      <c r="G4092" t="s">
        <v>629</v>
      </c>
      <c r="I4092" t="s">
        <v>24</v>
      </c>
      <c r="J4092" s="13">
        <v>46042</v>
      </c>
      <c r="K4092" s="13">
        <v>46054</v>
      </c>
      <c r="L4092" t="s">
        <v>621</v>
      </c>
      <c r="M4092" t="s">
        <v>58</v>
      </c>
      <c r="N4092">
        <v>73391158</v>
      </c>
    </row>
    <row r="4093" spans="1:14" x14ac:dyDescent="0.25">
      <c r="A4093">
        <v>59725657</v>
      </c>
      <c r="B4093" t="s">
        <v>6622</v>
      </c>
      <c r="C4093" t="s">
        <v>4137</v>
      </c>
      <c r="D4093" t="s">
        <v>9272</v>
      </c>
      <c r="E4093">
        <v>2569807215</v>
      </c>
      <c r="F4093" t="s">
        <v>828</v>
      </c>
      <c r="G4093" t="s">
        <v>1148</v>
      </c>
      <c r="I4093" t="s">
        <v>17</v>
      </c>
      <c r="J4093" s="13">
        <v>46042</v>
      </c>
      <c r="K4093" s="13">
        <v>46054</v>
      </c>
      <c r="L4093" t="s">
        <v>450</v>
      </c>
      <c r="M4093" t="s">
        <v>56</v>
      </c>
      <c r="N4093">
        <v>73392200</v>
      </c>
    </row>
    <row r="4094" spans="1:14" x14ac:dyDescent="0.25">
      <c r="A4094">
        <v>59729571</v>
      </c>
      <c r="B4094" t="s">
        <v>498</v>
      </c>
      <c r="C4094" t="s">
        <v>9273</v>
      </c>
      <c r="D4094" t="s">
        <v>9274</v>
      </c>
      <c r="E4094">
        <v>5615775429</v>
      </c>
      <c r="F4094" t="s">
        <v>770</v>
      </c>
      <c r="G4094" t="s">
        <v>771</v>
      </c>
      <c r="I4094" t="s">
        <v>25</v>
      </c>
      <c r="J4094" s="13">
        <v>46042</v>
      </c>
      <c r="K4094" s="13">
        <v>46054</v>
      </c>
      <c r="L4094" t="s">
        <v>497</v>
      </c>
      <c r="M4094" t="s">
        <v>54</v>
      </c>
      <c r="N4094">
        <v>73395384</v>
      </c>
    </row>
    <row r="4095" spans="1:14" x14ac:dyDescent="0.25">
      <c r="A4095">
        <v>59732383</v>
      </c>
      <c r="B4095" t="s">
        <v>9275</v>
      </c>
      <c r="C4095" t="s">
        <v>9276</v>
      </c>
      <c r="D4095" t="s">
        <v>9277</v>
      </c>
      <c r="E4095">
        <v>4802677784</v>
      </c>
      <c r="F4095" t="s">
        <v>569</v>
      </c>
      <c r="G4095" t="s">
        <v>570</v>
      </c>
      <c r="I4095" t="s">
        <v>34</v>
      </c>
      <c r="J4095" s="13">
        <v>46042</v>
      </c>
      <c r="K4095" s="13">
        <v>46054</v>
      </c>
      <c r="L4095" t="s">
        <v>1179</v>
      </c>
      <c r="M4095" t="s">
        <v>54</v>
      </c>
      <c r="N4095">
        <v>73396916</v>
      </c>
    </row>
    <row r="4096" spans="1:14" x14ac:dyDescent="0.25">
      <c r="A4096">
        <v>59735424</v>
      </c>
      <c r="B4096" t="s">
        <v>480</v>
      </c>
      <c r="C4096" t="s">
        <v>9278</v>
      </c>
      <c r="D4096" t="s">
        <v>9279</v>
      </c>
      <c r="E4096" t="s">
        <v>9280</v>
      </c>
      <c r="F4096" t="s">
        <v>416</v>
      </c>
      <c r="G4096" t="s">
        <v>417</v>
      </c>
      <c r="I4096" t="s">
        <v>26</v>
      </c>
      <c r="J4096" s="13">
        <v>46042</v>
      </c>
      <c r="K4096" s="13">
        <v>46054</v>
      </c>
      <c r="L4096" t="s">
        <v>1179</v>
      </c>
      <c r="M4096" t="s">
        <v>54</v>
      </c>
      <c r="N4096">
        <v>73398715</v>
      </c>
    </row>
    <row r="4097" spans="1:14" x14ac:dyDescent="0.25">
      <c r="A4097">
        <v>59735829</v>
      </c>
      <c r="B4097" t="s">
        <v>1527</v>
      </c>
      <c r="C4097" t="s">
        <v>1522</v>
      </c>
      <c r="D4097" t="s">
        <v>9281</v>
      </c>
      <c r="E4097">
        <v>6027333400</v>
      </c>
      <c r="F4097" t="s">
        <v>807</v>
      </c>
      <c r="G4097" t="s">
        <v>808</v>
      </c>
      <c r="I4097" t="s">
        <v>33</v>
      </c>
      <c r="J4097" s="13">
        <v>46042</v>
      </c>
      <c r="K4097" s="13">
        <v>46054</v>
      </c>
      <c r="L4097" t="s">
        <v>1179</v>
      </c>
      <c r="M4097" t="s">
        <v>59</v>
      </c>
      <c r="N4097">
        <v>73399061</v>
      </c>
    </row>
    <row r="4098" spans="1:14" x14ac:dyDescent="0.25">
      <c r="A4098">
        <v>59737222</v>
      </c>
      <c r="B4098" t="s">
        <v>9282</v>
      </c>
      <c r="C4098" t="s">
        <v>1203</v>
      </c>
      <c r="D4098" t="s">
        <v>9283</v>
      </c>
      <c r="E4098">
        <v>4073166879</v>
      </c>
      <c r="F4098" t="s">
        <v>828</v>
      </c>
      <c r="G4098" t="s">
        <v>1148</v>
      </c>
      <c r="I4098" t="s">
        <v>17</v>
      </c>
      <c r="J4098" s="13">
        <v>46042</v>
      </c>
      <c r="K4098" s="13">
        <v>46054</v>
      </c>
      <c r="L4098" t="s">
        <v>497</v>
      </c>
      <c r="M4098" t="s">
        <v>58</v>
      </c>
      <c r="N4098">
        <v>73399963</v>
      </c>
    </row>
    <row r="4099" spans="1:14" x14ac:dyDescent="0.25">
      <c r="A4099">
        <v>59737271</v>
      </c>
      <c r="B4099" t="s">
        <v>3326</v>
      </c>
      <c r="C4099" t="s">
        <v>9284</v>
      </c>
      <c r="D4099" t="s">
        <v>9285</v>
      </c>
      <c r="E4099">
        <v>9858555924</v>
      </c>
      <c r="F4099" t="s">
        <v>705</v>
      </c>
      <c r="G4099" t="s">
        <v>706</v>
      </c>
      <c r="I4099" t="s">
        <v>12</v>
      </c>
      <c r="J4099" s="13">
        <v>46042</v>
      </c>
      <c r="K4099" s="13">
        <v>46054</v>
      </c>
      <c r="L4099" t="s">
        <v>612</v>
      </c>
      <c r="M4099" t="s">
        <v>56</v>
      </c>
      <c r="N4099">
        <v>73399970</v>
      </c>
    </row>
    <row r="4100" spans="1:14" x14ac:dyDescent="0.25">
      <c r="A4100">
        <v>59739078</v>
      </c>
      <c r="B4100" t="s">
        <v>5503</v>
      </c>
      <c r="C4100" t="s">
        <v>8928</v>
      </c>
      <c r="D4100" t="s">
        <v>9286</v>
      </c>
      <c r="E4100">
        <v>5015895197</v>
      </c>
      <c r="F4100" t="s">
        <v>628</v>
      </c>
      <c r="G4100" t="s">
        <v>629</v>
      </c>
      <c r="I4100" t="s">
        <v>24</v>
      </c>
      <c r="J4100" s="13">
        <v>46042</v>
      </c>
      <c r="K4100" s="13">
        <v>46054</v>
      </c>
      <c r="L4100" t="s">
        <v>553</v>
      </c>
      <c r="M4100" t="s">
        <v>55</v>
      </c>
      <c r="N4100">
        <v>73401045</v>
      </c>
    </row>
    <row r="4101" spans="1:14" x14ac:dyDescent="0.25">
      <c r="A4101">
        <v>59773594</v>
      </c>
      <c r="B4101" t="s">
        <v>9287</v>
      </c>
      <c r="C4101" t="s">
        <v>9288</v>
      </c>
      <c r="D4101" t="s">
        <v>9289</v>
      </c>
      <c r="E4101">
        <v>7797705797</v>
      </c>
      <c r="F4101" t="s">
        <v>423</v>
      </c>
      <c r="G4101" t="s">
        <v>424</v>
      </c>
      <c r="I4101" t="s">
        <v>46</v>
      </c>
      <c r="J4101" s="13">
        <v>46043</v>
      </c>
      <c r="K4101" s="13">
        <v>46054</v>
      </c>
      <c r="L4101" t="s">
        <v>470</v>
      </c>
      <c r="M4101" t="s">
        <v>59</v>
      </c>
      <c r="N4101">
        <v>73428831</v>
      </c>
    </row>
    <row r="4102" spans="1:14" x14ac:dyDescent="0.25">
      <c r="A4102">
        <v>60113248</v>
      </c>
      <c r="B4102" t="s">
        <v>1635</v>
      </c>
      <c r="C4102" t="s">
        <v>2230</v>
      </c>
      <c r="D4102" t="s">
        <v>9290</v>
      </c>
      <c r="E4102">
        <v>7734833287</v>
      </c>
      <c r="F4102" t="s">
        <v>474</v>
      </c>
      <c r="G4102" t="s">
        <v>475</v>
      </c>
      <c r="I4102" t="s">
        <v>132</v>
      </c>
      <c r="J4102" s="13">
        <v>46052</v>
      </c>
      <c r="K4102" s="13">
        <v>46054</v>
      </c>
      <c r="L4102" t="s">
        <v>470</v>
      </c>
      <c r="M4102" t="s">
        <v>62</v>
      </c>
      <c r="N4102">
        <v>73429726</v>
      </c>
    </row>
    <row r="4103" spans="1:14" x14ac:dyDescent="0.25">
      <c r="A4103">
        <v>59777667</v>
      </c>
      <c r="B4103" t="s">
        <v>1518</v>
      </c>
      <c r="C4103" t="s">
        <v>9291</v>
      </c>
      <c r="D4103" t="s">
        <v>9292</v>
      </c>
      <c r="E4103">
        <v>8707123639</v>
      </c>
      <c r="F4103" t="s">
        <v>705</v>
      </c>
      <c r="G4103" t="s">
        <v>706</v>
      </c>
      <c r="I4103" t="s">
        <v>12</v>
      </c>
      <c r="J4103" s="13">
        <v>46043</v>
      </c>
      <c r="K4103" s="13">
        <v>46054</v>
      </c>
      <c r="L4103" t="s">
        <v>553</v>
      </c>
      <c r="M4103" t="s">
        <v>58</v>
      </c>
      <c r="N4103">
        <v>73431355</v>
      </c>
    </row>
    <row r="4104" spans="1:14" x14ac:dyDescent="0.25">
      <c r="A4104">
        <v>59778029</v>
      </c>
      <c r="B4104" t="s">
        <v>8232</v>
      </c>
      <c r="C4104" t="s">
        <v>8440</v>
      </c>
      <c r="D4104" t="s">
        <v>9293</v>
      </c>
      <c r="E4104">
        <v>6306187963</v>
      </c>
      <c r="F4104" t="s">
        <v>790</v>
      </c>
      <c r="G4104" t="s">
        <v>791</v>
      </c>
      <c r="I4104" t="s">
        <v>119</v>
      </c>
      <c r="J4104" s="13">
        <v>46043</v>
      </c>
      <c r="K4104" s="13">
        <v>46054</v>
      </c>
      <c r="L4104" t="s">
        <v>470</v>
      </c>
      <c r="M4104" t="s">
        <v>59</v>
      </c>
      <c r="N4104">
        <v>73431631</v>
      </c>
    </row>
    <row r="4105" spans="1:14" x14ac:dyDescent="0.25">
      <c r="A4105">
        <v>59778009</v>
      </c>
      <c r="B4105" t="s">
        <v>9294</v>
      </c>
      <c r="C4105" t="s">
        <v>9295</v>
      </c>
      <c r="D4105" t="s">
        <v>9296</v>
      </c>
      <c r="E4105">
        <v>5616684974</v>
      </c>
      <c r="F4105" t="s">
        <v>770</v>
      </c>
      <c r="G4105" t="s">
        <v>771</v>
      </c>
      <c r="I4105" t="s">
        <v>25</v>
      </c>
      <c r="J4105" s="13">
        <v>46043</v>
      </c>
      <c r="K4105" s="13">
        <v>46054</v>
      </c>
      <c r="L4105" t="s">
        <v>497</v>
      </c>
      <c r="M4105" t="s">
        <v>419</v>
      </c>
      <c r="N4105">
        <v>73431648</v>
      </c>
    </row>
    <row r="4106" spans="1:14" x14ac:dyDescent="0.25">
      <c r="A4106">
        <v>59778437</v>
      </c>
      <c r="B4106" t="s">
        <v>4444</v>
      </c>
      <c r="C4106" t="s">
        <v>9297</v>
      </c>
      <c r="D4106" t="s">
        <v>9298</v>
      </c>
      <c r="E4106">
        <v>6232263057</v>
      </c>
      <c r="F4106" t="s">
        <v>416</v>
      </c>
      <c r="G4106" t="s">
        <v>417</v>
      </c>
      <c r="I4106" t="s">
        <v>26</v>
      </c>
      <c r="J4106" s="13">
        <v>46043</v>
      </c>
      <c r="K4106" s="13">
        <v>46054</v>
      </c>
      <c r="L4106" t="s">
        <v>1179</v>
      </c>
      <c r="M4106" t="s">
        <v>56</v>
      </c>
      <c r="N4106">
        <v>73431937</v>
      </c>
    </row>
    <row r="4107" spans="1:14" x14ac:dyDescent="0.25">
      <c r="A4107">
        <v>59778787</v>
      </c>
      <c r="B4107" t="s">
        <v>517</v>
      </c>
      <c r="C4107" t="s">
        <v>9299</v>
      </c>
      <c r="D4107" t="s">
        <v>9300</v>
      </c>
      <c r="E4107">
        <v>7143091011</v>
      </c>
      <c r="F4107" t="s">
        <v>780</v>
      </c>
      <c r="G4107" t="s">
        <v>781</v>
      </c>
      <c r="I4107" t="s">
        <v>20</v>
      </c>
      <c r="J4107" s="13">
        <v>46043</v>
      </c>
      <c r="K4107" s="13">
        <v>46054</v>
      </c>
      <c r="L4107" t="s">
        <v>1179</v>
      </c>
      <c r="M4107" t="s">
        <v>54</v>
      </c>
      <c r="N4107">
        <v>73432192</v>
      </c>
    </row>
    <row r="4108" spans="1:14" x14ac:dyDescent="0.25">
      <c r="A4108">
        <v>59778824</v>
      </c>
      <c r="B4108" t="s">
        <v>9301</v>
      </c>
      <c r="C4108" t="s">
        <v>9302</v>
      </c>
      <c r="D4108" t="s">
        <v>9303</v>
      </c>
      <c r="E4108">
        <v>9564079583</v>
      </c>
      <c r="F4108" t="s">
        <v>815</v>
      </c>
      <c r="G4108" t="s">
        <v>816</v>
      </c>
      <c r="I4108" t="s">
        <v>23</v>
      </c>
      <c r="J4108" s="13">
        <v>46043</v>
      </c>
      <c r="K4108" s="13">
        <v>46054</v>
      </c>
      <c r="L4108" t="s">
        <v>444</v>
      </c>
      <c r="M4108" t="s">
        <v>56</v>
      </c>
      <c r="N4108">
        <v>73432218</v>
      </c>
    </row>
    <row r="4109" spans="1:14" x14ac:dyDescent="0.25">
      <c r="A4109">
        <v>59779215</v>
      </c>
      <c r="B4109" t="s">
        <v>9304</v>
      </c>
      <c r="C4109" t="s">
        <v>4974</v>
      </c>
      <c r="D4109" t="s">
        <v>9305</v>
      </c>
      <c r="E4109">
        <v>8152389647</v>
      </c>
      <c r="F4109" t="s">
        <v>423</v>
      </c>
      <c r="G4109" t="s">
        <v>424</v>
      </c>
      <c r="I4109" t="s">
        <v>46</v>
      </c>
      <c r="J4109" s="13">
        <v>46043</v>
      </c>
      <c r="K4109" s="13">
        <v>46054</v>
      </c>
      <c r="L4109" t="s">
        <v>470</v>
      </c>
      <c r="M4109" t="s">
        <v>60</v>
      </c>
      <c r="N4109">
        <v>73432377</v>
      </c>
    </row>
    <row r="4110" spans="1:14" x14ac:dyDescent="0.25">
      <c r="A4110">
        <v>59779134</v>
      </c>
      <c r="B4110" t="s">
        <v>1316</v>
      </c>
      <c r="C4110" t="s">
        <v>8132</v>
      </c>
      <c r="D4110" t="s">
        <v>9306</v>
      </c>
      <c r="E4110">
        <v>4234046809</v>
      </c>
      <c r="F4110" t="s">
        <v>928</v>
      </c>
      <c r="G4110" t="s">
        <v>929</v>
      </c>
      <c r="I4110" t="s">
        <v>30</v>
      </c>
      <c r="J4110" s="13">
        <v>46043</v>
      </c>
      <c r="K4110" s="13">
        <v>46054</v>
      </c>
      <c r="L4110" t="s">
        <v>479</v>
      </c>
      <c r="M4110" t="s">
        <v>56</v>
      </c>
      <c r="N4110">
        <v>73432427</v>
      </c>
    </row>
    <row r="4111" spans="1:14" x14ac:dyDescent="0.25">
      <c r="A4111">
        <v>59779563</v>
      </c>
      <c r="B4111" t="s">
        <v>1316</v>
      </c>
      <c r="C4111" t="s">
        <v>9307</v>
      </c>
      <c r="D4111" t="s">
        <v>9308</v>
      </c>
      <c r="E4111">
        <v>2518880026</v>
      </c>
      <c r="F4111" t="s">
        <v>474</v>
      </c>
      <c r="G4111" t="s">
        <v>475</v>
      </c>
      <c r="I4111" t="s">
        <v>132</v>
      </c>
      <c r="J4111" s="13">
        <v>46043</v>
      </c>
      <c r="K4111" s="13">
        <v>46054</v>
      </c>
      <c r="L4111" t="s">
        <v>450</v>
      </c>
      <c r="M4111" t="s">
        <v>56</v>
      </c>
      <c r="N4111">
        <v>73433083</v>
      </c>
    </row>
    <row r="4112" spans="1:14" x14ac:dyDescent="0.25">
      <c r="A4112">
        <v>59779754</v>
      </c>
      <c r="B4112" t="s">
        <v>2686</v>
      </c>
      <c r="C4112" t="s">
        <v>528</v>
      </c>
      <c r="D4112" t="s">
        <v>9309</v>
      </c>
      <c r="E4112">
        <v>5203409140</v>
      </c>
      <c r="F4112" t="s">
        <v>807</v>
      </c>
      <c r="G4112" t="s">
        <v>808</v>
      </c>
      <c r="I4112" t="s">
        <v>33</v>
      </c>
      <c r="J4112" s="13">
        <v>46043</v>
      </c>
      <c r="K4112" s="13">
        <v>46054</v>
      </c>
      <c r="L4112" t="s">
        <v>1179</v>
      </c>
      <c r="M4112" t="s">
        <v>54</v>
      </c>
      <c r="N4112">
        <v>73433732</v>
      </c>
    </row>
    <row r="4113" spans="1:14" x14ac:dyDescent="0.25">
      <c r="A4113">
        <v>59779773</v>
      </c>
      <c r="B4113" t="s">
        <v>888</v>
      </c>
      <c r="C4113" t="s">
        <v>9310</v>
      </c>
      <c r="D4113" t="s">
        <v>9311</v>
      </c>
      <c r="E4113">
        <v>5206370757</v>
      </c>
      <c r="F4113" t="s">
        <v>1345</v>
      </c>
      <c r="G4113" t="s">
        <v>799</v>
      </c>
      <c r="I4113" t="s">
        <v>47</v>
      </c>
      <c r="J4113" s="13">
        <v>46043</v>
      </c>
      <c r="K4113" s="13">
        <v>46054</v>
      </c>
      <c r="L4113" t="s">
        <v>1179</v>
      </c>
      <c r="M4113" t="s">
        <v>56</v>
      </c>
      <c r="N4113">
        <v>73433833</v>
      </c>
    </row>
    <row r="4114" spans="1:14" x14ac:dyDescent="0.25">
      <c r="A4114">
        <v>59779829</v>
      </c>
      <c r="B4114" t="s">
        <v>9312</v>
      </c>
      <c r="C4114" t="s">
        <v>9313</v>
      </c>
      <c r="D4114" t="s">
        <v>9314</v>
      </c>
      <c r="E4114">
        <v>6232920987</v>
      </c>
      <c r="F4114" t="s">
        <v>775</v>
      </c>
      <c r="G4114" t="s">
        <v>776</v>
      </c>
      <c r="I4114" t="s">
        <v>22</v>
      </c>
      <c r="J4114" s="13">
        <v>46043</v>
      </c>
      <c r="K4114" s="13">
        <v>46054</v>
      </c>
      <c r="L4114" t="s">
        <v>1179</v>
      </c>
      <c r="M4114" t="s">
        <v>56</v>
      </c>
      <c r="N4114">
        <v>73434051</v>
      </c>
    </row>
    <row r="4115" spans="1:14" x14ac:dyDescent="0.25">
      <c r="A4115">
        <v>59780432</v>
      </c>
      <c r="B4115" t="s">
        <v>2681</v>
      </c>
      <c r="C4115" t="s">
        <v>4583</v>
      </c>
      <c r="D4115" t="s">
        <v>9315</v>
      </c>
      <c r="E4115">
        <v>4076935735</v>
      </c>
      <c r="F4115" t="s">
        <v>423</v>
      </c>
      <c r="G4115" t="s">
        <v>424</v>
      </c>
      <c r="I4115" t="s">
        <v>46</v>
      </c>
      <c r="J4115" s="13">
        <v>46043</v>
      </c>
      <c r="K4115" s="13">
        <v>46054</v>
      </c>
      <c r="L4115" t="s">
        <v>497</v>
      </c>
      <c r="M4115" t="s">
        <v>59</v>
      </c>
      <c r="N4115">
        <v>73435035</v>
      </c>
    </row>
    <row r="4116" spans="1:14" x14ac:dyDescent="0.25">
      <c r="A4116">
        <v>59780616</v>
      </c>
      <c r="B4116" t="s">
        <v>9316</v>
      </c>
      <c r="C4116" t="s">
        <v>9317</v>
      </c>
      <c r="D4116" t="s">
        <v>9318</v>
      </c>
      <c r="E4116">
        <v>5204503086</v>
      </c>
      <c r="F4116" t="s">
        <v>569</v>
      </c>
      <c r="G4116" t="s">
        <v>570</v>
      </c>
      <c r="I4116" t="s">
        <v>34</v>
      </c>
      <c r="J4116" s="13">
        <v>46043</v>
      </c>
      <c r="K4116" s="13">
        <v>46054</v>
      </c>
      <c r="L4116" t="s">
        <v>1179</v>
      </c>
      <c r="M4116" t="s">
        <v>54</v>
      </c>
      <c r="N4116">
        <v>73435267</v>
      </c>
    </row>
    <row r="4117" spans="1:14" x14ac:dyDescent="0.25">
      <c r="A4117">
        <v>59780813</v>
      </c>
      <c r="B4117" t="s">
        <v>445</v>
      </c>
      <c r="C4117" t="s">
        <v>1073</v>
      </c>
      <c r="D4117" t="s">
        <v>9319</v>
      </c>
      <c r="E4117">
        <v>4802178281</v>
      </c>
      <c r="F4117" t="s">
        <v>416</v>
      </c>
      <c r="G4117" t="s">
        <v>417</v>
      </c>
      <c r="I4117" t="s">
        <v>26</v>
      </c>
      <c r="J4117" s="13">
        <v>46043</v>
      </c>
      <c r="K4117" s="13">
        <v>46054</v>
      </c>
      <c r="L4117" t="s">
        <v>1179</v>
      </c>
      <c r="M4117" t="s">
        <v>54</v>
      </c>
      <c r="N4117">
        <v>73435413</v>
      </c>
    </row>
    <row r="4118" spans="1:14" x14ac:dyDescent="0.25">
      <c r="A4118">
        <v>59780855</v>
      </c>
      <c r="B4118" t="s">
        <v>9320</v>
      </c>
      <c r="C4118" t="s">
        <v>688</v>
      </c>
      <c r="D4118" t="s">
        <v>9321</v>
      </c>
      <c r="E4118">
        <v>8708480014</v>
      </c>
      <c r="F4118" t="s">
        <v>628</v>
      </c>
      <c r="G4118" t="s">
        <v>629</v>
      </c>
      <c r="I4118" t="s">
        <v>24</v>
      </c>
      <c r="J4118" s="13">
        <v>46043</v>
      </c>
      <c r="K4118" s="13">
        <v>46054</v>
      </c>
      <c r="L4118" t="s">
        <v>553</v>
      </c>
      <c r="M4118" t="s">
        <v>55</v>
      </c>
      <c r="N4118">
        <v>73435455</v>
      </c>
    </row>
    <row r="4119" spans="1:14" x14ac:dyDescent="0.25">
      <c r="A4119">
        <v>59780871</v>
      </c>
      <c r="B4119" t="s">
        <v>2071</v>
      </c>
      <c r="C4119" t="s">
        <v>9322</v>
      </c>
      <c r="D4119" t="s">
        <v>9323</v>
      </c>
      <c r="E4119">
        <v>7205192755</v>
      </c>
      <c r="F4119" t="s">
        <v>790</v>
      </c>
      <c r="G4119" t="s">
        <v>791</v>
      </c>
      <c r="I4119" t="s">
        <v>119</v>
      </c>
      <c r="J4119" s="13">
        <v>46043</v>
      </c>
      <c r="K4119" s="13">
        <v>46054</v>
      </c>
      <c r="L4119" t="s">
        <v>539</v>
      </c>
      <c r="M4119" t="s">
        <v>59</v>
      </c>
      <c r="N4119">
        <v>73435458</v>
      </c>
    </row>
    <row r="4120" spans="1:14" x14ac:dyDescent="0.25">
      <c r="A4120">
        <v>59780916</v>
      </c>
      <c r="B4120" t="s">
        <v>445</v>
      </c>
      <c r="C4120" t="s">
        <v>9324</v>
      </c>
      <c r="D4120" t="s">
        <v>9325</v>
      </c>
      <c r="E4120">
        <v>3186649472</v>
      </c>
      <c r="F4120" t="s">
        <v>649</v>
      </c>
      <c r="G4120" t="s">
        <v>650</v>
      </c>
      <c r="I4120" t="s">
        <v>28</v>
      </c>
      <c r="J4120" s="13">
        <v>46043</v>
      </c>
      <c r="K4120" s="13">
        <v>46054</v>
      </c>
      <c r="L4120" t="s">
        <v>612</v>
      </c>
      <c r="M4120" t="s">
        <v>56</v>
      </c>
      <c r="N4120">
        <v>73435525</v>
      </c>
    </row>
    <row r="4121" spans="1:14" x14ac:dyDescent="0.25">
      <c r="A4121">
        <v>59782345</v>
      </c>
      <c r="B4121" t="s">
        <v>6544</v>
      </c>
      <c r="C4121" t="s">
        <v>9326</v>
      </c>
      <c r="D4121" t="s">
        <v>9327</v>
      </c>
      <c r="E4121">
        <v>9174843737</v>
      </c>
      <c r="F4121" t="s">
        <v>1067</v>
      </c>
      <c r="G4121" t="s">
        <v>1068</v>
      </c>
      <c r="I4121" t="s">
        <v>35</v>
      </c>
      <c r="J4121" s="13">
        <v>46043</v>
      </c>
      <c r="K4121" s="13">
        <v>46054</v>
      </c>
      <c r="L4121" t="s">
        <v>497</v>
      </c>
      <c r="M4121" t="s">
        <v>56</v>
      </c>
      <c r="N4121">
        <v>73439515</v>
      </c>
    </row>
    <row r="4122" spans="1:14" x14ac:dyDescent="0.25">
      <c r="A4122">
        <v>59787203</v>
      </c>
      <c r="B4122" t="s">
        <v>2920</v>
      </c>
      <c r="C4122" t="s">
        <v>9328</v>
      </c>
      <c r="D4122" t="s">
        <v>9329</v>
      </c>
      <c r="E4122">
        <v>5613017356</v>
      </c>
      <c r="F4122" t="s">
        <v>798</v>
      </c>
      <c r="G4122" t="s">
        <v>799</v>
      </c>
      <c r="I4122" t="s">
        <v>800</v>
      </c>
      <c r="J4122" s="13">
        <v>46043</v>
      </c>
      <c r="K4122" s="13">
        <v>46054</v>
      </c>
      <c r="L4122" t="s">
        <v>497</v>
      </c>
      <c r="M4122" t="s">
        <v>56</v>
      </c>
      <c r="N4122">
        <v>73444737</v>
      </c>
    </row>
    <row r="4123" spans="1:14" x14ac:dyDescent="0.25">
      <c r="A4123">
        <v>59787685</v>
      </c>
      <c r="B4123" t="s">
        <v>712</v>
      </c>
      <c r="C4123" t="s">
        <v>1389</v>
      </c>
      <c r="D4123" t="s">
        <v>9330</v>
      </c>
      <c r="E4123">
        <v>3616750485</v>
      </c>
      <c r="F4123" t="s">
        <v>574</v>
      </c>
      <c r="G4123" t="s">
        <v>575</v>
      </c>
      <c r="I4123" t="s">
        <v>14</v>
      </c>
      <c r="J4123" s="13">
        <v>46043</v>
      </c>
      <c r="K4123" s="13">
        <v>46054</v>
      </c>
      <c r="L4123" t="s">
        <v>533</v>
      </c>
      <c r="M4123" t="s">
        <v>60</v>
      </c>
      <c r="N4123">
        <v>73445133</v>
      </c>
    </row>
    <row r="4124" spans="1:14" x14ac:dyDescent="0.25">
      <c r="A4124">
        <v>59787819</v>
      </c>
      <c r="B4124" t="s">
        <v>867</v>
      </c>
      <c r="C4124" t="s">
        <v>9331</v>
      </c>
      <c r="D4124" t="s">
        <v>9332</v>
      </c>
      <c r="E4124">
        <v>2704032943</v>
      </c>
      <c r="F4124" t="s">
        <v>828</v>
      </c>
      <c r="G4124" t="s">
        <v>1148</v>
      </c>
      <c r="I4124" t="s">
        <v>17</v>
      </c>
      <c r="J4124" s="13">
        <v>46043</v>
      </c>
      <c r="K4124" s="13">
        <v>46054</v>
      </c>
      <c r="L4124" t="s">
        <v>490</v>
      </c>
      <c r="M4124" t="s">
        <v>56</v>
      </c>
      <c r="N4124">
        <v>73445233</v>
      </c>
    </row>
    <row r="4125" spans="1:14" x14ac:dyDescent="0.25">
      <c r="A4125">
        <v>59788086</v>
      </c>
      <c r="B4125" t="s">
        <v>791</v>
      </c>
      <c r="C4125" t="s">
        <v>9333</v>
      </c>
      <c r="D4125" t="s">
        <v>9334</v>
      </c>
      <c r="E4125">
        <v>9047133219</v>
      </c>
      <c r="F4125" t="s">
        <v>798</v>
      </c>
      <c r="G4125" t="s">
        <v>799</v>
      </c>
      <c r="I4125" t="s">
        <v>800</v>
      </c>
      <c r="J4125" s="13">
        <v>46043</v>
      </c>
      <c r="K4125" s="13">
        <v>46054</v>
      </c>
      <c r="L4125" t="s">
        <v>497</v>
      </c>
      <c r="M4125" t="s">
        <v>58</v>
      </c>
      <c r="N4125">
        <v>73445426</v>
      </c>
    </row>
    <row r="4126" spans="1:14" x14ac:dyDescent="0.25">
      <c r="A4126">
        <v>59788516</v>
      </c>
      <c r="B4126" t="s">
        <v>3758</v>
      </c>
      <c r="C4126" t="s">
        <v>787</v>
      </c>
      <c r="D4126" t="s">
        <v>9335</v>
      </c>
      <c r="E4126">
        <v>2562676947</v>
      </c>
      <c r="F4126" t="s">
        <v>474</v>
      </c>
      <c r="G4126" t="s">
        <v>475</v>
      </c>
      <c r="I4126" t="s">
        <v>132</v>
      </c>
      <c r="J4126" s="13">
        <v>46043</v>
      </c>
      <c r="K4126" s="13">
        <v>46054</v>
      </c>
      <c r="L4126" t="s">
        <v>450</v>
      </c>
      <c r="M4126" t="s">
        <v>59</v>
      </c>
      <c r="N4126">
        <v>73445784</v>
      </c>
    </row>
    <row r="4127" spans="1:14" x14ac:dyDescent="0.25">
      <c r="A4127">
        <v>59788957</v>
      </c>
      <c r="B4127" t="s">
        <v>9336</v>
      </c>
      <c r="C4127" t="s">
        <v>725</v>
      </c>
      <c r="D4127" t="s">
        <v>9337</v>
      </c>
      <c r="E4127">
        <v>9037381260</v>
      </c>
      <c r="F4127" t="s">
        <v>448</v>
      </c>
      <c r="G4127" t="s">
        <v>449</v>
      </c>
      <c r="I4127" t="s">
        <v>31</v>
      </c>
      <c r="J4127" s="13">
        <v>46043</v>
      </c>
      <c r="K4127" s="13">
        <v>46054</v>
      </c>
      <c r="L4127" t="s">
        <v>444</v>
      </c>
      <c r="M4127" t="s">
        <v>56</v>
      </c>
      <c r="N4127">
        <v>73446969</v>
      </c>
    </row>
    <row r="4128" spans="1:14" x14ac:dyDescent="0.25">
      <c r="A4128">
        <v>59789155</v>
      </c>
      <c r="B4128" t="s">
        <v>9338</v>
      </c>
      <c r="C4128" t="s">
        <v>9339</v>
      </c>
      <c r="D4128" t="s">
        <v>9340</v>
      </c>
      <c r="E4128">
        <v>6027833653</v>
      </c>
      <c r="F4128" t="s">
        <v>416</v>
      </c>
      <c r="G4128" t="s">
        <v>417</v>
      </c>
      <c r="I4128" t="s">
        <v>26</v>
      </c>
      <c r="J4128" s="13">
        <v>46043</v>
      </c>
      <c r="K4128" s="13">
        <v>46054</v>
      </c>
      <c r="L4128" t="s">
        <v>1179</v>
      </c>
      <c r="M4128" t="s">
        <v>56</v>
      </c>
      <c r="N4128">
        <v>73447186</v>
      </c>
    </row>
    <row r="4129" spans="1:14" x14ac:dyDescent="0.25">
      <c r="A4129">
        <v>59789161</v>
      </c>
      <c r="B4129" t="s">
        <v>1083</v>
      </c>
      <c r="C4129" t="s">
        <v>9052</v>
      </c>
      <c r="D4129" t="s">
        <v>9341</v>
      </c>
      <c r="E4129">
        <v>5204888425</v>
      </c>
      <c r="F4129" t="s">
        <v>775</v>
      </c>
      <c r="G4129" t="s">
        <v>776</v>
      </c>
      <c r="I4129" t="s">
        <v>22</v>
      </c>
      <c r="J4129" s="13">
        <v>46043</v>
      </c>
      <c r="K4129" s="13">
        <v>46054</v>
      </c>
      <c r="L4129" t="s">
        <v>1179</v>
      </c>
      <c r="M4129" t="s">
        <v>55</v>
      </c>
      <c r="N4129">
        <v>73447404</v>
      </c>
    </row>
    <row r="4130" spans="1:14" x14ac:dyDescent="0.25">
      <c r="A4130">
        <v>59789209</v>
      </c>
      <c r="B4130" t="s">
        <v>9342</v>
      </c>
      <c r="C4130" t="s">
        <v>2513</v>
      </c>
      <c r="D4130" t="s">
        <v>9343</v>
      </c>
      <c r="E4130">
        <v>8705041819</v>
      </c>
      <c r="F4130" t="s">
        <v>790</v>
      </c>
      <c r="G4130" t="s">
        <v>791</v>
      </c>
      <c r="I4130" t="s">
        <v>119</v>
      </c>
      <c r="J4130" s="13">
        <v>46043</v>
      </c>
      <c r="K4130" s="13">
        <v>46054</v>
      </c>
      <c r="L4130" t="s">
        <v>553</v>
      </c>
      <c r="M4130" t="s">
        <v>56</v>
      </c>
      <c r="N4130">
        <v>73447581</v>
      </c>
    </row>
    <row r="4131" spans="1:14" x14ac:dyDescent="0.25">
      <c r="A4131">
        <v>59789923</v>
      </c>
      <c r="B4131" t="s">
        <v>1408</v>
      </c>
      <c r="C4131" t="s">
        <v>9344</v>
      </c>
      <c r="D4131" t="s">
        <v>9345</v>
      </c>
      <c r="E4131">
        <v>5202445910</v>
      </c>
      <c r="F4131" t="s">
        <v>705</v>
      </c>
      <c r="G4131" t="s">
        <v>706</v>
      </c>
      <c r="I4131" t="s">
        <v>12</v>
      </c>
      <c r="J4131" s="13">
        <v>46043</v>
      </c>
      <c r="K4131" s="13">
        <v>46054</v>
      </c>
      <c r="L4131" t="s">
        <v>1179</v>
      </c>
      <c r="M4131" t="s">
        <v>55</v>
      </c>
      <c r="N4131">
        <v>73449028</v>
      </c>
    </row>
    <row r="4132" spans="1:14" x14ac:dyDescent="0.25">
      <c r="A4132">
        <v>59790084</v>
      </c>
      <c r="B4132" t="s">
        <v>867</v>
      </c>
      <c r="C4132" t="s">
        <v>7934</v>
      </c>
      <c r="D4132" t="s">
        <v>9346</v>
      </c>
      <c r="E4132">
        <v>9103862753</v>
      </c>
      <c r="F4132" t="s">
        <v>828</v>
      </c>
      <c r="G4132" t="s">
        <v>1148</v>
      </c>
      <c r="I4132" t="s">
        <v>17</v>
      </c>
      <c r="J4132" s="13">
        <v>46043</v>
      </c>
      <c r="K4132" s="13">
        <v>46054</v>
      </c>
      <c r="L4132" t="s">
        <v>1188</v>
      </c>
      <c r="M4132" t="s">
        <v>56</v>
      </c>
      <c r="N4132">
        <v>73449089</v>
      </c>
    </row>
    <row r="4133" spans="1:14" x14ac:dyDescent="0.25">
      <c r="A4133">
        <v>59790603</v>
      </c>
      <c r="B4133" t="s">
        <v>548</v>
      </c>
      <c r="C4133" t="s">
        <v>4803</v>
      </c>
      <c r="D4133" t="s">
        <v>9347</v>
      </c>
      <c r="E4133">
        <v>8033312871</v>
      </c>
      <c r="F4133" t="s">
        <v>551</v>
      </c>
      <c r="G4133" t="s">
        <v>552</v>
      </c>
      <c r="I4133" t="s">
        <v>42</v>
      </c>
      <c r="J4133" s="13">
        <v>46043</v>
      </c>
      <c r="K4133" s="13">
        <v>46054</v>
      </c>
      <c r="L4133" t="s">
        <v>533</v>
      </c>
      <c r="M4133" t="s">
        <v>56</v>
      </c>
      <c r="N4133">
        <v>73449398</v>
      </c>
    </row>
    <row r="4134" spans="1:14" x14ac:dyDescent="0.25">
      <c r="A4134">
        <v>59790855</v>
      </c>
      <c r="B4134" t="s">
        <v>1148</v>
      </c>
      <c r="C4134" t="s">
        <v>7747</v>
      </c>
      <c r="D4134" t="s">
        <v>9348</v>
      </c>
      <c r="E4134">
        <v>7542444679</v>
      </c>
      <c r="F4134" t="s">
        <v>1067</v>
      </c>
      <c r="G4134" t="s">
        <v>1068</v>
      </c>
      <c r="I4134" t="s">
        <v>35</v>
      </c>
      <c r="J4134" s="13">
        <v>46043</v>
      </c>
      <c r="K4134" s="13">
        <v>46054</v>
      </c>
      <c r="L4134" t="s">
        <v>497</v>
      </c>
      <c r="M4134" t="s">
        <v>56</v>
      </c>
      <c r="N4134">
        <v>73449606</v>
      </c>
    </row>
    <row r="4135" spans="1:14" x14ac:dyDescent="0.25">
      <c r="A4135">
        <v>59792475</v>
      </c>
      <c r="B4135" t="s">
        <v>1123</v>
      </c>
      <c r="C4135" t="s">
        <v>9349</v>
      </c>
      <c r="D4135" t="s">
        <v>9350</v>
      </c>
      <c r="F4135" t="s">
        <v>423</v>
      </c>
      <c r="G4135" t="s">
        <v>424</v>
      </c>
      <c r="I4135" t="s">
        <v>46</v>
      </c>
      <c r="J4135" s="13">
        <v>46043</v>
      </c>
      <c r="K4135" s="13">
        <v>46054</v>
      </c>
      <c r="L4135" t="s">
        <v>418</v>
      </c>
      <c r="M4135" t="s">
        <v>59</v>
      </c>
      <c r="N4135">
        <v>73450699</v>
      </c>
    </row>
    <row r="4136" spans="1:14" x14ac:dyDescent="0.25">
      <c r="A4136">
        <v>59792327</v>
      </c>
      <c r="B4136" t="s">
        <v>445</v>
      </c>
      <c r="C4136" t="s">
        <v>1984</v>
      </c>
      <c r="D4136" t="s">
        <v>9351</v>
      </c>
      <c r="E4136">
        <v>3522781981</v>
      </c>
      <c r="F4136" t="s">
        <v>815</v>
      </c>
      <c r="G4136" t="s">
        <v>816</v>
      </c>
      <c r="I4136" t="s">
        <v>23</v>
      </c>
      <c r="J4136" s="13">
        <v>46043</v>
      </c>
      <c r="K4136" s="13">
        <v>46054</v>
      </c>
      <c r="L4136" t="s">
        <v>497</v>
      </c>
      <c r="M4136" t="s">
        <v>56</v>
      </c>
      <c r="N4136">
        <v>73450796</v>
      </c>
    </row>
    <row r="4137" spans="1:14" x14ac:dyDescent="0.25">
      <c r="A4137">
        <v>59792871</v>
      </c>
      <c r="B4137" t="s">
        <v>416</v>
      </c>
      <c r="C4137" t="s">
        <v>1487</v>
      </c>
      <c r="D4137" t="s">
        <v>9352</v>
      </c>
      <c r="E4137">
        <v>9182321955</v>
      </c>
      <c r="F4137" t="s">
        <v>770</v>
      </c>
      <c r="G4137" t="s">
        <v>771</v>
      </c>
      <c r="I4137" t="s">
        <v>25</v>
      </c>
      <c r="J4137" s="13">
        <v>46043</v>
      </c>
      <c r="K4137" s="13">
        <v>46054</v>
      </c>
      <c r="L4137" t="s">
        <v>497</v>
      </c>
      <c r="M4137" t="s">
        <v>54</v>
      </c>
      <c r="N4137">
        <v>73451207</v>
      </c>
    </row>
    <row r="4138" spans="1:14" x14ac:dyDescent="0.25">
      <c r="A4138">
        <v>59793095</v>
      </c>
      <c r="B4138" t="s">
        <v>1148</v>
      </c>
      <c r="C4138" t="s">
        <v>1971</v>
      </c>
      <c r="D4138" t="s">
        <v>9353</v>
      </c>
      <c r="E4138">
        <v>6592409283</v>
      </c>
      <c r="F4138" t="s">
        <v>474</v>
      </c>
      <c r="G4138" t="s">
        <v>475</v>
      </c>
      <c r="I4138" t="s">
        <v>132</v>
      </c>
      <c r="J4138" s="13">
        <v>46043</v>
      </c>
      <c r="K4138" s="13">
        <v>46082</v>
      </c>
      <c r="L4138" t="s">
        <v>450</v>
      </c>
      <c r="M4138" t="s">
        <v>56</v>
      </c>
      <c r="N4138">
        <v>73451366</v>
      </c>
    </row>
    <row r="4139" spans="1:14" x14ac:dyDescent="0.25">
      <c r="A4139">
        <v>59794230</v>
      </c>
      <c r="B4139" t="s">
        <v>9354</v>
      </c>
      <c r="C4139" t="s">
        <v>867</v>
      </c>
      <c r="D4139" t="s">
        <v>9355</v>
      </c>
      <c r="E4139">
        <v>9016773548</v>
      </c>
      <c r="F4139" t="s">
        <v>790</v>
      </c>
      <c r="G4139" t="s">
        <v>791</v>
      </c>
      <c r="I4139" t="s">
        <v>119</v>
      </c>
      <c r="J4139" s="13">
        <v>46043</v>
      </c>
      <c r="K4139" s="13">
        <v>46054</v>
      </c>
      <c r="L4139" t="s">
        <v>479</v>
      </c>
      <c r="M4139" t="s">
        <v>62</v>
      </c>
      <c r="N4139">
        <v>73452131</v>
      </c>
    </row>
    <row r="4140" spans="1:14" x14ac:dyDescent="0.25">
      <c r="A4140">
        <v>59794434</v>
      </c>
      <c r="B4140" t="s">
        <v>1029</v>
      </c>
      <c r="C4140" t="s">
        <v>643</v>
      </c>
      <c r="D4140" t="s">
        <v>9356</v>
      </c>
      <c r="E4140">
        <v>3345073377</v>
      </c>
      <c r="F4140" t="s">
        <v>705</v>
      </c>
      <c r="G4140" t="s">
        <v>706</v>
      </c>
      <c r="I4140" t="s">
        <v>12</v>
      </c>
      <c r="J4140" s="13">
        <v>46043</v>
      </c>
      <c r="K4140" s="13">
        <v>46054</v>
      </c>
      <c r="L4140" t="s">
        <v>450</v>
      </c>
      <c r="M4140" t="s">
        <v>58</v>
      </c>
      <c r="N4140">
        <v>73452311</v>
      </c>
    </row>
    <row r="4141" spans="1:14" x14ac:dyDescent="0.25">
      <c r="A4141">
        <v>59796392</v>
      </c>
      <c r="B4141" t="s">
        <v>1408</v>
      </c>
      <c r="C4141" t="s">
        <v>9357</v>
      </c>
      <c r="D4141" t="s">
        <v>9358</v>
      </c>
      <c r="E4141">
        <v>9728155862</v>
      </c>
      <c r="F4141" t="s">
        <v>628</v>
      </c>
      <c r="G4141" t="s">
        <v>629</v>
      </c>
      <c r="I4141" t="s">
        <v>24</v>
      </c>
      <c r="J4141" s="13">
        <v>46043</v>
      </c>
      <c r="K4141" s="13">
        <v>46054</v>
      </c>
      <c r="L4141" t="s">
        <v>444</v>
      </c>
      <c r="M4141" t="s">
        <v>58</v>
      </c>
      <c r="N4141">
        <v>73454873</v>
      </c>
    </row>
    <row r="4142" spans="1:14" x14ac:dyDescent="0.25">
      <c r="A4142">
        <v>61869259</v>
      </c>
      <c r="B4142" t="s">
        <v>4887</v>
      </c>
      <c r="C4142" t="s">
        <v>1702</v>
      </c>
      <c r="D4142" t="s">
        <v>9359</v>
      </c>
      <c r="E4142">
        <v>6027702579</v>
      </c>
      <c r="F4142" t="s">
        <v>807</v>
      </c>
      <c r="G4142" t="s">
        <v>808</v>
      </c>
      <c r="I4142" t="s">
        <v>33</v>
      </c>
      <c r="J4142" s="13">
        <v>46099</v>
      </c>
      <c r="K4142" s="13">
        <v>46113</v>
      </c>
      <c r="L4142" t="s">
        <v>1179</v>
      </c>
      <c r="M4142" t="s">
        <v>55</v>
      </c>
      <c r="N4142">
        <v>73457039</v>
      </c>
    </row>
    <row r="4143" spans="1:14" x14ac:dyDescent="0.25">
      <c r="A4143">
        <v>59808904</v>
      </c>
      <c r="B4143" t="s">
        <v>5744</v>
      </c>
      <c r="C4143" t="s">
        <v>9205</v>
      </c>
      <c r="D4143" t="s">
        <v>9360</v>
      </c>
      <c r="E4143">
        <v>2243046146</v>
      </c>
      <c r="F4143" t="s">
        <v>423</v>
      </c>
      <c r="G4143" t="s">
        <v>424</v>
      </c>
      <c r="I4143" t="s">
        <v>46</v>
      </c>
      <c r="J4143" s="13">
        <v>46044</v>
      </c>
      <c r="K4143" s="13">
        <v>46054</v>
      </c>
      <c r="L4143" t="s">
        <v>470</v>
      </c>
      <c r="M4143" t="s">
        <v>59</v>
      </c>
      <c r="N4143">
        <v>73465977</v>
      </c>
    </row>
    <row r="4144" spans="1:14" x14ac:dyDescent="0.25">
      <c r="A4144">
        <v>59809890</v>
      </c>
      <c r="B4144" t="s">
        <v>702</v>
      </c>
      <c r="C4144" t="s">
        <v>9361</v>
      </c>
      <c r="D4144" t="s">
        <v>9362</v>
      </c>
      <c r="E4144">
        <v>7757722973</v>
      </c>
      <c r="F4144" t="s">
        <v>705</v>
      </c>
      <c r="G4144" t="s">
        <v>706</v>
      </c>
      <c r="I4144" t="s">
        <v>12</v>
      </c>
      <c r="J4144" s="13">
        <v>46044</v>
      </c>
      <c r="K4144" s="13">
        <v>46054</v>
      </c>
      <c r="L4144" t="s">
        <v>483</v>
      </c>
      <c r="M4144" t="s">
        <v>56</v>
      </c>
      <c r="N4144">
        <v>73466804</v>
      </c>
    </row>
    <row r="4145" spans="1:14" x14ac:dyDescent="0.25">
      <c r="A4145">
        <v>59810205</v>
      </c>
      <c r="B4145" t="s">
        <v>5530</v>
      </c>
      <c r="C4145" t="s">
        <v>889</v>
      </c>
      <c r="D4145" t="s">
        <v>9363</v>
      </c>
      <c r="E4145">
        <v>9039179277</v>
      </c>
      <c r="F4145" t="s">
        <v>1013</v>
      </c>
      <c r="G4145" t="s">
        <v>1014</v>
      </c>
      <c r="I4145" t="s">
        <v>43</v>
      </c>
      <c r="J4145" s="13">
        <v>46044</v>
      </c>
      <c r="K4145" s="13">
        <v>46054</v>
      </c>
      <c r="L4145" t="s">
        <v>444</v>
      </c>
      <c r="M4145" t="s">
        <v>58</v>
      </c>
      <c r="N4145">
        <v>73466992</v>
      </c>
    </row>
    <row r="4146" spans="1:14" x14ac:dyDescent="0.25">
      <c r="A4146">
        <v>59810781</v>
      </c>
      <c r="B4146" t="s">
        <v>7615</v>
      </c>
      <c r="C4146" t="s">
        <v>2544</v>
      </c>
      <c r="D4146" t="s">
        <v>9364</v>
      </c>
      <c r="E4146">
        <v>9417022987</v>
      </c>
      <c r="F4146" t="s">
        <v>798</v>
      </c>
      <c r="G4146" t="s">
        <v>799</v>
      </c>
      <c r="I4146" t="s">
        <v>800</v>
      </c>
      <c r="J4146" s="13">
        <v>46044</v>
      </c>
      <c r="K4146" s="13">
        <v>46054</v>
      </c>
      <c r="L4146" t="s">
        <v>497</v>
      </c>
      <c r="M4146" t="s">
        <v>58</v>
      </c>
      <c r="N4146">
        <v>73467361</v>
      </c>
    </row>
    <row r="4147" spans="1:14" x14ac:dyDescent="0.25">
      <c r="A4147">
        <v>59810951</v>
      </c>
      <c r="B4147" t="s">
        <v>5091</v>
      </c>
      <c r="C4147" t="s">
        <v>2143</v>
      </c>
      <c r="D4147" t="s">
        <v>9365</v>
      </c>
      <c r="E4147">
        <v>7083631016</v>
      </c>
      <c r="F4147" t="s">
        <v>649</v>
      </c>
      <c r="G4147" t="s">
        <v>650</v>
      </c>
      <c r="I4147" t="s">
        <v>28</v>
      </c>
      <c r="J4147" s="13">
        <v>46044</v>
      </c>
      <c r="K4147" s="13">
        <v>46054</v>
      </c>
      <c r="L4147" t="s">
        <v>470</v>
      </c>
      <c r="M4147" t="s">
        <v>59</v>
      </c>
      <c r="N4147">
        <v>73467489</v>
      </c>
    </row>
    <row r="4148" spans="1:14" x14ac:dyDescent="0.25">
      <c r="A4148">
        <v>59812381</v>
      </c>
      <c r="B4148" t="s">
        <v>1747</v>
      </c>
      <c r="C4148" t="s">
        <v>933</v>
      </c>
      <c r="D4148" t="s">
        <v>9366</v>
      </c>
      <c r="E4148">
        <v>4805803898</v>
      </c>
      <c r="F4148" t="s">
        <v>416</v>
      </c>
      <c r="G4148" t="s">
        <v>417</v>
      </c>
      <c r="I4148" t="s">
        <v>26</v>
      </c>
      <c r="J4148" s="13">
        <v>46044</v>
      </c>
      <c r="K4148" s="13">
        <v>46054</v>
      </c>
      <c r="L4148" t="s">
        <v>1179</v>
      </c>
      <c r="M4148" t="s">
        <v>56</v>
      </c>
      <c r="N4148">
        <v>73467644</v>
      </c>
    </row>
    <row r="4149" spans="1:14" x14ac:dyDescent="0.25">
      <c r="A4149">
        <v>59813399</v>
      </c>
      <c r="B4149" t="s">
        <v>517</v>
      </c>
      <c r="C4149" t="s">
        <v>2901</v>
      </c>
      <c r="D4149" t="s">
        <v>9367</v>
      </c>
      <c r="E4149">
        <v>8594628344</v>
      </c>
      <c r="F4149" t="s">
        <v>574</v>
      </c>
      <c r="G4149" t="s">
        <v>575</v>
      </c>
      <c r="I4149" t="s">
        <v>14</v>
      </c>
      <c r="J4149" s="13">
        <v>46044</v>
      </c>
      <c r="K4149" s="13">
        <v>46054</v>
      </c>
      <c r="L4149" t="s">
        <v>490</v>
      </c>
      <c r="M4149" t="s">
        <v>58</v>
      </c>
      <c r="N4149">
        <v>73469262</v>
      </c>
    </row>
    <row r="4150" spans="1:14" x14ac:dyDescent="0.25">
      <c r="A4150">
        <v>59814352</v>
      </c>
      <c r="B4150" t="s">
        <v>5075</v>
      </c>
      <c r="C4150" t="s">
        <v>9368</v>
      </c>
      <c r="D4150" t="s">
        <v>9369</v>
      </c>
      <c r="E4150">
        <v>6233205082</v>
      </c>
      <c r="F4150" t="s">
        <v>1345</v>
      </c>
      <c r="G4150" t="s">
        <v>799</v>
      </c>
      <c r="I4150" t="s">
        <v>47</v>
      </c>
      <c r="J4150" s="13">
        <v>46044</v>
      </c>
      <c r="K4150" s="13">
        <v>46054</v>
      </c>
      <c r="L4150" t="s">
        <v>1179</v>
      </c>
      <c r="M4150" t="s">
        <v>54</v>
      </c>
      <c r="N4150">
        <v>73469877</v>
      </c>
    </row>
    <row r="4151" spans="1:14" x14ac:dyDescent="0.25">
      <c r="A4151">
        <v>59816614</v>
      </c>
      <c r="B4151" t="s">
        <v>9370</v>
      </c>
      <c r="C4151" t="s">
        <v>9371</v>
      </c>
      <c r="D4151" t="s">
        <v>9372</v>
      </c>
      <c r="E4151">
        <v>9543913523</v>
      </c>
      <c r="F4151" t="s">
        <v>423</v>
      </c>
      <c r="G4151" t="s">
        <v>424</v>
      </c>
      <c r="I4151" t="s">
        <v>46</v>
      </c>
      <c r="J4151" s="13">
        <v>46044</v>
      </c>
      <c r="K4151" s="13">
        <v>46054</v>
      </c>
      <c r="L4151" t="s">
        <v>497</v>
      </c>
      <c r="M4151" t="s">
        <v>56</v>
      </c>
      <c r="N4151">
        <v>73471583</v>
      </c>
    </row>
    <row r="4152" spans="1:14" x14ac:dyDescent="0.25">
      <c r="A4152">
        <v>59817060</v>
      </c>
      <c r="B4152" t="s">
        <v>748</v>
      </c>
      <c r="C4152" t="s">
        <v>9373</v>
      </c>
      <c r="D4152" t="s">
        <v>9374</v>
      </c>
      <c r="E4152">
        <v>4802385590</v>
      </c>
      <c r="F4152" t="s">
        <v>775</v>
      </c>
      <c r="G4152" t="s">
        <v>776</v>
      </c>
      <c r="I4152" t="s">
        <v>22</v>
      </c>
      <c r="J4152" s="13">
        <v>46044</v>
      </c>
      <c r="K4152" s="13">
        <v>46054</v>
      </c>
      <c r="L4152" t="s">
        <v>1179</v>
      </c>
      <c r="M4152" t="s">
        <v>56</v>
      </c>
      <c r="N4152">
        <v>73471941</v>
      </c>
    </row>
    <row r="4153" spans="1:14" x14ac:dyDescent="0.25">
      <c r="A4153">
        <v>59817511</v>
      </c>
      <c r="B4153" t="s">
        <v>4374</v>
      </c>
      <c r="C4153" t="s">
        <v>1220</v>
      </c>
      <c r="D4153" t="s">
        <v>9375</v>
      </c>
      <c r="E4153">
        <v>3048872689</v>
      </c>
      <c r="F4153" t="s">
        <v>1067</v>
      </c>
      <c r="G4153" t="s">
        <v>1068</v>
      </c>
      <c r="I4153" t="s">
        <v>35</v>
      </c>
      <c r="J4153" s="13">
        <v>46044</v>
      </c>
      <c r="K4153" s="13">
        <v>46054</v>
      </c>
      <c r="L4153" t="s">
        <v>1188</v>
      </c>
      <c r="M4153" t="s">
        <v>58</v>
      </c>
      <c r="N4153">
        <v>73472313</v>
      </c>
    </row>
    <row r="4154" spans="1:14" x14ac:dyDescent="0.25">
      <c r="A4154">
        <v>59817738</v>
      </c>
      <c r="B4154" t="s">
        <v>495</v>
      </c>
      <c r="C4154" t="s">
        <v>9376</v>
      </c>
      <c r="D4154" t="s">
        <v>9377</v>
      </c>
      <c r="E4154">
        <v>3016552350</v>
      </c>
      <c r="F4154" t="s">
        <v>569</v>
      </c>
      <c r="G4154" t="s">
        <v>570</v>
      </c>
      <c r="I4154" t="s">
        <v>34</v>
      </c>
      <c r="J4154" s="13">
        <v>46044</v>
      </c>
      <c r="K4154" s="13">
        <v>46054</v>
      </c>
      <c r="L4154" t="s">
        <v>539</v>
      </c>
      <c r="M4154" t="s">
        <v>56</v>
      </c>
      <c r="N4154">
        <v>73472457</v>
      </c>
    </row>
    <row r="4155" spans="1:14" x14ac:dyDescent="0.25">
      <c r="A4155">
        <v>59817825</v>
      </c>
      <c r="B4155" t="s">
        <v>9378</v>
      </c>
      <c r="C4155" t="s">
        <v>3480</v>
      </c>
      <c r="D4155" t="s">
        <v>9379</v>
      </c>
      <c r="E4155">
        <v>6028950592</v>
      </c>
      <c r="F4155" t="s">
        <v>780</v>
      </c>
      <c r="G4155" t="s">
        <v>781</v>
      </c>
      <c r="I4155" t="s">
        <v>20</v>
      </c>
      <c r="J4155" s="13">
        <v>46044</v>
      </c>
      <c r="K4155" s="13">
        <v>46054</v>
      </c>
      <c r="L4155" t="s">
        <v>1179</v>
      </c>
      <c r="M4155" t="s">
        <v>54</v>
      </c>
      <c r="N4155">
        <v>73472516</v>
      </c>
    </row>
    <row r="4156" spans="1:14" x14ac:dyDescent="0.25">
      <c r="A4156">
        <v>59817881</v>
      </c>
      <c r="B4156" t="s">
        <v>4535</v>
      </c>
      <c r="C4156" t="s">
        <v>4864</v>
      </c>
      <c r="D4156" t="s">
        <v>9380</v>
      </c>
      <c r="E4156">
        <v>2564090662</v>
      </c>
      <c r="F4156" t="s">
        <v>705</v>
      </c>
      <c r="G4156" t="s">
        <v>706</v>
      </c>
      <c r="I4156" t="s">
        <v>12</v>
      </c>
      <c r="J4156" s="13">
        <v>46044</v>
      </c>
      <c r="K4156" s="13">
        <v>46054</v>
      </c>
      <c r="L4156" t="s">
        <v>450</v>
      </c>
      <c r="M4156" t="s">
        <v>56</v>
      </c>
      <c r="N4156">
        <v>73472554</v>
      </c>
    </row>
    <row r="4157" spans="1:14" x14ac:dyDescent="0.25">
      <c r="A4157">
        <v>59818144</v>
      </c>
      <c r="B4157" t="s">
        <v>777</v>
      </c>
      <c r="C4157" t="s">
        <v>778</v>
      </c>
      <c r="D4157" t="s">
        <v>9381</v>
      </c>
      <c r="E4157">
        <v>2622195674</v>
      </c>
      <c r="F4157" t="s">
        <v>828</v>
      </c>
      <c r="G4157" t="s">
        <v>1148</v>
      </c>
      <c r="I4157" t="s">
        <v>17</v>
      </c>
      <c r="J4157" s="13">
        <v>46044</v>
      </c>
      <c r="K4157" s="13">
        <v>46054</v>
      </c>
      <c r="L4157" t="s">
        <v>675</v>
      </c>
      <c r="M4157" t="s">
        <v>58</v>
      </c>
      <c r="N4157">
        <v>73472752</v>
      </c>
    </row>
    <row r="4158" spans="1:14" x14ac:dyDescent="0.25">
      <c r="A4158">
        <v>59819706</v>
      </c>
      <c r="B4158" t="s">
        <v>6138</v>
      </c>
      <c r="C4158" t="s">
        <v>1917</v>
      </c>
      <c r="D4158" t="s">
        <v>9382</v>
      </c>
      <c r="E4158">
        <v>5017085646</v>
      </c>
      <c r="F4158" t="s">
        <v>574</v>
      </c>
      <c r="G4158" t="s">
        <v>575</v>
      </c>
      <c r="I4158" t="s">
        <v>14</v>
      </c>
      <c r="J4158" s="13">
        <v>46044</v>
      </c>
      <c r="K4158" s="13">
        <v>46054</v>
      </c>
      <c r="L4158" t="s">
        <v>553</v>
      </c>
      <c r="M4158" t="s">
        <v>56</v>
      </c>
      <c r="N4158">
        <v>73475303</v>
      </c>
    </row>
    <row r="4159" spans="1:14" x14ac:dyDescent="0.25">
      <c r="A4159">
        <v>59819966</v>
      </c>
      <c r="B4159" t="s">
        <v>1167</v>
      </c>
      <c r="C4159" t="s">
        <v>619</v>
      </c>
      <c r="D4159" t="s">
        <v>9383</v>
      </c>
      <c r="E4159">
        <v>3045129159</v>
      </c>
      <c r="F4159" t="s">
        <v>649</v>
      </c>
      <c r="G4159" t="s">
        <v>650</v>
      </c>
      <c r="I4159" t="s">
        <v>28</v>
      </c>
      <c r="J4159" s="13">
        <v>46044</v>
      </c>
      <c r="K4159" s="13">
        <v>46054</v>
      </c>
      <c r="L4159" t="s">
        <v>1188</v>
      </c>
      <c r="M4159" t="s">
        <v>56</v>
      </c>
      <c r="N4159">
        <v>73475826</v>
      </c>
    </row>
    <row r="4160" spans="1:14" x14ac:dyDescent="0.25">
      <c r="A4160">
        <v>59820947</v>
      </c>
      <c r="B4160" t="s">
        <v>9384</v>
      </c>
      <c r="C4160" t="s">
        <v>9385</v>
      </c>
      <c r="D4160" t="s">
        <v>9386</v>
      </c>
      <c r="E4160">
        <v>7192130725</v>
      </c>
      <c r="F4160" t="s">
        <v>798</v>
      </c>
      <c r="G4160" t="s">
        <v>799</v>
      </c>
      <c r="I4160" t="s">
        <v>800</v>
      </c>
      <c r="J4160" s="13">
        <v>46044</v>
      </c>
      <c r="K4160" s="13">
        <v>46054</v>
      </c>
      <c r="L4160" t="s">
        <v>539</v>
      </c>
      <c r="M4160" t="s">
        <v>59</v>
      </c>
      <c r="N4160">
        <v>73478397</v>
      </c>
    </row>
    <row r="4161" spans="1:14" x14ac:dyDescent="0.25">
      <c r="A4161">
        <v>59821089</v>
      </c>
      <c r="B4161" t="s">
        <v>9387</v>
      </c>
      <c r="C4161" t="s">
        <v>9388</v>
      </c>
      <c r="D4161" t="s">
        <v>9389</v>
      </c>
      <c r="E4161">
        <v>6319481398</v>
      </c>
      <c r="F4161" t="s">
        <v>416</v>
      </c>
      <c r="G4161" t="s">
        <v>417</v>
      </c>
      <c r="I4161" t="s">
        <v>26</v>
      </c>
      <c r="J4161" s="13">
        <v>46044</v>
      </c>
      <c r="K4161" s="13">
        <v>46054</v>
      </c>
      <c r="L4161" t="s">
        <v>497</v>
      </c>
      <c r="M4161" t="s">
        <v>54</v>
      </c>
      <c r="N4161">
        <v>73478728</v>
      </c>
    </row>
    <row r="4162" spans="1:14" x14ac:dyDescent="0.25">
      <c r="A4162">
        <v>59821819</v>
      </c>
      <c r="B4162" t="s">
        <v>1160</v>
      </c>
      <c r="C4162" t="s">
        <v>9390</v>
      </c>
      <c r="D4162" t="s">
        <v>9391</v>
      </c>
      <c r="E4162">
        <v>8135627670</v>
      </c>
      <c r="F4162" t="s">
        <v>775</v>
      </c>
      <c r="G4162" t="s">
        <v>776</v>
      </c>
      <c r="I4162" t="s">
        <v>22</v>
      </c>
      <c r="J4162" s="13">
        <v>46044</v>
      </c>
      <c r="K4162" s="13">
        <v>46054</v>
      </c>
      <c r="L4162" t="s">
        <v>497</v>
      </c>
      <c r="M4162" t="s">
        <v>54</v>
      </c>
      <c r="N4162">
        <v>73480028</v>
      </c>
    </row>
    <row r="4163" spans="1:14" x14ac:dyDescent="0.25">
      <c r="A4163">
        <v>59823487</v>
      </c>
      <c r="B4163" t="s">
        <v>9392</v>
      </c>
      <c r="C4163" t="s">
        <v>9393</v>
      </c>
      <c r="D4163" t="s">
        <v>9394</v>
      </c>
      <c r="E4163">
        <v>9548390602</v>
      </c>
      <c r="F4163" t="s">
        <v>569</v>
      </c>
      <c r="G4163" t="s">
        <v>570</v>
      </c>
      <c r="I4163" t="s">
        <v>34</v>
      </c>
      <c r="J4163" s="13">
        <v>46044</v>
      </c>
      <c r="K4163" s="13">
        <v>46054</v>
      </c>
      <c r="L4163" t="s">
        <v>497</v>
      </c>
      <c r="M4163" t="s">
        <v>56</v>
      </c>
      <c r="N4163">
        <v>73482356</v>
      </c>
    </row>
    <row r="4164" spans="1:14" x14ac:dyDescent="0.25">
      <c r="A4164">
        <v>59824243</v>
      </c>
      <c r="B4164" t="s">
        <v>730</v>
      </c>
      <c r="C4164" t="s">
        <v>9395</v>
      </c>
      <c r="D4164" t="s">
        <v>9396</v>
      </c>
      <c r="E4164">
        <v>8506256067</v>
      </c>
      <c r="F4164" t="s">
        <v>928</v>
      </c>
      <c r="G4164" t="s">
        <v>929</v>
      </c>
      <c r="I4164" t="s">
        <v>30</v>
      </c>
      <c r="J4164" s="13">
        <v>46044</v>
      </c>
      <c r="K4164" s="13">
        <v>46054</v>
      </c>
      <c r="L4164" t="s">
        <v>497</v>
      </c>
      <c r="M4164" t="s">
        <v>56</v>
      </c>
      <c r="N4164">
        <v>73483909</v>
      </c>
    </row>
    <row r="4165" spans="1:14" x14ac:dyDescent="0.25">
      <c r="A4165">
        <v>59825187</v>
      </c>
      <c r="B4165" t="s">
        <v>1856</v>
      </c>
      <c r="C4165" t="s">
        <v>601</v>
      </c>
      <c r="D4165" t="s">
        <v>9397</v>
      </c>
      <c r="E4165">
        <v>7202014071</v>
      </c>
      <c r="F4165" t="s">
        <v>628</v>
      </c>
      <c r="G4165" t="s">
        <v>629</v>
      </c>
      <c r="I4165" t="s">
        <v>24</v>
      </c>
      <c r="J4165" s="13">
        <v>46044</v>
      </c>
      <c r="K4165" s="13">
        <v>46054</v>
      </c>
      <c r="L4165" t="s">
        <v>539</v>
      </c>
      <c r="M4165" t="s">
        <v>59</v>
      </c>
      <c r="N4165">
        <v>73484241</v>
      </c>
    </row>
    <row r="4166" spans="1:14" x14ac:dyDescent="0.25">
      <c r="A4166">
        <v>59825241</v>
      </c>
      <c r="B4166" t="s">
        <v>5329</v>
      </c>
      <c r="C4166" t="s">
        <v>9398</v>
      </c>
      <c r="D4166" t="s">
        <v>9399</v>
      </c>
      <c r="E4166">
        <v>6232989060</v>
      </c>
      <c r="F4166" t="s">
        <v>1345</v>
      </c>
      <c r="G4166" t="s">
        <v>799</v>
      </c>
      <c r="I4166" t="s">
        <v>47</v>
      </c>
      <c r="J4166" s="13">
        <v>46044</v>
      </c>
      <c r="K4166" s="13">
        <v>46054</v>
      </c>
      <c r="L4166" t="s">
        <v>1179</v>
      </c>
      <c r="M4166" t="s">
        <v>56</v>
      </c>
      <c r="N4166">
        <v>73484272</v>
      </c>
    </row>
    <row r="4167" spans="1:14" x14ac:dyDescent="0.25">
      <c r="A4167">
        <v>59825535</v>
      </c>
      <c r="B4167" t="s">
        <v>1316</v>
      </c>
      <c r="C4167" t="s">
        <v>9400</v>
      </c>
      <c r="D4167" t="s">
        <v>9401</v>
      </c>
      <c r="E4167">
        <v>8596122858</v>
      </c>
      <c r="F4167" t="s">
        <v>448</v>
      </c>
      <c r="G4167" t="s">
        <v>449</v>
      </c>
      <c r="I4167" t="s">
        <v>31</v>
      </c>
      <c r="J4167" s="13">
        <v>46044</v>
      </c>
      <c r="K4167" s="13">
        <v>46054</v>
      </c>
      <c r="L4167" t="s">
        <v>490</v>
      </c>
      <c r="M4167" t="s">
        <v>58</v>
      </c>
      <c r="N4167">
        <v>73484404</v>
      </c>
    </row>
    <row r="4168" spans="1:14" x14ac:dyDescent="0.25">
      <c r="A4168">
        <v>59826478</v>
      </c>
      <c r="B4168" t="s">
        <v>1160</v>
      </c>
      <c r="C4168" t="s">
        <v>2795</v>
      </c>
      <c r="D4168" t="s">
        <v>9402</v>
      </c>
      <c r="E4168">
        <v>2563034920</v>
      </c>
      <c r="F4168" t="s">
        <v>423</v>
      </c>
      <c r="G4168" t="s">
        <v>424</v>
      </c>
      <c r="I4168" t="s">
        <v>46</v>
      </c>
      <c r="J4168" s="13">
        <v>46044</v>
      </c>
      <c r="K4168" s="13">
        <v>46054</v>
      </c>
      <c r="L4168" t="s">
        <v>450</v>
      </c>
      <c r="M4168" t="s">
        <v>55</v>
      </c>
      <c r="N4168">
        <v>73485110</v>
      </c>
    </row>
    <row r="4169" spans="1:14" x14ac:dyDescent="0.25">
      <c r="A4169">
        <v>59826550</v>
      </c>
      <c r="B4169" t="s">
        <v>1509</v>
      </c>
      <c r="C4169" t="s">
        <v>9403</v>
      </c>
      <c r="D4169" t="s">
        <v>9404</v>
      </c>
      <c r="E4169">
        <v>2705728938</v>
      </c>
      <c r="F4169" t="s">
        <v>474</v>
      </c>
      <c r="G4169" t="s">
        <v>475</v>
      </c>
      <c r="I4169" t="s">
        <v>132</v>
      </c>
      <c r="J4169" s="13">
        <v>46044</v>
      </c>
      <c r="K4169" s="13">
        <v>46054</v>
      </c>
      <c r="L4169" t="s">
        <v>490</v>
      </c>
      <c r="M4169" t="s">
        <v>59</v>
      </c>
      <c r="N4169">
        <v>73485210</v>
      </c>
    </row>
    <row r="4170" spans="1:14" x14ac:dyDescent="0.25">
      <c r="A4170">
        <v>59827000</v>
      </c>
      <c r="B4170" t="s">
        <v>1106</v>
      </c>
      <c r="C4170" t="s">
        <v>1287</v>
      </c>
      <c r="D4170" t="s">
        <v>9405</v>
      </c>
      <c r="E4170">
        <v>6233055181</v>
      </c>
      <c r="F4170" t="s">
        <v>807</v>
      </c>
      <c r="G4170" t="s">
        <v>808</v>
      </c>
      <c r="I4170" t="s">
        <v>33</v>
      </c>
      <c r="J4170" s="13">
        <v>46044</v>
      </c>
      <c r="K4170" s="13">
        <v>46054</v>
      </c>
      <c r="L4170" t="s">
        <v>1179</v>
      </c>
      <c r="M4170" t="s">
        <v>56</v>
      </c>
      <c r="N4170">
        <v>73485532</v>
      </c>
    </row>
    <row r="4171" spans="1:14" x14ac:dyDescent="0.25">
      <c r="A4171">
        <v>59827735</v>
      </c>
      <c r="B4171" t="s">
        <v>6708</v>
      </c>
      <c r="C4171" t="s">
        <v>4396</v>
      </c>
      <c r="D4171" t="s">
        <v>9406</v>
      </c>
      <c r="E4171">
        <v>2257767922</v>
      </c>
      <c r="F4171" t="s">
        <v>790</v>
      </c>
      <c r="G4171" t="s">
        <v>791</v>
      </c>
      <c r="I4171" t="s">
        <v>119</v>
      </c>
      <c r="J4171" s="13">
        <v>46044</v>
      </c>
      <c r="K4171" s="13">
        <v>46054</v>
      </c>
      <c r="L4171" t="s">
        <v>612</v>
      </c>
      <c r="M4171" t="s">
        <v>56</v>
      </c>
      <c r="N4171">
        <v>73486037</v>
      </c>
    </row>
    <row r="4172" spans="1:14" x14ac:dyDescent="0.25">
      <c r="A4172">
        <v>60472613</v>
      </c>
      <c r="B4172" t="s">
        <v>2041</v>
      </c>
      <c r="C4172" t="s">
        <v>9407</v>
      </c>
      <c r="D4172" t="s">
        <v>9408</v>
      </c>
      <c r="E4172">
        <v>2702931328</v>
      </c>
      <c r="F4172" t="s">
        <v>551</v>
      </c>
      <c r="G4172" t="s">
        <v>552</v>
      </c>
      <c r="I4172" t="s">
        <v>42</v>
      </c>
      <c r="J4172" s="13">
        <v>46064</v>
      </c>
      <c r="K4172" s="13">
        <v>46082</v>
      </c>
      <c r="L4172" t="s">
        <v>490</v>
      </c>
      <c r="M4172" t="s">
        <v>56</v>
      </c>
      <c r="N4172">
        <v>73486492</v>
      </c>
    </row>
    <row r="4173" spans="1:14" x14ac:dyDescent="0.25">
      <c r="A4173">
        <v>59828871</v>
      </c>
      <c r="B4173" t="s">
        <v>2994</v>
      </c>
      <c r="C4173" t="s">
        <v>1917</v>
      </c>
      <c r="D4173" t="s">
        <v>9409</v>
      </c>
      <c r="E4173">
        <v>2485561375</v>
      </c>
      <c r="F4173" t="s">
        <v>474</v>
      </c>
      <c r="G4173" t="s">
        <v>475</v>
      </c>
      <c r="I4173" t="s">
        <v>132</v>
      </c>
      <c r="J4173" s="13">
        <v>46044</v>
      </c>
      <c r="K4173" s="13">
        <v>46054</v>
      </c>
      <c r="L4173" t="s">
        <v>1179</v>
      </c>
      <c r="M4173" t="s">
        <v>56</v>
      </c>
      <c r="N4173">
        <v>73489781</v>
      </c>
    </row>
    <row r="4174" spans="1:14" x14ac:dyDescent="0.25">
      <c r="A4174">
        <v>59828991</v>
      </c>
      <c r="B4174" t="s">
        <v>622</v>
      </c>
      <c r="C4174" t="s">
        <v>9410</v>
      </c>
      <c r="D4174" t="s">
        <v>9411</v>
      </c>
      <c r="E4174">
        <v>6029109396</v>
      </c>
      <c r="F4174" t="s">
        <v>775</v>
      </c>
      <c r="G4174" t="s">
        <v>776</v>
      </c>
      <c r="I4174" t="s">
        <v>22</v>
      </c>
      <c r="J4174" s="13">
        <v>46044</v>
      </c>
      <c r="K4174" s="13">
        <v>46054</v>
      </c>
      <c r="L4174" t="s">
        <v>1179</v>
      </c>
      <c r="M4174" t="s">
        <v>54</v>
      </c>
      <c r="N4174">
        <v>73489865</v>
      </c>
    </row>
    <row r="4175" spans="1:14" x14ac:dyDescent="0.25">
      <c r="A4175">
        <v>59830042</v>
      </c>
      <c r="B4175" t="s">
        <v>9412</v>
      </c>
      <c r="C4175" t="s">
        <v>7266</v>
      </c>
      <c r="D4175" t="s">
        <v>9413</v>
      </c>
      <c r="E4175">
        <v>7404836908</v>
      </c>
      <c r="F4175" t="s">
        <v>628</v>
      </c>
      <c r="G4175" t="s">
        <v>629</v>
      </c>
      <c r="I4175" t="s">
        <v>24</v>
      </c>
      <c r="J4175" s="13">
        <v>46044</v>
      </c>
      <c r="K4175" s="13">
        <v>46054</v>
      </c>
      <c r="L4175" t="s">
        <v>418</v>
      </c>
      <c r="M4175" t="s">
        <v>60</v>
      </c>
      <c r="N4175">
        <v>73490514</v>
      </c>
    </row>
    <row r="4176" spans="1:14" x14ac:dyDescent="0.25">
      <c r="A4176">
        <v>59830285</v>
      </c>
      <c r="B4176" t="s">
        <v>2296</v>
      </c>
      <c r="C4176" t="s">
        <v>9414</v>
      </c>
      <c r="D4176" t="s">
        <v>9415</v>
      </c>
      <c r="E4176">
        <v>6237604729</v>
      </c>
      <c r="F4176" t="s">
        <v>574</v>
      </c>
      <c r="G4176" t="s">
        <v>575</v>
      </c>
      <c r="I4176" t="s">
        <v>14</v>
      </c>
      <c r="J4176" s="13">
        <v>46044</v>
      </c>
      <c r="K4176" s="13">
        <v>46054</v>
      </c>
      <c r="L4176" t="s">
        <v>1179</v>
      </c>
      <c r="M4176" t="s">
        <v>56</v>
      </c>
      <c r="N4176">
        <v>73490689</v>
      </c>
    </row>
    <row r="4177" spans="1:14" x14ac:dyDescent="0.25">
      <c r="A4177">
        <v>59830371</v>
      </c>
      <c r="B4177" t="s">
        <v>2041</v>
      </c>
      <c r="C4177" t="s">
        <v>9416</v>
      </c>
      <c r="D4177" t="s">
        <v>9417</v>
      </c>
      <c r="E4177">
        <v>8134475565</v>
      </c>
      <c r="F4177" t="s">
        <v>828</v>
      </c>
      <c r="G4177" t="s">
        <v>1148</v>
      </c>
      <c r="I4177" t="s">
        <v>17</v>
      </c>
      <c r="J4177" s="13">
        <v>46044</v>
      </c>
      <c r="K4177" s="13">
        <v>46054</v>
      </c>
      <c r="L4177" t="s">
        <v>497</v>
      </c>
      <c r="M4177" t="s">
        <v>56</v>
      </c>
      <c r="N4177">
        <v>73490758</v>
      </c>
    </row>
    <row r="4178" spans="1:14" x14ac:dyDescent="0.25">
      <c r="A4178">
        <v>59833358</v>
      </c>
      <c r="B4178" t="s">
        <v>1864</v>
      </c>
      <c r="C4178" t="s">
        <v>9418</v>
      </c>
      <c r="D4178" t="s">
        <v>9419</v>
      </c>
      <c r="E4178">
        <v>5203002226</v>
      </c>
      <c r="F4178" t="s">
        <v>775</v>
      </c>
      <c r="G4178" t="s">
        <v>776</v>
      </c>
      <c r="I4178" t="s">
        <v>22</v>
      </c>
      <c r="J4178" s="13">
        <v>46044</v>
      </c>
      <c r="K4178" s="13">
        <v>46054</v>
      </c>
      <c r="L4178" t="s">
        <v>1179</v>
      </c>
      <c r="M4178" t="s">
        <v>59</v>
      </c>
      <c r="N4178">
        <v>73492554</v>
      </c>
    </row>
    <row r="4179" spans="1:14" x14ac:dyDescent="0.25">
      <c r="A4179">
        <v>59833531</v>
      </c>
      <c r="B4179" t="s">
        <v>548</v>
      </c>
      <c r="C4179" t="s">
        <v>2215</v>
      </c>
      <c r="D4179" t="s">
        <v>9420</v>
      </c>
      <c r="E4179">
        <v>6027905386</v>
      </c>
      <c r="F4179" t="s">
        <v>1345</v>
      </c>
      <c r="G4179" t="s">
        <v>799</v>
      </c>
      <c r="I4179" t="s">
        <v>47</v>
      </c>
      <c r="J4179" s="13">
        <v>46044</v>
      </c>
      <c r="K4179" s="13">
        <v>46054</v>
      </c>
      <c r="L4179" t="s">
        <v>1179</v>
      </c>
      <c r="M4179" t="s">
        <v>54</v>
      </c>
      <c r="N4179">
        <v>73492659</v>
      </c>
    </row>
    <row r="4180" spans="1:14" x14ac:dyDescent="0.25">
      <c r="A4180">
        <v>59833554</v>
      </c>
      <c r="B4180" t="s">
        <v>8450</v>
      </c>
      <c r="C4180" t="s">
        <v>4317</v>
      </c>
      <c r="D4180" t="s">
        <v>9421</v>
      </c>
      <c r="E4180">
        <v>9046003270</v>
      </c>
      <c r="F4180" t="s">
        <v>815</v>
      </c>
      <c r="G4180" t="s">
        <v>816</v>
      </c>
      <c r="I4180" t="s">
        <v>23</v>
      </c>
      <c r="J4180" s="13">
        <v>46044</v>
      </c>
      <c r="K4180" s="13">
        <v>46054</v>
      </c>
      <c r="L4180" t="s">
        <v>497</v>
      </c>
      <c r="M4180" t="s">
        <v>56</v>
      </c>
      <c r="N4180">
        <v>73492669</v>
      </c>
    </row>
    <row r="4181" spans="1:14" x14ac:dyDescent="0.25">
      <c r="A4181">
        <v>59837412</v>
      </c>
      <c r="B4181" t="s">
        <v>1699</v>
      </c>
      <c r="C4181" t="s">
        <v>9422</v>
      </c>
      <c r="D4181" t="s">
        <v>9423</v>
      </c>
      <c r="E4181">
        <v>9043459678</v>
      </c>
      <c r="F4181" t="s">
        <v>474</v>
      </c>
      <c r="G4181" t="s">
        <v>475</v>
      </c>
      <c r="I4181" t="s">
        <v>132</v>
      </c>
      <c r="J4181" s="13">
        <v>46045</v>
      </c>
      <c r="K4181" s="13">
        <v>46054</v>
      </c>
      <c r="L4181" t="s">
        <v>497</v>
      </c>
      <c r="M4181" t="s">
        <v>58</v>
      </c>
      <c r="N4181">
        <v>73495529</v>
      </c>
    </row>
    <row r="4182" spans="1:14" x14ac:dyDescent="0.25">
      <c r="A4182">
        <v>59837547</v>
      </c>
      <c r="B4182" t="s">
        <v>1869</v>
      </c>
      <c r="C4182" t="s">
        <v>688</v>
      </c>
      <c r="D4182" t="s">
        <v>9424</v>
      </c>
      <c r="E4182">
        <v>5013193034</v>
      </c>
      <c r="F4182" t="s">
        <v>705</v>
      </c>
      <c r="G4182" t="s">
        <v>706</v>
      </c>
      <c r="I4182" t="s">
        <v>12</v>
      </c>
      <c r="J4182" s="13">
        <v>46045</v>
      </c>
      <c r="K4182" s="13">
        <v>46054</v>
      </c>
      <c r="L4182" t="s">
        <v>553</v>
      </c>
      <c r="M4182" t="s">
        <v>58</v>
      </c>
      <c r="N4182">
        <v>73495625</v>
      </c>
    </row>
    <row r="4183" spans="1:14" x14ac:dyDescent="0.25">
      <c r="A4183">
        <v>59838148</v>
      </c>
      <c r="B4183" t="s">
        <v>6622</v>
      </c>
      <c r="C4183" t="s">
        <v>9425</v>
      </c>
      <c r="D4183" t="s">
        <v>9426</v>
      </c>
      <c r="E4183">
        <v>3214746641</v>
      </c>
      <c r="F4183" t="s">
        <v>574</v>
      </c>
      <c r="G4183" t="s">
        <v>575</v>
      </c>
      <c r="I4183" t="s">
        <v>14</v>
      </c>
      <c r="J4183" s="13">
        <v>46045</v>
      </c>
      <c r="K4183" s="13">
        <v>46054</v>
      </c>
      <c r="L4183" t="s">
        <v>497</v>
      </c>
      <c r="M4183" t="s">
        <v>56</v>
      </c>
      <c r="N4183">
        <v>73496242</v>
      </c>
    </row>
    <row r="4184" spans="1:14" x14ac:dyDescent="0.25">
      <c r="A4184">
        <v>59838484</v>
      </c>
      <c r="B4184" t="s">
        <v>431</v>
      </c>
      <c r="C4184" t="s">
        <v>1203</v>
      </c>
      <c r="D4184" t="s">
        <v>9427</v>
      </c>
      <c r="E4184">
        <v>6812403917</v>
      </c>
      <c r="F4184" t="s">
        <v>1067</v>
      </c>
      <c r="G4184" t="s">
        <v>1068</v>
      </c>
      <c r="I4184" t="s">
        <v>35</v>
      </c>
      <c r="J4184" s="13">
        <v>46045</v>
      </c>
      <c r="K4184" s="13">
        <v>46054</v>
      </c>
      <c r="L4184" t="s">
        <v>1188</v>
      </c>
      <c r="M4184" t="s">
        <v>56</v>
      </c>
      <c r="N4184">
        <v>73496545</v>
      </c>
    </row>
    <row r="4185" spans="1:14" x14ac:dyDescent="0.25">
      <c r="A4185">
        <v>59838797</v>
      </c>
      <c r="B4185" t="s">
        <v>9428</v>
      </c>
      <c r="C4185" t="s">
        <v>9429</v>
      </c>
      <c r="D4185" t="s">
        <v>9430</v>
      </c>
      <c r="E4185">
        <v>5025991369</v>
      </c>
      <c r="F4185" t="s">
        <v>815</v>
      </c>
      <c r="G4185" t="s">
        <v>816</v>
      </c>
      <c r="I4185" t="s">
        <v>23</v>
      </c>
      <c r="J4185" s="13">
        <v>46045</v>
      </c>
      <c r="K4185" s="13">
        <v>46054</v>
      </c>
      <c r="L4185" t="s">
        <v>490</v>
      </c>
      <c r="M4185" t="s">
        <v>59</v>
      </c>
      <c r="N4185">
        <v>73496987</v>
      </c>
    </row>
    <row r="4186" spans="1:14" x14ac:dyDescent="0.25">
      <c r="A4186">
        <v>59838928</v>
      </c>
      <c r="B4186" t="s">
        <v>2920</v>
      </c>
      <c r="C4186" t="s">
        <v>9431</v>
      </c>
      <c r="D4186" t="s">
        <v>9432</v>
      </c>
      <c r="E4186">
        <v>9785168887</v>
      </c>
      <c r="F4186" t="s">
        <v>628</v>
      </c>
      <c r="G4186" t="s">
        <v>629</v>
      </c>
      <c r="I4186" t="s">
        <v>24</v>
      </c>
      <c r="J4186" s="13">
        <v>46045</v>
      </c>
      <c r="K4186" s="13">
        <v>46054</v>
      </c>
      <c r="L4186" t="s">
        <v>533</v>
      </c>
      <c r="M4186" t="s">
        <v>61</v>
      </c>
      <c r="N4186">
        <v>73497444</v>
      </c>
    </row>
    <row r="4187" spans="1:14" x14ac:dyDescent="0.25">
      <c r="A4187">
        <v>60596468</v>
      </c>
      <c r="B4187" t="s">
        <v>1509</v>
      </c>
      <c r="C4187" t="s">
        <v>1448</v>
      </c>
      <c r="D4187" t="s">
        <v>9433</v>
      </c>
      <c r="E4187" t="s">
        <v>9434</v>
      </c>
      <c r="F4187" t="s">
        <v>780</v>
      </c>
      <c r="G4187" t="s">
        <v>781</v>
      </c>
      <c r="I4187" t="s">
        <v>20</v>
      </c>
      <c r="J4187" s="13">
        <v>46066</v>
      </c>
      <c r="K4187" s="13">
        <v>46082</v>
      </c>
      <c r="L4187" t="s">
        <v>1179</v>
      </c>
      <c r="M4187" t="s">
        <v>61</v>
      </c>
      <c r="N4187">
        <v>73497473</v>
      </c>
    </row>
    <row r="4188" spans="1:14" x14ac:dyDescent="0.25">
      <c r="A4188">
        <v>59839163</v>
      </c>
      <c r="B4188" t="s">
        <v>867</v>
      </c>
      <c r="C4188" t="s">
        <v>9435</v>
      </c>
      <c r="D4188" t="s">
        <v>9436</v>
      </c>
      <c r="E4188">
        <v>7857412858</v>
      </c>
      <c r="F4188" t="s">
        <v>928</v>
      </c>
      <c r="G4188" t="s">
        <v>929</v>
      </c>
      <c r="I4188" t="s">
        <v>30</v>
      </c>
      <c r="J4188" s="13">
        <v>46045</v>
      </c>
      <c r="K4188" s="13">
        <v>46054</v>
      </c>
      <c r="L4188" t="s">
        <v>434</v>
      </c>
      <c r="M4188" t="s">
        <v>58</v>
      </c>
      <c r="N4188">
        <v>73497600</v>
      </c>
    </row>
    <row r="4189" spans="1:14" x14ac:dyDescent="0.25">
      <c r="A4189">
        <v>59839235</v>
      </c>
      <c r="B4189" t="s">
        <v>1109</v>
      </c>
      <c r="C4189" t="s">
        <v>9437</v>
      </c>
      <c r="D4189" t="s">
        <v>9438</v>
      </c>
      <c r="E4189" t="s">
        <v>9439</v>
      </c>
      <c r="F4189" t="s">
        <v>448</v>
      </c>
      <c r="G4189" t="s">
        <v>449</v>
      </c>
      <c r="I4189" t="s">
        <v>31</v>
      </c>
      <c r="J4189" s="13">
        <v>46045</v>
      </c>
      <c r="K4189" s="13">
        <v>46054</v>
      </c>
      <c r="L4189" t="s">
        <v>418</v>
      </c>
      <c r="M4189" t="s">
        <v>59</v>
      </c>
      <c r="N4189">
        <v>73497636</v>
      </c>
    </row>
    <row r="4190" spans="1:14" x14ac:dyDescent="0.25">
      <c r="A4190">
        <v>59843380</v>
      </c>
      <c r="B4190" t="s">
        <v>948</v>
      </c>
      <c r="C4190" t="s">
        <v>9440</v>
      </c>
      <c r="D4190" t="s">
        <v>9441</v>
      </c>
      <c r="E4190">
        <v>6027273480</v>
      </c>
      <c r="F4190" t="s">
        <v>775</v>
      </c>
      <c r="G4190" t="s">
        <v>776</v>
      </c>
      <c r="I4190" t="s">
        <v>22</v>
      </c>
      <c r="J4190" s="13">
        <v>46045</v>
      </c>
      <c r="K4190" s="13">
        <v>46054</v>
      </c>
      <c r="L4190" t="s">
        <v>1179</v>
      </c>
      <c r="M4190" t="s">
        <v>56</v>
      </c>
      <c r="N4190">
        <v>73499964</v>
      </c>
    </row>
    <row r="4191" spans="1:14" x14ac:dyDescent="0.25">
      <c r="A4191">
        <v>59843970</v>
      </c>
      <c r="B4191" t="s">
        <v>2269</v>
      </c>
      <c r="C4191" t="s">
        <v>9442</v>
      </c>
      <c r="D4191" t="s">
        <v>9443</v>
      </c>
      <c r="E4191">
        <v>8153728759</v>
      </c>
      <c r="F4191" t="s">
        <v>649</v>
      </c>
      <c r="G4191" t="s">
        <v>650</v>
      </c>
      <c r="I4191" t="s">
        <v>28</v>
      </c>
      <c r="J4191" s="13">
        <v>46045</v>
      </c>
      <c r="K4191" s="13">
        <v>46054</v>
      </c>
      <c r="L4191" t="s">
        <v>470</v>
      </c>
      <c r="M4191" t="s">
        <v>59</v>
      </c>
      <c r="N4191">
        <v>73500908</v>
      </c>
    </row>
    <row r="4192" spans="1:14" x14ac:dyDescent="0.25">
      <c r="A4192">
        <v>59845017</v>
      </c>
      <c r="B4192" t="s">
        <v>517</v>
      </c>
      <c r="C4192" t="s">
        <v>9444</v>
      </c>
      <c r="D4192" t="s">
        <v>9445</v>
      </c>
      <c r="E4192">
        <v>9377183740</v>
      </c>
      <c r="F4192" t="s">
        <v>790</v>
      </c>
      <c r="G4192" t="s">
        <v>791</v>
      </c>
      <c r="I4192" t="s">
        <v>119</v>
      </c>
      <c r="J4192" s="13">
        <v>46045</v>
      </c>
      <c r="K4192" s="13">
        <v>46054</v>
      </c>
      <c r="L4192" t="s">
        <v>490</v>
      </c>
      <c r="M4192" t="s">
        <v>56</v>
      </c>
      <c r="N4192">
        <v>73501137</v>
      </c>
    </row>
    <row r="4193" spans="1:14" x14ac:dyDescent="0.25">
      <c r="A4193">
        <v>59847530</v>
      </c>
      <c r="B4193" t="s">
        <v>9446</v>
      </c>
      <c r="C4193" t="s">
        <v>9447</v>
      </c>
      <c r="D4193" t="s">
        <v>9448</v>
      </c>
      <c r="E4193">
        <v>2054716628</v>
      </c>
      <c r="F4193" t="s">
        <v>828</v>
      </c>
      <c r="G4193" t="s">
        <v>1148</v>
      </c>
      <c r="I4193" t="s">
        <v>17</v>
      </c>
      <c r="J4193" s="13">
        <v>46045</v>
      </c>
      <c r="K4193" s="13">
        <v>46054</v>
      </c>
      <c r="L4193" t="s">
        <v>450</v>
      </c>
      <c r="M4193" t="s">
        <v>55</v>
      </c>
      <c r="N4193">
        <v>73502368</v>
      </c>
    </row>
    <row r="4194" spans="1:14" x14ac:dyDescent="0.25">
      <c r="A4194">
        <v>59849722</v>
      </c>
      <c r="B4194" t="s">
        <v>7073</v>
      </c>
      <c r="C4194" t="s">
        <v>1535</v>
      </c>
      <c r="D4194" t="s">
        <v>9449</v>
      </c>
      <c r="E4194">
        <v>5612555235</v>
      </c>
      <c r="F4194" t="s">
        <v>448</v>
      </c>
      <c r="G4194" t="s">
        <v>449</v>
      </c>
      <c r="I4194" t="s">
        <v>31</v>
      </c>
      <c r="J4194" s="13">
        <v>46045</v>
      </c>
      <c r="K4194" s="13">
        <v>46054</v>
      </c>
      <c r="L4194" t="s">
        <v>497</v>
      </c>
      <c r="M4194" t="s">
        <v>54</v>
      </c>
      <c r="N4194">
        <v>73503600</v>
      </c>
    </row>
    <row r="4195" spans="1:14" x14ac:dyDescent="0.25">
      <c r="A4195">
        <v>59850715</v>
      </c>
      <c r="B4195" t="s">
        <v>8571</v>
      </c>
      <c r="C4195" t="s">
        <v>9450</v>
      </c>
      <c r="D4195" t="s">
        <v>9451</v>
      </c>
      <c r="E4195">
        <v>7729407295</v>
      </c>
      <c r="F4195" t="s">
        <v>807</v>
      </c>
      <c r="G4195" t="s">
        <v>808</v>
      </c>
      <c r="I4195" t="s">
        <v>33</v>
      </c>
      <c r="J4195" s="13">
        <v>46045</v>
      </c>
      <c r="K4195" s="13">
        <v>46054</v>
      </c>
      <c r="L4195" t="s">
        <v>497</v>
      </c>
      <c r="M4195" t="s">
        <v>61</v>
      </c>
      <c r="N4195">
        <v>73503962</v>
      </c>
    </row>
    <row r="4196" spans="1:14" x14ac:dyDescent="0.25">
      <c r="A4196">
        <v>59850843</v>
      </c>
      <c r="B4196" t="s">
        <v>5628</v>
      </c>
      <c r="C4196" t="s">
        <v>9452</v>
      </c>
      <c r="D4196" t="s">
        <v>9453</v>
      </c>
      <c r="E4196">
        <v>4807890110</v>
      </c>
      <c r="F4196" t="s">
        <v>770</v>
      </c>
      <c r="G4196" t="s">
        <v>771</v>
      </c>
      <c r="I4196" t="s">
        <v>25</v>
      </c>
      <c r="J4196" s="13">
        <v>46045</v>
      </c>
      <c r="K4196" s="13">
        <v>46054</v>
      </c>
      <c r="L4196" t="s">
        <v>1179</v>
      </c>
      <c r="M4196" t="s">
        <v>54</v>
      </c>
      <c r="N4196">
        <v>73504020</v>
      </c>
    </row>
    <row r="4197" spans="1:14" x14ac:dyDescent="0.25">
      <c r="A4197">
        <v>59852445</v>
      </c>
      <c r="B4197" t="s">
        <v>1297</v>
      </c>
      <c r="C4197" t="s">
        <v>9454</v>
      </c>
      <c r="D4197" t="s">
        <v>9455</v>
      </c>
      <c r="E4197">
        <v>3044003390</v>
      </c>
      <c r="F4197" t="s">
        <v>1013</v>
      </c>
      <c r="G4197" t="s">
        <v>1014</v>
      </c>
      <c r="I4197" t="s">
        <v>43</v>
      </c>
      <c r="J4197" s="13">
        <v>46045</v>
      </c>
      <c r="K4197" s="13">
        <v>46054</v>
      </c>
      <c r="L4197" t="s">
        <v>1188</v>
      </c>
      <c r="M4197" t="s">
        <v>56</v>
      </c>
      <c r="N4197">
        <v>73504716</v>
      </c>
    </row>
    <row r="4198" spans="1:14" x14ac:dyDescent="0.25">
      <c r="A4198">
        <v>59852756</v>
      </c>
      <c r="B4198" t="s">
        <v>9456</v>
      </c>
      <c r="C4198" t="s">
        <v>9457</v>
      </c>
      <c r="D4198" t="s">
        <v>9458</v>
      </c>
      <c r="E4198">
        <v>7068880630</v>
      </c>
      <c r="F4198" t="s">
        <v>574</v>
      </c>
      <c r="G4198" t="s">
        <v>575</v>
      </c>
      <c r="I4198" t="s">
        <v>14</v>
      </c>
      <c r="J4198" s="13">
        <v>46045</v>
      </c>
      <c r="K4198" s="13">
        <v>46054</v>
      </c>
      <c r="L4198" t="s">
        <v>621</v>
      </c>
      <c r="M4198" t="s">
        <v>56</v>
      </c>
      <c r="N4198">
        <v>73504852</v>
      </c>
    </row>
    <row r="4199" spans="1:14" x14ac:dyDescent="0.25">
      <c r="A4199">
        <v>59854657</v>
      </c>
      <c r="B4199" t="s">
        <v>517</v>
      </c>
      <c r="C4199" t="s">
        <v>9459</v>
      </c>
      <c r="D4199" t="s">
        <v>9460</v>
      </c>
      <c r="E4199">
        <v>5618501442</v>
      </c>
      <c r="F4199" t="s">
        <v>416</v>
      </c>
      <c r="G4199" t="s">
        <v>417</v>
      </c>
      <c r="I4199" t="s">
        <v>26</v>
      </c>
      <c r="J4199" s="13">
        <v>46045</v>
      </c>
      <c r="K4199" s="13">
        <v>46054</v>
      </c>
      <c r="L4199" t="s">
        <v>497</v>
      </c>
      <c r="M4199" t="s">
        <v>54</v>
      </c>
      <c r="N4199">
        <v>73506192</v>
      </c>
    </row>
    <row r="4200" spans="1:14" x14ac:dyDescent="0.25">
      <c r="A4200">
        <v>59855449</v>
      </c>
      <c r="B4200" t="s">
        <v>501</v>
      </c>
      <c r="C4200" t="s">
        <v>5897</v>
      </c>
      <c r="D4200" t="s">
        <v>9461</v>
      </c>
      <c r="E4200">
        <v>9039690361</v>
      </c>
      <c r="F4200" t="s">
        <v>815</v>
      </c>
      <c r="G4200" t="s">
        <v>816</v>
      </c>
      <c r="I4200" t="s">
        <v>23</v>
      </c>
      <c r="J4200" s="13">
        <v>46045</v>
      </c>
      <c r="K4200" s="13">
        <v>46054</v>
      </c>
      <c r="L4200" t="s">
        <v>444</v>
      </c>
      <c r="M4200" t="s">
        <v>56</v>
      </c>
      <c r="N4200">
        <v>73506891</v>
      </c>
    </row>
    <row r="4201" spans="1:14" x14ac:dyDescent="0.25">
      <c r="A4201">
        <v>59855731</v>
      </c>
      <c r="B4201" t="s">
        <v>9462</v>
      </c>
      <c r="C4201" t="s">
        <v>1177</v>
      </c>
      <c r="D4201" t="s">
        <v>9463</v>
      </c>
      <c r="E4201">
        <v>7708757633</v>
      </c>
      <c r="F4201" t="s">
        <v>798</v>
      </c>
      <c r="G4201" t="s">
        <v>799</v>
      </c>
      <c r="I4201" t="s">
        <v>800</v>
      </c>
      <c r="J4201" s="13">
        <v>46045</v>
      </c>
      <c r="K4201" s="13">
        <v>46054</v>
      </c>
      <c r="L4201" t="s">
        <v>621</v>
      </c>
      <c r="M4201" t="s">
        <v>58</v>
      </c>
      <c r="N4201">
        <v>73507052</v>
      </c>
    </row>
    <row r="4202" spans="1:14" x14ac:dyDescent="0.25">
      <c r="A4202">
        <v>59855932</v>
      </c>
      <c r="B4202" t="s">
        <v>8680</v>
      </c>
      <c r="C4202" t="s">
        <v>9464</v>
      </c>
      <c r="D4202" t="s">
        <v>9465</v>
      </c>
      <c r="E4202" t="s">
        <v>9466</v>
      </c>
      <c r="F4202" t="s">
        <v>574</v>
      </c>
      <c r="G4202" t="s">
        <v>575</v>
      </c>
      <c r="I4202" t="s">
        <v>14</v>
      </c>
      <c r="J4202" s="13">
        <v>46045</v>
      </c>
      <c r="K4202" s="13">
        <v>46054</v>
      </c>
      <c r="L4202" t="s">
        <v>418</v>
      </c>
      <c r="M4202" t="s">
        <v>419</v>
      </c>
      <c r="N4202">
        <v>73507197</v>
      </c>
    </row>
    <row r="4203" spans="1:14" x14ac:dyDescent="0.25">
      <c r="A4203">
        <v>59855957</v>
      </c>
      <c r="B4203" t="s">
        <v>548</v>
      </c>
      <c r="C4203" t="s">
        <v>5114</v>
      </c>
      <c r="D4203" t="s">
        <v>9467</v>
      </c>
      <c r="E4203">
        <v>4696581058</v>
      </c>
      <c r="F4203" t="s">
        <v>649</v>
      </c>
      <c r="G4203" t="s">
        <v>650</v>
      </c>
      <c r="I4203" t="s">
        <v>28</v>
      </c>
      <c r="J4203" s="13">
        <v>46045</v>
      </c>
      <c r="K4203" s="13">
        <v>46054</v>
      </c>
      <c r="L4203" t="s">
        <v>444</v>
      </c>
      <c r="M4203" t="s">
        <v>419</v>
      </c>
      <c r="N4203">
        <v>73507223</v>
      </c>
    </row>
    <row r="4204" spans="1:14" x14ac:dyDescent="0.25">
      <c r="A4204">
        <v>59856282</v>
      </c>
      <c r="B4204" t="s">
        <v>1148</v>
      </c>
      <c r="C4204" t="s">
        <v>9468</v>
      </c>
      <c r="D4204" t="s">
        <v>9469</v>
      </c>
      <c r="E4204">
        <v>9286063083</v>
      </c>
      <c r="F4204" t="s">
        <v>807</v>
      </c>
      <c r="G4204" t="s">
        <v>808</v>
      </c>
      <c r="I4204" t="s">
        <v>33</v>
      </c>
      <c r="J4204" s="13">
        <v>46045</v>
      </c>
      <c r="K4204" s="13">
        <v>46054</v>
      </c>
      <c r="L4204" t="s">
        <v>1179</v>
      </c>
      <c r="M4204" t="s">
        <v>54</v>
      </c>
      <c r="N4204">
        <v>73507427</v>
      </c>
    </row>
    <row r="4205" spans="1:14" x14ac:dyDescent="0.25">
      <c r="A4205">
        <v>59856434</v>
      </c>
      <c r="B4205" t="s">
        <v>1004</v>
      </c>
      <c r="C4205" t="s">
        <v>9470</v>
      </c>
      <c r="D4205" t="s">
        <v>9471</v>
      </c>
      <c r="E4205">
        <v>6147491514</v>
      </c>
      <c r="F4205" t="s">
        <v>1013</v>
      </c>
      <c r="G4205" t="s">
        <v>1014</v>
      </c>
      <c r="I4205" t="s">
        <v>43</v>
      </c>
      <c r="J4205" s="13">
        <v>46045</v>
      </c>
      <c r="K4205" s="13">
        <v>46054</v>
      </c>
      <c r="L4205" t="s">
        <v>418</v>
      </c>
      <c r="M4205" t="s">
        <v>56</v>
      </c>
      <c r="N4205">
        <v>73507520</v>
      </c>
    </row>
    <row r="4206" spans="1:14" x14ac:dyDescent="0.25">
      <c r="A4206">
        <v>59857553</v>
      </c>
      <c r="B4206" t="s">
        <v>9472</v>
      </c>
      <c r="C4206" t="s">
        <v>9473</v>
      </c>
      <c r="D4206" t="s">
        <v>9474</v>
      </c>
      <c r="E4206">
        <v>5209825236</v>
      </c>
      <c r="F4206" t="s">
        <v>416</v>
      </c>
      <c r="G4206" t="s">
        <v>417</v>
      </c>
      <c r="I4206" t="s">
        <v>26</v>
      </c>
      <c r="J4206" s="13">
        <v>46045</v>
      </c>
      <c r="K4206" s="13">
        <v>46054</v>
      </c>
      <c r="L4206" t="s">
        <v>1179</v>
      </c>
      <c r="M4206" t="s">
        <v>54</v>
      </c>
      <c r="N4206">
        <v>73508101</v>
      </c>
    </row>
    <row r="4207" spans="1:14" x14ac:dyDescent="0.25">
      <c r="A4207">
        <v>59857436</v>
      </c>
      <c r="B4207" t="s">
        <v>2332</v>
      </c>
      <c r="C4207" t="s">
        <v>9475</v>
      </c>
      <c r="D4207" t="s">
        <v>9476</v>
      </c>
      <c r="E4207">
        <v>9286148661</v>
      </c>
      <c r="F4207" t="s">
        <v>807</v>
      </c>
      <c r="G4207" t="s">
        <v>808</v>
      </c>
      <c r="I4207" t="s">
        <v>33</v>
      </c>
      <c r="J4207" s="13">
        <v>46045</v>
      </c>
      <c r="K4207" s="13">
        <v>46054</v>
      </c>
      <c r="L4207" t="s">
        <v>1179</v>
      </c>
      <c r="M4207" t="s">
        <v>54</v>
      </c>
      <c r="N4207">
        <v>73508113</v>
      </c>
    </row>
    <row r="4208" spans="1:14" x14ac:dyDescent="0.25">
      <c r="A4208">
        <v>59858974</v>
      </c>
      <c r="B4208" t="s">
        <v>2681</v>
      </c>
      <c r="C4208" t="s">
        <v>1168</v>
      </c>
      <c r="D4208" t="s">
        <v>9477</v>
      </c>
      <c r="E4208">
        <v>9792648731</v>
      </c>
      <c r="F4208" t="s">
        <v>1013</v>
      </c>
      <c r="G4208" t="s">
        <v>1014</v>
      </c>
      <c r="I4208" t="s">
        <v>43</v>
      </c>
      <c r="J4208" s="13">
        <v>46045</v>
      </c>
      <c r="K4208" s="13">
        <v>46054</v>
      </c>
      <c r="L4208" t="s">
        <v>444</v>
      </c>
      <c r="M4208" t="s">
        <v>55</v>
      </c>
      <c r="N4208">
        <v>73509141</v>
      </c>
    </row>
    <row r="4209" spans="1:14" x14ac:dyDescent="0.25">
      <c r="A4209">
        <v>59859596</v>
      </c>
      <c r="B4209" t="s">
        <v>7190</v>
      </c>
      <c r="C4209" t="s">
        <v>9478</v>
      </c>
      <c r="D4209" t="s">
        <v>9479</v>
      </c>
      <c r="E4209">
        <v>7023052008</v>
      </c>
      <c r="F4209" t="s">
        <v>448</v>
      </c>
      <c r="G4209" t="s">
        <v>449</v>
      </c>
      <c r="I4209" t="s">
        <v>31</v>
      </c>
      <c r="J4209" s="13">
        <v>46045</v>
      </c>
      <c r="K4209" s="13">
        <v>46054</v>
      </c>
      <c r="L4209" t="s">
        <v>483</v>
      </c>
      <c r="M4209" t="s">
        <v>56</v>
      </c>
      <c r="N4209">
        <v>73509706</v>
      </c>
    </row>
    <row r="4210" spans="1:14" x14ac:dyDescent="0.25">
      <c r="A4210">
        <v>59859665</v>
      </c>
      <c r="B4210" t="s">
        <v>5075</v>
      </c>
      <c r="C4210" t="s">
        <v>788</v>
      </c>
      <c r="D4210" t="s">
        <v>9480</v>
      </c>
      <c r="E4210">
        <v>7082090592</v>
      </c>
      <c r="F4210" t="s">
        <v>790</v>
      </c>
      <c r="G4210" t="s">
        <v>791</v>
      </c>
      <c r="I4210" t="s">
        <v>119</v>
      </c>
      <c r="J4210" s="13">
        <v>46045</v>
      </c>
      <c r="K4210" s="13">
        <v>46054</v>
      </c>
      <c r="L4210" t="s">
        <v>470</v>
      </c>
      <c r="M4210" t="s">
        <v>56</v>
      </c>
      <c r="N4210">
        <v>73509749</v>
      </c>
    </row>
    <row r="4211" spans="1:14" x14ac:dyDescent="0.25">
      <c r="A4211">
        <v>59860159</v>
      </c>
      <c r="B4211" t="s">
        <v>1167</v>
      </c>
      <c r="C4211" t="s">
        <v>9481</v>
      </c>
      <c r="D4211" t="s">
        <v>9482</v>
      </c>
      <c r="E4211">
        <v>8039952914</v>
      </c>
      <c r="F4211" t="s">
        <v>705</v>
      </c>
      <c r="G4211" t="s">
        <v>706</v>
      </c>
      <c r="I4211" t="s">
        <v>12</v>
      </c>
      <c r="J4211" s="13">
        <v>46045</v>
      </c>
      <c r="K4211" s="13">
        <v>46054</v>
      </c>
      <c r="L4211" t="s">
        <v>533</v>
      </c>
      <c r="M4211" t="s">
        <v>61</v>
      </c>
      <c r="N4211">
        <v>73510004</v>
      </c>
    </row>
    <row r="4212" spans="1:14" x14ac:dyDescent="0.25">
      <c r="A4212">
        <v>59860347</v>
      </c>
      <c r="B4212" t="s">
        <v>1643</v>
      </c>
      <c r="C4212" t="s">
        <v>9483</v>
      </c>
      <c r="D4212" t="s">
        <v>9484</v>
      </c>
      <c r="E4212">
        <v>6069390545</v>
      </c>
      <c r="F4212" t="s">
        <v>798</v>
      </c>
      <c r="G4212" t="s">
        <v>799</v>
      </c>
      <c r="I4212" t="s">
        <v>800</v>
      </c>
      <c r="J4212" s="13">
        <v>46045</v>
      </c>
      <c r="K4212" s="13">
        <v>46054</v>
      </c>
      <c r="L4212" t="s">
        <v>490</v>
      </c>
      <c r="M4212" t="s">
        <v>61</v>
      </c>
      <c r="N4212">
        <v>73510151</v>
      </c>
    </row>
    <row r="4213" spans="1:14" x14ac:dyDescent="0.25">
      <c r="A4213">
        <v>59860465</v>
      </c>
      <c r="B4213" t="s">
        <v>3548</v>
      </c>
      <c r="C4213" t="s">
        <v>9485</v>
      </c>
      <c r="D4213" t="s">
        <v>9486</v>
      </c>
      <c r="E4213">
        <v>2037336697</v>
      </c>
      <c r="F4213" t="s">
        <v>1067</v>
      </c>
      <c r="G4213" t="s">
        <v>1068</v>
      </c>
      <c r="I4213" t="s">
        <v>35</v>
      </c>
      <c r="J4213" s="13">
        <v>46045</v>
      </c>
      <c r="K4213" s="13">
        <v>46054</v>
      </c>
      <c r="L4213" t="s">
        <v>533</v>
      </c>
      <c r="M4213" t="s">
        <v>56</v>
      </c>
      <c r="N4213">
        <v>73510166</v>
      </c>
    </row>
    <row r="4214" spans="1:14" x14ac:dyDescent="0.25">
      <c r="A4214">
        <v>59860512</v>
      </c>
      <c r="B4214" t="s">
        <v>2281</v>
      </c>
      <c r="C4214" t="s">
        <v>9487</v>
      </c>
      <c r="D4214" t="s">
        <v>9488</v>
      </c>
      <c r="E4214">
        <v>3349090916</v>
      </c>
      <c r="F4214" t="s">
        <v>828</v>
      </c>
      <c r="G4214" t="s">
        <v>1148</v>
      </c>
      <c r="I4214" t="s">
        <v>17</v>
      </c>
      <c r="J4214" s="13">
        <v>46045</v>
      </c>
      <c r="K4214" s="13">
        <v>46054</v>
      </c>
      <c r="L4214" t="s">
        <v>450</v>
      </c>
      <c r="M4214" t="s">
        <v>59</v>
      </c>
      <c r="N4214">
        <v>73510224</v>
      </c>
    </row>
    <row r="4215" spans="1:14" x14ac:dyDescent="0.25">
      <c r="A4215">
        <v>59860769</v>
      </c>
      <c r="B4215" t="s">
        <v>501</v>
      </c>
      <c r="C4215" t="s">
        <v>1953</v>
      </c>
      <c r="D4215" t="s">
        <v>9489</v>
      </c>
      <c r="E4215">
        <v>9039332214</v>
      </c>
      <c r="F4215" t="s">
        <v>815</v>
      </c>
      <c r="G4215" t="s">
        <v>816</v>
      </c>
      <c r="I4215" t="s">
        <v>23</v>
      </c>
      <c r="J4215" s="13">
        <v>46045</v>
      </c>
      <c r="K4215" s="13">
        <v>46054</v>
      </c>
      <c r="L4215" t="s">
        <v>444</v>
      </c>
      <c r="M4215" t="s">
        <v>56</v>
      </c>
      <c r="N4215">
        <v>73510381</v>
      </c>
    </row>
    <row r="4216" spans="1:14" x14ac:dyDescent="0.25">
      <c r="A4216">
        <v>59861358</v>
      </c>
      <c r="B4216" t="s">
        <v>6844</v>
      </c>
      <c r="C4216" t="s">
        <v>9490</v>
      </c>
      <c r="D4216" t="s">
        <v>9491</v>
      </c>
      <c r="E4216">
        <v>5203104423</v>
      </c>
      <c r="F4216" t="s">
        <v>928</v>
      </c>
      <c r="G4216" t="s">
        <v>929</v>
      </c>
      <c r="I4216" t="s">
        <v>30</v>
      </c>
      <c r="J4216" s="13">
        <v>46045</v>
      </c>
      <c r="K4216" s="13">
        <v>46054</v>
      </c>
      <c r="L4216" t="s">
        <v>497</v>
      </c>
      <c r="M4216" t="s">
        <v>56</v>
      </c>
      <c r="N4216">
        <v>73510820</v>
      </c>
    </row>
    <row r="4217" spans="1:14" x14ac:dyDescent="0.25">
      <c r="A4217">
        <v>59861661</v>
      </c>
      <c r="B4217" t="s">
        <v>1167</v>
      </c>
      <c r="C4217" t="s">
        <v>9492</v>
      </c>
      <c r="D4217" t="s">
        <v>9493</v>
      </c>
      <c r="E4217">
        <v>2566608702</v>
      </c>
      <c r="F4217" t="s">
        <v>1013</v>
      </c>
      <c r="G4217" t="s">
        <v>1014</v>
      </c>
      <c r="I4217" t="s">
        <v>43</v>
      </c>
      <c r="J4217" s="13">
        <v>46045</v>
      </c>
      <c r="K4217" s="13">
        <v>46054</v>
      </c>
      <c r="L4217" t="s">
        <v>450</v>
      </c>
      <c r="M4217" t="s">
        <v>56</v>
      </c>
      <c r="N4217">
        <v>73511089</v>
      </c>
    </row>
    <row r="4218" spans="1:14" x14ac:dyDescent="0.25">
      <c r="A4218">
        <v>59861663</v>
      </c>
      <c r="B4218" t="s">
        <v>9494</v>
      </c>
      <c r="C4218" t="s">
        <v>9495</v>
      </c>
      <c r="D4218" t="s">
        <v>9496</v>
      </c>
      <c r="E4218">
        <v>4802628089</v>
      </c>
      <c r="F4218" t="s">
        <v>775</v>
      </c>
      <c r="G4218" t="s">
        <v>776</v>
      </c>
      <c r="I4218" t="s">
        <v>22</v>
      </c>
      <c r="J4218" s="13">
        <v>46045</v>
      </c>
      <c r="K4218" s="13">
        <v>46054</v>
      </c>
      <c r="L4218" t="s">
        <v>1179</v>
      </c>
      <c r="M4218" t="s">
        <v>55</v>
      </c>
      <c r="N4218">
        <v>73511093</v>
      </c>
    </row>
    <row r="4219" spans="1:14" x14ac:dyDescent="0.25">
      <c r="A4219">
        <v>59861683</v>
      </c>
      <c r="B4219" t="s">
        <v>1232</v>
      </c>
      <c r="C4219" t="s">
        <v>4437</v>
      </c>
      <c r="D4219" t="s">
        <v>9497</v>
      </c>
      <c r="E4219">
        <v>2566608702</v>
      </c>
      <c r="F4219" t="s">
        <v>1013</v>
      </c>
      <c r="G4219" t="s">
        <v>1014</v>
      </c>
      <c r="I4219" t="s">
        <v>43</v>
      </c>
      <c r="J4219" s="13">
        <v>46045</v>
      </c>
      <c r="K4219" s="13">
        <v>46054</v>
      </c>
      <c r="L4219" t="s">
        <v>450</v>
      </c>
      <c r="M4219" t="s">
        <v>56</v>
      </c>
      <c r="N4219">
        <v>73511307</v>
      </c>
    </row>
    <row r="4220" spans="1:14" x14ac:dyDescent="0.25">
      <c r="A4220">
        <v>59861734</v>
      </c>
      <c r="B4220" t="s">
        <v>5471</v>
      </c>
      <c r="C4220" t="s">
        <v>9498</v>
      </c>
      <c r="D4220" t="s">
        <v>9499</v>
      </c>
      <c r="E4220">
        <v>4805867809</v>
      </c>
      <c r="F4220" t="s">
        <v>416</v>
      </c>
      <c r="G4220" t="s">
        <v>417</v>
      </c>
      <c r="I4220" t="s">
        <v>26</v>
      </c>
      <c r="J4220" s="13">
        <v>46045</v>
      </c>
      <c r="K4220" s="13">
        <v>46054</v>
      </c>
      <c r="L4220" t="s">
        <v>1179</v>
      </c>
      <c r="M4220" t="s">
        <v>54</v>
      </c>
      <c r="N4220">
        <v>73511334</v>
      </c>
    </row>
    <row r="4221" spans="1:14" x14ac:dyDescent="0.25">
      <c r="A4221">
        <v>59861953</v>
      </c>
      <c r="B4221" t="s">
        <v>1835</v>
      </c>
      <c r="C4221" t="s">
        <v>9500</v>
      </c>
      <c r="D4221" t="s">
        <v>9501</v>
      </c>
      <c r="E4221">
        <v>7086317107</v>
      </c>
      <c r="F4221" t="s">
        <v>578</v>
      </c>
      <c r="G4221" t="s">
        <v>579</v>
      </c>
      <c r="I4221" t="s">
        <v>15</v>
      </c>
      <c r="J4221" s="13">
        <v>46045</v>
      </c>
      <c r="K4221" s="13">
        <v>46054</v>
      </c>
      <c r="L4221" t="s">
        <v>470</v>
      </c>
      <c r="M4221" t="s">
        <v>62</v>
      </c>
      <c r="N4221">
        <v>73511469</v>
      </c>
    </row>
    <row r="4222" spans="1:14" x14ac:dyDescent="0.25">
      <c r="A4222">
        <v>59862000</v>
      </c>
      <c r="B4222" t="s">
        <v>1515</v>
      </c>
      <c r="C4222" t="s">
        <v>9502</v>
      </c>
      <c r="D4222" t="s">
        <v>9503</v>
      </c>
      <c r="E4222">
        <v>2708014665</v>
      </c>
      <c r="F4222" t="s">
        <v>790</v>
      </c>
      <c r="G4222" t="s">
        <v>791</v>
      </c>
      <c r="I4222" t="s">
        <v>119</v>
      </c>
      <c r="J4222" s="13">
        <v>46045</v>
      </c>
      <c r="K4222" s="13">
        <v>46054</v>
      </c>
      <c r="L4222" t="s">
        <v>490</v>
      </c>
      <c r="M4222" t="s">
        <v>61</v>
      </c>
      <c r="N4222">
        <v>73511507</v>
      </c>
    </row>
    <row r="4223" spans="1:14" x14ac:dyDescent="0.25">
      <c r="A4223">
        <v>59876582</v>
      </c>
      <c r="B4223" t="s">
        <v>650</v>
      </c>
      <c r="C4223" t="s">
        <v>9504</v>
      </c>
      <c r="D4223" t="s">
        <v>9505</v>
      </c>
      <c r="E4223">
        <v>2147795085</v>
      </c>
      <c r="F4223" t="s">
        <v>551</v>
      </c>
      <c r="G4223" t="s">
        <v>552</v>
      </c>
      <c r="I4223" t="s">
        <v>42</v>
      </c>
      <c r="J4223" s="13">
        <v>46048</v>
      </c>
      <c r="K4223" s="13">
        <v>46054</v>
      </c>
      <c r="L4223" t="s">
        <v>444</v>
      </c>
      <c r="M4223" t="s">
        <v>55</v>
      </c>
      <c r="N4223">
        <v>73522393</v>
      </c>
    </row>
    <row r="4224" spans="1:14" x14ac:dyDescent="0.25">
      <c r="A4224">
        <v>59886998</v>
      </c>
      <c r="B4224" t="s">
        <v>4607</v>
      </c>
      <c r="C4224" t="s">
        <v>9506</v>
      </c>
      <c r="D4224" t="s">
        <v>9507</v>
      </c>
      <c r="E4224">
        <v>9549934062</v>
      </c>
      <c r="F4224" t="s">
        <v>780</v>
      </c>
      <c r="G4224" t="s">
        <v>781</v>
      </c>
      <c r="I4224" t="s">
        <v>20</v>
      </c>
      <c r="J4224" s="13">
        <v>46048</v>
      </c>
      <c r="K4224" s="13">
        <v>46054</v>
      </c>
      <c r="L4224" t="s">
        <v>497</v>
      </c>
      <c r="M4224" t="s">
        <v>56</v>
      </c>
      <c r="N4224">
        <v>73526729</v>
      </c>
    </row>
    <row r="4225" spans="1:14" x14ac:dyDescent="0.25">
      <c r="A4225">
        <v>59887444</v>
      </c>
      <c r="B4225" t="s">
        <v>9508</v>
      </c>
      <c r="C4225" t="s">
        <v>9509</v>
      </c>
      <c r="D4225" t="s">
        <v>9510</v>
      </c>
      <c r="E4225">
        <v>9044445396</v>
      </c>
      <c r="F4225" t="s">
        <v>448</v>
      </c>
      <c r="G4225" t="s">
        <v>449</v>
      </c>
      <c r="I4225" t="s">
        <v>31</v>
      </c>
      <c r="J4225" s="13">
        <v>46048</v>
      </c>
      <c r="K4225" s="13">
        <v>46054</v>
      </c>
      <c r="L4225" t="s">
        <v>497</v>
      </c>
      <c r="M4225" t="s">
        <v>59</v>
      </c>
      <c r="N4225">
        <v>73527028</v>
      </c>
    </row>
    <row r="4226" spans="1:14" x14ac:dyDescent="0.25">
      <c r="A4226">
        <v>59890032</v>
      </c>
      <c r="B4226" t="s">
        <v>9511</v>
      </c>
      <c r="C4226" t="s">
        <v>9512</v>
      </c>
      <c r="D4226" t="s">
        <v>9513</v>
      </c>
      <c r="E4226">
        <v>9286791566</v>
      </c>
      <c r="F4226" t="s">
        <v>1345</v>
      </c>
      <c r="G4226" t="s">
        <v>799</v>
      </c>
      <c r="I4226" t="s">
        <v>47</v>
      </c>
      <c r="J4226" s="13">
        <v>46048</v>
      </c>
      <c r="K4226" s="13">
        <v>46054</v>
      </c>
      <c r="L4226" t="s">
        <v>1179</v>
      </c>
      <c r="M4226" t="s">
        <v>54</v>
      </c>
      <c r="N4226">
        <v>73531180</v>
      </c>
    </row>
    <row r="4227" spans="1:14" x14ac:dyDescent="0.25">
      <c r="A4227">
        <v>59890778</v>
      </c>
      <c r="B4227" t="s">
        <v>867</v>
      </c>
      <c r="C4227" t="s">
        <v>9514</v>
      </c>
      <c r="D4227" t="s">
        <v>9515</v>
      </c>
      <c r="E4227">
        <v>3306094027</v>
      </c>
      <c r="F4227" t="s">
        <v>649</v>
      </c>
      <c r="G4227" t="s">
        <v>650</v>
      </c>
      <c r="I4227" t="s">
        <v>28</v>
      </c>
      <c r="J4227" s="13">
        <v>46048</v>
      </c>
      <c r="K4227" s="13">
        <v>46054</v>
      </c>
      <c r="L4227" t="s">
        <v>418</v>
      </c>
      <c r="M4227" t="s">
        <v>59</v>
      </c>
      <c r="N4227">
        <v>73532998</v>
      </c>
    </row>
    <row r="4228" spans="1:14" x14ac:dyDescent="0.25">
      <c r="A4228">
        <v>59891883</v>
      </c>
      <c r="B4228" t="s">
        <v>2523</v>
      </c>
      <c r="C4228" t="s">
        <v>9516</v>
      </c>
      <c r="D4228" t="s">
        <v>9517</v>
      </c>
      <c r="E4228">
        <v>3342794059</v>
      </c>
      <c r="F4228" t="s">
        <v>1013</v>
      </c>
      <c r="G4228" t="s">
        <v>1014</v>
      </c>
      <c r="I4228" t="s">
        <v>43</v>
      </c>
      <c r="J4228" s="13">
        <v>46048</v>
      </c>
      <c r="K4228" s="13">
        <v>46054</v>
      </c>
      <c r="L4228" t="s">
        <v>450</v>
      </c>
      <c r="M4228" t="s">
        <v>59</v>
      </c>
      <c r="N4228">
        <v>73539578</v>
      </c>
    </row>
    <row r="4229" spans="1:14" x14ac:dyDescent="0.25">
      <c r="A4229">
        <v>59892129</v>
      </c>
      <c r="B4229" t="s">
        <v>925</v>
      </c>
      <c r="C4229" t="s">
        <v>9518</v>
      </c>
      <c r="D4229" t="s">
        <v>9519</v>
      </c>
      <c r="E4229">
        <v>8595363354</v>
      </c>
      <c r="F4229" t="s">
        <v>569</v>
      </c>
      <c r="G4229" t="s">
        <v>570</v>
      </c>
      <c r="I4229" t="s">
        <v>34</v>
      </c>
      <c r="J4229" s="13">
        <v>46048</v>
      </c>
      <c r="K4229" s="13">
        <v>46054</v>
      </c>
      <c r="L4229" t="s">
        <v>490</v>
      </c>
      <c r="M4229" t="s">
        <v>61</v>
      </c>
      <c r="N4229">
        <v>73541543</v>
      </c>
    </row>
    <row r="4230" spans="1:14" x14ac:dyDescent="0.25">
      <c r="A4230">
        <v>59892304</v>
      </c>
      <c r="B4230" t="s">
        <v>1554</v>
      </c>
      <c r="C4230" t="s">
        <v>9520</v>
      </c>
      <c r="D4230" t="s">
        <v>9521</v>
      </c>
      <c r="E4230">
        <v>8643497088</v>
      </c>
      <c r="F4230" t="s">
        <v>574</v>
      </c>
      <c r="G4230" t="s">
        <v>575</v>
      </c>
      <c r="I4230" t="s">
        <v>14</v>
      </c>
      <c r="J4230" s="13">
        <v>46048</v>
      </c>
      <c r="K4230" s="13">
        <v>46054</v>
      </c>
      <c r="L4230" t="s">
        <v>533</v>
      </c>
      <c r="M4230" t="s">
        <v>56</v>
      </c>
      <c r="N4230">
        <v>73542963</v>
      </c>
    </row>
    <row r="4231" spans="1:14" x14ac:dyDescent="0.25">
      <c r="A4231">
        <v>59892580</v>
      </c>
      <c r="B4231" t="s">
        <v>990</v>
      </c>
      <c r="C4231" t="s">
        <v>4061</v>
      </c>
      <c r="D4231" t="s">
        <v>9522</v>
      </c>
      <c r="E4231">
        <v>9286008369</v>
      </c>
      <c r="F4231" t="s">
        <v>770</v>
      </c>
      <c r="G4231" t="s">
        <v>771</v>
      </c>
      <c r="I4231" t="s">
        <v>25</v>
      </c>
      <c r="J4231" s="13">
        <v>46048</v>
      </c>
      <c r="K4231" s="13">
        <v>46054</v>
      </c>
      <c r="L4231" t="s">
        <v>1179</v>
      </c>
      <c r="M4231" t="s">
        <v>54</v>
      </c>
      <c r="N4231">
        <v>73545566</v>
      </c>
    </row>
    <row r="4232" spans="1:14" x14ac:dyDescent="0.25">
      <c r="A4232">
        <v>59897798</v>
      </c>
      <c r="B4232" t="s">
        <v>498</v>
      </c>
      <c r="C4232" t="s">
        <v>9523</v>
      </c>
      <c r="D4232" t="s">
        <v>9524</v>
      </c>
      <c r="E4232">
        <v>7072099608</v>
      </c>
      <c r="F4232" t="s">
        <v>780</v>
      </c>
      <c r="G4232" t="s">
        <v>781</v>
      </c>
      <c r="I4232" t="s">
        <v>20</v>
      </c>
      <c r="J4232" s="13">
        <v>46048</v>
      </c>
      <c r="K4232" s="13">
        <v>46054</v>
      </c>
      <c r="L4232" t="s">
        <v>1179</v>
      </c>
      <c r="M4232" t="s">
        <v>54</v>
      </c>
      <c r="N4232">
        <v>73563997</v>
      </c>
    </row>
    <row r="4233" spans="1:14" x14ac:dyDescent="0.25">
      <c r="A4233">
        <v>59898053</v>
      </c>
      <c r="B4233" t="s">
        <v>8625</v>
      </c>
      <c r="C4233" t="s">
        <v>2039</v>
      </c>
      <c r="D4233" t="s">
        <v>9525</v>
      </c>
      <c r="E4233">
        <v>3042086774</v>
      </c>
      <c r="F4233" t="s">
        <v>1013</v>
      </c>
      <c r="G4233" t="s">
        <v>1014</v>
      </c>
      <c r="I4233" t="s">
        <v>43</v>
      </c>
      <c r="J4233" s="13">
        <v>46048</v>
      </c>
      <c r="K4233" s="13">
        <v>46054</v>
      </c>
      <c r="L4233" t="s">
        <v>1188</v>
      </c>
      <c r="M4233" t="s">
        <v>56</v>
      </c>
      <c r="N4233">
        <v>73566429</v>
      </c>
    </row>
    <row r="4234" spans="1:14" x14ac:dyDescent="0.25">
      <c r="A4234">
        <v>59900202</v>
      </c>
      <c r="B4234" t="s">
        <v>9526</v>
      </c>
      <c r="C4234" t="s">
        <v>9527</v>
      </c>
      <c r="D4234" t="s">
        <v>9528</v>
      </c>
      <c r="E4234">
        <v>5612363672</v>
      </c>
      <c r="F4234" t="s">
        <v>569</v>
      </c>
      <c r="G4234" t="s">
        <v>570</v>
      </c>
      <c r="I4234" t="s">
        <v>34</v>
      </c>
      <c r="J4234" s="13">
        <v>46048</v>
      </c>
      <c r="K4234" s="13">
        <v>46048</v>
      </c>
      <c r="L4234" t="s">
        <v>497</v>
      </c>
      <c r="M4234" t="s">
        <v>54</v>
      </c>
      <c r="N4234">
        <v>73575305</v>
      </c>
    </row>
    <row r="4235" spans="1:14" x14ac:dyDescent="0.25">
      <c r="A4235">
        <v>59900389</v>
      </c>
      <c r="B4235" t="s">
        <v>902</v>
      </c>
      <c r="C4235" t="s">
        <v>9529</v>
      </c>
      <c r="D4235" t="s">
        <v>9530</v>
      </c>
      <c r="E4235">
        <v>6026973024</v>
      </c>
      <c r="F4235" t="s">
        <v>770</v>
      </c>
      <c r="G4235" t="s">
        <v>771</v>
      </c>
      <c r="I4235" t="s">
        <v>25</v>
      </c>
      <c r="J4235" s="13">
        <v>46048</v>
      </c>
      <c r="K4235" s="13">
        <v>46054</v>
      </c>
      <c r="L4235" t="s">
        <v>1179</v>
      </c>
      <c r="M4235" t="s">
        <v>56</v>
      </c>
      <c r="N4235">
        <v>73575435</v>
      </c>
    </row>
    <row r="4236" spans="1:14" x14ac:dyDescent="0.25">
      <c r="A4236">
        <v>59900717</v>
      </c>
      <c r="B4236" t="s">
        <v>9531</v>
      </c>
      <c r="C4236" t="s">
        <v>515</v>
      </c>
      <c r="D4236" t="s">
        <v>9532</v>
      </c>
      <c r="E4236">
        <v>4047488325</v>
      </c>
      <c r="F4236" t="s">
        <v>790</v>
      </c>
      <c r="G4236" t="s">
        <v>791</v>
      </c>
      <c r="I4236" t="s">
        <v>119</v>
      </c>
      <c r="J4236" s="13">
        <v>46048</v>
      </c>
      <c r="K4236" s="13">
        <v>46054</v>
      </c>
      <c r="L4236" t="s">
        <v>621</v>
      </c>
      <c r="M4236" t="s">
        <v>59</v>
      </c>
      <c r="N4236">
        <v>73575669</v>
      </c>
    </row>
    <row r="4237" spans="1:14" x14ac:dyDescent="0.25">
      <c r="A4237">
        <v>59901362</v>
      </c>
      <c r="B4237" t="s">
        <v>517</v>
      </c>
      <c r="C4237" t="s">
        <v>649</v>
      </c>
      <c r="D4237" t="s">
        <v>9533</v>
      </c>
      <c r="E4237">
        <v>2705575218</v>
      </c>
      <c r="F4237" t="s">
        <v>928</v>
      </c>
      <c r="G4237" t="s">
        <v>929</v>
      </c>
      <c r="I4237" t="s">
        <v>30</v>
      </c>
      <c r="J4237" s="13">
        <v>46048</v>
      </c>
      <c r="K4237" s="13">
        <v>46054</v>
      </c>
      <c r="L4237" t="s">
        <v>490</v>
      </c>
      <c r="M4237" t="s">
        <v>56</v>
      </c>
      <c r="N4237">
        <v>73576261</v>
      </c>
    </row>
    <row r="4238" spans="1:14" x14ac:dyDescent="0.25">
      <c r="A4238">
        <v>59901796</v>
      </c>
      <c r="B4238" t="s">
        <v>994</v>
      </c>
      <c r="C4238" t="s">
        <v>2482</v>
      </c>
      <c r="D4238" t="s">
        <v>9534</v>
      </c>
      <c r="E4238">
        <v>5204578813</v>
      </c>
      <c r="F4238" t="s">
        <v>828</v>
      </c>
      <c r="G4238" t="s">
        <v>1148</v>
      </c>
      <c r="I4238" t="s">
        <v>17</v>
      </c>
      <c r="J4238" s="13">
        <v>46048</v>
      </c>
      <c r="K4238" s="13">
        <v>46054</v>
      </c>
      <c r="L4238" t="s">
        <v>1179</v>
      </c>
      <c r="M4238" t="s">
        <v>58</v>
      </c>
      <c r="N4238">
        <v>73576569</v>
      </c>
    </row>
    <row r="4239" spans="1:14" x14ac:dyDescent="0.25">
      <c r="A4239">
        <v>59902509</v>
      </c>
      <c r="B4239" t="s">
        <v>9535</v>
      </c>
      <c r="C4239" t="s">
        <v>9536</v>
      </c>
      <c r="D4239" t="s">
        <v>9537</v>
      </c>
      <c r="E4239">
        <v>6463314771</v>
      </c>
      <c r="F4239" t="s">
        <v>416</v>
      </c>
      <c r="G4239" t="s">
        <v>417</v>
      </c>
      <c r="I4239" t="s">
        <v>26</v>
      </c>
      <c r="J4239" s="13">
        <v>46048</v>
      </c>
      <c r="K4239" s="13">
        <v>46054</v>
      </c>
      <c r="L4239" t="s">
        <v>497</v>
      </c>
      <c r="M4239" t="s">
        <v>60</v>
      </c>
      <c r="N4239">
        <v>73577074</v>
      </c>
    </row>
    <row r="4240" spans="1:14" x14ac:dyDescent="0.25">
      <c r="A4240">
        <v>59902485</v>
      </c>
      <c r="B4240" t="s">
        <v>9538</v>
      </c>
      <c r="C4240" t="s">
        <v>8794</v>
      </c>
      <c r="D4240" t="s">
        <v>9539</v>
      </c>
      <c r="E4240">
        <v>4805067963</v>
      </c>
      <c r="F4240" t="s">
        <v>649</v>
      </c>
      <c r="G4240" t="s">
        <v>650</v>
      </c>
      <c r="I4240" t="s">
        <v>28</v>
      </c>
      <c r="J4240" s="13">
        <v>46048</v>
      </c>
      <c r="K4240" s="13">
        <v>46054</v>
      </c>
      <c r="L4240" t="s">
        <v>1179</v>
      </c>
      <c r="M4240" t="s">
        <v>55</v>
      </c>
      <c r="N4240">
        <v>73577078</v>
      </c>
    </row>
    <row r="4241" spans="1:14" x14ac:dyDescent="0.25">
      <c r="A4241">
        <v>61140632</v>
      </c>
      <c r="B4241" t="s">
        <v>8339</v>
      </c>
      <c r="C4241" t="s">
        <v>546</v>
      </c>
      <c r="D4241" t="s">
        <v>9540</v>
      </c>
      <c r="E4241">
        <v>6026076066</v>
      </c>
      <c r="F4241" t="s">
        <v>807</v>
      </c>
      <c r="G4241" t="s">
        <v>808</v>
      </c>
      <c r="I4241" t="s">
        <v>33</v>
      </c>
      <c r="J4241" s="13">
        <v>46085</v>
      </c>
      <c r="K4241" s="13">
        <v>46113</v>
      </c>
      <c r="L4241" t="s">
        <v>1179</v>
      </c>
      <c r="M4241" t="s">
        <v>56</v>
      </c>
      <c r="N4241">
        <v>73577096</v>
      </c>
    </row>
    <row r="4242" spans="1:14" x14ac:dyDescent="0.25">
      <c r="A4242">
        <v>61189700</v>
      </c>
      <c r="B4242" t="s">
        <v>1167</v>
      </c>
      <c r="C4242" t="s">
        <v>9541</v>
      </c>
      <c r="D4242" t="s">
        <v>9542</v>
      </c>
      <c r="E4242">
        <v>5204657582</v>
      </c>
      <c r="F4242" t="s">
        <v>780</v>
      </c>
      <c r="G4242" t="s">
        <v>781</v>
      </c>
      <c r="I4242" t="s">
        <v>20</v>
      </c>
      <c r="J4242" s="13">
        <v>46087</v>
      </c>
      <c r="K4242" s="13">
        <v>46113</v>
      </c>
      <c r="L4242" t="s">
        <v>1179</v>
      </c>
      <c r="M4242" t="s">
        <v>59</v>
      </c>
      <c r="N4242">
        <v>73579001</v>
      </c>
    </row>
    <row r="4243" spans="1:14" x14ac:dyDescent="0.25">
      <c r="A4243">
        <v>59906023</v>
      </c>
      <c r="B4243" t="s">
        <v>9543</v>
      </c>
      <c r="C4243" t="s">
        <v>9544</v>
      </c>
      <c r="D4243" t="s">
        <v>9545</v>
      </c>
      <c r="E4243">
        <v>2053109264</v>
      </c>
      <c r="F4243" t="s">
        <v>448</v>
      </c>
      <c r="G4243" t="s">
        <v>449</v>
      </c>
      <c r="I4243" t="s">
        <v>31</v>
      </c>
      <c r="J4243" s="13">
        <v>46048</v>
      </c>
      <c r="K4243" s="13">
        <v>46054</v>
      </c>
      <c r="L4243" t="s">
        <v>450</v>
      </c>
      <c r="M4243" t="s">
        <v>58</v>
      </c>
      <c r="N4243">
        <v>73579081</v>
      </c>
    </row>
    <row r="4244" spans="1:14" x14ac:dyDescent="0.25">
      <c r="A4244">
        <v>59906417</v>
      </c>
      <c r="B4244" t="s">
        <v>5707</v>
      </c>
      <c r="C4244" t="s">
        <v>1702</v>
      </c>
      <c r="D4244" t="s">
        <v>9546</v>
      </c>
      <c r="E4244">
        <v>3348200924</v>
      </c>
      <c r="F4244" t="s">
        <v>790</v>
      </c>
      <c r="G4244" t="s">
        <v>791</v>
      </c>
      <c r="I4244" t="s">
        <v>119</v>
      </c>
      <c r="J4244" s="13">
        <v>46048</v>
      </c>
      <c r="K4244" s="13">
        <v>46054</v>
      </c>
      <c r="L4244" t="s">
        <v>450</v>
      </c>
      <c r="M4244" t="s">
        <v>58</v>
      </c>
      <c r="N4244">
        <v>73579418</v>
      </c>
    </row>
    <row r="4245" spans="1:14" x14ac:dyDescent="0.25">
      <c r="A4245">
        <v>59907012</v>
      </c>
      <c r="B4245" t="s">
        <v>4867</v>
      </c>
      <c r="C4245" t="s">
        <v>9547</v>
      </c>
      <c r="D4245" t="s">
        <v>9548</v>
      </c>
      <c r="E4245">
        <v>6028835484</v>
      </c>
      <c r="F4245" t="s">
        <v>569</v>
      </c>
      <c r="G4245" t="s">
        <v>570</v>
      </c>
      <c r="I4245" t="s">
        <v>34</v>
      </c>
      <c r="J4245" s="13">
        <v>46048</v>
      </c>
      <c r="K4245" s="13">
        <v>46054</v>
      </c>
      <c r="L4245" t="s">
        <v>1179</v>
      </c>
      <c r="M4245" t="s">
        <v>56</v>
      </c>
      <c r="N4245">
        <v>73579847</v>
      </c>
    </row>
    <row r="4246" spans="1:14" x14ac:dyDescent="0.25">
      <c r="A4246">
        <v>59907014</v>
      </c>
      <c r="B4246" t="s">
        <v>5362</v>
      </c>
      <c r="C4246" t="s">
        <v>9549</v>
      </c>
      <c r="D4246" t="s">
        <v>9550</v>
      </c>
      <c r="E4246">
        <v>9419338576</v>
      </c>
      <c r="F4246" t="s">
        <v>815</v>
      </c>
      <c r="G4246" t="s">
        <v>816</v>
      </c>
      <c r="I4246" t="s">
        <v>23</v>
      </c>
      <c r="J4246" s="13">
        <v>46048</v>
      </c>
      <c r="K4246" s="13">
        <v>46054</v>
      </c>
      <c r="L4246" t="s">
        <v>497</v>
      </c>
      <c r="M4246" t="s">
        <v>58</v>
      </c>
      <c r="N4246">
        <v>73579849</v>
      </c>
    </row>
    <row r="4247" spans="1:14" x14ac:dyDescent="0.25">
      <c r="A4247">
        <v>59907129</v>
      </c>
      <c r="B4247" t="s">
        <v>2244</v>
      </c>
      <c r="C4247" t="s">
        <v>9551</v>
      </c>
      <c r="D4247" t="s">
        <v>9552</v>
      </c>
      <c r="E4247">
        <v>7703986145</v>
      </c>
      <c r="F4247" t="s">
        <v>551</v>
      </c>
      <c r="G4247" t="s">
        <v>552</v>
      </c>
      <c r="I4247" t="s">
        <v>42</v>
      </c>
      <c r="J4247" s="13">
        <v>46048</v>
      </c>
      <c r="K4247" s="13">
        <v>46054</v>
      </c>
      <c r="L4247" t="s">
        <v>621</v>
      </c>
      <c r="M4247" t="s">
        <v>60</v>
      </c>
      <c r="N4247">
        <v>73579864</v>
      </c>
    </row>
    <row r="4248" spans="1:14" x14ac:dyDescent="0.25">
      <c r="A4248">
        <v>59908105</v>
      </c>
      <c r="B4248" t="s">
        <v>9553</v>
      </c>
      <c r="C4248" t="s">
        <v>9554</v>
      </c>
      <c r="D4248" t="s">
        <v>9555</v>
      </c>
      <c r="E4248">
        <v>6027278669</v>
      </c>
      <c r="F4248" t="s">
        <v>416</v>
      </c>
      <c r="G4248" t="s">
        <v>417</v>
      </c>
      <c r="I4248" t="s">
        <v>26</v>
      </c>
      <c r="J4248" s="13">
        <v>46048</v>
      </c>
      <c r="K4248" s="13">
        <v>46054</v>
      </c>
      <c r="L4248" t="s">
        <v>1179</v>
      </c>
      <c r="M4248" t="s">
        <v>54</v>
      </c>
      <c r="N4248">
        <v>73580612</v>
      </c>
    </row>
    <row r="4249" spans="1:14" x14ac:dyDescent="0.25">
      <c r="A4249">
        <v>59913980</v>
      </c>
      <c r="B4249" t="s">
        <v>9556</v>
      </c>
      <c r="C4249" t="s">
        <v>9557</v>
      </c>
      <c r="D4249" t="s">
        <v>9558</v>
      </c>
      <c r="E4249">
        <v>9045763590</v>
      </c>
      <c r="F4249" t="s">
        <v>928</v>
      </c>
      <c r="G4249" t="s">
        <v>929</v>
      </c>
      <c r="I4249" t="s">
        <v>30</v>
      </c>
      <c r="J4249" s="13">
        <v>46049</v>
      </c>
      <c r="K4249" s="13">
        <v>46054</v>
      </c>
      <c r="L4249" t="s">
        <v>497</v>
      </c>
      <c r="M4249" t="s">
        <v>56</v>
      </c>
      <c r="N4249">
        <v>73586185</v>
      </c>
    </row>
    <row r="4250" spans="1:14" x14ac:dyDescent="0.25">
      <c r="A4250">
        <v>59914895</v>
      </c>
      <c r="B4250" t="s">
        <v>9559</v>
      </c>
      <c r="C4250" t="s">
        <v>9560</v>
      </c>
      <c r="D4250" t="s">
        <v>9561</v>
      </c>
      <c r="E4250">
        <v>5617146235</v>
      </c>
      <c r="F4250" t="s">
        <v>574</v>
      </c>
      <c r="G4250" t="s">
        <v>575</v>
      </c>
      <c r="I4250" t="s">
        <v>14</v>
      </c>
      <c r="J4250" s="13">
        <v>46049</v>
      </c>
      <c r="K4250" s="13">
        <v>46054</v>
      </c>
      <c r="L4250" t="s">
        <v>497</v>
      </c>
      <c r="M4250" t="s">
        <v>60</v>
      </c>
      <c r="N4250">
        <v>73586942</v>
      </c>
    </row>
    <row r="4251" spans="1:14" x14ac:dyDescent="0.25">
      <c r="A4251">
        <v>59915168</v>
      </c>
      <c r="B4251" t="s">
        <v>8232</v>
      </c>
      <c r="C4251" t="s">
        <v>416</v>
      </c>
      <c r="D4251" t="s">
        <v>9562</v>
      </c>
      <c r="E4251" t="s">
        <v>9563</v>
      </c>
      <c r="F4251" t="s">
        <v>705</v>
      </c>
      <c r="G4251" t="s">
        <v>706</v>
      </c>
      <c r="I4251" t="s">
        <v>12</v>
      </c>
      <c r="J4251" s="13">
        <v>46049</v>
      </c>
      <c r="K4251" s="13">
        <v>46054</v>
      </c>
      <c r="L4251" t="s">
        <v>612</v>
      </c>
      <c r="M4251" t="s">
        <v>59</v>
      </c>
      <c r="N4251">
        <v>73587169</v>
      </c>
    </row>
    <row r="4252" spans="1:14" x14ac:dyDescent="0.25">
      <c r="A4252">
        <v>59915221</v>
      </c>
      <c r="B4252" t="s">
        <v>9564</v>
      </c>
      <c r="C4252" t="s">
        <v>9565</v>
      </c>
      <c r="D4252" t="s">
        <v>9566</v>
      </c>
      <c r="E4252" t="s">
        <v>9567</v>
      </c>
      <c r="F4252" t="s">
        <v>628</v>
      </c>
      <c r="G4252" t="s">
        <v>629</v>
      </c>
      <c r="I4252" t="s">
        <v>24</v>
      </c>
      <c r="J4252" s="13">
        <v>46049</v>
      </c>
      <c r="K4252" s="13">
        <v>46054</v>
      </c>
      <c r="L4252" t="s">
        <v>418</v>
      </c>
      <c r="M4252" t="s">
        <v>60</v>
      </c>
      <c r="N4252">
        <v>73587222</v>
      </c>
    </row>
    <row r="4253" spans="1:14" x14ac:dyDescent="0.25">
      <c r="A4253">
        <v>59916125</v>
      </c>
      <c r="B4253" t="s">
        <v>822</v>
      </c>
      <c r="C4253" t="s">
        <v>9568</v>
      </c>
      <c r="D4253" t="s">
        <v>9566</v>
      </c>
      <c r="E4253">
        <v>9372035428</v>
      </c>
      <c r="F4253" t="s">
        <v>628</v>
      </c>
      <c r="G4253" t="s">
        <v>629</v>
      </c>
      <c r="I4253" t="s">
        <v>24</v>
      </c>
      <c r="J4253" s="13">
        <v>46049</v>
      </c>
      <c r="K4253" s="13">
        <v>46054</v>
      </c>
      <c r="L4253" t="s">
        <v>418</v>
      </c>
      <c r="M4253" t="s">
        <v>60</v>
      </c>
      <c r="N4253">
        <v>73587883</v>
      </c>
    </row>
    <row r="4254" spans="1:14" x14ac:dyDescent="0.25">
      <c r="A4254">
        <v>59916362</v>
      </c>
      <c r="B4254" t="s">
        <v>1635</v>
      </c>
      <c r="C4254" t="s">
        <v>9569</v>
      </c>
      <c r="D4254" t="s">
        <v>9570</v>
      </c>
      <c r="E4254">
        <v>9382573945</v>
      </c>
      <c r="F4254" t="s">
        <v>828</v>
      </c>
      <c r="G4254" t="s">
        <v>1148</v>
      </c>
      <c r="I4254" t="s">
        <v>17</v>
      </c>
      <c r="J4254" s="13">
        <v>46049</v>
      </c>
      <c r="K4254" s="13">
        <v>46054</v>
      </c>
      <c r="L4254" t="s">
        <v>450</v>
      </c>
      <c r="M4254" t="s">
        <v>59</v>
      </c>
      <c r="N4254">
        <v>73588053</v>
      </c>
    </row>
    <row r="4255" spans="1:14" x14ac:dyDescent="0.25">
      <c r="A4255">
        <v>59916492</v>
      </c>
      <c r="B4255" t="s">
        <v>7354</v>
      </c>
      <c r="C4255" t="s">
        <v>7293</v>
      </c>
      <c r="D4255" t="s">
        <v>9571</v>
      </c>
      <c r="E4255">
        <v>2059312266</v>
      </c>
      <c r="F4255" t="s">
        <v>448</v>
      </c>
      <c r="G4255" t="s">
        <v>449</v>
      </c>
      <c r="I4255" t="s">
        <v>31</v>
      </c>
      <c r="J4255" s="13">
        <v>46049</v>
      </c>
      <c r="K4255" s="13">
        <v>46054</v>
      </c>
      <c r="L4255" t="s">
        <v>450</v>
      </c>
      <c r="M4255" t="s">
        <v>58</v>
      </c>
      <c r="N4255">
        <v>73588166</v>
      </c>
    </row>
    <row r="4256" spans="1:14" x14ac:dyDescent="0.25">
      <c r="A4256">
        <v>59916783</v>
      </c>
      <c r="B4256" t="s">
        <v>6753</v>
      </c>
      <c r="C4256" t="s">
        <v>9572</v>
      </c>
      <c r="D4256" t="s">
        <v>9573</v>
      </c>
      <c r="E4256">
        <v>2108470491</v>
      </c>
      <c r="F4256" t="s">
        <v>790</v>
      </c>
      <c r="G4256" t="s">
        <v>791</v>
      </c>
      <c r="I4256" t="s">
        <v>119</v>
      </c>
      <c r="J4256" s="13">
        <v>46049</v>
      </c>
      <c r="K4256" s="13">
        <v>46054</v>
      </c>
      <c r="L4256" t="s">
        <v>444</v>
      </c>
      <c r="M4256" t="s">
        <v>58</v>
      </c>
      <c r="N4256">
        <v>73588270</v>
      </c>
    </row>
    <row r="4257" spans="1:14" x14ac:dyDescent="0.25">
      <c r="A4257">
        <v>59917442</v>
      </c>
      <c r="B4257" t="s">
        <v>5941</v>
      </c>
      <c r="C4257" t="s">
        <v>9574</v>
      </c>
      <c r="D4257" t="s">
        <v>9575</v>
      </c>
      <c r="E4257">
        <v>9703174425</v>
      </c>
      <c r="F4257" t="s">
        <v>775</v>
      </c>
      <c r="G4257" t="s">
        <v>776</v>
      </c>
      <c r="I4257" t="s">
        <v>22</v>
      </c>
      <c r="J4257" s="13">
        <v>46049</v>
      </c>
      <c r="K4257" s="13">
        <v>46054</v>
      </c>
      <c r="L4257" t="s">
        <v>539</v>
      </c>
      <c r="M4257" t="s">
        <v>55</v>
      </c>
      <c r="N4257">
        <v>73588765</v>
      </c>
    </row>
    <row r="4258" spans="1:14" x14ac:dyDescent="0.25">
      <c r="A4258">
        <v>59917544</v>
      </c>
      <c r="B4258" t="s">
        <v>9264</v>
      </c>
      <c r="C4258" t="s">
        <v>9576</v>
      </c>
      <c r="D4258" t="s">
        <v>9577</v>
      </c>
      <c r="E4258">
        <v>6029212023</v>
      </c>
      <c r="F4258" t="s">
        <v>649</v>
      </c>
      <c r="G4258" t="s">
        <v>650</v>
      </c>
      <c r="I4258" t="s">
        <v>28</v>
      </c>
      <c r="J4258" s="13">
        <v>46049</v>
      </c>
      <c r="K4258" s="13">
        <v>46054</v>
      </c>
      <c r="L4258" t="s">
        <v>1179</v>
      </c>
      <c r="M4258" t="s">
        <v>55</v>
      </c>
      <c r="N4258">
        <v>73588861</v>
      </c>
    </row>
    <row r="4259" spans="1:14" x14ac:dyDescent="0.25">
      <c r="A4259">
        <v>59918353</v>
      </c>
      <c r="B4259" t="s">
        <v>899</v>
      </c>
      <c r="C4259" t="s">
        <v>9578</v>
      </c>
      <c r="D4259" t="s">
        <v>9579</v>
      </c>
      <c r="E4259">
        <v>5613947947</v>
      </c>
      <c r="F4259" t="s">
        <v>1067</v>
      </c>
      <c r="G4259" t="s">
        <v>1068</v>
      </c>
      <c r="I4259" t="s">
        <v>35</v>
      </c>
      <c r="J4259" s="13">
        <v>46049</v>
      </c>
      <c r="K4259" s="13">
        <v>46054</v>
      </c>
      <c r="L4259" t="s">
        <v>497</v>
      </c>
      <c r="M4259" t="s">
        <v>56</v>
      </c>
      <c r="N4259">
        <v>73589469</v>
      </c>
    </row>
    <row r="4260" spans="1:14" x14ac:dyDescent="0.25">
      <c r="A4260">
        <v>59919390</v>
      </c>
      <c r="B4260" t="s">
        <v>925</v>
      </c>
      <c r="C4260" t="s">
        <v>9580</v>
      </c>
      <c r="D4260" t="s">
        <v>9581</v>
      </c>
      <c r="E4260" t="s">
        <v>9582</v>
      </c>
      <c r="F4260" t="s">
        <v>551</v>
      </c>
      <c r="G4260" t="s">
        <v>552</v>
      </c>
      <c r="I4260" t="s">
        <v>42</v>
      </c>
      <c r="J4260" s="13">
        <v>46049</v>
      </c>
      <c r="K4260" s="13">
        <v>46054</v>
      </c>
      <c r="L4260" t="s">
        <v>454</v>
      </c>
      <c r="M4260" t="s">
        <v>419</v>
      </c>
      <c r="N4260">
        <v>73590196</v>
      </c>
    </row>
    <row r="4261" spans="1:14" x14ac:dyDescent="0.25">
      <c r="A4261">
        <v>59919482</v>
      </c>
      <c r="B4261" t="s">
        <v>1910</v>
      </c>
      <c r="C4261" t="s">
        <v>1368</v>
      </c>
      <c r="D4261" t="s">
        <v>9583</v>
      </c>
      <c r="E4261">
        <v>7025046956</v>
      </c>
      <c r="F4261" t="s">
        <v>705</v>
      </c>
      <c r="G4261" t="s">
        <v>706</v>
      </c>
      <c r="I4261" t="s">
        <v>12</v>
      </c>
      <c r="J4261" s="13">
        <v>46049</v>
      </c>
      <c r="K4261" s="13">
        <v>46054</v>
      </c>
      <c r="L4261" t="s">
        <v>483</v>
      </c>
      <c r="M4261" t="s">
        <v>58</v>
      </c>
      <c r="N4261">
        <v>73590329</v>
      </c>
    </row>
    <row r="4262" spans="1:14" x14ac:dyDescent="0.25">
      <c r="A4262">
        <v>59919814</v>
      </c>
      <c r="B4262" t="s">
        <v>1106</v>
      </c>
      <c r="C4262" t="s">
        <v>9584</v>
      </c>
      <c r="D4262" t="s">
        <v>9585</v>
      </c>
      <c r="E4262">
        <v>9286144164</v>
      </c>
      <c r="F4262" t="s">
        <v>807</v>
      </c>
      <c r="G4262" t="s">
        <v>808</v>
      </c>
      <c r="I4262" t="s">
        <v>33</v>
      </c>
      <c r="J4262" s="13">
        <v>46049</v>
      </c>
      <c r="K4262" s="13">
        <v>46054</v>
      </c>
      <c r="L4262" t="s">
        <v>1179</v>
      </c>
      <c r="M4262" t="s">
        <v>54</v>
      </c>
      <c r="N4262">
        <v>73590626</v>
      </c>
    </row>
    <row r="4263" spans="1:14" x14ac:dyDescent="0.25">
      <c r="A4263">
        <v>59921117</v>
      </c>
      <c r="B4263" t="s">
        <v>743</v>
      </c>
      <c r="C4263" t="s">
        <v>9586</v>
      </c>
      <c r="D4263" t="s">
        <v>9587</v>
      </c>
      <c r="E4263">
        <v>6024031525</v>
      </c>
      <c r="F4263" t="s">
        <v>569</v>
      </c>
      <c r="G4263" t="s">
        <v>570</v>
      </c>
      <c r="I4263" t="s">
        <v>34</v>
      </c>
      <c r="J4263" s="13">
        <v>46049</v>
      </c>
      <c r="K4263" s="13">
        <v>46054</v>
      </c>
      <c r="L4263" t="s">
        <v>1179</v>
      </c>
      <c r="M4263" t="s">
        <v>54</v>
      </c>
      <c r="N4263">
        <v>73591840</v>
      </c>
    </row>
    <row r="4264" spans="1:14" x14ac:dyDescent="0.25">
      <c r="A4264">
        <v>59921548</v>
      </c>
      <c r="B4264" t="s">
        <v>1991</v>
      </c>
      <c r="C4264" t="s">
        <v>9588</v>
      </c>
      <c r="D4264" t="s">
        <v>9589</v>
      </c>
      <c r="E4264">
        <v>6177995973</v>
      </c>
      <c r="F4264" t="s">
        <v>416</v>
      </c>
      <c r="G4264" t="s">
        <v>417</v>
      </c>
      <c r="I4264" t="s">
        <v>26</v>
      </c>
      <c r="J4264" s="13">
        <v>46049</v>
      </c>
      <c r="K4264" s="13">
        <v>46054</v>
      </c>
      <c r="L4264" t="s">
        <v>497</v>
      </c>
      <c r="M4264" t="s">
        <v>56</v>
      </c>
      <c r="N4264">
        <v>73592126</v>
      </c>
    </row>
    <row r="4265" spans="1:14" x14ac:dyDescent="0.25">
      <c r="A4265">
        <v>59921685</v>
      </c>
      <c r="B4265" t="s">
        <v>9590</v>
      </c>
      <c r="C4265" t="s">
        <v>9591</v>
      </c>
      <c r="D4265" t="s">
        <v>9592</v>
      </c>
      <c r="E4265">
        <v>6184491221</v>
      </c>
      <c r="F4265" t="s">
        <v>448</v>
      </c>
      <c r="G4265" t="s">
        <v>449</v>
      </c>
      <c r="I4265" t="s">
        <v>31</v>
      </c>
      <c r="J4265" s="13">
        <v>46049</v>
      </c>
      <c r="K4265" s="13">
        <v>46054</v>
      </c>
      <c r="L4265" t="s">
        <v>470</v>
      </c>
      <c r="M4265" t="s">
        <v>61</v>
      </c>
      <c r="N4265">
        <v>73592395</v>
      </c>
    </row>
    <row r="4266" spans="1:14" x14ac:dyDescent="0.25">
      <c r="A4266">
        <v>59922197</v>
      </c>
      <c r="B4266" t="s">
        <v>812</v>
      </c>
      <c r="C4266" t="s">
        <v>1967</v>
      </c>
      <c r="D4266" t="s">
        <v>9593</v>
      </c>
      <c r="E4266">
        <v>8173538131</v>
      </c>
      <c r="F4266" t="s">
        <v>815</v>
      </c>
      <c r="G4266" t="s">
        <v>816</v>
      </c>
      <c r="I4266" t="s">
        <v>23</v>
      </c>
      <c r="J4266" s="13">
        <v>46049</v>
      </c>
      <c r="K4266" s="13">
        <v>46054</v>
      </c>
      <c r="L4266" t="s">
        <v>444</v>
      </c>
      <c r="M4266" t="s">
        <v>56</v>
      </c>
      <c r="N4266">
        <v>73592760</v>
      </c>
    </row>
    <row r="4267" spans="1:14" x14ac:dyDescent="0.25">
      <c r="A4267">
        <v>59924493</v>
      </c>
      <c r="B4267" t="s">
        <v>812</v>
      </c>
      <c r="C4267" t="s">
        <v>9594</v>
      </c>
      <c r="D4267" t="s">
        <v>9595</v>
      </c>
      <c r="E4267">
        <v>3148855216</v>
      </c>
      <c r="F4267" t="s">
        <v>775</v>
      </c>
      <c r="G4267" t="s">
        <v>776</v>
      </c>
      <c r="I4267" t="s">
        <v>22</v>
      </c>
      <c r="J4267" s="13">
        <v>46049</v>
      </c>
      <c r="K4267" s="13">
        <v>46054</v>
      </c>
      <c r="L4267" t="s">
        <v>1179</v>
      </c>
      <c r="M4267" t="s">
        <v>59</v>
      </c>
      <c r="N4267">
        <v>73594833</v>
      </c>
    </row>
    <row r="4268" spans="1:14" x14ac:dyDescent="0.25">
      <c r="A4268">
        <v>59924785</v>
      </c>
      <c r="B4268" t="s">
        <v>3546</v>
      </c>
      <c r="C4268" t="s">
        <v>5171</v>
      </c>
      <c r="D4268" t="s">
        <v>9596</v>
      </c>
      <c r="E4268">
        <v>7634616332</v>
      </c>
      <c r="F4268" t="s">
        <v>798</v>
      </c>
      <c r="G4268" t="s">
        <v>799</v>
      </c>
      <c r="I4268" t="s">
        <v>800</v>
      </c>
      <c r="J4268" s="13">
        <v>46049</v>
      </c>
      <c r="K4268" s="13">
        <v>46054</v>
      </c>
      <c r="L4268" t="s">
        <v>621</v>
      </c>
      <c r="M4268" t="s">
        <v>59</v>
      </c>
      <c r="N4268">
        <v>73595197</v>
      </c>
    </row>
    <row r="4269" spans="1:14" x14ac:dyDescent="0.25">
      <c r="A4269">
        <v>59928480</v>
      </c>
      <c r="B4269" t="s">
        <v>1316</v>
      </c>
      <c r="C4269" t="s">
        <v>9597</v>
      </c>
      <c r="D4269" t="s">
        <v>9598</v>
      </c>
      <c r="E4269">
        <v>6238477940</v>
      </c>
      <c r="F4269" t="s">
        <v>628</v>
      </c>
      <c r="G4269" t="s">
        <v>629</v>
      </c>
      <c r="I4269" t="s">
        <v>24</v>
      </c>
      <c r="J4269" s="13">
        <v>46049</v>
      </c>
      <c r="K4269" s="13">
        <v>46054</v>
      </c>
      <c r="L4269" t="s">
        <v>1179</v>
      </c>
      <c r="M4269" t="s">
        <v>55</v>
      </c>
      <c r="N4269">
        <v>73604636</v>
      </c>
    </row>
    <row r="4270" spans="1:14" x14ac:dyDescent="0.25">
      <c r="A4270">
        <v>59928611</v>
      </c>
      <c r="B4270" t="s">
        <v>1835</v>
      </c>
      <c r="C4270" t="s">
        <v>1287</v>
      </c>
      <c r="D4270" t="s">
        <v>9599</v>
      </c>
      <c r="E4270">
        <v>5733811676</v>
      </c>
      <c r="F4270" t="s">
        <v>649</v>
      </c>
      <c r="G4270" t="s">
        <v>650</v>
      </c>
      <c r="I4270" t="s">
        <v>28</v>
      </c>
      <c r="J4270" s="13">
        <v>46049</v>
      </c>
      <c r="K4270" s="13">
        <v>46054</v>
      </c>
      <c r="L4270" t="s">
        <v>434</v>
      </c>
      <c r="M4270" t="s">
        <v>58</v>
      </c>
      <c r="N4270">
        <v>73604728</v>
      </c>
    </row>
    <row r="4271" spans="1:14" x14ac:dyDescent="0.25">
      <c r="A4271">
        <v>59928894</v>
      </c>
      <c r="B4271" t="s">
        <v>1797</v>
      </c>
      <c r="C4271" t="s">
        <v>9600</v>
      </c>
      <c r="D4271" t="s">
        <v>9601</v>
      </c>
      <c r="E4271">
        <v>7085174753</v>
      </c>
      <c r="F4271" t="s">
        <v>705</v>
      </c>
      <c r="G4271" t="s">
        <v>706</v>
      </c>
      <c r="I4271" t="s">
        <v>12</v>
      </c>
      <c r="J4271" s="13">
        <v>46049</v>
      </c>
      <c r="K4271" s="13">
        <v>46054</v>
      </c>
      <c r="L4271" t="s">
        <v>470</v>
      </c>
      <c r="M4271" t="s">
        <v>60</v>
      </c>
      <c r="N4271">
        <v>73605950</v>
      </c>
    </row>
    <row r="4272" spans="1:14" x14ac:dyDescent="0.25">
      <c r="A4272">
        <v>59929027</v>
      </c>
      <c r="B4272" t="s">
        <v>3995</v>
      </c>
      <c r="C4272" t="s">
        <v>9602</v>
      </c>
      <c r="D4272" t="s">
        <v>9603</v>
      </c>
      <c r="E4272">
        <v>9285873450</v>
      </c>
      <c r="F4272" t="s">
        <v>551</v>
      </c>
      <c r="G4272" t="s">
        <v>552</v>
      </c>
      <c r="I4272" t="s">
        <v>42</v>
      </c>
      <c r="J4272" s="13">
        <v>46049</v>
      </c>
      <c r="K4272" s="13">
        <v>46054</v>
      </c>
      <c r="L4272" t="s">
        <v>1179</v>
      </c>
      <c r="M4272" t="s">
        <v>56</v>
      </c>
      <c r="N4272">
        <v>73607034</v>
      </c>
    </row>
    <row r="4273" spans="1:14" x14ac:dyDescent="0.25">
      <c r="A4273">
        <v>59929701</v>
      </c>
      <c r="B4273" t="s">
        <v>1797</v>
      </c>
      <c r="C4273" t="s">
        <v>9604</v>
      </c>
      <c r="D4273" t="s">
        <v>9605</v>
      </c>
      <c r="E4273">
        <v>9042587520</v>
      </c>
      <c r="F4273" t="s">
        <v>448</v>
      </c>
      <c r="G4273" t="s">
        <v>449</v>
      </c>
      <c r="I4273" t="s">
        <v>31</v>
      </c>
      <c r="J4273" s="13">
        <v>46049</v>
      </c>
      <c r="K4273" s="13">
        <v>46054</v>
      </c>
      <c r="L4273" t="s">
        <v>497</v>
      </c>
      <c r="M4273" t="s">
        <v>56</v>
      </c>
      <c r="N4273">
        <v>73610688</v>
      </c>
    </row>
    <row r="4274" spans="1:14" x14ac:dyDescent="0.25">
      <c r="A4274">
        <v>59930990</v>
      </c>
      <c r="B4274" t="s">
        <v>464</v>
      </c>
      <c r="C4274" t="s">
        <v>9606</v>
      </c>
      <c r="D4274" t="s">
        <v>9607</v>
      </c>
      <c r="E4274">
        <v>5209101226</v>
      </c>
      <c r="F4274" t="s">
        <v>569</v>
      </c>
      <c r="G4274" t="s">
        <v>570</v>
      </c>
      <c r="I4274" t="s">
        <v>34</v>
      </c>
      <c r="J4274" s="13">
        <v>46049</v>
      </c>
      <c r="K4274" s="13">
        <v>46054</v>
      </c>
      <c r="L4274" t="s">
        <v>1179</v>
      </c>
      <c r="M4274" t="s">
        <v>59</v>
      </c>
      <c r="N4274">
        <v>73618150</v>
      </c>
    </row>
    <row r="4275" spans="1:14" x14ac:dyDescent="0.25">
      <c r="A4275">
        <v>59931439</v>
      </c>
      <c r="B4275" t="s">
        <v>2920</v>
      </c>
      <c r="C4275" t="s">
        <v>3892</v>
      </c>
      <c r="D4275" t="s">
        <v>9608</v>
      </c>
      <c r="E4275">
        <v>8137484605</v>
      </c>
      <c r="F4275" t="s">
        <v>775</v>
      </c>
      <c r="G4275" t="s">
        <v>776</v>
      </c>
      <c r="I4275" t="s">
        <v>22</v>
      </c>
      <c r="J4275" s="13">
        <v>46049</v>
      </c>
      <c r="K4275" s="13">
        <v>46054</v>
      </c>
      <c r="L4275" t="s">
        <v>497</v>
      </c>
      <c r="M4275" t="s">
        <v>56</v>
      </c>
      <c r="N4275">
        <v>73619968</v>
      </c>
    </row>
    <row r="4276" spans="1:14" x14ac:dyDescent="0.25">
      <c r="A4276">
        <v>59931596</v>
      </c>
      <c r="B4276" t="s">
        <v>9609</v>
      </c>
      <c r="C4276" t="s">
        <v>9610</v>
      </c>
      <c r="D4276" t="s">
        <v>9611</v>
      </c>
      <c r="E4276">
        <v>7408018154</v>
      </c>
      <c r="F4276" t="s">
        <v>574</v>
      </c>
      <c r="G4276" t="s">
        <v>575</v>
      </c>
      <c r="I4276" t="s">
        <v>14</v>
      </c>
      <c r="J4276" s="13">
        <v>46049</v>
      </c>
      <c r="K4276" s="13">
        <v>46054</v>
      </c>
      <c r="L4276" t="s">
        <v>418</v>
      </c>
      <c r="M4276" t="s">
        <v>60</v>
      </c>
      <c r="N4276">
        <v>73622181</v>
      </c>
    </row>
    <row r="4277" spans="1:14" x14ac:dyDescent="0.25">
      <c r="A4277">
        <v>59931895</v>
      </c>
      <c r="B4277" t="s">
        <v>9612</v>
      </c>
      <c r="C4277" t="s">
        <v>9613</v>
      </c>
      <c r="D4277" t="s">
        <v>9614</v>
      </c>
      <c r="E4277">
        <v>5202509010</v>
      </c>
      <c r="F4277" t="s">
        <v>416</v>
      </c>
      <c r="G4277" t="s">
        <v>417</v>
      </c>
      <c r="I4277" t="s">
        <v>26</v>
      </c>
      <c r="J4277" s="13">
        <v>46049</v>
      </c>
      <c r="K4277" s="13">
        <v>46054</v>
      </c>
      <c r="L4277" t="s">
        <v>1179</v>
      </c>
      <c r="M4277" t="s">
        <v>59</v>
      </c>
      <c r="N4277">
        <v>73625367</v>
      </c>
    </row>
    <row r="4278" spans="1:14" x14ac:dyDescent="0.25">
      <c r="A4278">
        <v>59931910</v>
      </c>
      <c r="B4278" t="s">
        <v>2523</v>
      </c>
      <c r="C4278" t="s">
        <v>9615</v>
      </c>
      <c r="D4278" t="s">
        <v>9616</v>
      </c>
      <c r="E4278">
        <v>3044793733</v>
      </c>
      <c r="F4278" t="s">
        <v>1067</v>
      </c>
      <c r="G4278" t="s">
        <v>1068</v>
      </c>
      <c r="I4278" t="s">
        <v>35</v>
      </c>
      <c r="J4278" s="13">
        <v>46049</v>
      </c>
      <c r="K4278" s="13">
        <v>46054</v>
      </c>
      <c r="L4278" t="s">
        <v>1188</v>
      </c>
      <c r="M4278" t="s">
        <v>58</v>
      </c>
      <c r="N4278">
        <v>73625391</v>
      </c>
    </row>
    <row r="4279" spans="1:14" x14ac:dyDescent="0.25">
      <c r="A4279">
        <v>59932187</v>
      </c>
      <c r="B4279" t="s">
        <v>593</v>
      </c>
      <c r="C4279" t="s">
        <v>9617</v>
      </c>
      <c r="D4279" t="s">
        <v>9618</v>
      </c>
      <c r="E4279">
        <v>5122275330</v>
      </c>
      <c r="F4279" t="s">
        <v>705</v>
      </c>
      <c r="G4279" t="s">
        <v>706</v>
      </c>
      <c r="I4279" t="s">
        <v>12</v>
      </c>
      <c r="J4279" s="13">
        <v>46049</v>
      </c>
      <c r="K4279" s="13">
        <v>46054</v>
      </c>
      <c r="L4279" t="s">
        <v>444</v>
      </c>
      <c r="M4279" t="s">
        <v>56</v>
      </c>
      <c r="N4279">
        <v>73627943</v>
      </c>
    </row>
    <row r="4280" spans="1:14" x14ac:dyDescent="0.25">
      <c r="A4280">
        <v>59932669</v>
      </c>
      <c r="B4280" t="s">
        <v>9619</v>
      </c>
      <c r="C4280" t="s">
        <v>546</v>
      </c>
      <c r="D4280" t="s">
        <v>9620</v>
      </c>
      <c r="E4280">
        <v>6305855095</v>
      </c>
      <c r="F4280" t="s">
        <v>815</v>
      </c>
      <c r="G4280" t="s">
        <v>816</v>
      </c>
      <c r="I4280" t="s">
        <v>23</v>
      </c>
      <c r="J4280" s="13">
        <v>46049</v>
      </c>
      <c r="K4280" s="13">
        <v>46054</v>
      </c>
      <c r="L4280" t="s">
        <v>470</v>
      </c>
      <c r="M4280" t="s">
        <v>60</v>
      </c>
      <c r="N4280">
        <v>73629248</v>
      </c>
    </row>
    <row r="4281" spans="1:14" x14ac:dyDescent="0.25">
      <c r="A4281">
        <v>59932741</v>
      </c>
      <c r="B4281" t="s">
        <v>8571</v>
      </c>
      <c r="C4281" t="s">
        <v>9621</v>
      </c>
      <c r="D4281" t="s">
        <v>9622</v>
      </c>
      <c r="E4281">
        <v>2523821021</v>
      </c>
      <c r="F4281" t="s">
        <v>448</v>
      </c>
      <c r="G4281" t="s">
        <v>449</v>
      </c>
      <c r="I4281" t="s">
        <v>31</v>
      </c>
      <c r="J4281" s="13">
        <v>46049</v>
      </c>
      <c r="K4281" s="13">
        <v>46054</v>
      </c>
      <c r="L4281" t="s">
        <v>454</v>
      </c>
      <c r="M4281" t="s">
        <v>56</v>
      </c>
      <c r="N4281">
        <v>73629303</v>
      </c>
    </row>
    <row r="4282" spans="1:14" x14ac:dyDescent="0.25">
      <c r="A4282">
        <v>59933298</v>
      </c>
      <c r="B4282" t="s">
        <v>687</v>
      </c>
      <c r="C4282" t="s">
        <v>9623</v>
      </c>
      <c r="D4282" t="s">
        <v>9624</v>
      </c>
      <c r="E4282">
        <v>5042313798</v>
      </c>
      <c r="F4282" t="s">
        <v>828</v>
      </c>
      <c r="G4282" t="s">
        <v>1148</v>
      </c>
      <c r="I4282" t="s">
        <v>17</v>
      </c>
      <c r="J4282" s="13">
        <v>46049</v>
      </c>
      <c r="K4282" s="13">
        <v>46054</v>
      </c>
      <c r="L4282" t="s">
        <v>612</v>
      </c>
      <c r="M4282" t="s">
        <v>56</v>
      </c>
      <c r="N4282">
        <v>73629732</v>
      </c>
    </row>
    <row r="4283" spans="1:14" x14ac:dyDescent="0.25">
      <c r="A4283">
        <v>59935051</v>
      </c>
      <c r="B4283" t="s">
        <v>1718</v>
      </c>
      <c r="C4283" t="s">
        <v>2762</v>
      </c>
      <c r="D4283" t="s">
        <v>9625</v>
      </c>
      <c r="E4283">
        <v>5613459020</v>
      </c>
      <c r="F4283" t="s">
        <v>1067</v>
      </c>
      <c r="G4283" t="s">
        <v>1068</v>
      </c>
      <c r="I4283" t="s">
        <v>35</v>
      </c>
      <c r="J4283" s="13">
        <v>46049</v>
      </c>
      <c r="K4283" s="13">
        <v>46054</v>
      </c>
      <c r="L4283" t="s">
        <v>497</v>
      </c>
      <c r="M4283" t="s">
        <v>56</v>
      </c>
      <c r="N4283">
        <v>73631206</v>
      </c>
    </row>
    <row r="4284" spans="1:14" x14ac:dyDescent="0.25">
      <c r="A4284">
        <v>59935254</v>
      </c>
      <c r="B4284" t="s">
        <v>9626</v>
      </c>
      <c r="C4284" t="s">
        <v>1177</v>
      </c>
      <c r="D4284" t="s">
        <v>9627</v>
      </c>
      <c r="E4284">
        <v>7578753241</v>
      </c>
      <c r="F4284" t="s">
        <v>790</v>
      </c>
      <c r="G4284" t="s">
        <v>791</v>
      </c>
      <c r="I4284" t="s">
        <v>119</v>
      </c>
      <c r="J4284" s="13">
        <v>46049</v>
      </c>
      <c r="K4284" s="13">
        <v>46054</v>
      </c>
      <c r="L4284" t="s">
        <v>454</v>
      </c>
      <c r="M4284" t="s">
        <v>58</v>
      </c>
      <c r="N4284">
        <v>73631340</v>
      </c>
    </row>
    <row r="4285" spans="1:14" x14ac:dyDescent="0.25">
      <c r="A4285">
        <v>59937141</v>
      </c>
      <c r="B4285" t="s">
        <v>476</v>
      </c>
      <c r="C4285" t="s">
        <v>9628</v>
      </c>
      <c r="D4285" t="s">
        <v>9629</v>
      </c>
      <c r="E4285">
        <v>4802262742</v>
      </c>
      <c r="F4285" t="s">
        <v>569</v>
      </c>
      <c r="G4285" t="s">
        <v>570</v>
      </c>
      <c r="I4285" t="s">
        <v>34</v>
      </c>
      <c r="J4285" s="13">
        <v>46049</v>
      </c>
      <c r="K4285" s="13">
        <v>46054</v>
      </c>
      <c r="L4285" t="s">
        <v>1179</v>
      </c>
      <c r="M4285" t="s">
        <v>54</v>
      </c>
      <c r="N4285">
        <v>73632240</v>
      </c>
    </row>
    <row r="4286" spans="1:14" x14ac:dyDescent="0.25">
      <c r="A4286">
        <v>59938889</v>
      </c>
      <c r="B4286" t="s">
        <v>8701</v>
      </c>
      <c r="C4286" t="s">
        <v>8192</v>
      </c>
      <c r="D4286" t="s">
        <v>9630</v>
      </c>
      <c r="E4286">
        <v>6789146970</v>
      </c>
      <c r="F4286" t="s">
        <v>815</v>
      </c>
      <c r="G4286" t="s">
        <v>816</v>
      </c>
      <c r="I4286" t="s">
        <v>23</v>
      </c>
      <c r="J4286" s="13">
        <v>46049</v>
      </c>
      <c r="K4286" s="13">
        <v>46054</v>
      </c>
      <c r="L4286" t="s">
        <v>621</v>
      </c>
      <c r="M4286" t="s">
        <v>56</v>
      </c>
      <c r="N4286">
        <v>73633121</v>
      </c>
    </row>
    <row r="4287" spans="1:14" x14ac:dyDescent="0.25">
      <c r="A4287">
        <v>59939788</v>
      </c>
      <c r="B4287" t="s">
        <v>9631</v>
      </c>
      <c r="C4287" t="s">
        <v>9632</v>
      </c>
      <c r="D4287" t="s">
        <v>9633</v>
      </c>
      <c r="E4287">
        <v>2148816969</v>
      </c>
      <c r="F4287" t="s">
        <v>705</v>
      </c>
      <c r="G4287" t="s">
        <v>706</v>
      </c>
      <c r="I4287" t="s">
        <v>12</v>
      </c>
      <c r="J4287" s="13">
        <v>46049</v>
      </c>
      <c r="K4287" s="13">
        <v>46054</v>
      </c>
      <c r="L4287" t="s">
        <v>444</v>
      </c>
      <c r="M4287" t="s">
        <v>55</v>
      </c>
      <c r="N4287">
        <v>73633683</v>
      </c>
    </row>
    <row r="4288" spans="1:14" x14ac:dyDescent="0.25">
      <c r="A4288">
        <v>59945258</v>
      </c>
      <c r="B4288" t="s">
        <v>7922</v>
      </c>
      <c r="C4288" t="s">
        <v>9634</v>
      </c>
      <c r="D4288" t="s">
        <v>9635</v>
      </c>
      <c r="E4288">
        <v>3373518573</v>
      </c>
      <c r="F4288" t="s">
        <v>649</v>
      </c>
      <c r="G4288" t="s">
        <v>650</v>
      </c>
      <c r="I4288" t="s">
        <v>28</v>
      </c>
      <c r="J4288" s="13">
        <v>46049</v>
      </c>
      <c r="K4288" s="13">
        <v>46054</v>
      </c>
      <c r="L4288" t="s">
        <v>612</v>
      </c>
      <c r="M4288" t="s">
        <v>56</v>
      </c>
      <c r="N4288">
        <v>73639033</v>
      </c>
    </row>
    <row r="4289" spans="1:14" x14ac:dyDescent="0.25">
      <c r="A4289">
        <v>59952876</v>
      </c>
      <c r="B4289" t="s">
        <v>1148</v>
      </c>
      <c r="C4289" t="s">
        <v>9636</v>
      </c>
      <c r="D4289" t="s">
        <v>9637</v>
      </c>
      <c r="E4289">
        <v>9546286244</v>
      </c>
      <c r="F4289" t="s">
        <v>780</v>
      </c>
      <c r="G4289" t="s">
        <v>781</v>
      </c>
      <c r="I4289" t="s">
        <v>20</v>
      </c>
      <c r="J4289" s="13">
        <v>46050</v>
      </c>
      <c r="K4289" s="13">
        <v>46054</v>
      </c>
      <c r="L4289" t="s">
        <v>497</v>
      </c>
      <c r="M4289" t="s">
        <v>59</v>
      </c>
      <c r="N4289">
        <v>73646509</v>
      </c>
    </row>
    <row r="4290" spans="1:14" x14ac:dyDescent="0.25">
      <c r="A4290">
        <v>59952993</v>
      </c>
      <c r="B4290" t="s">
        <v>9638</v>
      </c>
      <c r="C4290" t="s">
        <v>9639</v>
      </c>
      <c r="D4290" t="s">
        <v>9640</v>
      </c>
      <c r="E4290">
        <v>9043050006</v>
      </c>
      <c r="F4290" t="s">
        <v>775</v>
      </c>
      <c r="G4290" t="s">
        <v>776</v>
      </c>
      <c r="I4290" t="s">
        <v>22</v>
      </c>
      <c r="J4290" s="13">
        <v>46050</v>
      </c>
      <c r="K4290" s="13">
        <v>46054</v>
      </c>
      <c r="L4290" t="s">
        <v>497</v>
      </c>
      <c r="M4290" t="s">
        <v>56</v>
      </c>
      <c r="N4290">
        <v>73646586</v>
      </c>
    </row>
    <row r="4291" spans="1:14" x14ac:dyDescent="0.25">
      <c r="A4291">
        <v>59953254</v>
      </c>
      <c r="B4291" t="s">
        <v>9641</v>
      </c>
      <c r="C4291" t="s">
        <v>9642</v>
      </c>
      <c r="D4291" t="s">
        <v>9643</v>
      </c>
      <c r="E4291">
        <v>8134280922</v>
      </c>
      <c r="F4291" t="s">
        <v>807</v>
      </c>
      <c r="G4291" t="s">
        <v>808</v>
      </c>
      <c r="I4291" t="s">
        <v>33</v>
      </c>
      <c r="J4291" s="13">
        <v>46050</v>
      </c>
      <c r="K4291" s="13">
        <v>46054</v>
      </c>
      <c r="L4291" t="s">
        <v>497</v>
      </c>
      <c r="M4291" t="s">
        <v>58</v>
      </c>
      <c r="N4291">
        <v>73646640</v>
      </c>
    </row>
    <row r="4292" spans="1:14" x14ac:dyDescent="0.25">
      <c r="A4292">
        <v>59953267</v>
      </c>
      <c r="B4292" t="s">
        <v>501</v>
      </c>
      <c r="C4292" t="s">
        <v>939</v>
      </c>
      <c r="D4292" t="s">
        <v>9644</v>
      </c>
      <c r="E4292">
        <v>5029637103</v>
      </c>
      <c r="F4292" t="s">
        <v>705</v>
      </c>
      <c r="G4292" t="s">
        <v>706</v>
      </c>
      <c r="I4292" t="s">
        <v>12</v>
      </c>
      <c r="J4292" s="13">
        <v>46050</v>
      </c>
      <c r="K4292" s="13">
        <v>46054</v>
      </c>
      <c r="L4292" t="s">
        <v>490</v>
      </c>
      <c r="M4292" t="s">
        <v>56</v>
      </c>
      <c r="N4292">
        <v>73646751</v>
      </c>
    </row>
    <row r="4293" spans="1:14" x14ac:dyDescent="0.25">
      <c r="A4293">
        <v>59954003</v>
      </c>
      <c r="B4293" t="s">
        <v>6451</v>
      </c>
      <c r="C4293" t="s">
        <v>9645</v>
      </c>
      <c r="D4293" t="s">
        <v>9646</v>
      </c>
      <c r="E4293">
        <v>3374853339</v>
      </c>
      <c r="F4293" t="s">
        <v>1013</v>
      </c>
      <c r="G4293" t="s">
        <v>1014</v>
      </c>
      <c r="I4293" t="s">
        <v>43</v>
      </c>
      <c r="J4293" s="13">
        <v>46050</v>
      </c>
      <c r="K4293" s="13">
        <v>46054</v>
      </c>
      <c r="L4293" t="s">
        <v>612</v>
      </c>
      <c r="M4293" t="s">
        <v>56</v>
      </c>
      <c r="N4293">
        <v>73647231</v>
      </c>
    </row>
    <row r="4294" spans="1:14" x14ac:dyDescent="0.25">
      <c r="A4294">
        <v>59956117</v>
      </c>
      <c r="B4294" t="s">
        <v>1148</v>
      </c>
      <c r="C4294" t="s">
        <v>9647</v>
      </c>
      <c r="D4294" t="s">
        <v>9648</v>
      </c>
      <c r="E4294">
        <v>2055147964</v>
      </c>
      <c r="F4294" t="s">
        <v>423</v>
      </c>
      <c r="G4294" t="s">
        <v>424</v>
      </c>
      <c r="I4294" t="s">
        <v>46</v>
      </c>
      <c r="J4294" s="13">
        <v>46050</v>
      </c>
      <c r="K4294" s="13">
        <v>46054</v>
      </c>
      <c r="L4294" t="s">
        <v>450</v>
      </c>
      <c r="M4294" t="s">
        <v>59</v>
      </c>
      <c r="N4294">
        <v>73648297</v>
      </c>
    </row>
    <row r="4295" spans="1:14" x14ac:dyDescent="0.25">
      <c r="A4295">
        <v>59955586</v>
      </c>
      <c r="B4295" t="s">
        <v>3435</v>
      </c>
      <c r="C4295" t="s">
        <v>9649</v>
      </c>
      <c r="D4295" t="s">
        <v>9650</v>
      </c>
      <c r="E4295">
        <v>8138334075</v>
      </c>
      <c r="F4295" t="s">
        <v>770</v>
      </c>
      <c r="G4295" t="s">
        <v>771</v>
      </c>
      <c r="I4295" t="s">
        <v>25</v>
      </c>
      <c r="J4295" s="13">
        <v>46050</v>
      </c>
      <c r="K4295" s="13">
        <v>46054</v>
      </c>
      <c r="L4295" t="s">
        <v>497</v>
      </c>
      <c r="M4295" t="s">
        <v>56</v>
      </c>
      <c r="N4295">
        <v>73648316</v>
      </c>
    </row>
    <row r="4296" spans="1:14" x14ac:dyDescent="0.25">
      <c r="A4296">
        <v>59956557</v>
      </c>
      <c r="B4296" t="s">
        <v>9651</v>
      </c>
      <c r="C4296" t="s">
        <v>9652</v>
      </c>
      <c r="D4296" t="s">
        <v>9653</v>
      </c>
      <c r="E4296">
        <v>4808495868</v>
      </c>
      <c r="F4296" t="s">
        <v>416</v>
      </c>
      <c r="G4296" t="s">
        <v>417</v>
      </c>
      <c r="I4296" t="s">
        <v>26</v>
      </c>
      <c r="J4296" s="13">
        <v>46050</v>
      </c>
      <c r="K4296" s="13">
        <v>46054</v>
      </c>
      <c r="L4296" t="s">
        <v>1179</v>
      </c>
      <c r="M4296" t="s">
        <v>56</v>
      </c>
      <c r="N4296">
        <v>73648982</v>
      </c>
    </row>
    <row r="4297" spans="1:14" x14ac:dyDescent="0.25">
      <c r="A4297">
        <v>59956542</v>
      </c>
      <c r="B4297" t="s">
        <v>2081</v>
      </c>
      <c r="C4297" t="s">
        <v>9654</v>
      </c>
      <c r="D4297" t="s">
        <v>9655</v>
      </c>
      <c r="E4297">
        <v>8135166906</v>
      </c>
      <c r="F4297" t="s">
        <v>1067</v>
      </c>
      <c r="G4297" t="s">
        <v>1068</v>
      </c>
      <c r="I4297" t="s">
        <v>35</v>
      </c>
      <c r="J4297" s="13">
        <v>46050</v>
      </c>
      <c r="K4297" s="13">
        <v>46054</v>
      </c>
      <c r="L4297" t="s">
        <v>497</v>
      </c>
      <c r="M4297" t="s">
        <v>58</v>
      </c>
      <c r="N4297">
        <v>73648987</v>
      </c>
    </row>
    <row r="4298" spans="1:14" x14ac:dyDescent="0.25">
      <c r="A4298">
        <v>60979979</v>
      </c>
      <c r="B4298" t="s">
        <v>9354</v>
      </c>
      <c r="C4298" t="s">
        <v>2482</v>
      </c>
      <c r="D4298" t="s">
        <v>9656</v>
      </c>
      <c r="E4298">
        <v>4045747651</v>
      </c>
      <c r="F4298" t="s">
        <v>569</v>
      </c>
      <c r="G4298" t="s">
        <v>570</v>
      </c>
      <c r="I4298" t="s">
        <v>34</v>
      </c>
      <c r="J4298" s="13">
        <v>46080</v>
      </c>
      <c r="K4298" s="13">
        <v>46082</v>
      </c>
      <c r="L4298" t="s">
        <v>621</v>
      </c>
      <c r="M4298" t="s">
        <v>56</v>
      </c>
      <c r="N4298">
        <v>73649227</v>
      </c>
    </row>
    <row r="4299" spans="1:14" x14ac:dyDescent="0.25">
      <c r="A4299">
        <v>59956900</v>
      </c>
      <c r="B4299" t="s">
        <v>1148</v>
      </c>
      <c r="C4299" t="s">
        <v>9657</v>
      </c>
      <c r="D4299" t="s">
        <v>9658</v>
      </c>
      <c r="E4299">
        <v>2103038361</v>
      </c>
      <c r="F4299" t="s">
        <v>790</v>
      </c>
      <c r="G4299" t="s">
        <v>791</v>
      </c>
      <c r="I4299" t="s">
        <v>119</v>
      </c>
      <c r="J4299" s="13">
        <v>46050</v>
      </c>
      <c r="K4299" s="13">
        <v>46054</v>
      </c>
      <c r="L4299" t="s">
        <v>444</v>
      </c>
      <c r="M4299" t="s">
        <v>56</v>
      </c>
      <c r="N4299">
        <v>73649351</v>
      </c>
    </row>
    <row r="4300" spans="1:14" x14ac:dyDescent="0.25">
      <c r="A4300">
        <v>59957906</v>
      </c>
      <c r="B4300" t="s">
        <v>9659</v>
      </c>
      <c r="C4300" t="s">
        <v>7029</v>
      </c>
      <c r="D4300" t="s">
        <v>9660</v>
      </c>
      <c r="E4300">
        <v>5046061845</v>
      </c>
      <c r="F4300" t="s">
        <v>1013</v>
      </c>
      <c r="G4300" t="s">
        <v>1014</v>
      </c>
      <c r="I4300" t="s">
        <v>43</v>
      </c>
      <c r="J4300" s="13">
        <v>46050</v>
      </c>
      <c r="K4300" s="13">
        <v>46054</v>
      </c>
      <c r="L4300" t="s">
        <v>612</v>
      </c>
      <c r="M4300" t="s">
        <v>56</v>
      </c>
      <c r="N4300">
        <v>73651112</v>
      </c>
    </row>
    <row r="4301" spans="1:14" x14ac:dyDescent="0.25">
      <c r="A4301">
        <v>59957917</v>
      </c>
      <c r="B4301" t="s">
        <v>9661</v>
      </c>
      <c r="C4301" t="s">
        <v>9662</v>
      </c>
      <c r="D4301" t="s">
        <v>9663</v>
      </c>
      <c r="E4301">
        <v>3124659876</v>
      </c>
      <c r="F4301" t="s">
        <v>574</v>
      </c>
      <c r="G4301" t="s">
        <v>575</v>
      </c>
      <c r="I4301" t="s">
        <v>14</v>
      </c>
      <c r="J4301" s="13">
        <v>46050</v>
      </c>
      <c r="K4301" s="13">
        <v>46113</v>
      </c>
      <c r="L4301" t="s">
        <v>490</v>
      </c>
      <c r="M4301" t="s">
        <v>58</v>
      </c>
      <c r="N4301">
        <v>73651127</v>
      </c>
    </row>
    <row r="4302" spans="1:14" x14ac:dyDescent="0.25">
      <c r="A4302">
        <v>59958356</v>
      </c>
      <c r="B4302" t="s">
        <v>4735</v>
      </c>
      <c r="C4302" t="s">
        <v>9664</v>
      </c>
      <c r="D4302" t="s">
        <v>9665</v>
      </c>
      <c r="E4302">
        <v>9542943822</v>
      </c>
      <c r="F4302" t="s">
        <v>423</v>
      </c>
      <c r="G4302" t="s">
        <v>424</v>
      </c>
      <c r="I4302" t="s">
        <v>46</v>
      </c>
      <c r="J4302" s="13">
        <v>46050</v>
      </c>
      <c r="K4302" s="13">
        <v>46054</v>
      </c>
      <c r="L4302" t="s">
        <v>497</v>
      </c>
      <c r="M4302" t="s">
        <v>56</v>
      </c>
      <c r="N4302">
        <v>73651179</v>
      </c>
    </row>
    <row r="4303" spans="1:14" x14ac:dyDescent="0.25">
      <c r="A4303">
        <v>59958984</v>
      </c>
      <c r="B4303" t="s">
        <v>8975</v>
      </c>
      <c r="C4303" t="s">
        <v>9666</v>
      </c>
      <c r="D4303" t="s">
        <v>9667</v>
      </c>
      <c r="E4303">
        <v>9543019326</v>
      </c>
      <c r="F4303" t="s">
        <v>770</v>
      </c>
      <c r="G4303" t="s">
        <v>771</v>
      </c>
      <c r="I4303" t="s">
        <v>25</v>
      </c>
      <c r="J4303" s="13">
        <v>46050</v>
      </c>
      <c r="K4303" s="13">
        <v>46054</v>
      </c>
      <c r="L4303" t="s">
        <v>497</v>
      </c>
      <c r="M4303" t="s">
        <v>59</v>
      </c>
      <c r="N4303">
        <v>73652731</v>
      </c>
    </row>
    <row r="4304" spans="1:14" x14ac:dyDescent="0.25">
      <c r="A4304">
        <v>59961614</v>
      </c>
      <c r="B4304" t="s">
        <v>1905</v>
      </c>
      <c r="C4304" t="s">
        <v>8676</v>
      </c>
      <c r="D4304" t="s">
        <v>9668</v>
      </c>
      <c r="E4304">
        <v>9145083327</v>
      </c>
      <c r="F4304" t="s">
        <v>628</v>
      </c>
      <c r="G4304" t="s">
        <v>629</v>
      </c>
      <c r="I4304" t="s">
        <v>24</v>
      </c>
      <c r="J4304" s="13">
        <v>46050</v>
      </c>
      <c r="K4304" s="13">
        <v>46054</v>
      </c>
      <c r="L4304" t="s">
        <v>603</v>
      </c>
      <c r="M4304" t="s">
        <v>55</v>
      </c>
      <c r="N4304">
        <v>73658789</v>
      </c>
    </row>
    <row r="4305" spans="1:14" x14ac:dyDescent="0.25">
      <c r="A4305">
        <v>59961706</v>
      </c>
      <c r="B4305" t="s">
        <v>548</v>
      </c>
      <c r="C4305" t="s">
        <v>9669</v>
      </c>
      <c r="D4305" t="s">
        <v>9670</v>
      </c>
      <c r="E4305">
        <v>3123509717</v>
      </c>
      <c r="F4305" t="s">
        <v>474</v>
      </c>
      <c r="G4305" t="s">
        <v>475</v>
      </c>
      <c r="I4305" t="s">
        <v>132</v>
      </c>
      <c r="J4305" s="13">
        <v>46050</v>
      </c>
      <c r="K4305" s="13">
        <v>46054</v>
      </c>
      <c r="L4305" t="s">
        <v>470</v>
      </c>
      <c r="M4305" t="s">
        <v>60</v>
      </c>
      <c r="N4305">
        <v>73658838</v>
      </c>
    </row>
    <row r="4306" spans="1:14" x14ac:dyDescent="0.25">
      <c r="A4306">
        <v>59961880</v>
      </c>
      <c r="B4306" t="s">
        <v>9671</v>
      </c>
      <c r="C4306" t="s">
        <v>9672</v>
      </c>
      <c r="D4306" t="s">
        <v>9673</v>
      </c>
      <c r="E4306">
        <v>4196038304</v>
      </c>
      <c r="F4306" t="s">
        <v>1013</v>
      </c>
      <c r="G4306" t="s">
        <v>1014</v>
      </c>
      <c r="I4306" t="s">
        <v>43</v>
      </c>
      <c r="J4306" s="13">
        <v>46050</v>
      </c>
      <c r="K4306" s="13">
        <v>46054</v>
      </c>
      <c r="L4306" t="s">
        <v>418</v>
      </c>
      <c r="M4306" t="s">
        <v>56</v>
      </c>
      <c r="N4306">
        <v>73658975</v>
      </c>
    </row>
    <row r="4307" spans="1:14" x14ac:dyDescent="0.25">
      <c r="A4307">
        <v>59962138</v>
      </c>
      <c r="B4307" t="s">
        <v>5177</v>
      </c>
      <c r="C4307" t="s">
        <v>9164</v>
      </c>
      <c r="D4307" t="s">
        <v>9674</v>
      </c>
      <c r="E4307">
        <v>9045041276</v>
      </c>
      <c r="F4307" t="s">
        <v>775</v>
      </c>
      <c r="G4307" t="s">
        <v>776</v>
      </c>
      <c r="I4307" t="s">
        <v>22</v>
      </c>
      <c r="J4307" s="13">
        <v>46050</v>
      </c>
      <c r="K4307" s="13">
        <v>46054</v>
      </c>
      <c r="L4307" t="s">
        <v>497</v>
      </c>
      <c r="M4307" t="s">
        <v>56</v>
      </c>
      <c r="N4307">
        <v>73659187</v>
      </c>
    </row>
    <row r="4308" spans="1:14" x14ac:dyDescent="0.25">
      <c r="A4308">
        <v>59963005</v>
      </c>
      <c r="B4308" t="s">
        <v>9675</v>
      </c>
      <c r="C4308" t="s">
        <v>1258</v>
      </c>
      <c r="D4308" t="s">
        <v>9676</v>
      </c>
      <c r="E4308">
        <v>7194681314</v>
      </c>
      <c r="F4308" t="s">
        <v>1067</v>
      </c>
      <c r="G4308" t="s">
        <v>1068</v>
      </c>
      <c r="I4308" t="s">
        <v>35</v>
      </c>
      <c r="J4308" s="13">
        <v>46050</v>
      </c>
      <c r="K4308" s="13">
        <v>46054</v>
      </c>
      <c r="L4308" t="s">
        <v>539</v>
      </c>
      <c r="M4308" t="s">
        <v>59</v>
      </c>
      <c r="N4308">
        <v>73659984</v>
      </c>
    </row>
    <row r="4309" spans="1:14" x14ac:dyDescent="0.25">
      <c r="A4309">
        <v>59966967</v>
      </c>
      <c r="B4309" t="s">
        <v>9677</v>
      </c>
      <c r="C4309" t="s">
        <v>9678</v>
      </c>
      <c r="D4309" t="s">
        <v>9679</v>
      </c>
      <c r="E4309">
        <v>6027939238</v>
      </c>
      <c r="F4309" t="s">
        <v>1345</v>
      </c>
      <c r="G4309" t="s">
        <v>799</v>
      </c>
      <c r="I4309" t="s">
        <v>47</v>
      </c>
      <c r="J4309" s="13">
        <v>46050</v>
      </c>
      <c r="K4309" s="13">
        <v>46054</v>
      </c>
      <c r="L4309" t="s">
        <v>1179</v>
      </c>
      <c r="M4309" t="s">
        <v>56</v>
      </c>
      <c r="N4309">
        <v>73663083</v>
      </c>
    </row>
    <row r="4310" spans="1:14" x14ac:dyDescent="0.25">
      <c r="A4310">
        <v>59967293</v>
      </c>
      <c r="B4310" t="s">
        <v>9680</v>
      </c>
      <c r="C4310" t="s">
        <v>9681</v>
      </c>
      <c r="D4310" t="s">
        <v>9682</v>
      </c>
      <c r="E4310">
        <v>4807668059</v>
      </c>
      <c r="F4310" t="s">
        <v>807</v>
      </c>
      <c r="G4310" t="s">
        <v>808</v>
      </c>
      <c r="I4310" t="s">
        <v>33</v>
      </c>
      <c r="J4310" s="13">
        <v>46050</v>
      </c>
      <c r="K4310" s="13">
        <v>46054</v>
      </c>
      <c r="L4310" t="s">
        <v>1179</v>
      </c>
      <c r="M4310" t="s">
        <v>54</v>
      </c>
      <c r="N4310">
        <v>73663227</v>
      </c>
    </row>
    <row r="4311" spans="1:14" x14ac:dyDescent="0.25">
      <c r="A4311">
        <v>59972177</v>
      </c>
      <c r="B4311" t="s">
        <v>580</v>
      </c>
      <c r="C4311" t="s">
        <v>7781</v>
      </c>
      <c r="D4311" t="s">
        <v>9683</v>
      </c>
      <c r="E4311">
        <v>8703022741</v>
      </c>
      <c r="F4311" t="s">
        <v>551</v>
      </c>
      <c r="G4311" t="s">
        <v>552</v>
      </c>
      <c r="I4311" t="s">
        <v>42</v>
      </c>
      <c r="J4311" s="13">
        <v>46050</v>
      </c>
      <c r="K4311" s="13">
        <v>46054</v>
      </c>
      <c r="L4311" t="s">
        <v>553</v>
      </c>
      <c r="M4311" t="s">
        <v>56</v>
      </c>
      <c r="N4311">
        <v>73663325</v>
      </c>
    </row>
    <row r="4312" spans="1:14" x14ac:dyDescent="0.25">
      <c r="A4312">
        <v>59971137</v>
      </c>
      <c r="B4312" t="s">
        <v>1679</v>
      </c>
      <c r="C4312" t="s">
        <v>9684</v>
      </c>
      <c r="D4312" t="s">
        <v>9685</v>
      </c>
      <c r="E4312">
        <v>4703821586</v>
      </c>
      <c r="F4312" t="s">
        <v>828</v>
      </c>
      <c r="G4312" t="s">
        <v>1148</v>
      </c>
      <c r="I4312" t="s">
        <v>17</v>
      </c>
      <c r="J4312" s="13">
        <v>46050</v>
      </c>
      <c r="K4312" s="13">
        <v>46054</v>
      </c>
      <c r="L4312" t="s">
        <v>621</v>
      </c>
      <c r="M4312" t="s">
        <v>60</v>
      </c>
      <c r="N4312">
        <v>73666351</v>
      </c>
    </row>
    <row r="4313" spans="1:14" x14ac:dyDescent="0.25">
      <c r="A4313">
        <v>59973109</v>
      </c>
      <c r="B4313" t="s">
        <v>9686</v>
      </c>
      <c r="C4313" t="s">
        <v>5138</v>
      </c>
      <c r="D4313" t="s">
        <v>9687</v>
      </c>
      <c r="E4313">
        <v>6028604016</v>
      </c>
      <c r="F4313" t="s">
        <v>448</v>
      </c>
      <c r="G4313" t="s">
        <v>449</v>
      </c>
      <c r="I4313" t="s">
        <v>31</v>
      </c>
      <c r="J4313" s="13">
        <v>46050</v>
      </c>
      <c r="K4313" s="13">
        <v>46054</v>
      </c>
      <c r="L4313" t="s">
        <v>1179</v>
      </c>
      <c r="M4313" t="s">
        <v>59</v>
      </c>
      <c r="N4313">
        <v>73668094</v>
      </c>
    </row>
    <row r="4314" spans="1:14" x14ac:dyDescent="0.25">
      <c r="A4314">
        <v>59974267</v>
      </c>
      <c r="B4314" t="s">
        <v>2384</v>
      </c>
      <c r="C4314" t="s">
        <v>2291</v>
      </c>
      <c r="D4314" t="s">
        <v>9688</v>
      </c>
      <c r="E4314">
        <v>9289510024</v>
      </c>
      <c r="F4314" t="s">
        <v>770</v>
      </c>
      <c r="G4314" t="s">
        <v>771</v>
      </c>
      <c r="I4314" t="s">
        <v>25</v>
      </c>
      <c r="J4314" s="13">
        <v>46050</v>
      </c>
      <c r="K4314" s="13">
        <v>46054</v>
      </c>
      <c r="L4314" t="s">
        <v>1179</v>
      </c>
      <c r="M4314" t="s">
        <v>56</v>
      </c>
      <c r="N4314">
        <v>73668942</v>
      </c>
    </row>
    <row r="4315" spans="1:14" x14ac:dyDescent="0.25">
      <c r="A4315">
        <v>59976277</v>
      </c>
      <c r="B4315" t="s">
        <v>9689</v>
      </c>
      <c r="C4315" t="s">
        <v>5593</v>
      </c>
      <c r="D4315" t="s">
        <v>9690</v>
      </c>
      <c r="E4315">
        <v>2252661505</v>
      </c>
      <c r="F4315" t="s">
        <v>628</v>
      </c>
      <c r="G4315" t="s">
        <v>629</v>
      </c>
      <c r="I4315" t="s">
        <v>24</v>
      </c>
      <c r="J4315" s="13">
        <v>46050</v>
      </c>
      <c r="K4315" s="13">
        <v>46054</v>
      </c>
      <c r="L4315" t="s">
        <v>612</v>
      </c>
      <c r="M4315" t="s">
        <v>61</v>
      </c>
      <c r="N4315">
        <v>73669518</v>
      </c>
    </row>
    <row r="4316" spans="1:14" x14ac:dyDescent="0.25">
      <c r="A4316">
        <v>59979126</v>
      </c>
      <c r="B4316" t="s">
        <v>9691</v>
      </c>
      <c r="C4316" t="s">
        <v>9692</v>
      </c>
      <c r="D4316" t="s">
        <v>9693</v>
      </c>
      <c r="E4316">
        <v>9547098042</v>
      </c>
      <c r="F4316" t="s">
        <v>780</v>
      </c>
      <c r="G4316" t="s">
        <v>781</v>
      </c>
      <c r="I4316" t="s">
        <v>20</v>
      </c>
      <c r="J4316" s="13">
        <v>46050</v>
      </c>
      <c r="K4316" s="13">
        <v>46054</v>
      </c>
      <c r="L4316" t="s">
        <v>497</v>
      </c>
      <c r="M4316" t="s">
        <v>56</v>
      </c>
      <c r="N4316">
        <v>73670853</v>
      </c>
    </row>
    <row r="4317" spans="1:14" x14ac:dyDescent="0.25">
      <c r="A4317">
        <v>59979637</v>
      </c>
      <c r="B4317" t="s">
        <v>1268</v>
      </c>
      <c r="C4317" t="s">
        <v>1702</v>
      </c>
      <c r="D4317" t="s">
        <v>9694</v>
      </c>
      <c r="E4317">
        <v>9042367607</v>
      </c>
      <c r="F4317" t="s">
        <v>815</v>
      </c>
      <c r="G4317" t="s">
        <v>816</v>
      </c>
      <c r="I4317" t="s">
        <v>23</v>
      </c>
      <c r="J4317" s="13">
        <v>46050</v>
      </c>
      <c r="K4317" s="13">
        <v>46054</v>
      </c>
      <c r="L4317" t="s">
        <v>497</v>
      </c>
      <c r="M4317" t="s">
        <v>56</v>
      </c>
      <c r="N4317">
        <v>73671227</v>
      </c>
    </row>
    <row r="4318" spans="1:14" x14ac:dyDescent="0.25">
      <c r="A4318">
        <v>59979773</v>
      </c>
      <c r="B4318" t="s">
        <v>1041</v>
      </c>
      <c r="C4318" t="s">
        <v>9695</v>
      </c>
      <c r="D4318" t="s">
        <v>9696</v>
      </c>
      <c r="E4318">
        <v>4804363133</v>
      </c>
      <c r="F4318" t="s">
        <v>416</v>
      </c>
      <c r="G4318" t="s">
        <v>417</v>
      </c>
      <c r="I4318" t="s">
        <v>26</v>
      </c>
      <c r="J4318" s="13">
        <v>46050</v>
      </c>
      <c r="K4318" s="13">
        <v>46054</v>
      </c>
      <c r="L4318" t="s">
        <v>1179</v>
      </c>
      <c r="M4318" t="s">
        <v>59</v>
      </c>
      <c r="N4318">
        <v>73671348</v>
      </c>
    </row>
    <row r="4319" spans="1:14" x14ac:dyDescent="0.25">
      <c r="A4319">
        <v>59982149</v>
      </c>
      <c r="B4319" t="s">
        <v>3017</v>
      </c>
      <c r="C4319" t="s">
        <v>9697</v>
      </c>
      <c r="D4319" t="s">
        <v>9698</v>
      </c>
      <c r="E4319">
        <v>9374073141</v>
      </c>
      <c r="F4319" t="s">
        <v>798</v>
      </c>
      <c r="G4319" t="s">
        <v>799</v>
      </c>
      <c r="I4319" t="s">
        <v>800</v>
      </c>
      <c r="J4319" s="13">
        <v>46050</v>
      </c>
      <c r="K4319" s="13">
        <v>46054</v>
      </c>
      <c r="L4319" t="s">
        <v>418</v>
      </c>
      <c r="M4319" t="s">
        <v>58</v>
      </c>
      <c r="N4319">
        <v>73673305</v>
      </c>
    </row>
    <row r="4320" spans="1:14" x14ac:dyDescent="0.25">
      <c r="A4320">
        <v>60050992</v>
      </c>
      <c r="B4320" t="s">
        <v>600</v>
      </c>
      <c r="C4320" t="s">
        <v>5858</v>
      </c>
      <c r="D4320" t="s">
        <v>9699</v>
      </c>
      <c r="E4320">
        <v>3175466186</v>
      </c>
      <c r="F4320" t="s">
        <v>416</v>
      </c>
      <c r="G4320" t="s">
        <v>417</v>
      </c>
      <c r="I4320" t="s">
        <v>26</v>
      </c>
      <c r="J4320" s="13">
        <v>46051</v>
      </c>
      <c r="K4320" s="13">
        <v>46054</v>
      </c>
      <c r="L4320" t="s">
        <v>1179</v>
      </c>
      <c r="M4320" t="s">
        <v>54</v>
      </c>
      <c r="N4320">
        <v>73726661</v>
      </c>
    </row>
    <row r="4321" spans="1:14" x14ac:dyDescent="0.25">
      <c r="A4321">
        <v>60053020</v>
      </c>
      <c r="B4321" t="s">
        <v>9700</v>
      </c>
      <c r="C4321" t="s">
        <v>9701</v>
      </c>
      <c r="D4321" t="s">
        <v>9702</v>
      </c>
      <c r="E4321" t="s">
        <v>9703</v>
      </c>
      <c r="F4321" t="s">
        <v>551</v>
      </c>
      <c r="G4321" t="s">
        <v>552</v>
      </c>
      <c r="I4321" t="s">
        <v>42</v>
      </c>
      <c r="J4321" s="13">
        <v>46051</v>
      </c>
      <c r="K4321" s="13">
        <v>46054</v>
      </c>
      <c r="L4321" t="s">
        <v>497</v>
      </c>
      <c r="M4321" t="s">
        <v>59</v>
      </c>
      <c r="N4321">
        <v>73729050</v>
      </c>
    </row>
    <row r="4322" spans="1:14" x14ac:dyDescent="0.25">
      <c r="A4322">
        <v>60053003</v>
      </c>
      <c r="B4322" t="s">
        <v>1245</v>
      </c>
      <c r="C4322" t="s">
        <v>9704</v>
      </c>
      <c r="D4322" t="s">
        <v>9705</v>
      </c>
      <c r="E4322">
        <v>8175850406</v>
      </c>
      <c r="F4322" t="s">
        <v>790</v>
      </c>
      <c r="G4322" t="s">
        <v>791</v>
      </c>
      <c r="I4322" t="s">
        <v>119</v>
      </c>
      <c r="J4322" s="13">
        <v>46051</v>
      </c>
      <c r="K4322" s="13">
        <v>46054</v>
      </c>
      <c r="L4322" t="s">
        <v>444</v>
      </c>
      <c r="M4322" t="s">
        <v>55</v>
      </c>
      <c r="N4322">
        <v>73729066</v>
      </c>
    </row>
    <row r="4323" spans="1:14" x14ac:dyDescent="0.25">
      <c r="A4323">
        <v>60053121</v>
      </c>
      <c r="B4323" t="s">
        <v>1160</v>
      </c>
      <c r="C4323" t="s">
        <v>9706</v>
      </c>
      <c r="D4323" t="s">
        <v>9707</v>
      </c>
      <c r="E4323">
        <v>2565010970</v>
      </c>
      <c r="F4323" t="s">
        <v>815</v>
      </c>
      <c r="G4323" t="s">
        <v>816</v>
      </c>
      <c r="I4323" t="s">
        <v>23</v>
      </c>
      <c r="J4323" s="13">
        <v>46051</v>
      </c>
      <c r="K4323" s="13">
        <v>46054</v>
      </c>
      <c r="L4323" t="s">
        <v>450</v>
      </c>
      <c r="M4323" t="s">
        <v>59</v>
      </c>
      <c r="N4323">
        <v>73729155</v>
      </c>
    </row>
    <row r="4324" spans="1:14" x14ac:dyDescent="0.25">
      <c r="A4324">
        <v>60054543</v>
      </c>
      <c r="B4324" t="s">
        <v>1441</v>
      </c>
      <c r="C4324" t="s">
        <v>2270</v>
      </c>
      <c r="D4324" t="s">
        <v>9708</v>
      </c>
      <c r="E4324">
        <v>9493869952</v>
      </c>
      <c r="F4324" t="s">
        <v>569</v>
      </c>
      <c r="G4324" t="s">
        <v>570</v>
      </c>
      <c r="I4324" t="s">
        <v>34</v>
      </c>
      <c r="J4324" s="13">
        <v>46051</v>
      </c>
      <c r="K4324" s="13">
        <v>46054</v>
      </c>
      <c r="L4324" t="s">
        <v>434</v>
      </c>
      <c r="M4324" t="s">
        <v>60</v>
      </c>
      <c r="N4324">
        <v>73730190</v>
      </c>
    </row>
    <row r="4325" spans="1:14" x14ac:dyDescent="0.25">
      <c r="A4325">
        <v>60054982</v>
      </c>
      <c r="B4325" t="s">
        <v>1038</v>
      </c>
      <c r="C4325" t="s">
        <v>9709</v>
      </c>
      <c r="D4325" t="s">
        <v>9710</v>
      </c>
      <c r="E4325">
        <v>6026621679</v>
      </c>
      <c r="F4325" t="s">
        <v>775</v>
      </c>
      <c r="G4325" t="s">
        <v>776</v>
      </c>
      <c r="I4325" t="s">
        <v>22</v>
      </c>
      <c r="J4325" s="13">
        <v>46051</v>
      </c>
      <c r="K4325" s="13">
        <v>46054</v>
      </c>
      <c r="L4325" t="s">
        <v>1179</v>
      </c>
      <c r="M4325" t="s">
        <v>59</v>
      </c>
      <c r="N4325">
        <v>73730553</v>
      </c>
    </row>
    <row r="4326" spans="1:14" x14ac:dyDescent="0.25">
      <c r="A4326">
        <v>60055465</v>
      </c>
      <c r="B4326" t="s">
        <v>3326</v>
      </c>
      <c r="C4326" t="s">
        <v>9711</v>
      </c>
      <c r="D4326" t="s">
        <v>9712</v>
      </c>
      <c r="E4326">
        <v>8702086386</v>
      </c>
      <c r="F4326" t="s">
        <v>1067</v>
      </c>
      <c r="G4326" t="s">
        <v>1068</v>
      </c>
      <c r="I4326" t="s">
        <v>35</v>
      </c>
      <c r="J4326" s="13">
        <v>46051</v>
      </c>
      <c r="K4326" s="13">
        <v>46054</v>
      </c>
      <c r="L4326" t="s">
        <v>553</v>
      </c>
      <c r="M4326" t="s">
        <v>59</v>
      </c>
      <c r="N4326">
        <v>73731878</v>
      </c>
    </row>
    <row r="4327" spans="1:14" x14ac:dyDescent="0.25">
      <c r="A4327">
        <v>60055821</v>
      </c>
      <c r="B4327" t="s">
        <v>9713</v>
      </c>
      <c r="C4327" t="s">
        <v>2544</v>
      </c>
      <c r="D4327" t="s">
        <v>9714</v>
      </c>
      <c r="E4327">
        <v>5043146997</v>
      </c>
      <c r="F4327" t="s">
        <v>828</v>
      </c>
      <c r="G4327" t="s">
        <v>1148</v>
      </c>
      <c r="I4327" t="s">
        <v>17</v>
      </c>
      <c r="J4327" s="13">
        <v>46051</v>
      </c>
      <c r="K4327" s="13">
        <v>46054</v>
      </c>
      <c r="L4327" t="s">
        <v>612</v>
      </c>
      <c r="M4327" t="s">
        <v>59</v>
      </c>
      <c r="N4327">
        <v>73735291</v>
      </c>
    </row>
    <row r="4328" spans="1:14" x14ac:dyDescent="0.25">
      <c r="A4328">
        <v>60057197</v>
      </c>
      <c r="B4328" t="s">
        <v>7386</v>
      </c>
      <c r="C4328" t="s">
        <v>9715</v>
      </c>
      <c r="D4328" t="s">
        <v>9716</v>
      </c>
      <c r="E4328">
        <v>9044964904</v>
      </c>
      <c r="F4328" t="s">
        <v>780</v>
      </c>
      <c r="G4328" t="s">
        <v>781</v>
      </c>
      <c r="I4328" t="s">
        <v>20</v>
      </c>
      <c r="J4328" s="13">
        <v>46051</v>
      </c>
      <c r="K4328" s="13">
        <v>46054</v>
      </c>
      <c r="L4328" t="s">
        <v>497</v>
      </c>
      <c r="M4328" t="s">
        <v>56</v>
      </c>
      <c r="N4328">
        <v>73739600</v>
      </c>
    </row>
    <row r="4329" spans="1:14" x14ac:dyDescent="0.25">
      <c r="A4329">
        <v>60057657</v>
      </c>
      <c r="B4329" t="s">
        <v>521</v>
      </c>
      <c r="C4329" t="s">
        <v>5839</v>
      </c>
      <c r="D4329" t="s">
        <v>9717</v>
      </c>
      <c r="E4329">
        <v>5207091882</v>
      </c>
      <c r="F4329" t="s">
        <v>416</v>
      </c>
      <c r="G4329" t="s">
        <v>417</v>
      </c>
      <c r="I4329" t="s">
        <v>26</v>
      </c>
      <c r="J4329" s="13">
        <v>46051</v>
      </c>
      <c r="K4329" s="13">
        <v>46054</v>
      </c>
      <c r="L4329" t="s">
        <v>1179</v>
      </c>
      <c r="M4329" t="s">
        <v>59</v>
      </c>
      <c r="N4329">
        <v>73742020</v>
      </c>
    </row>
    <row r="4330" spans="1:14" x14ac:dyDescent="0.25">
      <c r="A4330">
        <v>60058474</v>
      </c>
      <c r="B4330" t="s">
        <v>1535</v>
      </c>
      <c r="C4330" t="s">
        <v>9718</v>
      </c>
      <c r="D4330" t="s">
        <v>9719</v>
      </c>
      <c r="E4330">
        <v>8162910701</v>
      </c>
      <c r="F4330" t="s">
        <v>551</v>
      </c>
      <c r="G4330" t="s">
        <v>552</v>
      </c>
      <c r="I4330" t="s">
        <v>42</v>
      </c>
      <c r="J4330" s="13">
        <v>46051</v>
      </c>
      <c r="K4330" s="13">
        <v>46054</v>
      </c>
      <c r="L4330" t="s">
        <v>434</v>
      </c>
      <c r="M4330" t="s">
        <v>56</v>
      </c>
      <c r="N4330">
        <v>73744520</v>
      </c>
    </row>
    <row r="4331" spans="1:14" x14ac:dyDescent="0.25">
      <c r="A4331">
        <v>60059387</v>
      </c>
      <c r="B4331" t="s">
        <v>9720</v>
      </c>
      <c r="C4331" t="s">
        <v>9721</v>
      </c>
      <c r="D4331" t="s">
        <v>9722</v>
      </c>
      <c r="E4331">
        <v>9038023069</v>
      </c>
      <c r="F4331" t="s">
        <v>790</v>
      </c>
      <c r="G4331" t="s">
        <v>791</v>
      </c>
      <c r="I4331" t="s">
        <v>119</v>
      </c>
      <c r="J4331" s="13">
        <v>46051</v>
      </c>
      <c r="K4331" s="13">
        <v>46054</v>
      </c>
      <c r="L4331" t="s">
        <v>444</v>
      </c>
      <c r="M4331" t="s">
        <v>55</v>
      </c>
      <c r="N4331">
        <v>73747197</v>
      </c>
    </row>
    <row r="4332" spans="1:14" x14ac:dyDescent="0.25">
      <c r="A4332">
        <v>60062156</v>
      </c>
      <c r="B4332" t="s">
        <v>4607</v>
      </c>
      <c r="C4332" t="s">
        <v>9723</v>
      </c>
      <c r="D4332" t="s">
        <v>9724</v>
      </c>
      <c r="E4332">
        <v>9202260760</v>
      </c>
      <c r="F4332" t="s">
        <v>798</v>
      </c>
      <c r="G4332" t="s">
        <v>799</v>
      </c>
      <c r="I4332" t="s">
        <v>800</v>
      </c>
      <c r="J4332" s="13">
        <v>46051</v>
      </c>
      <c r="K4332" s="13">
        <v>46054</v>
      </c>
      <c r="L4332" t="s">
        <v>675</v>
      </c>
      <c r="M4332" t="s">
        <v>419</v>
      </c>
      <c r="N4332">
        <v>73748118</v>
      </c>
    </row>
    <row r="4333" spans="1:14" x14ac:dyDescent="0.25">
      <c r="A4333">
        <v>60062183</v>
      </c>
      <c r="B4333" t="s">
        <v>2399</v>
      </c>
      <c r="C4333" t="s">
        <v>9725</v>
      </c>
      <c r="D4333" t="s">
        <v>9726</v>
      </c>
      <c r="E4333">
        <v>8169990613</v>
      </c>
      <c r="F4333" t="s">
        <v>448</v>
      </c>
      <c r="G4333" t="s">
        <v>449</v>
      </c>
      <c r="I4333" t="s">
        <v>31</v>
      </c>
      <c r="J4333" s="13">
        <v>46051</v>
      </c>
      <c r="K4333" s="13">
        <v>46054</v>
      </c>
      <c r="L4333" t="s">
        <v>434</v>
      </c>
      <c r="M4333" t="s">
        <v>58</v>
      </c>
      <c r="N4333">
        <v>73748145</v>
      </c>
    </row>
    <row r="4334" spans="1:14" x14ac:dyDescent="0.25">
      <c r="A4334">
        <v>60062742</v>
      </c>
      <c r="B4334" t="s">
        <v>552</v>
      </c>
      <c r="C4334" t="s">
        <v>9727</v>
      </c>
      <c r="D4334" t="s">
        <v>9728</v>
      </c>
      <c r="E4334">
        <v>6367517169</v>
      </c>
      <c r="F4334" t="s">
        <v>1013</v>
      </c>
      <c r="G4334" t="s">
        <v>1014</v>
      </c>
      <c r="I4334" t="s">
        <v>43</v>
      </c>
      <c r="J4334" s="13">
        <v>46051</v>
      </c>
      <c r="K4334" s="13">
        <v>46054</v>
      </c>
      <c r="L4334" t="s">
        <v>434</v>
      </c>
      <c r="M4334" t="s">
        <v>56</v>
      </c>
      <c r="N4334">
        <v>73748576</v>
      </c>
    </row>
    <row r="4335" spans="1:14" x14ac:dyDescent="0.25">
      <c r="A4335">
        <v>60063051</v>
      </c>
      <c r="B4335" t="s">
        <v>1784</v>
      </c>
      <c r="C4335" t="s">
        <v>9729</v>
      </c>
      <c r="D4335" t="s">
        <v>9730</v>
      </c>
      <c r="E4335">
        <v>6232298228</v>
      </c>
      <c r="F4335" t="s">
        <v>569</v>
      </c>
      <c r="G4335" t="s">
        <v>570</v>
      </c>
      <c r="I4335" t="s">
        <v>34</v>
      </c>
      <c r="J4335" s="13">
        <v>46051</v>
      </c>
      <c r="K4335" s="13">
        <v>46054</v>
      </c>
      <c r="L4335" t="s">
        <v>1179</v>
      </c>
      <c r="M4335" t="s">
        <v>59</v>
      </c>
      <c r="N4335">
        <v>73749136</v>
      </c>
    </row>
    <row r="4336" spans="1:14" x14ac:dyDescent="0.25">
      <c r="A4336">
        <v>60064628</v>
      </c>
      <c r="B4336" t="s">
        <v>1245</v>
      </c>
      <c r="C4336" t="s">
        <v>1165</v>
      </c>
      <c r="D4336" t="s">
        <v>9731</v>
      </c>
      <c r="E4336">
        <v>3303978906</v>
      </c>
      <c r="F4336" t="s">
        <v>551</v>
      </c>
      <c r="G4336" t="s">
        <v>552</v>
      </c>
      <c r="I4336" t="s">
        <v>42</v>
      </c>
      <c r="J4336" s="13">
        <v>46051</v>
      </c>
      <c r="K4336" s="13">
        <v>46054</v>
      </c>
      <c r="L4336" t="s">
        <v>418</v>
      </c>
      <c r="M4336" t="s">
        <v>58</v>
      </c>
      <c r="N4336">
        <v>73749446</v>
      </c>
    </row>
    <row r="4337" spans="1:14" x14ac:dyDescent="0.25">
      <c r="A4337">
        <v>60064555</v>
      </c>
      <c r="B4337" t="s">
        <v>445</v>
      </c>
      <c r="C4337" t="s">
        <v>9732</v>
      </c>
      <c r="D4337" t="s">
        <v>9733</v>
      </c>
      <c r="E4337" t="s">
        <v>9734</v>
      </c>
      <c r="F4337" t="s">
        <v>705</v>
      </c>
      <c r="G4337" t="s">
        <v>706</v>
      </c>
      <c r="I4337" t="s">
        <v>12</v>
      </c>
      <c r="J4337" s="13">
        <v>46051</v>
      </c>
      <c r="K4337" s="13">
        <v>46054</v>
      </c>
      <c r="L4337" t="s">
        <v>1179</v>
      </c>
      <c r="M4337" t="s">
        <v>55</v>
      </c>
      <c r="N4337">
        <v>73749470</v>
      </c>
    </row>
    <row r="4338" spans="1:14" x14ac:dyDescent="0.25">
      <c r="A4338">
        <v>60065217</v>
      </c>
      <c r="B4338" t="s">
        <v>6760</v>
      </c>
      <c r="C4338" t="s">
        <v>9735</v>
      </c>
      <c r="D4338" t="s">
        <v>9736</v>
      </c>
      <c r="E4338">
        <v>6236965639</v>
      </c>
      <c r="F4338" t="s">
        <v>807</v>
      </c>
      <c r="G4338" t="s">
        <v>808</v>
      </c>
      <c r="I4338" t="s">
        <v>33</v>
      </c>
      <c r="J4338" s="13">
        <v>46051</v>
      </c>
      <c r="K4338" s="13">
        <v>46054</v>
      </c>
      <c r="L4338" t="s">
        <v>1179</v>
      </c>
      <c r="M4338" t="s">
        <v>56</v>
      </c>
      <c r="N4338">
        <v>73749657</v>
      </c>
    </row>
    <row r="4339" spans="1:14" x14ac:dyDescent="0.25">
      <c r="A4339">
        <v>60072630</v>
      </c>
      <c r="B4339" t="s">
        <v>501</v>
      </c>
      <c r="C4339" t="s">
        <v>9737</v>
      </c>
      <c r="D4339" t="s">
        <v>9738</v>
      </c>
      <c r="E4339" t="s">
        <v>9739</v>
      </c>
      <c r="F4339" t="s">
        <v>628</v>
      </c>
      <c r="G4339" t="s">
        <v>629</v>
      </c>
      <c r="I4339" t="s">
        <v>24</v>
      </c>
      <c r="J4339" s="13">
        <v>46051</v>
      </c>
      <c r="K4339" s="13">
        <v>46054</v>
      </c>
      <c r="L4339" t="s">
        <v>418</v>
      </c>
      <c r="M4339" t="s">
        <v>58</v>
      </c>
      <c r="N4339">
        <v>73756408</v>
      </c>
    </row>
    <row r="4340" spans="1:14" x14ac:dyDescent="0.25">
      <c r="A4340">
        <v>60074130</v>
      </c>
      <c r="B4340" t="s">
        <v>2148</v>
      </c>
      <c r="C4340" t="s">
        <v>9740</v>
      </c>
      <c r="D4340" t="s">
        <v>9741</v>
      </c>
      <c r="E4340">
        <v>4794911312</v>
      </c>
      <c r="F4340" t="s">
        <v>815</v>
      </c>
      <c r="G4340" t="s">
        <v>816</v>
      </c>
      <c r="I4340" t="s">
        <v>23</v>
      </c>
      <c r="J4340" s="13">
        <v>46051</v>
      </c>
      <c r="K4340" s="13">
        <v>46054</v>
      </c>
      <c r="L4340" t="s">
        <v>553</v>
      </c>
      <c r="M4340" t="s">
        <v>56</v>
      </c>
      <c r="N4340">
        <v>73758453</v>
      </c>
    </row>
    <row r="4341" spans="1:14" x14ac:dyDescent="0.25">
      <c r="A4341">
        <v>60075001</v>
      </c>
      <c r="B4341" t="s">
        <v>9742</v>
      </c>
      <c r="C4341" t="s">
        <v>9743</v>
      </c>
      <c r="D4341" t="s">
        <v>9744</v>
      </c>
      <c r="E4341">
        <v>9049236107</v>
      </c>
      <c r="F4341" t="s">
        <v>780</v>
      </c>
      <c r="G4341" t="s">
        <v>781</v>
      </c>
      <c r="I4341" t="s">
        <v>20</v>
      </c>
      <c r="J4341" s="13">
        <v>46051</v>
      </c>
      <c r="K4341" s="13">
        <v>46054</v>
      </c>
      <c r="L4341" t="s">
        <v>497</v>
      </c>
      <c r="M4341" t="s">
        <v>56</v>
      </c>
      <c r="N4341">
        <v>73758969</v>
      </c>
    </row>
    <row r="4342" spans="1:14" x14ac:dyDescent="0.25">
      <c r="A4342">
        <v>60076224</v>
      </c>
      <c r="B4342" t="s">
        <v>743</v>
      </c>
      <c r="C4342" t="s">
        <v>9745</v>
      </c>
      <c r="D4342" t="s">
        <v>9746</v>
      </c>
      <c r="E4342">
        <v>6235220274</v>
      </c>
      <c r="F4342" t="s">
        <v>775</v>
      </c>
      <c r="G4342" t="s">
        <v>776</v>
      </c>
      <c r="I4342" t="s">
        <v>22</v>
      </c>
      <c r="J4342" s="13">
        <v>46051</v>
      </c>
      <c r="K4342" s="13">
        <v>46054</v>
      </c>
      <c r="L4342" t="s">
        <v>1179</v>
      </c>
      <c r="M4342" t="s">
        <v>55</v>
      </c>
      <c r="N4342">
        <v>73760358</v>
      </c>
    </row>
    <row r="4343" spans="1:14" x14ac:dyDescent="0.25">
      <c r="A4343">
        <v>60076259</v>
      </c>
      <c r="B4343" t="s">
        <v>1784</v>
      </c>
      <c r="C4343" t="s">
        <v>9747</v>
      </c>
      <c r="D4343" t="s">
        <v>9748</v>
      </c>
      <c r="E4343">
        <v>5206610195</v>
      </c>
      <c r="F4343" t="s">
        <v>416</v>
      </c>
      <c r="G4343" t="s">
        <v>417</v>
      </c>
      <c r="I4343" t="s">
        <v>26</v>
      </c>
      <c r="J4343" s="13">
        <v>46051</v>
      </c>
      <c r="K4343" s="13">
        <v>46054</v>
      </c>
      <c r="L4343" t="s">
        <v>1179</v>
      </c>
      <c r="M4343" t="s">
        <v>59</v>
      </c>
      <c r="N4343">
        <v>73760500</v>
      </c>
    </row>
    <row r="4344" spans="1:14" x14ac:dyDescent="0.25">
      <c r="A4344">
        <v>60076980</v>
      </c>
      <c r="B4344" t="s">
        <v>3643</v>
      </c>
      <c r="C4344" t="s">
        <v>4979</v>
      </c>
      <c r="D4344" t="s">
        <v>9749</v>
      </c>
      <c r="E4344">
        <v>9282433598</v>
      </c>
      <c r="F4344" t="s">
        <v>569</v>
      </c>
      <c r="G4344" t="s">
        <v>570</v>
      </c>
      <c r="I4344" t="s">
        <v>34</v>
      </c>
      <c r="J4344" s="13">
        <v>46051</v>
      </c>
      <c r="K4344" s="13">
        <v>46054</v>
      </c>
      <c r="L4344" t="s">
        <v>1179</v>
      </c>
      <c r="M4344" t="s">
        <v>54</v>
      </c>
      <c r="N4344">
        <v>73761153</v>
      </c>
    </row>
    <row r="4345" spans="1:14" x14ac:dyDescent="0.25">
      <c r="A4345">
        <v>60078989</v>
      </c>
      <c r="B4345" t="s">
        <v>1334</v>
      </c>
      <c r="C4345" t="s">
        <v>9750</v>
      </c>
      <c r="D4345" t="s">
        <v>9751</v>
      </c>
      <c r="E4345">
        <v>2072181016</v>
      </c>
      <c r="F4345" t="s">
        <v>798</v>
      </c>
      <c r="G4345" t="s">
        <v>799</v>
      </c>
      <c r="I4345" t="s">
        <v>800</v>
      </c>
      <c r="J4345" s="13">
        <v>46051</v>
      </c>
      <c r="K4345" s="13">
        <v>46054</v>
      </c>
      <c r="L4345" t="s">
        <v>941</v>
      </c>
      <c r="M4345" t="s">
        <v>56</v>
      </c>
      <c r="N4345">
        <v>73762503</v>
      </c>
    </row>
    <row r="4346" spans="1:14" x14ac:dyDescent="0.25">
      <c r="A4346">
        <v>60079018</v>
      </c>
      <c r="B4346" t="s">
        <v>9752</v>
      </c>
      <c r="C4346" t="s">
        <v>9753</v>
      </c>
      <c r="D4346" t="s">
        <v>9754</v>
      </c>
      <c r="E4346">
        <v>2175023771</v>
      </c>
      <c r="F4346" t="s">
        <v>551</v>
      </c>
      <c r="G4346" t="s">
        <v>552</v>
      </c>
      <c r="I4346" t="s">
        <v>42</v>
      </c>
      <c r="J4346" s="13">
        <v>46051</v>
      </c>
      <c r="K4346" s="13">
        <v>46054</v>
      </c>
      <c r="L4346" t="s">
        <v>470</v>
      </c>
      <c r="M4346" t="s">
        <v>56</v>
      </c>
      <c r="N4346">
        <v>73762524</v>
      </c>
    </row>
    <row r="4347" spans="1:14" x14ac:dyDescent="0.25">
      <c r="A4347">
        <v>63374582</v>
      </c>
      <c r="B4347" t="s">
        <v>9755</v>
      </c>
      <c r="C4347" t="s">
        <v>3895</v>
      </c>
      <c r="D4347" t="s">
        <v>9756</v>
      </c>
      <c r="E4347">
        <v>9013595115</v>
      </c>
      <c r="F4347" t="s">
        <v>828</v>
      </c>
      <c r="G4347" t="s">
        <v>1148</v>
      </c>
      <c r="I4347" t="s">
        <v>17</v>
      </c>
      <c r="J4347" s="13">
        <v>46136</v>
      </c>
      <c r="K4347" s="13">
        <v>46143</v>
      </c>
      <c r="L4347" t="s">
        <v>479</v>
      </c>
      <c r="M4347" t="s">
        <v>58</v>
      </c>
      <c r="N4347">
        <v>73762594</v>
      </c>
    </row>
    <row r="4348" spans="1:14" x14ac:dyDescent="0.25">
      <c r="A4348">
        <v>60079840</v>
      </c>
      <c r="B4348" t="s">
        <v>8633</v>
      </c>
      <c r="C4348" t="s">
        <v>9757</v>
      </c>
      <c r="D4348" t="s">
        <v>9758</v>
      </c>
      <c r="E4348">
        <v>9284515828</v>
      </c>
      <c r="F4348" t="s">
        <v>807</v>
      </c>
      <c r="G4348" t="s">
        <v>808</v>
      </c>
      <c r="I4348" t="s">
        <v>33</v>
      </c>
      <c r="J4348" s="13">
        <v>46051</v>
      </c>
      <c r="K4348" s="13">
        <v>46054</v>
      </c>
      <c r="L4348" t="s">
        <v>1179</v>
      </c>
      <c r="M4348" t="s">
        <v>54</v>
      </c>
      <c r="N4348">
        <v>73763429</v>
      </c>
    </row>
    <row r="4349" spans="1:14" x14ac:dyDescent="0.25">
      <c r="A4349">
        <v>60091251</v>
      </c>
      <c r="B4349" t="s">
        <v>431</v>
      </c>
      <c r="C4349" t="s">
        <v>9759</v>
      </c>
      <c r="D4349" t="s">
        <v>9760</v>
      </c>
      <c r="E4349">
        <v>5612131444</v>
      </c>
      <c r="F4349" t="s">
        <v>416</v>
      </c>
      <c r="G4349" t="s">
        <v>417</v>
      </c>
      <c r="I4349" t="s">
        <v>26</v>
      </c>
      <c r="J4349" s="13">
        <v>46052</v>
      </c>
      <c r="K4349" s="13">
        <v>46054</v>
      </c>
      <c r="L4349" t="s">
        <v>497</v>
      </c>
      <c r="M4349" t="s">
        <v>56</v>
      </c>
      <c r="N4349">
        <v>73780100</v>
      </c>
    </row>
    <row r="4350" spans="1:14" x14ac:dyDescent="0.25">
      <c r="A4350">
        <v>60091391</v>
      </c>
      <c r="B4350" t="s">
        <v>1035</v>
      </c>
      <c r="C4350" t="s">
        <v>9761</v>
      </c>
      <c r="D4350" t="s">
        <v>9762</v>
      </c>
      <c r="E4350">
        <v>6813145102</v>
      </c>
      <c r="F4350" t="s">
        <v>474</v>
      </c>
      <c r="G4350" t="s">
        <v>475</v>
      </c>
      <c r="I4350" t="s">
        <v>132</v>
      </c>
      <c r="J4350" s="13">
        <v>46052</v>
      </c>
      <c r="K4350" s="13">
        <v>46054</v>
      </c>
      <c r="L4350" t="s">
        <v>1188</v>
      </c>
      <c r="M4350" t="s">
        <v>56</v>
      </c>
      <c r="N4350">
        <v>73780505</v>
      </c>
    </row>
    <row r="4351" spans="1:14" x14ac:dyDescent="0.25">
      <c r="A4351">
        <v>60093640</v>
      </c>
      <c r="B4351" t="s">
        <v>9763</v>
      </c>
      <c r="C4351" t="s">
        <v>978</v>
      </c>
      <c r="D4351" t="s">
        <v>9764</v>
      </c>
      <c r="E4351">
        <v>8702516682</v>
      </c>
      <c r="F4351" t="s">
        <v>705</v>
      </c>
      <c r="G4351" t="s">
        <v>706</v>
      </c>
      <c r="I4351" t="s">
        <v>12</v>
      </c>
      <c r="J4351" s="13">
        <v>46052</v>
      </c>
      <c r="K4351" s="13">
        <v>46054</v>
      </c>
      <c r="L4351" t="s">
        <v>553</v>
      </c>
      <c r="M4351" t="s">
        <v>58</v>
      </c>
      <c r="N4351">
        <v>73784112</v>
      </c>
    </row>
    <row r="4352" spans="1:14" x14ac:dyDescent="0.25">
      <c r="A4352">
        <v>60093687</v>
      </c>
      <c r="B4352" t="s">
        <v>9765</v>
      </c>
      <c r="C4352" t="s">
        <v>1917</v>
      </c>
      <c r="D4352" t="s">
        <v>9766</v>
      </c>
      <c r="E4352">
        <v>2254283475</v>
      </c>
      <c r="F4352" t="s">
        <v>628</v>
      </c>
      <c r="G4352" t="s">
        <v>629</v>
      </c>
      <c r="I4352" t="s">
        <v>24</v>
      </c>
      <c r="J4352" s="13">
        <v>46052</v>
      </c>
      <c r="K4352" s="13">
        <v>46054</v>
      </c>
      <c r="L4352" t="s">
        <v>612</v>
      </c>
      <c r="M4352" t="s">
        <v>60</v>
      </c>
      <c r="N4352">
        <v>73784148</v>
      </c>
    </row>
    <row r="4353" spans="1:14" x14ac:dyDescent="0.25">
      <c r="A4353">
        <v>60096613</v>
      </c>
      <c r="B4353" t="s">
        <v>7798</v>
      </c>
      <c r="C4353" t="s">
        <v>2258</v>
      </c>
      <c r="D4353" t="s">
        <v>9767</v>
      </c>
      <c r="E4353">
        <v>2516547718</v>
      </c>
      <c r="F4353" t="s">
        <v>574</v>
      </c>
      <c r="G4353" t="s">
        <v>575</v>
      </c>
      <c r="I4353" t="s">
        <v>14</v>
      </c>
      <c r="J4353" s="13">
        <v>46052</v>
      </c>
      <c r="K4353" s="13">
        <v>46054</v>
      </c>
      <c r="L4353" t="s">
        <v>450</v>
      </c>
      <c r="M4353" t="s">
        <v>59</v>
      </c>
      <c r="N4353">
        <v>73789326</v>
      </c>
    </row>
    <row r="4354" spans="1:14" x14ac:dyDescent="0.25">
      <c r="A4354">
        <v>60101470</v>
      </c>
      <c r="B4354" t="s">
        <v>6544</v>
      </c>
      <c r="C4354" t="s">
        <v>9768</v>
      </c>
      <c r="D4354" t="s">
        <v>9769</v>
      </c>
      <c r="E4354">
        <v>4175930362</v>
      </c>
      <c r="F4354" t="s">
        <v>807</v>
      </c>
      <c r="G4354" t="s">
        <v>808</v>
      </c>
      <c r="I4354" t="s">
        <v>33</v>
      </c>
      <c r="J4354" s="13">
        <v>46052</v>
      </c>
      <c r="K4354" s="13">
        <v>46054</v>
      </c>
      <c r="L4354" t="s">
        <v>1179</v>
      </c>
      <c r="M4354" t="s">
        <v>54</v>
      </c>
      <c r="N4354">
        <v>73793750</v>
      </c>
    </row>
    <row r="4355" spans="1:14" x14ac:dyDescent="0.25">
      <c r="A4355">
        <v>60101811</v>
      </c>
      <c r="B4355" t="s">
        <v>2681</v>
      </c>
      <c r="C4355" t="s">
        <v>9770</v>
      </c>
      <c r="D4355" t="s">
        <v>9771</v>
      </c>
      <c r="E4355">
        <v>4704829767</v>
      </c>
      <c r="F4355" t="s">
        <v>828</v>
      </c>
      <c r="G4355" t="s">
        <v>1148</v>
      </c>
      <c r="I4355" t="s">
        <v>17</v>
      </c>
      <c r="J4355" s="13">
        <v>46052</v>
      </c>
      <c r="K4355" s="13">
        <v>46054</v>
      </c>
      <c r="L4355" t="s">
        <v>621</v>
      </c>
      <c r="M4355" t="s">
        <v>56</v>
      </c>
      <c r="N4355">
        <v>73793954</v>
      </c>
    </row>
    <row r="4356" spans="1:14" x14ac:dyDescent="0.25">
      <c r="A4356">
        <v>60101952</v>
      </c>
      <c r="B4356" t="s">
        <v>687</v>
      </c>
      <c r="C4356" t="s">
        <v>9772</v>
      </c>
      <c r="D4356" t="s">
        <v>9773</v>
      </c>
      <c r="E4356">
        <v>8592133094</v>
      </c>
      <c r="F4356" t="s">
        <v>790</v>
      </c>
      <c r="G4356" t="s">
        <v>791</v>
      </c>
      <c r="I4356" t="s">
        <v>119</v>
      </c>
      <c r="J4356" s="13">
        <v>46052</v>
      </c>
      <c r="K4356" s="13">
        <v>46054</v>
      </c>
      <c r="L4356" t="s">
        <v>490</v>
      </c>
      <c r="M4356" t="s">
        <v>56</v>
      </c>
      <c r="N4356">
        <v>73794049</v>
      </c>
    </row>
    <row r="4357" spans="1:14" x14ac:dyDescent="0.25">
      <c r="A4357">
        <v>60102352</v>
      </c>
      <c r="B4357" t="s">
        <v>1167</v>
      </c>
      <c r="C4357" t="s">
        <v>9774</v>
      </c>
      <c r="D4357" t="s">
        <v>9775</v>
      </c>
      <c r="E4357">
        <v>8155938390</v>
      </c>
      <c r="F4357" t="s">
        <v>649</v>
      </c>
      <c r="G4357" t="s">
        <v>650</v>
      </c>
      <c r="I4357" t="s">
        <v>28</v>
      </c>
      <c r="J4357" s="13">
        <v>46052</v>
      </c>
      <c r="K4357" s="13">
        <v>46054</v>
      </c>
      <c r="L4357" t="s">
        <v>470</v>
      </c>
      <c r="M4357" t="s">
        <v>59</v>
      </c>
      <c r="N4357">
        <v>73796364</v>
      </c>
    </row>
    <row r="4358" spans="1:14" x14ac:dyDescent="0.25">
      <c r="A4358">
        <v>60102539</v>
      </c>
      <c r="B4358" t="s">
        <v>1377</v>
      </c>
      <c r="C4358" t="s">
        <v>8442</v>
      </c>
      <c r="D4358" t="s">
        <v>9776</v>
      </c>
      <c r="E4358">
        <v>9166130743</v>
      </c>
      <c r="F4358" t="s">
        <v>928</v>
      </c>
      <c r="G4358" t="s">
        <v>929</v>
      </c>
      <c r="I4358" t="s">
        <v>30</v>
      </c>
      <c r="J4358" s="13">
        <v>46052</v>
      </c>
      <c r="K4358" s="13">
        <v>46054</v>
      </c>
      <c r="L4358" t="s">
        <v>621</v>
      </c>
      <c r="M4358" t="s">
        <v>58</v>
      </c>
      <c r="N4358">
        <v>73797498</v>
      </c>
    </row>
    <row r="4359" spans="1:14" x14ac:dyDescent="0.25">
      <c r="A4359">
        <v>60108929</v>
      </c>
      <c r="B4359" t="s">
        <v>3454</v>
      </c>
      <c r="C4359" t="s">
        <v>9777</v>
      </c>
      <c r="D4359" t="s">
        <v>9778</v>
      </c>
      <c r="E4359">
        <v>3305759811</v>
      </c>
      <c r="F4359" t="s">
        <v>628</v>
      </c>
      <c r="G4359" t="s">
        <v>629</v>
      </c>
      <c r="I4359" t="s">
        <v>24</v>
      </c>
      <c r="J4359" s="13">
        <v>46052</v>
      </c>
      <c r="K4359" s="13">
        <v>46054</v>
      </c>
      <c r="L4359" t="s">
        <v>418</v>
      </c>
      <c r="M4359" t="s">
        <v>59</v>
      </c>
      <c r="N4359">
        <v>73805927</v>
      </c>
    </row>
    <row r="4360" spans="1:14" x14ac:dyDescent="0.25">
      <c r="A4360">
        <v>60112415</v>
      </c>
      <c r="B4360" t="s">
        <v>2915</v>
      </c>
      <c r="C4360" t="s">
        <v>522</v>
      </c>
      <c r="D4360" t="s">
        <v>9779</v>
      </c>
      <c r="E4360">
        <v>9547782461</v>
      </c>
      <c r="F4360" t="s">
        <v>416</v>
      </c>
      <c r="G4360" t="s">
        <v>417</v>
      </c>
      <c r="I4360" t="s">
        <v>26</v>
      </c>
      <c r="J4360" s="13">
        <v>46052</v>
      </c>
      <c r="K4360" s="13">
        <v>46054</v>
      </c>
      <c r="L4360" t="s">
        <v>497</v>
      </c>
      <c r="M4360" t="s">
        <v>56</v>
      </c>
      <c r="N4360">
        <v>73808899</v>
      </c>
    </row>
    <row r="4361" spans="1:14" x14ac:dyDescent="0.25">
      <c r="A4361">
        <v>60112607</v>
      </c>
      <c r="B4361" t="s">
        <v>9780</v>
      </c>
      <c r="C4361" t="s">
        <v>9781</v>
      </c>
      <c r="D4361" t="s">
        <v>9782</v>
      </c>
      <c r="E4361">
        <v>8036166610</v>
      </c>
      <c r="F4361" t="s">
        <v>1067</v>
      </c>
      <c r="G4361" t="s">
        <v>1068</v>
      </c>
      <c r="I4361" t="s">
        <v>35</v>
      </c>
      <c r="J4361" s="13">
        <v>46052</v>
      </c>
      <c r="K4361" s="13">
        <v>46054</v>
      </c>
      <c r="L4361" t="s">
        <v>533</v>
      </c>
      <c r="M4361" t="s">
        <v>58</v>
      </c>
      <c r="N4361">
        <v>73810135</v>
      </c>
    </row>
    <row r="4362" spans="1:14" x14ac:dyDescent="0.25">
      <c r="A4362">
        <v>60112729</v>
      </c>
      <c r="B4362" t="s">
        <v>4054</v>
      </c>
      <c r="C4362" t="s">
        <v>1203</v>
      </c>
      <c r="D4362" t="s">
        <v>9783</v>
      </c>
      <c r="E4362">
        <v>3142199567</v>
      </c>
      <c r="F4362" t="s">
        <v>551</v>
      </c>
      <c r="G4362" t="s">
        <v>552</v>
      </c>
      <c r="I4362" t="s">
        <v>42</v>
      </c>
      <c r="J4362" s="13">
        <v>46052</v>
      </c>
      <c r="K4362" s="13">
        <v>46054</v>
      </c>
      <c r="L4362" t="s">
        <v>434</v>
      </c>
      <c r="M4362" t="s">
        <v>419</v>
      </c>
      <c r="N4362">
        <v>73811104</v>
      </c>
    </row>
    <row r="4363" spans="1:14" x14ac:dyDescent="0.25">
      <c r="A4363">
        <v>60112734</v>
      </c>
      <c r="B4363" t="s">
        <v>1518</v>
      </c>
      <c r="C4363" t="s">
        <v>2513</v>
      </c>
      <c r="D4363" t="s">
        <v>9784</v>
      </c>
      <c r="E4363">
        <v>5732819604</v>
      </c>
      <c r="F4363" t="s">
        <v>1013</v>
      </c>
      <c r="G4363" t="s">
        <v>1014</v>
      </c>
      <c r="I4363" t="s">
        <v>43</v>
      </c>
      <c r="J4363" s="13">
        <v>46052</v>
      </c>
      <c r="K4363" s="13">
        <v>46054</v>
      </c>
      <c r="L4363" t="s">
        <v>434</v>
      </c>
      <c r="M4363" t="s">
        <v>58</v>
      </c>
      <c r="N4363">
        <v>73811267</v>
      </c>
    </row>
    <row r="4364" spans="1:14" x14ac:dyDescent="0.25">
      <c r="A4364">
        <v>60112853</v>
      </c>
      <c r="B4364" t="s">
        <v>4480</v>
      </c>
      <c r="C4364" t="s">
        <v>9785</v>
      </c>
      <c r="D4364" t="s">
        <v>9786</v>
      </c>
      <c r="E4364">
        <v>9046605850</v>
      </c>
      <c r="F4364" t="s">
        <v>775</v>
      </c>
      <c r="G4364" t="s">
        <v>776</v>
      </c>
      <c r="I4364" t="s">
        <v>22</v>
      </c>
      <c r="J4364" s="13">
        <v>46052</v>
      </c>
      <c r="K4364" s="13">
        <v>46054</v>
      </c>
      <c r="L4364" t="s">
        <v>497</v>
      </c>
      <c r="M4364" t="s">
        <v>56</v>
      </c>
      <c r="N4364">
        <v>73812594</v>
      </c>
    </row>
    <row r="4365" spans="1:14" x14ac:dyDescent="0.25">
      <c r="A4365">
        <v>60114132</v>
      </c>
      <c r="B4365" t="s">
        <v>1197</v>
      </c>
      <c r="C4365" t="s">
        <v>2918</v>
      </c>
      <c r="D4365" t="s">
        <v>9787</v>
      </c>
      <c r="E4365">
        <v>8155491407</v>
      </c>
      <c r="F4365" t="s">
        <v>790</v>
      </c>
      <c r="G4365" t="s">
        <v>791</v>
      </c>
      <c r="I4365" t="s">
        <v>119</v>
      </c>
      <c r="J4365" s="13">
        <v>46052</v>
      </c>
      <c r="K4365" s="13">
        <v>46054</v>
      </c>
      <c r="L4365" t="s">
        <v>470</v>
      </c>
      <c r="M4365" t="s">
        <v>56</v>
      </c>
      <c r="N4365">
        <v>73814187</v>
      </c>
    </row>
    <row r="4366" spans="1:14" x14ac:dyDescent="0.25">
      <c r="A4366">
        <v>60118074</v>
      </c>
      <c r="B4366" t="s">
        <v>6173</v>
      </c>
      <c r="C4366" t="s">
        <v>9788</v>
      </c>
      <c r="D4366" t="s">
        <v>9789</v>
      </c>
      <c r="E4366">
        <v>2072125080</v>
      </c>
      <c r="F4366" t="s">
        <v>798</v>
      </c>
      <c r="G4366" t="s">
        <v>799</v>
      </c>
      <c r="I4366" t="s">
        <v>800</v>
      </c>
      <c r="J4366" s="13">
        <v>46052</v>
      </c>
      <c r="K4366" s="13">
        <v>46054</v>
      </c>
      <c r="L4366" t="s">
        <v>941</v>
      </c>
      <c r="M4366" t="s">
        <v>60</v>
      </c>
      <c r="N4366">
        <v>73820927</v>
      </c>
    </row>
    <row r="4367" spans="1:14" x14ac:dyDescent="0.25">
      <c r="A4367">
        <v>60121751</v>
      </c>
      <c r="B4367" t="s">
        <v>9790</v>
      </c>
      <c r="C4367" t="s">
        <v>9791</v>
      </c>
      <c r="D4367" t="s">
        <v>9792</v>
      </c>
      <c r="E4367">
        <v>9047213344</v>
      </c>
      <c r="F4367" t="s">
        <v>448</v>
      </c>
      <c r="G4367" t="s">
        <v>449</v>
      </c>
      <c r="I4367" t="s">
        <v>31</v>
      </c>
      <c r="J4367" s="13">
        <v>46052</v>
      </c>
      <c r="K4367" s="13">
        <v>46054</v>
      </c>
      <c r="L4367" t="s">
        <v>497</v>
      </c>
      <c r="M4367" t="s">
        <v>56</v>
      </c>
      <c r="N4367">
        <v>73825323</v>
      </c>
    </row>
    <row r="4368" spans="1:14" x14ac:dyDescent="0.25">
      <c r="A4368">
        <v>60125198</v>
      </c>
      <c r="B4368" t="s">
        <v>9793</v>
      </c>
      <c r="C4368" t="s">
        <v>9591</v>
      </c>
      <c r="D4368" t="s">
        <v>9794</v>
      </c>
      <c r="E4368">
        <v>5203662941</v>
      </c>
      <c r="F4368" t="s">
        <v>705</v>
      </c>
      <c r="G4368" t="s">
        <v>706</v>
      </c>
      <c r="I4368" t="s">
        <v>12</v>
      </c>
      <c r="J4368" s="13">
        <v>46052</v>
      </c>
      <c r="K4368" s="13">
        <v>46054</v>
      </c>
      <c r="L4368" t="s">
        <v>1179</v>
      </c>
      <c r="M4368" t="s">
        <v>55</v>
      </c>
      <c r="N4368">
        <v>73827876</v>
      </c>
    </row>
    <row r="4369" spans="1:14" x14ac:dyDescent="0.25">
      <c r="A4369">
        <v>60125533</v>
      </c>
      <c r="B4369" t="s">
        <v>1334</v>
      </c>
      <c r="C4369" t="s">
        <v>9795</v>
      </c>
      <c r="D4369" t="s">
        <v>9796</v>
      </c>
      <c r="E4369">
        <v>2394600520</v>
      </c>
      <c r="F4369" t="s">
        <v>780</v>
      </c>
      <c r="G4369" t="s">
        <v>781</v>
      </c>
      <c r="I4369" t="s">
        <v>20</v>
      </c>
      <c r="J4369" s="13">
        <v>46052</v>
      </c>
      <c r="K4369" s="13">
        <v>46054</v>
      </c>
      <c r="L4369" t="s">
        <v>497</v>
      </c>
      <c r="M4369" t="s">
        <v>56</v>
      </c>
      <c r="N4369">
        <v>73827918</v>
      </c>
    </row>
    <row r="4370" spans="1:14" x14ac:dyDescent="0.25">
      <c r="A4370">
        <v>60126393</v>
      </c>
      <c r="B4370" t="s">
        <v>9797</v>
      </c>
      <c r="C4370" t="s">
        <v>4929</v>
      </c>
      <c r="D4370" t="s">
        <v>9798</v>
      </c>
      <c r="E4370">
        <v>8708196404</v>
      </c>
      <c r="F4370" t="s">
        <v>815</v>
      </c>
      <c r="G4370" t="s">
        <v>816</v>
      </c>
      <c r="I4370" t="s">
        <v>23</v>
      </c>
      <c r="J4370" s="13">
        <v>46052</v>
      </c>
      <c r="K4370" s="13">
        <v>46054</v>
      </c>
      <c r="L4370" t="s">
        <v>553</v>
      </c>
      <c r="M4370" t="s">
        <v>56</v>
      </c>
      <c r="N4370">
        <v>73828015</v>
      </c>
    </row>
    <row r="4371" spans="1:14" x14ac:dyDescent="0.25">
      <c r="A4371">
        <v>60127796</v>
      </c>
      <c r="B4371" t="s">
        <v>888</v>
      </c>
      <c r="C4371" t="s">
        <v>903</v>
      </c>
      <c r="D4371" t="s">
        <v>9799</v>
      </c>
      <c r="E4371">
        <v>6235220274</v>
      </c>
      <c r="F4371" t="s">
        <v>775</v>
      </c>
      <c r="G4371" t="s">
        <v>776</v>
      </c>
      <c r="I4371" t="s">
        <v>22</v>
      </c>
      <c r="J4371" s="13">
        <v>46052</v>
      </c>
      <c r="K4371" s="13">
        <v>46054</v>
      </c>
      <c r="L4371" t="s">
        <v>1179</v>
      </c>
      <c r="M4371" t="s">
        <v>55</v>
      </c>
      <c r="N4371">
        <v>73830742</v>
      </c>
    </row>
    <row r="4372" spans="1:14" x14ac:dyDescent="0.25">
      <c r="A4372">
        <v>60128699</v>
      </c>
      <c r="B4372" t="s">
        <v>609</v>
      </c>
      <c r="C4372" t="s">
        <v>9800</v>
      </c>
      <c r="D4372" t="s">
        <v>9801</v>
      </c>
      <c r="E4372">
        <v>4238363535</v>
      </c>
      <c r="F4372" t="s">
        <v>928</v>
      </c>
      <c r="G4372" t="s">
        <v>929</v>
      </c>
      <c r="I4372" t="s">
        <v>30</v>
      </c>
      <c r="J4372" s="13">
        <v>46052</v>
      </c>
      <c r="K4372" s="13">
        <v>46054</v>
      </c>
      <c r="L4372" t="s">
        <v>479</v>
      </c>
      <c r="M4372" t="s">
        <v>56</v>
      </c>
      <c r="N4372">
        <v>73838412</v>
      </c>
    </row>
    <row r="4373" spans="1:14" x14ac:dyDescent="0.25">
      <c r="A4373">
        <v>60128732</v>
      </c>
      <c r="B4373" t="s">
        <v>9802</v>
      </c>
      <c r="C4373" t="s">
        <v>619</v>
      </c>
      <c r="D4373" t="s">
        <v>9803</v>
      </c>
      <c r="E4373" t="s">
        <v>9804</v>
      </c>
      <c r="F4373" t="s">
        <v>1067</v>
      </c>
      <c r="G4373" t="s">
        <v>1068</v>
      </c>
      <c r="I4373" t="s">
        <v>35</v>
      </c>
      <c r="J4373" s="13">
        <v>46052</v>
      </c>
      <c r="K4373" s="13">
        <v>46054</v>
      </c>
      <c r="L4373" t="s">
        <v>533</v>
      </c>
      <c r="M4373" t="s">
        <v>56</v>
      </c>
      <c r="N4373">
        <v>73838438</v>
      </c>
    </row>
    <row r="4374" spans="1:14" x14ac:dyDescent="0.25">
      <c r="A4374">
        <v>60128985</v>
      </c>
      <c r="B4374" t="s">
        <v>1784</v>
      </c>
      <c r="C4374" t="s">
        <v>9805</v>
      </c>
      <c r="D4374" t="s">
        <v>9806</v>
      </c>
      <c r="E4374">
        <v>8149344432</v>
      </c>
      <c r="F4374" t="s">
        <v>448</v>
      </c>
      <c r="G4374" t="s">
        <v>449</v>
      </c>
      <c r="I4374" t="s">
        <v>31</v>
      </c>
      <c r="J4374" s="13">
        <v>46052</v>
      </c>
      <c r="K4374" s="13">
        <v>46054</v>
      </c>
      <c r="L4374" t="s">
        <v>497</v>
      </c>
      <c r="M4374" t="s">
        <v>56</v>
      </c>
      <c r="N4374">
        <v>73838480</v>
      </c>
    </row>
    <row r="4375" spans="1:14" x14ac:dyDescent="0.25">
      <c r="A4375">
        <v>60129182</v>
      </c>
      <c r="B4375" t="s">
        <v>687</v>
      </c>
      <c r="C4375" t="s">
        <v>7462</v>
      </c>
      <c r="D4375" t="s">
        <v>9807</v>
      </c>
      <c r="E4375">
        <v>9282004044</v>
      </c>
      <c r="F4375" t="s">
        <v>780</v>
      </c>
      <c r="G4375" t="s">
        <v>781</v>
      </c>
      <c r="I4375" t="s">
        <v>20</v>
      </c>
      <c r="J4375" s="13">
        <v>46052</v>
      </c>
      <c r="K4375" s="13">
        <v>46054</v>
      </c>
      <c r="L4375" t="s">
        <v>1179</v>
      </c>
      <c r="M4375" t="s">
        <v>54</v>
      </c>
      <c r="N4375">
        <v>73838632</v>
      </c>
    </row>
    <row r="4376" spans="1:14" x14ac:dyDescent="0.25">
      <c r="A4376">
        <v>60129437</v>
      </c>
      <c r="B4376" t="s">
        <v>609</v>
      </c>
      <c r="C4376" t="s">
        <v>9808</v>
      </c>
      <c r="D4376" t="s">
        <v>9809</v>
      </c>
      <c r="E4376">
        <v>7542766666</v>
      </c>
      <c r="F4376" t="s">
        <v>807</v>
      </c>
      <c r="G4376" t="s">
        <v>808</v>
      </c>
      <c r="I4376" t="s">
        <v>33</v>
      </c>
      <c r="J4376" s="13">
        <v>46052</v>
      </c>
      <c r="K4376" s="13">
        <v>46054</v>
      </c>
      <c r="L4376" t="s">
        <v>497</v>
      </c>
      <c r="M4376" t="s">
        <v>56</v>
      </c>
      <c r="N4376">
        <v>73838676</v>
      </c>
    </row>
    <row r="4377" spans="1:14" x14ac:dyDescent="0.25">
      <c r="A4377">
        <v>60129601</v>
      </c>
      <c r="B4377" t="s">
        <v>9810</v>
      </c>
      <c r="C4377" t="s">
        <v>9811</v>
      </c>
      <c r="D4377" t="s">
        <v>9812</v>
      </c>
      <c r="E4377">
        <v>5676443770</v>
      </c>
      <c r="F4377" t="s">
        <v>790</v>
      </c>
      <c r="G4377" t="s">
        <v>791</v>
      </c>
      <c r="I4377" t="s">
        <v>119</v>
      </c>
      <c r="J4377" s="13">
        <v>46052</v>
      </c>
      <c r="K4377" s="13">
        <v>46054</v>
      </c>
      <c r="L4377" t="s">
        <v>418</v>
      </c>
      <c r="M4377" t="s">
        <v>58</v>
      </c>
      <c r="N4377">
        <v>73838783</v>
      </c>
    </row>
    <row r="4378" spans="1:14" x14ac:dyDescent="0.25">
      <c r="A4378">
        <v>60129898</v>
      </c>
      <c r="B4378" t="s">
        <v>1509</v>
      </c>
      <c r="C4378" t="s">
        <v>9813</v>
      </c>
      <c r="D4378" t="s">
        <v>9814</v>
      </c>
      <c r="E4378">
        <v>4043989972</v>
      </c>
      <c r="F4378" t="s">
        <v>815</v>
      </c>
      <c r="G4378" t="s">
        <v>816</v>
      </c>
      <c r="I4378" t="s">
        <v>23</v>
      </c>
      <c r="J4378" s="13">
        <v>46052</v>
      </c>
      <c r="K4378" s="13">
        <v>46054</v>
      </c>
      <c r="L4378" t="s">
        <v>621</v>
      </c>
      <c r="M4378" t="s">
        <v>56</v>
      </c>
      <c r="N4378">
        <v>73839109</v>
      </c>
    </row>
    <row r="4379" spans="1:14" x14ac:dyDescent="0.25">
      <c r="A4379">
        <v>60130255</v>
      </c>
      <c r="B4379" t="s">
        <v>4769</v>
      </c>
      <c r="C4379" t="s">
        <v>3895</v>
      </c>
      <c r="D4379" t="s">
        <v>9815</v>
      </c>
      <c r="E4379">
        <v>2705858541</v>
      </c>
      <c r="F4379" t="s">
        <v>705</v>
      </c>
      <c r="G4379" t="s">
        <v>706</v>
      </c>
      <c r="I4379" t="s">
        <v>12</v>
      </c>
      <c r="J4379" s="13">
        <v>46052</v>
      </c>
      <c r="K4379" s="13">
        <v>46054</v>
      </c>
      <c r="L4379" t="s">
        <v>490</v>
      </c>
      <c r="M4379" t="s">
        <v>56</v>
      </c>
      <c r="N4379">
        <v>73839429</v>
      </c>
    </row>
    <row r="4380" spans="1:14" x14ac:dyDescent="0.25">
      <c r="A4380">
        <v>60146084</v>
      </c>
      <c r="B4380" t="s">
        <v>925</v>
      </c>
      <c r="C4380" t="s">
        <v>2344</v>
      </c>
      <c r="D4380" t="s">
        <v>9816</v>
      </c>
      <c r="E4380">
        <v>4194869978</v>
      </c>
      <c r="F4380" t="s">
        <v>1013</v>
      </c>
      <c r="G4380" t="s">
        <v>1014</v>
      </c>
      <c r="I4380" t="s">
        <v>43</v>
      </c>
      <c r="J4380" s="13">
        <v>46055</v>
      </c>
      <c r="K4380" s="13">
        <v>46082</v>
      </c>
      <c r="L4380" t="s">
        <v>418</v>
      </c>
      <c r="M4380" t="s">
        <v>56</v>
      </c>
      <c r="N4380">
        <v>73866380</v>
      </c>
    </row>
    <row r="4381" spans="1:14" x14ac:dyDescent="0.25">
      <c r="A4381">
        <v>60146795</v>
      </c>
      <c r="B4381" t="s">
        <v>2647</v>
      </c>
      <c r="C4381" t="s">
        <v>9817</v>
      </c>
      <c r="D4381" t="s">
        <v>9818</v>
      </c>
      <c r="E4381">
        <v>6028902701</v>
      </c>
      <c r="F4381" t="s">
        <v>474</v>
      </c>
      <c r="G4381" t="s">
        <v>475</v>
      </c>
      <c r="I4381" t="s">
        <v>132</v>
      </c>
      <c r="J4381" s="13">
        <v>46055</v>
      </c>
      <c r="K4381" s="13">
        <v>46082</v>
      </c>
      <c r="L4381" t="s">
        <v>1179</v>
      </c>
      <c r="M4381" t="s">
        <v>55</v>
      </c>
      <c r="N4381">
        <v>73867987</v>
      </c>
    </row>
    <row r="4382" spans="1:14" x14ac:dyDescent="0.25">
      <c r="A4382">
        <v>60148377</v>
      </c>
      <c r="B4382" t="s">
        <v>1522</v>
      </c>
      <c r="C4382" t="s">
        <v>9819</v>
      </c>
      <c r="D4382" t="s">
        <v>9820</v>
      </c>
      <c r="E4382">
        <v>7722751750</v>
      </c>
      <c r="F4382" t="s">
        <v>775</v>
      </c>
      <c r="G4382" t="s">
        <v>776</v>
      </c>
      <c r="I4382" t="s">
        <v>22</v>
      </c>
      <c r="J4382" s="13">
        <v>46055</v>
      </c>
      <c r="K4382" s="13">
        <v>46082</v>
      </c>
      <c r="L4382" t="s">
        <v>497</v>
      </c>
      <c r="M4382" t="s">
        <v>419</v>
      </c>
      <c r="N4382">
        <v>73868745</v>
      </c>
    </row>
    <row r="4383" spans="1:14" x14ac:dyDescent="0.25">
      <c r="A4383">
        <v>60148525</v>
      </c>
      <c r="B4383" t="s">
        <v>1106</v>
      </c>
      <c r="C4383" t="s">
        <v>1287</v>
      </c>
      <c r="D4383" t="s">
        <v>9821</v>
      </c>
      <c r="E4383">
        <v>9208084658</v>
      </c>
      <c r="F4383" t="s">
        <v>798</v>
      </c>
      <c r="G4383" t="s">
        <v>799</v>
      </c>
      <c r="I4383" t="s">
        <v>800</v>
      </c>
      <c r="J4383" s="13">
        <v>46055</v>
      </c>
      <c r="K4383" s="13">
        <v>46082</v>
      </c>
      <c r="L4383" t="s">
        <v>675</v>
      </c>
      <c r="M4383" t="s">
        <v>58</v>
      </c>
      <c r="N4383">
        <v>73869043</v>
      </c>
    </row>
    <row r="4384" spans="1:14" x14ac:dyDescent="0.25">
      <c r="A4384">
        <v>60149114</v>
      </c>
      <c r="B4384" t="s">
        <v>799</v>
      </c>
      <c r="C4384" t="s">
        <v>3364</v>
      </c>
      <c r="D4384" t="s">
        <v>9822</v>
      </c>
      <c r="E4384">
        <v>9389003707</v>
      </c>
      <c r="F4384" t="s">
        <v>574</v>
      </c>
      <c r="G4384" t="s">
        <v>575</v>
      </c>
      <c r="I4384" t="s">
        <v>14</v>
      </c>
      <c r="J4384" s="13">
        <v>46055</v>
      </c>
      <c r="K4384" s="13">
        <v>46082</v>
      </c>
      <c r="L4384" t="s">
        <v>450</v>
      </c>
      <c r="M4384" t="s">
        <v>56</v>
      </c>
      <c r="N4384">
        <v>73870580</v>
      </c>
    </row>
    <row r="4385" spans="1:14" x14ac:dyDescent="0.25">
      <c r="A4385">
        <v>60152106</v>
      </c>
      <c r="B4385" t="s">
        <v>1925</v>
      </c>
      <c r="C4385" t="s">
        <v>9823</v>
      </c>
      <c r="D4385" t="s">
        <v>9824</v>
      </c>
      <c r="E4385">
        <v>6084341824</v>
      </c>
      <c r="F4385" t="s">
        <v>828</v>
      </c>
      <c r="G4385" t="s">
        <v>1148</v>
      </c>
      <c r="I4385" t="s">
        <v>17</v>
      </c>
      <c r="J4385" s="13">
        <v>46055</v>
      </c>
      <c r="K4385" s="13">
        <v>46082</v>
      </c>
      <c r="L4385" t="s">
        <v>675</v>
      </c>
      <c r="M4385" t="s">
        <v>58</v>
      </c>
      <c r="N4385">
        <v>73880367</v>
      </c>
    </row>
    <row r="4386" spans="1:14" x14ac:dyDescent="0.25">
      <c r="A4386">
        <v>60152264</v>
      </c>
      <c r="B4386" t="s">
        <v>9825</v>
      </c>
      <c r="C4386" t="s">
        <v>9826</v>
      </c>
      <c r="D4386" t="s">
        <v>9827</v>
      </c>
      <c r="E4386">
        <v>7068881101</v>
      </c>
      <c r="F4386" t="s">
        <v>790</v>
      </c>
      <c r="G4386" t="s">
        <v>791</v>
      </c>
      <c r="I4386" t="s">
        <v>119</v>
      </c>
      <c r="J4386" s="13">
        <v>46055</v>
      </c>
      <c r="K4386" s="13">
        <v>46082</v>
      </c>
      <c r="L4386" t="s">
        <v>621</v>
      </c>
      <c r="M4386" t="s">
        <v>58</v>
      </c>
      <c r="N4386">
        <v>73880438</v>
      </c>
    </row>
    <row r="4387" spans="1:14" x14ac:dyDescent="0.25">
      <c r="A4387">
        <v>60152540</v>
      </c>
      <c r="B4387" t="s">
        <v>548</v>
      </c>
      <c r="C4387" t="s">
        <v>9828</v>
      </c>
      <c r="D4387" t="s">
        <v>9829</v>
      </c>
      <c r="E4387">
        <v>2702214157</v>
      </c>
      <c r="F4387" t="s">
        <v>705</v>
      </c>
      <c r="G4387" t="s">
        <v>706</v>
      </c>
      <c r="I4387" t="s">
        <v>12</v>
      </c>
      <c r="J4387" s="13">
        <v>46055</v>
      </c>
      <c r="K4387" s="13">
        <v>46082</v>
      </c>
      <c r="L4387" t="s">
        <v>490</v>
      </c>
      <c r="M4387" t="s">
        <v>61</v>
      </c>
      <c r="N4387">
        <v>73880678</v>
      </c>
    </row>
    <row r="4388" spans="1:14" x14ac:dyDescent="0.25">
      <c r="A4388">
        <v>60152705</v>
      </c>
      <c r="B4388" t="s">
        <v>1941</v>
      </c>
      <c r="C4388" t="s">
        <v>8467</v>
      </c>
      <c r="D4388" t="s">
        <v>9830</v>
      </c>
      <c r="E4388">
        <v>9048829000</v>
      </c>
      <c r="F4388" t="s">
        <v>1067</v>
      </c>
      <c r="G4388" t="s">
        <v>1068</v>
      </c>
      <c r="I4388" t="s">
        <v>35</v>
      </c>
      <c r="J4388" s="13">
        <v>46055</v>
      </c>
      <c r="K4388" s="13">
        <v>46082</v>
      </c>
      <c r="L4388" t="s">
        <v>497</v>
      </c>
      <c r="M4388" t="s">
        <v>56</v>
      </c>
      <c r="N4388">
        <v>73880798</v>
      </c>
    </row>
    <row r="4389" spans="1:14" x14ac:dyDescent="0.25">
      <c r="A4389">
        <v>60154634</v>
      </c>
      <c r="B4389" t="s">
        <v>2036</v>
      </c>
      <c r="C4389" t="s">
        <v>9831</v>
      </c>
      <c r="D4389" t="s">
        <v>9832</v>
      </c>
      <c r="E4389">
        <v>4808684344</v>
      </c>
      <c r="F4389" t="s">
        <v>416</v>
      </c>
      <c r="G4389" t="s">
        <v>417</v>
      </c>
      <c r="I4389" t="s">
        <v>26</v>
      </c>
      <c r="J4389" s="13">
        <v>46055</v>
      </c>
      <c r="K4389" s="13">
        <v>46082</v>
      </c>
      <c r="L4389" t="s">
        <v>1179</v>
      </c>
      <c r="M4389" t="s">
        <v>54</v>
      </c>
      <c r="N4389">
        <v>73882390</v>
      </c>
    </row>
    <row r="4390" spans="1:14" x14ac:dyDescent="0.25">
      <c r="A4390">
        <v>60155202</v>
      </c>
      <c r="B4390" t="s">
        <v>9833</v>
      </c>
      <c r="C4390" t="s">
        <v>3853</v>
      </c>
      <c r="D4390" t="s">
        <v>9834</v>
      </c>
      <c r="E4390">
        <v>6029109902</v>
      </c>
      <c r="F4390" t="s">
        <v>780</v>
      </c>
      <c r="G4390" t="s">
        <v>781</v>
      </c>
      <c r="I4390" t="s">
        <v>20</v>
      </c>
      <c r="J4390" s="13">
        <v>46055</v>
      </c>
      <c r="K4390" s="13">
        <v>46082</v>
      </c>
      <c r="L4390" t="s">
        <v>1179</v>
      </c>
      <c r="M4390" t="s">
        <v>55</v>
      </c>
      <c r="N4390">
        <v>73883673</v>
      </c>
    </row>
    <row r="4391" spans="1:14" x14ac:dyDescent="0.25">
      <c r="A4391">
        <v>60157691</v>
      </c>
      <c r="B4391" t="s">
        <v>695</v>
      </c>
      <c r="C4391" t="s">
        <v>9835</v>
      </c>
      <c r="D4391" t="s">
        <v>9836</v>
      </c>
      <c r="E4391">
        <v>8134488914</v>
      </c>
      <c r="F4391" t="s">
        <v>1345</v>
      </c>
      <c r="G4391" t="s">
        <v>799</v>
      </c>
      <c r="I4391" t="s">
        <v>47</v>
      </c>
      <c r="J4391" s="13">
        <v>46055</v>
      </c>
      <c r="K4391" s="13">
        <v>46082</v>
      </c>
      <c r="L4391" t="s">
        <v>497</v>
      </c>
      <c r="M4391" t="s">
        <v>54</v>
      </c>
      <c r="N4391">
        <v>73889108</v>
      </c>
    </row>
    <row r="4392" spans="1:14" x14ac:dyDescent="0.25">
      <c r="A4392">
        <v>60157882</v>
      </c>
      <c r="B4392" t="s">
        <v>3197</v>
      </c>
      <c r="C4392" t="s">
        <v>9837</v>
      </c>
      <c r="D4392" t="s">
        <v>9838</v>
      </c>
      <c r="E4392">
        <v>9412965294</v>
      </c>
      <c r="F4392" t="s">
        <v>574</v>
      </c>
      <c r="G4392" t="s">
        <v>575</v>
      </c>
      <c r="I4392" t="s">
        <v>14</v>
      </c>
      <c r="J4392" s="13">
        <v>46055</v>
      </c>
      <c r="K4392" s="13">
        <v>46082</v>
      </c>
      <c r="L4392" t="s">
        <v>497</v>
      </c>
      <c r="M4392" t="s">
        <v>56</v>
      </c>
      <c r="N4392">
        <v>73890088</v>
      </c>
    </row>
    <row r="4393" spans="1:14" x14ac:dyDescent="0.25">
      <c r="A4393">
        <v>60163914</v>
      </c>
      <c r="B4393" t="s">
        <v>2771</v>
      </c>
      <c r="C4393" t="s">
        <v>7029</v>
      </c>
      <c r="D4393" t="s">
        <v>9839</v>
      </c>
      <c r="E4393">
        <v>6063069258</v>
      </c>
      <c r="F4393" t="s">
        <v>790</v>
      </c>
      <c r="G4393" t="s">
        <v>791</v>
      </c>
      <c r="I4393" t="s">
        <v>119</v>
      </c>
      <c r="J4393" s="13">
        <v>46055</v>
      </c>
      <c r="K4393" s="13">
        <v>46082</v>
      </c>
      <c r="L4393" t="s">
        <v>490</v>
      </c>
      <c r="M4393" t="s">
        <v>58</v>
      </c>
      <c r="N4393">
        <v>73894309</v>
      </c>
    </row>
    <row r="4394" spans="1:14" x14ac:dyDescent="0.25">
      <c r="A4394">
        <v>60168183</v>
      </c>
      <c r="B4394" t="s">
        <v>799</v>
      </c>
      <c r="C4394" t="s">
        <v>9840</v>
      </c>
      <c r="D4394" t="s">
        <v>9841</v>
      </c>
      <c r="E4394">
        <v>7208224434</v>
      </c>
      <c r="F4394" t="s">
        <v>628</v>
      </c>
      <c r="G4394" t="s">
        <v>629</v>
      </c>
      <c r="I4394" t="s">
        <v>24</v>
      </c>
      <c r="J4394" s="13">
        <v>46055</v>
      </c>
      <c r="K4394" s="13">
        <v>46082</v>
      </c>
      <c r="L4394" t="s">
        <v>539</v>
      </c>
      <c r="M4394" t="s">
        <v>59</v>
      </c>
      <c r="N4394">
        <v>73903906</v>
      </c>
    </row>
    <row r="4395" spans="1:14" x14ac:dyDescent="0.25">
      <c r="A4395">
        <v>60172693</v>
      </c>
      <c r="B4395" t="s">
        <v>7648</v>
      </c>
      <c r="C4395" t="s">
        <v>1287</v>
      </c>
      <c r="D4395" t="s">
        <v>9842</v>
      </c>
      <c r="E4395">
        <v>6303862555</v>
      </c>
      <c r="F4395" t="s">
        <v>705</v>
      </c>
      <c r="G4395" t="s">
        <v>706</v>
      </c>
      <c r="I4395" t="s">
        <v>12</v>
      </c>
      <c r="J4395" s="13">
        <v>46055</v>
      </c>
      <c r="K4395" s="13">
        <v>46082</v>
      </c>
      <c r="L4395" t="s">
        <v>470</v>
      </c>
      <c r="M4395" t="s">
        <v>58</v>
      </c>
      <c r="N4395">
        <v>73911305</v>
      </c>
    </row>
    <row r="4396" spans="1:14" x14ac:dyDescent="0.25">
      <c r="A4396">
        <v>60174428</v>
      </c>
      <c r="B4396" t="s">
        <v>6509</v>
      </c>
      <c r="C4396" t="s">
        <v>9843</v>
      </c>
      <c r="D4396" t="s">
        <v>9844</v>
      </c>
      <c r="E4396">
        <v>9412179753</v>
      </c>
      <c r="F4396" t="s">
        <v>780</v>
      </c>
      <c r="G4396" t="s">
        <v>781</v>
      </c>
      <c r="I4396" t="s">
        <v>20</v>
      </c>
      <c r="J4396" s="13">
        <v>46055</v>
      </c>
      <c r="K4396" s="13">
        <v>46082</v>
      </c>
      <c r="L4396" t="s">
        <v>497</v>
      </c>
      <c r="M4396" t="s">
        <v>56</v>
      </c>
      <c r="N4396">
        <v>73912096</v>
      </c>
    </row>
    <row r="4397" spans="1:14" x14ac:dyDescent="0.25">
      <c r="A4397">
        <v>62969204</v>
      </c>
      <c r="B4397" t="s">
        <v>8764</v>
      </c>
      <c r="C4397" t="s">
        <v>9845</v>
      </c>
      <c r="D4397" t="s">
        <v>9846</v>
      </c>
      <c r="E4397">
        <v>7728822195</v>
      </c>
      <c r="F4397" t="s">
        <v>807</v>
      </c>
      <c r="G4397" t="s">
        <v>808</v>
      </c>
      <c r="I4397" t="s">
        <v>33</v>
      </c>
      <c r="J4397" s="13">
        <v>46126</v>
      </c>
      <c r="K4397" s="13">
        <v>46143</v>
      </c>
      <c r="L4397" t="s">
        <v>497</v>
      </c>
      <c r="M4397" t="s">
        <v>54</v>
      </c>
      <c r="N4397">
        <v>73915886</v>
      </c>
    </row>
    <row r="4398" spans="1:14" x14ac:dyDescent="0.25">
      <c r="A4398">
        <v>60177877</v>
      </c>
      <c r="B4398" t="s">
        <v>420</v>
      </c>
      <c r="C4398" t="s">
        <v>2143</v>
      </c>
      <c r="D4398" t="s">
        <v>9847</v>
      </c>
      <c r="E4398">
        <v>5202530107</v>
      </c>
      <c r="F4398" t="s">
        <v>474</v>
      </c>
      <c r="G4398" t="s">
        <v>475</v>
      </c>
      <c r="I4398" t="s">
        <v>132</v>
      </c>
      <c r="J4398" s="13">
        <v>46055</v>
      </c>
      <c r="K4398" s="13">
        <v>46082</v>
      </c>
      <c r="L4398" t="s">
        <v>1179</v>
      </c>
      <c r="M4398" t="s">
        <v>61</v>
      </c>
      <c r="N4398">
        <v>73916806</v>
      </c>
    </row>
    <row r="4399" spans="1:14" x14ac:dyDescent="0.25">
      <c r="A4399">
        <v>60178802</v>
      </c>
      <c r="B4399" t="s">
        <v>3252</v>
      </c>
      <c r="C4399" t="s">
        <v>5027</v>
      </c>
      <c r="D4399" t="s">
        <v>9848</v>
      </c>
      <c r="E4399">
        <v>9047043157</v>
      </c>
      <c r="F4399" t="s">
        <v>416</v>
      </c>
      <c r="G4399" t="s">
        <v>417</v>
      </c>
      <c r="I4399" t="s">
        <v>26</v>
      </c>
      <c r="J4399" s="13">
        <v>46055</v>
      </c>
      <c r="K4399" s="13">
        <v>46143</v>
      </c>
      <c r="L4399" t="s">
        <v>497</v>
      </c>
      <c r="M4399" t="s">
        <v>58</v>
      </c>
      <c r="N4399">
        <v>73918129</v>
      </c>
    </row>
    <row r="4400" spans="1:14" x14ac:dyDescent="0.25">
      <c r="A4400">
        <v>60179398</v>
      </c>
      <c r="B4400" t="s">
        <v>9849</v>
      </c>
      <c r="C4400" t="s">
        <v>9850</v>
      </c>
      <c r="D4400" t="s">
        <v>9851</v>
      </c>
      <c r="E4400">
        <v>4802291007</v>
      </c>
      <c r="F4400" t="s">
        <v>815</v>
      </c>
      <c r="G4400" t="s">
        <v>816</v>
      </c>
      <c r="I4400" t="s">
        <v>23</v>
      </c>
      <c r="J4400" s="13">
        <v>46055</v>
      </c>
      <c r="K4400" s="13">
        <v>46082</v>
      </c>
      <c r="L4400" t="s">
        <v>1179</v>
      </c>
      <c r="M4400" t="s">
        <v>54</v>
      </c>
      <c r="N4400">
        <v>73923060</v>
      </c>
    </row>
    <row r="4401" spans="1:14" x14ac:dyDescent="0.25">
      <c r="A4401">
        <v>60179496</v>
      </c>
      <c r="B4401" t="s">
        <v>9852</v>
      </c>
      <c r="C4401" t="s">
        <v>9853</v>
      </c>
      <c r="D4401" t="s">
        <v>9854</v>
      </c>
      <c r="E4401">
        <v>6238826605</v>
      </c>
      <c r="F4401" t="s">
        <v>416</v>
      </c>
      <c r="G4401" t="s">
        <v>417</v>
      </c>
      <c r="I4401" t="s">
        <v>26</v>
      </c>
      <c r="J4401" s="13">
        <v>46055</v>
      </c>
      <c r="K4401" s="13">
        <v>46082</v>
      </c>
      <c r="L4401" t="s">
        <v>1179</v>
      </c>
      <c r="M4401" t="s">
        <v>54</v>
      </c>
      <c r="N4401">
        <v>73923121</v>
      </c>
    </row>
    <row r="4402" spans="1:14" x14ac:dyDescent="0.25">
      <c r="A4402">
        <v>60179504</v>
      </c>
      <c r="B4402" t="s">
        <v>7508</v>
      </c>
      <c r="C4402" t="s">
        <v>9855</v>
      </c>
      <c r="D4402" t="s">
        <v>9856</v>
      </c>
      <c r="E4402">
        <v>6025805042</v>
      </c>
      <c r="F4402" t="s">
        <v>775</v>
      </c>
      <c r="G4402" t="s">
        <v>776</v>
      </c>
      <c r="I4402" t="s">
        <v>22</v>
      </c>
      <c r="J4402" s="13">
        <v>46055</v>
      </c>
      <c r="K4402" s="13">
        <v>46082</v>
      </c>
      <c r="L4402" t="s">
        <v>1179</v>
      </c>
      <c r="M4402" t="s">
        <v>54</v>
      </c>
      <c r="N4402">
        <v>73923140</v>
      </c>
    </row>
    <row r="4403" spans="1:14" x14ac:dyDescent="0.25">
      <c r="A4403">
        <v>60180646</v>
      </c>
      <c r="B4403" t="s">
        <v>7299</v>
      </c>
      <c r="C4403" t="s">
        <v>9857</v>
      </c>
      <c r="D4403" t="s">
        <v>9858</v>
      </c>
      <c r="E4403">
        <v>5017442361</v>
      </c>
      <c r="F4403" t="s">
        <v>705</v>
      </c>
      <c r="G4403" t="s">
        <v>706</v>
      </c>
      <c r="I4403" t="s">
        <v>12</v>
      </c>
      <c r="J4403" s="13">
        <v>46057</v>
      </c>
      <c r="K4403" s="13">
        <v>46082</v>
      </c>
      <c r="L4403" t="s">
        <v>553</v>
      </c>
      <c r="M4403" t="s">
        <v>56</v>
      </c>
      <c r="N4403">
        <v>73924758</v>
      </c>
    </row>
    <row r="4404" spans="1:14" x14ac:dyDescent="0.25">
      <c r="A4404">
        <v>60180654</v>
      </c>
      <c r="B4404" t="s">
        <v>8126</v>
      </c>
      <c r="C4404" t="s">
        <v>9859</v>
      </c>
      <c r="D4404" t="s">
        <v>9860</v>
      </c>
      <c r="E4404">
        <v>9092421362</v>
      </c>
      <c r="F4404" t="s">
        <v>474</v>
      </c>
      <c r="G4404" t="s">
        <v>475</v>
      </c>
      <c r="I4404" t="s">
        <v>132</v>
      </c>
      <c r="J4404" s="13">
        <v>46055</v>
      </c>
      <c r="K4404" s="13">
        <v>46082</v>
      </c>
      <c r="L4404" t="s">
        <v>533</v>
      </c>
      <c r="M4404" t="s">
        <v>58</v>
      </c>
      <c r="N4404">
        <v>73924765</v>
      </c>
    </row>
    <row r="4405" spans="1:14" x14ac:dyDescent="0.25">
      <c r="A4405">
        <v>60180836</v>
      </c>
      <c r="B4405" t="s">
        <v>5279</v>
      </c>
      <c r="C4405" t="s">
        <v>9861</v>
      </c>
      <c r="D4405" t="s">
        <v>9862</v>
      </c>
      <c r="E4405">
        <v>8592068173</v>
      </c>
      <c r="F4405" t="s">
        <v>928</v>
      </c>
      <c r="G4405" t="s">
        <v>929</v>
      </c>
      <c r="I4405" t="s">
        <v>30</v>
      </c>
      <c r="J4405" s="13">
        <v>46055</v>
      </c>
      <c r="K4405" s="13">
        <v>46082</v>
      </c>
      <c r="L4405" t="s">
        <v>490</v>
      </c>
      <c r="M4405" t="s">
        <v>58</v>
      </c>
      <c r="N4405">
        <v>73924879</v>
      </c>
    </row>
    <row r="4406" spans="1:14" x14ac:dyDescent="0.25">
      <c r="A4406">
        <v>60181091</v>
      </c>
      <c r="B4406" t="s">
        <v>4775</v>
      </c>
      <c r="C4406" t="s">
        <v>2544</v>
      </c>
      <c r="D4406" t="s">
        <v>9863</v>
      </c>
      <c r="E4406">
        <v>8503359121</v>
      </c>
      <c r="F4406" t="s">
        <v>1067</v>
      </c>
      <c r="G4406" t="s">
        <v>1068</v>
      </c>
      <c r="I4406" t="s">
        <v>35</v>
      </c>
      <c r="J4406" s="13">
        <v>46055</v>
      </c>
      <c r="K4406" s="13">
        <v>46082</v>
      </c>
      <c r="L4406" t="s">
        <v>497</v>
      </c>
      <c r="M4406" t="s">
        <v>56</v>
      </c>
      <c r="N4406">
        <v>73925156</v>
      </c>
    </row>
    <row r="4407" spans="1:14" x14ac:dyDescent="0.25">
      <c r="A4407">
        <v>60181464</v>
      </c>
      <c r="B4407" t="s">
        <v>9864</v>
      </c>
      <c r="C4407" t="s">
        <v>2544</v>
      </c>
      <c r="D4407" t="s">
        <v>9865</v>
      </c>
      <c r="E4407">
        <v>8599995918</v>
      </c>
      <c r="F4407" t="s">
        <v>574</v>
      </c>
      <c r="G4407" t="s">
        <v>575</v>
      </c>
      <c r="I4407" t="s">
        <v>14</v>
      </c>
      <c r="J4407" s="13">
        <v>46055</v>
      </c>
      <c r="K4407" s="13">
        <v>46082</v>
      </c>
      <c r="L4407" t="s">
        <v>490</v>
      </c>
      <c r="M4407" t="s">
        <v>59</v>
      </c>
      <c r="N4407">
        <v>73925377</v>
      </c>
    </row>
    <row r="4408" spans="1:14" x14ac:dyDescent="0.25">
      <c r="A4408">
        <v>63361456</v>
      </c>
      <c r="B4408" t="s">
        <v>4398</v>
      </c>
      <c r="C4408" t="s">
        <v>564</v>
      </c>
      <c r="D4408" t="s">
        <v>9866</v>
      </c>
      <c r="E4408">
        <v>8503482253</v>
      </c>
      <c r="F4408" t="s">
        <v>815</v>
      </c>
      <c r="G4408" t="s">
        <v>816</v>
      </c>
      <c r="I4408" t="s">
        <v>23</v>
      </c>
      <c r="J4408" s="13">
        <v>46135</v>
      </c>
      <c r="K4408" s="13">
        <v>46143</v>
      </c>
      <c r="L4408" t="s">
        <v>497</v>
      </c>
      <c r="M4408" t="s">
        <v>54</v>
      </c>
      <c r="N4408">
        <v>73925679</v>
      </c>
    </row>
    <row r="4409" spans="1:14" x14ac:dyDescent="0.25">
      <c r="A4409">
        <v>60184116</v>
      </c>
      <c r="B4409" t="s">
        <v>8117</v>
      </c>
      <c r="C4409" t="s">
        <v>4396</v>
      </c>
      <c r="D4409" t="s">
        <v>9867</v>
      </c>
      <c r="E4409">
        <v>5205105059</v>
      </c>
      <c r="F4409" t="s">
        <v>780</v>
      </c>
      <c r="G4409" t="s">
        <v>781</v>
      </c>
      <c r="I4409" t="s">
        <v>20</v>
      </c>
      <c r="J4409" s="13">
        <v>46055</v>
      </c>
      <c r="K4409" s="13">
        <v>46082</v>
      </c>
      <c r="L4409" t="s">
        <v>1179</v>
      </c>
      <c r="M4409" t="s">
        <v>59</v>
      </c>
      <c r="N4409">
        <v>73926841</v>
      </c>
    </row>
    <row r="4410" spans="1:14" x14ac:dyDescent="0.25">
      <c r="A4410">
        <v>60197663</v>
      </c>
      <c r="B4410" t="s">
        <v>5075</v>
      </c>
      <c r="C4410" t="s">
        <v>2795</v>
      </c>
      <c r="D4410" t="s">
        <v>9868</v>
      </c>
      <c r="E4410">
        <v>7276374206</v>
      </c>
      <c r="F4410" t="s">
        <v>448</v>
      </c>
      <c r="G4410" t="s">
        <v>449</v>
      </c>
      <c r="I4410" t="s">
        <v>31</v>
      </c>
      <c r="J4410" s="13">
        <v>46056</v>
      </c>
      <c r="K4410" s="13">
        <v>46082</v>
      </c>
      <c r="L4410" t="s">
        <v>497</v>
      </c>
      <c r="M4410" t="s">
        <v>59</v>
      </c>
      <c r="N4410">
        <v>73935806</v>
      </c>
    </row>
    <row r="4411" spans="1:14" x14ac:dyDescent="0.25">
      <c r="A4411">
        <v>60197718</v>
      </c>
      <c r="B4411" t="s">
        <v>3699</v>
      </c>
      <c r="C4411" t="s">
        <v>4408</v>
      </c>
      <c r="D4411" t="s">
        <v>9869</v>
      </c>
      <c r="E4411">
        <v>3342735827</v>
      </c>
      <c r="F4411" t="s">
        <v>1013</v>
      </c>
      <c r="G4411" t="s">
        <v>1014</v>
      </c>
      <c r="I4411" t="s">
        <v>43</v>
      </c>
      <c r="J4411" s="13">
        <v>46056</v>
      </c>
      <c r="K4411" s="13">
        <v>46082</v>
      </c>
      <c r="L4411" t="s">
        <v>450</v>
      </c>
      <c r="M4411" t="s">
        <v>59</v>
      </c>
      <c r="N4411">
        <v>73935844</v>
      </c>
    </row>
    <row r="4412" spans="1:14" x14ac:dyDescent="0.25">
      <c r="A4412">
        <v>60198271</v>
      </c>
      <c r="B4412" t="s">
        <v>3585</v>
      </c>
      <c r="C4412" t="s">
        <v>4667</v>
      </c>
      <c r="D4412" t="s">
        <v>9870</v>
      </c>
      <c r="E4412">
        <v>4143645319</v>
      </c>
      <c r="F4412" t="s">
        <v>649</v>
      </c>
      <c r="G4412" t="s">
        <v>650</v>
      </c>
      <c r="I4412" t="s">
        <v>28</v>
      </c>
      <c r="J4412" s="13">
        <v>46056</v>
      </c>
      <c r="K4412" s="13">
        <v>46082</v>
      </c>
      <c r="L4412" t="s">
        <v>675</v>
      </c>
      <c r="M4412" t="s">
        <v>56</v>
      </c>
      <c r="N4412">
        <v>73936217</v>
      </c>
    </row>
    <row r="4413" spans="1:14" x14ac:dyDescent="0.25">
      <c r="A4413">
        <v>60198379</v>
      </c>
      <c r="B4413" t="s">
        <v>6451</v>
      </c>
      <c r="C4413" t="s">
        <v>688</v>
      </c>
      <c r="D4413" t="s">
        <v>9871</v>
      </c>
      <c r="E4413">
        <v>8705146717</v>
      </c>
      <c r="F4413" t="s">
        <v>790</v>
      </c>
      <c r="G4413" t="s">
        <v>791</v>
      </c>
      <c r="I4413" t="s">
        <v>119</v>
      </c>
      <c r="J4413" s="13">
        <v>46056</v>
      </c>
      <c r="K4413" s="13">
        <v>46082</v>
      </c>
      <c r="L4413" t="s">
        <v>553</v>
      </c>
      <c r="M4413" t="s">
        <v>59</v>
      </c>
      <c r="N4413">
        <v>73936277</v>
      </c>
    </row>
    <row r="4414" spans="1:14" x14ac:dyDescent="0.25">
      <c r="A4414">
        <v>60198459</v>
      </c>
      <c r="B4414" t="s">
        <v>2041</v>
      </c>
      <c r="C4414" t="s">
        <v>1487</v>
      </c>
      <c r="D4414" t="s">
        <v>9872</v>
      </c>
      <c r="E4414">
        <v>3349350553</v>
      </c>
      <c r="F4414" t="s">
        <v>828</v>
      </c>
      <c r="G4414" t="s">
        <v>1148</v>
      </c>
      <c r="I4414" t="s">
        <v>17</v>
      </c>
      <c r="J4414" s="13">
        <v>46056</v>
      </c>
      <c r="K4414" s="13">
        <v>46082</v>
      </c>
      <c r="L4414" t="s">
        <v>450</v>
      </c>
      <c r="M4414" t="s">
        <v>56</v>
      </c>
      <c r="N4414">
        <v>73936335</v>
      </c>
    </row>
    <row r="4415" spans="1:14" x14ac:dyDescent="0.25">
      <c r="A4415">
        <v>60202422</v>
      </c>
      <c r="B4415" t="s">
        <v>8515</v>
      </c>
      <c r="C4415" t="s">
        <v>9873</v>
      </c>
      <c r="D4415" t="s">
        <v>9874</v>
      </c>
      <c r="E4415">
        <v>5613159430</v>
      </c>
      <c r="F4415" t="s">
        <v>1345</v>
      </c>
      <c r="G4415" t="s">
        <v>799</v>
      </c>
      <c r="I4415" t="s">
        <v>47</v>
      </c>
      <c r="J4415" s="13">
        <v>46056</v>
      </c>
      <c r="K4415" s="13">
        <v>46082</v>
      </c>
      <c r="L4415" t="s">
        <v>497</v>
      </c>
      <c r="M4415" t="s">
        <v>54</v>
      </c>
      <c r="N4415">
        <v>73952645</v>
      </c>
    </row>
    <row r="4416" spans="1:14" x14ac:dyDescent="0.25">
      <c r="A4416">
        <v>60203729</v>
      </c>
      <c r="B4416" t="s">
        <v>2445</v>
      </c>
      <c r="C4416" t="s">
        <v>9875</v>
      </c>
      <c r="D4416" t="s">
        <v>9876</v>
      </c>
      <c r="E4416">
        <v>3378021739</v>
      </c>
      <c r="F4416" t="s">
        <v>705</v>
      </c>
      <c r="G4416" t="s">
        <v>706</v>
      </c>
      <c r="I4416" t="s">
        <v>12</v>
      </c>
      <c r="J4416" s="13">
        <v>46056</v>
      </c>
      <c r="K4416" s="13">
        <v>46082</v>
      </c>
      <c r="L4416" t="s">
        <v>612</v>
      </c>
      <c r="M4416" t="s">
        <v>58</v>
      </c>
      <c r="N4416">
        <v>73963014</v>
      </c>
    </row>
    <row r="4417" spans="1:14" x14ac:dyDescent="0.25">
      <c r="A4417">
        <v>60204031</v>
      </c>
      <c r="B4417" t="s">
        <v>9877</v>
      </c>
      <c r="C4417" t="s">
        <v>707</v>
      </c>
      <c r="D4417" t="s">
        <v>9878</v>
      </c>
      <c r="E4417">
        <v>9037201787</v>
      </c>
      <c r="F4417" t="s">
        <v>1013</v>
      </c>
      <c r="G4417" t="s">
        <v>1014</v>
      </c>
      <c r="I4417" t="s">
        <v>43</v>
      </c>
      <c r="J4417" s="13">
        <v>46056</v>
      </c>
      <c r="K4417" s="13">
        <v>46082</v>
      </c>
      <c r="L4417" t="s">
        <v>444</v>
      </c>
      <c r="M4417" t="s">
        <v>55</v>
      </c>
      <c r="N4417">
        <v>73968214</v>
      </c>
    </row>
    <row r="4418" spans="1:14" x14ac:dyDescent="0.25">
      <c r="A4418">
        <v>60205179</v>
      </c>
      <c r="B4418" t="s">
        <v>3742</v>
      </c>
      <c r="C4418" t="s">
        <v>1967</v>
      </c>
      <c r="D4418" t="s">
        <v>9879</v>
      </c>
      <c r="E4418">
        <v>3144137976</v>
      </c>
      <c r="F4418" t="s">
        <v>828</v>
      </c>
      <c r="G4418" t="s">
        <v>1148</v>
      </c>
      <c r="I4418" t="s">
        <v>17</v>
      </c>
      <c r="J4418" s="13">
        <v>46056</v>
      </c>
      <c r="K4418" s="13">
        <v>46082</v>
      </c>
      <c r="L4418" t="s">
        <v>434</v>
      </c>
      <c r="M4418" t="s">
        <v>56</v>
      </c>
      <c r="N4418">
        <v>73980750</v>
      </c>
    </row>
    <row r="4419" spans="1:14" x14ac:dyDescent="0.25">
      <c r="A4419">
        <v>60205554</v>
      </c>
      <c r="B4419" t="s">
        <v>3887</v>
      </c>
      <c r="C4419" t="s">
        <v>9880</v>
      </c>
      <c r="D4419" t="s">
        <v>9881</v>
      </c>
      <c r="E4419">
        <v>6024188266</v>
      </c>
      <c r="F4419" t="s">
        <v>807</v>
      </c>
      <c r="G4419" t="s">
        <v>808</v>
      </c>
      <c r="I4419" t="s">
        <v>33</v>
      </c>
      <c r="J4419" s="13">
        <v>46056</v>
      </c>
      <c r="K4419" s="13">
        <v>46082</v>
      </c>
      <c r="L4419" t="s">
        <v>1179</v>
      </c>
      <c r="M4419" t="s">
        <v>56</v>
      </c>
      <c r="N4419">
        <v>73981251</v>
      </c>
    </row>
    <row r="4420" spans="1:14" x14ac:dyDescent="0.25">
      <c r="A4420">
        <v>60210049</v>
      </c>
      <c r="B4420" t="s">
        <v>498</v>
      </c>
      <c r="C4420" t="s">
        <v>5661</v>
      </c>
      <c r="D4420" t="s">
        <v>9882</v>
      </c>
      <c r="E4420">
        <v>6232299192</v>
      </c>
      <c r="F4420" t="s">
        <v>551</v>
      </c>
      <c r="G4420" t="s">
        <v>552</v>
      </c>
      <c r="I4420" t="s">
        <v>42</v>
      </c>
      <c r="J4420" s="13">
        <v>46056</v>
      </c>
      <c r="K4420" s="13">
        <v>46082</v>
      </c>
      <c r="L4420" t="s">
        <v>1179</v>
      </c>
      <c r="M4420" t="s">
        <v>55</v>
      </c>
      <c r="N4420">
        <v>73982911</v>
      </c>
    </row>
    <row r="4421" spans="1:14" x14ac:dyDescent="0.25">
      <c r="A4421">
        <v>60210217</v>
      </c>
      <c r="B4421" t="s">
        <v>799</v>
      </c>
      <c r="C4421" t="s">
        <v>688</v>
      </c>
      <c r="D4421" t="s">
        <v>9883</v>
      </c>
      <c r="E4421">
        <v>4792144054</v>
      </c>
      <c r="F4421" t="s">
        <v>649</v>
      </c>
      <c r="G4421" t="s">
        <v>650</v>
      </c>
      <c r="I4421" t="s">
        <v>28</v>
      </c>
      <c r="J4421" s="13">
        <v>46056</v>
      </c>
      <c r="K4421" s="13">
        <v>46082</v>
      </c>
      <c r="L4421" t="s">
        <v>553</v>
      </c>
      <c r="M4421" t="s">
        <v>58</v>
      </c>
      <c r="N4421">
        <v>73983092</v>
      </c>
    </row>
    <row r="4422" spans="1:14" x14ac:dyDescent="0.25">
      <c r="A4422">
        <v>60212399</v>
      </c>
      <c r="B4422" t="s">
        <v>9884</v>
      </c>
      <c r="C4422" t="s">
        <v>9885</v>
      </c>
      <c r="D4422" t="s">
        <v>9886</v>
      </c>
      <c r="E4422" t="s">
        <v>9887</v>
      </c>
      <c r="F4422" t="s">
        <v>416</v>
      </c>
      <c r="G4422" t="s">
        <v>417</v>
      </c>
      <c r="I4422" t="s">
        <v>26</v>
      </c>
      <c r="J4422" s="13">
        <v>46056</v>
      </c>
      <c r="K4422" s="13">
        <v>46082</v>
      </c>
      <c r="L4422" t="s">
        <v>1179</v>
      </c>
      <c r="M4422" t="s">
        <v>54</v>
      </c>
      <c r="N4422">
        <v>73984913</v>
      </c>
    </row>
    <row r="4423" spans="1:14" x14ac:dyDescent="0.25">
      <c r="A4423">
        <v>60212384</v>
      </c>
      <c r="B4423" t="s">
        <v>867</v>
      </c>
      <c r="C4423" t="s">
        <v>9888</v>
      </c>
      <c r="D4423" t="s">
        <v>9889</v>
      </c>
      <c r="E4423" t="s">
        <v>9890</v>
      </c>
      <c r="F4423" t="s">
        <v>780</v>
      </c>
      <c r="G4423" t="s">
        <v>781</v>
      </c>
      <c r="I4423" t="s">
        <v>20</v>
      </c>
      <c r="J4423" s="13">
        <v>46056</v>
      </c>
      <c r="K4423" s="13">
        <v>46082</v>
      </c>
      <c r="L4423" t="s">
        <v>497</v>
      </c>
      <c r="M4423" t="s">
        <v>54</v>
      </c>
      <c r="N4423">
        <v>73984935</v>
      </c>
    </row>
    <row r="4424" spans="1:14" x14ac:dyDescent="0.25">
      <c r="A4424">
        <v>60212937</v>
      </c>
      <c r="B4424" t="s">
        <v>9891</v>
      </c>
      <c r="C4424" t="s">
        <v>9892</v>
      </c>
      <c r="D4424" t="s">
        <v>9893</v>
      </c>
      <c r="E4424">
        <v>9014931630</v>
      </c>
      <c r="F4424" t="s">
        <v>416</v>
      </c>
      <c r="G4424" t="s">
        <v>417</v>
      </c>
      <c r="I4424" t="s">
        <v>26</v>
      </c>
      <c r="J4424" s="13">
        <v>46056</v>
      </c>
      <c r="K4424" s="13">
        <v>46082</v>
      </c>
      <c r="L4424" t="s">
        <v>1179</v>
      </c>
      <c r="M4424" t="s">
        <v>54</v>
      </c>
      <c r="N4424">
        <v>73985275</v>
      </c>
    </row>
    <row r="4425" spans="1:14" x14ac:dyDescent="0.25">
      <c r="A4425">
        <v>60213364</v>
      </c>
      <c r="B4425" t="s">
        <v>3419</v>
      </c>
      <c r="C4425" t="s">
        <v>9894</v>
      </c>
      <c r="D4425" t="s">
        <v>9895</v>
      </c>
      <c r="E4425">
        <v>5207446225</v>
      </c>
      <c r="F4425" t="s">
        <v>574</v>
      </c>
      <c r="G4425" t="s">
        <v>575</v>
      </c>
      <c r="I4425" t="s">
        <v>14</v>
      </c>
      <c r="J4425" s="13">
        <v>46056</v>
      </c>
      <c r="K4425" s="13">
        <v>46082</v>
      </c>
      <c r="L4425" t="s">
        <v>1179</v>
      </c>
      <c r="M4425" t="s">
        <v>56</v>
      </c>
      <c r="N4425">
        <v>73985636</v>
      </c>
    </row>
    <row r="4426" spans="1:14" x14ac:dyDescent="0.25">
      <c r="A4426">
        <v>60213900</v>
      </c>
      <c r="B4426" t="s">
        <v>760</v>
      </c>
      <c r="C4426" t="s">
        <v>9896</v>
      </c>
      <c r="D4426" t="s">
        <v>9897</v>
      </c>
      <c r="E4426">
        <v>9046779681</v>
      </c>
      <c r="F4426" t="s">
        <v>628</v>
      </c>
      <c r="G4426" t="s">
        <v>629</v>
      </c>
      <c r="I4426" t="s">
        <v>24</v>
      </c>
      <c r="J4426" s="13">
        <v>46056</v>
      </c>
      <c r="K4426" s="13">
        <v>46082</v>
      </c>
      <c r="L4426" t="s">
        <v>497</v>
      </c>
      <c r="M4426" t="s">
        <v>59</v>
      </c>
      <c r="N4426">
        <v>73986788</v>
      </c>
    </row>
    <row r="4427" spans="1:14" x14ac:dyDescent="0.25">
      <c r="A4427">
        <v>60214810</v>
      </c>
      <c r="B4427" t="s">
        <v>876</v>
      </c>
      <c r="C4427" t="s">
        <v>8114</v>
      </c>
      <c r="D4427" t="s">
        <v>9898</v>
      </c>
      <c r="E4427">
        <v>6062784539</v>
      </c>
      <c r="F4427" t="s">
        <v>474</v>
      </c>
      <c r="G4427" t="s">
        <v>475</v>
      </c>
      <c r="I4427" t="s">
        <v>132</v>
      </c>
      <c r="J4427" s="13">
        <v>46056</v>
      </c>
      <c r="K4427" s="13">
        <v>46082</v>
      </c>
      <c r="L4427" t="s">
        <v>490</v>
      </c>
      <c r="M4427" t="s">
        <v>61</v>
      </c>
      <c r="N4427">
        <v>73995608</v>
      </c>
    </row>
    <row r="4428" spans="1:14" x14ac:dyDescent="0.25">
      <c r="A4428">
        <v>60215053</v>
      </c>
      <c r="B4428" t="s">
        <v>1004</v>
      </c>
      <c r="C4428" t="s">
        <v>9899</v>
      </c>
      <c r="D4428" t="s">
        <v>9900</v>
      </c>
      <c r="E4428" t="s">
        <v>9901</v>
      </c>
      <c r="F4428" t="s">
        <v>815</v>
      </c>
      <c r="G4428" t="s">
        <v>816</v>
      </c>
      <c r="I4428" t="s">
        <v>23</v>
      </c>
      <c r="J4428" s="13">
        <v>46056</v>
      </c>
      <c r="K4428" s="13">
        <v>46082</v>
      </c>
      <c r="L4428" t="s">
        <v>497</v>
      </c>
      <c r="M4428" t="s">
        <v>56</v>
      </c>
      <c r="N4428">
        <v>73996708</v>
      </c>
    </row>
    <row r="4429" spans="1:14" x14ac:dyDescent="0.25">
      <c r="A4429">
        <v>60215300</v>
      </c>
      <c r="B4429" t="s">
        <v>9902</v>
      </c>
      <c r="C4429" t="s">
        <v>9903</v>
      </c>
      <c r="D4429" t="s">
        <v>9904</v>
      </c>
      <c r="F4429" t="s">
        <v>828</v>
      </c>
      <c r="G4429" t="s">
        <v>1148</v>
      </c>
      <c r="I4429" t="s">
        <v>17</v>
      </c>
      <c r="J4429" s="13">
        <v>46056</v>
      </c>
      <c r="K4429" s="13">
        <v>46082</v>
      </c>
      <c r="L4429" t="s">
        <v>418</v>
      </c>
      <c r="M4429" t="s">
        <v>56</v>
      </c>
      <c r="N4429">
        <v>73999890</v>
      </c>
    </row>
    <row r="4430" spans="1:14" x14ac:dyDescent="0.25">
      <c r="A4430">
        <v>60216099</v>
      </c>
      <c r="B4430" t="s">
        <v>867</v>
      </c>
      <c r="C4430" t="s">
        <v>9905</v>
      </c>
      <c r="D4430" t="s">
        <v>9906</v>
      </c>
      <c r="E4430">
        <v>8597577294</v>
      </c>
      <c r="F4430" t="s">
        <v>790</v>
      </c>
      <c r="G4430" t="s">
        <v>791</v>
      </c>
      <c r="I4430" t="s">
        <v>119</v>
      </c>
      <c r="J4430" s="13">
        <v>46056</v>
      </c>
      <c r="K4430" s="13">
        <v>46082</v>
      </c>
      <c r="L4430" t="s">
        <v>490</v>
      </c>
      <c r="M4430" t="s">
        <v>56</v>
      </c>
      <c r="N4430">
        <v>74003427</v>
      </c>
    </row>
    <row r="4431" spans="1:14" x14ac:dyDescent="0.25">
      <c r="A4431">
        <v>60223367</v>
      </c>
      <c r="B4431" t="s">
        <v>672</v>
      </c>
      <c r="C4431" t="s">
        <v>9907</v>
      </c>
      <c r="D4431" t="s">
        <v>9908</v>
      </c>
      <c r="E4431">
        <v>7198205376</v>
      </c>
      <c r="F4431" t="s">
        <v>649</v>
      </c>
      <c r="G4431" t="s">
        <v>650</v>
      </c>
      <c r="I4431" t="s">
        <v>28</v>
      </c>
      <c r="J4431" s="13">
        <v>46057</v>
      </c>
      <c r="K4431" s="13">
        <v>46082</v>
      </c>
      <c r="L4431" t="s">
        <v>539</v>
      </c>
      <c r="M4431" t="s">
        <v>58</v>
      </c>
      <c r="N4431">
        <v>74013916</v>
      </c>
    </row>
    <row r="4432" spans="1:14" x14ac:dyDescent="0.25">
      <c r="A4432">
        <v>60225574</v>
      </c>
      <c r="B4432" t="s">
        <v>2280</v>
      </c>
      <c r="C4432" t="s">
        <v>619</v>
      </c>
      <c r="D4432" t="s">
        <v>9909</v>
      </c>
      <c r="E4432">
        <v>9547986868</v>
      </c>
      <c r="F4432" t="s">
        <v>416</v>
      </c>
      <c r="G4432" t="s">
        <v>417</v>
      </c>
      <c r="I4432" t="s">
        <v>26</v>
      </c>
      <c r="J4432" s="13">
        <v>46057</v>
      </c>
      <c r="K4432" s="13">
        <v>46082</v>
      </c>
      <c r="L4432" t="s">
        <v>497</v>
      </c>
      <c r="M4432" t="s">
        <v>54</v>
      </c>
      <c r="N4432">
        <v>74014590</v>
      </c>
    </row>
    <row r="4433" spans="1:14" x14ac:dyDescent="0.25">
      <c r="A4433">
        <v>61791326</v>
      </c>
      <c r="B4433" t="s">
        <v>9910</v>
      </c>
      <c r="C4433" t="s">
        <v>576</v>
      </c>
      <c r="D4433" t="s">
        <v>9911</v>
      </c>
      <c r="E4433">
        <v>9546580076</v>
      </c>
      <c r="F4433" t="s">
        <v>780</v>
      </c>
      <c r="G4433" t="s">
        <v>781</v>
      </c>
      <c r="I4433" t="s">
        <v>20</v>
      </c>
      <c r="J4433" s="13">
        <v>46098</v>
      </c>
      <c r="K4433" s="13">
        <v>46113</v>
      </c>
      <c r="L4433" t="s">
        <v>497</v>
      </c>
      <c r="M4433" t="s">
        <v>56</v>
      </c>
      <c r="N4433">
        <v>74014640</v>
      </c>
    </row>
    <row r="4434" spans="1:14" x14ac:dyDescent="0.25">
      <c r="A4434">
        <v>60225682</v>
      </c>
      <c r="B4434" t="s">
        <v>2639</v>
      </c>
      <c r="C4434" t="s">
        <v>9912</v>
      </c>
      <c r="D4434" t="s">
        <v>9913</v>
      </c>
      <c r="E4434">
        <v>2343508723</v>
      </c>
      <c r="F4434" t="s">
        <v>1013</v>
      </c>
      <c r="G4434" t="s">
        <v>1014</v>
      </c>
      <c r="I4434" t="s">
        <v>43</v>
      </c>
      <c r="J4434" s="13">
        <v>46057</v>
      </c>
      <c r="K4434" s="13">
        <v>46082</v>
      </c>
      <c r="L4434" t="s">
        <v>418</v>
      </c>
      <c r="M4434" t="s">
        <v>62</v>
      </c>
      <c r="N4434">
        <v>74014674</v>
      </c>
    </row>
    <row r="4435" spans="1:14" x14ac:dyDescent="0.25">
      <c r="A4435">
        <v>60225927</v>
      </c>
      <c r="B4435" t="s">
        <v>9914</v>
      </c>
      <c r="C4435" t="s">
        <v>7366</v>
      </c>
      <c r="D4435" t="s">
        <v>9915</v>
      </c>
      <c r="E4435">
        <v>2104285238</v>
      </c>
      <c r="F4435" t="s">
        <v>928</v>
      </c>
      <c r="G4435" t="s">
        <v>929</v>
      </c>
      <c r="I4435" t="s">
        <v>30</v>
      </c>
      <c r="J4435" s="13">
        <v>46057</v>
      </c>
      <c r="K4435" s="13">
        <v>46082</v>
      </c>
      <c r="L4435" t="s">
        <v>444</v>
      </c>
      <c r="M4435" t="s">
        <v>56</v>
      </c>
      <c r="N4435">
        <v>74014800</v>
      </c>
    </row>
    <row r="4436" spans="1:14" x14ac:dyDescent="0.25">
      <c r="A4436">
        <v>60226477</v>
      </c>
      <c r="B4436" t="s">
        <v>1522</v>
      </c>
      <c r="C4436" t="s">
        <v>9916</v>
      </c>
      <c r="D4436" t="s">
        <v>9917</v>
      </c>
      <c r="E4436">
        <v>3307663998</v>
      </c>
      <c r="F4436" t="s">
        <v>474</v>
      </c>
      <c r="G4436" t="s">
        <v>475</v>
      </c>
      <c r="I4436" t="s">
        <v>132</v>
      </c>
      <c r="J4436" s="13">
        <v>46057</v>
      </c>
      <c r="K4436" s="13">
        <v>46082</v>
      </c>
      <c r="L4436" t="s">
        <v>418</v>
      </c>
      <c r="M4436" t="s">
        <v>58</v>
      </c>
      <c r="N4436">
        <v>74015135</v>
      </c>
    </row>
    <row r="4437" spans="1:14" x14ac:dyDescent="0.25">
      <c r="A4437">
        <v>60226692</v>
      </c>
      <c r="B4437" t="s">
        <v>1167</v>
      </c>
      <c r="C4437" t="s">
        <v>688</v>
      </c>
      <c r="D4437" t="s">
        <v>9918</v>
      </c>
      <c r="E4437">
        <v>9544059350</v>
      </c>
      <c r="F4437" t="s">
        <v>828</v>
      </c>
      <c r="G4437" t="s">
        <v>1148</v>
      </c>
      <c r="I4437" t="s">
        <v>17</v>
      </c>
      <c r="J4437" s="13">
        <v>46057</v>
      </c>
      <c r="K4437" s="13">
        <v>46082</v>
      </c>
      <c r="L4437" t="s">
        <v>497</v>
      </c>
      <c r="M4437" t="s">
        <v>59</v>
      </c>
      <c r="N4437">
        <v>74015354</v>
      </c>
    </row>
    <row r="4438" spans="1:14" x14ac:dyDescent="0.25">
      <c r="A4438">
        <v>60226859</v>
      </c>
      <c r="B4438" t="s">
        <v>3585</v>
      </c>
      <c r="C4438" t="s">
        <v>9919</v>
      </c>
      <c r="D4438" t="s">
        <v>9920</v>
      </c>
      <c r="E4438">
        <v>8434780228</v>
      </c>
      <c r="F4438" t="s">
        <v>628</v>
      </c>
      <c r="G4438" t="s">
        <v>629</v>
      </c>
      <c r="I4438" t="s">
        <v>24</v>
      </c>
      <c r="J4438" s="13">
        <v>46057</v>
      </c>
      <c r="K4438" s="13">
        <v>46082</v>
      </c>
      <c r="L4438" t="s">
        <v>533</v>
      </c>
      <c r="M4438" t="s">
        <v>55</v>
      </c>
      <c r="N4438">
        <v>74015462</v>
      </c>
    </row>
    <row r="4439" spans="1:14" x14ac:dyDescent="0.25">
      <c r="A4439">
        <v>60233966</v>
      </c>
      <c r="B4439" t="s">
        <v>8368</v>
      </c>
      <c r="C4439" t="s">
        <v>9921</v>
      </c>
      <c r="D4439" t="s">
        <v>9922</v>
      </c>
      <c r="E4439">
        <v>8644126464</v>
      </c>
      <c r="F4439" t="s">
        <v>423</v>
      </c>
      <c r="G4439" t="s">
        <v>424</v>
      </c>
      <c r="I4439" t="s">
        <v>46</v>
      </c>
      <c r="J4439" s="13">
        <v>46057</v>
      </c>
      <c r="K4439" s="13">
        <v>46082</v>
      </c>
      <c r="L4439" t="s">
        <v>533</v>
      </c>
      <c r="M4439" t="s">
        <v>56</v>
      </c>
      <c r="N4439">
        <v>74021909</v>
      </c>
    </row>
    <row r="4440" spans="1:14" x14ac:dyDescent="0.25">
      <c r="A4440">
        <v>60233853</v>
      </c>
      <c r="B4440" t="s">
        <v>9923</v>
      </c>
      <c r="C4440" t="s">
        <v>7753</v>
      </c>
      <c r="D4440" t="s">
        <v>9924</v>
      </c>
      <c r="E4440">
        <v>6029071602</v>
      </c>
      <c r="F4440" t="s">
        <v>807</v>
      </c>
      <c r="G4440" t="s">
        <v>808</v>
      </c>
      <c r="I4440" t="s">
        <v>33</v>
      </c>
      <c r="J4440" s="13">
        <v>46057</v>
      </c>
      <c r="K4440" s="13">
        <v>46082</v>
      </c>
      <c r="L4440" t="s">
        <v>1179</v>
      </c>
      <c r="M4440" t="s">
        <v>56</v>
      </c>
      <c r="N4440">
        <v>74022816</v>
      </c>
    </row>
    <row r="4441" spans="1:14" x14ac:dyDescent="0.25">
      <c r="A4441">
        <v>60234474</v>
      </c>
      <c r="B4441" t="s">
        <v>521</v>
      </c>
      <c r="C4441" t="s">
        <v>9925</v>
      </c>
      <c r="D4441" t="s">
        <v>9926</v>
      </c>
      <c r="E4441">
        <v>9043822868</v>
      </c>
      <c r="F4441" t="s">
        <v>770</v>
      </c>
      <c r="G4441" t="s">
        <v>771</v>
      </c>
      <c r="I4441" t="s">
        <v>25</v>
      </c>
      <c r="J4441" s="13">
        <v>46057</v>
      </c>
      <c r="K4441" s="13">
        <v>46082</v>
      </c>
      <c r="L4441" t="s">
        <v>497</v>
      </c>
      <c r="M4441" t="s">
        <v>54</v>
      </c>
      <c r="N4441">
        <v>74023529</v>
      </c>
    </row>
    <row r="4442" spans="1:14" x14ac:dyDescent="0.25">
      <c r="A4442">
        <v>60235592</v>
      </c>
      <c r="B4442" t="s">
        <v>1408</v>
      </c>
      <c r="C4442" t="s">
        <v>2467</v>
      </c>
      <c r="D4442" t="s">
        <v>9927</v>
      </c>
      <c r="E4442">
        <v>6027522024</v>
      </c>
      <c r="F4442" t="s">
        <v>780</v>
      </c>
      <c r="G4442" t="s">
        <v>781</v>
      </c>
      <c r="I4442" t="s">
        <v>20</v>
      </c>
      <c r="J4442" s="13">
        <v>46057</v>
      </c>
      <c r="K4442" s="13">
        <v>46082</v>
      </c>
      <c r="L4442" t="s">
        <v>1179</v>
      </c>
      <c r="M4442" t="s">
        <v>54</v>
      </c>
      <c r="N4442">
        <v>74024633</v>
      </c>
    </row>
    <row r="4443" spans="1:14" x14ac:dyDescent="0.25">
      <c r="A4443">
        <v>60235854</v>
      </c>
      <c r="B4443" t="s">
        <v>1033</v>
      </c>
      <c r="C4443" t="s">
        <v>9928</v>
      </c>
      <c r="D4443" t="s">
        <v>9929</v>
      </c>
      <c r="E4443">
        <v>9207620090</v>
      </c>
      <c r="F4443" t="s">
        <v>928</v>
      </c>
      <c r="G4443" t="s">
        <v>929</v>
      </c>
      <c r="I4443" t="s">
        <v>30</v>
      </c>
      <c r="J4443" s="13">
        <v>46057</v>
      </c>
      <c r="K4443" s="13">
        <v>46082</v>
      </c>
      <c r="L4443" t="s">
        <v>675</v>
      </c>
      <c r="M4443" t="s">
        <v>56</v>
      </c>
      <c r="N4443">
        <v>74024861</v>
      </c>
    </row>
    <row r="4444" spans="1:14" x14ac:dyDescent="0.25">
      <c r="A4444">
        <v>60236962</v>
      </c>
      <c r="B4444" t="s">
        <v>4137</v>
      </c>
      <c r="C4444" t="s">
        <v>9930</v>
      </c>
      <c r="D4444" t="s">
        <v>9931</v>
      </c>
      <c r="E4444">
        <v>4797198319</v>
      </c>
      <c r="F4444" t="s">
        <v>448</v>
      </c>
      <c r="G4444" t="s">
        <v>449</v>
      </c>
      <c r="I4444" t="s">
        <v>31</v>
      </c>
      <c r="J4444" s="13">
        <v>46057</v>
      </c>
      <c r="K4444" s="13">
        <v>46143</v>
      </c>
      <c r="L4444" t="s">
        <v>553</v>
      </c>
      <c r="M4444" t="s">
        <v>56</v>
      </c>
      <c r="N4444">
        <v>74025950</v>
      </c>
    </row>
    <row r="4445" spans="1:14" x14ac:dyDescent="0.25">
      <c r="A4445">
        <v>60237429</v>
      </c>
      <c r="B4445" t="s">
        <v>1853</v>
      </c>
      <c r="C4445" t="s">
        <v>9932</v>
      </c>
      <c r="D4445" t="s">
        <v>9933</v>
      </c>
      <c r="E4445">
        <v>3032609961</v>
      </c>
      <c r="F4445" t="s">
        <v>828</v>
      </c>
      <c r="G4445" t="s">
        <v>1148</v>
      </c>
      <c r="I4445" t="s">
        <v>17</v>
      </c>
      <c r="J4445" s="13">
        <v>46057</v>
      </c>
      <c r="K4445" s="13">
        <v>46082</v>
      </c>
      <c r="L4445" t="s">
        <v>454</v>
      </c>
      <c r="M4445" t="s">
        <v>56</v>
      </c>
      <c r="N4445">
        <v>74026375</v>
      </c>
    </row>
    <row r="4446" spans="1:14" x14ac:dyDescent="0.25">
      <c r="A4446">
        <v>60237715</v>
      </c>
      <c r="B4446" t="s">
        <v>7747</v>
      </c>
      <c r="C4446" t="s">
        <v>9934</v>
      </c>
      <c r="D4446" t="s">
        <v>9935</v>
      </c>
      <c r="E4446">
        <v>5209400620</v>
      </c>
      <c r="F4446" t="s">
        <v>1345</v>
      </c>
      <c r="G4446" t="s">
        <v>799</v>
      </c>
      <c r="I4446" t="s">
        <v>47</v>
      </c>
      <c r="J4446" s="13">
        <v>46057</v>
      </c>
      <c r="K4446" s="13">
        <v>46082</v>
      </c>
      <c r="L4446" t="s">
        <v>1179</v>
      </c>
      <c r="M4446" t="s">
        <v>59</v>
      </c>
      <c r="N4446">
        <v>74026519</v>
      </c>
    </row>
    <row r="4447" spans="1:14" x14ac:dyDescent="0.25">
      <c r="A4447">
        <v>60238384</v>
      </c>
      <c r="B4447" t="s">
        <v>9936</v>
      </c>
      <c r="C4447" t="s">
        <v>515</v>
      </c>
      <c r="D4447" t="s">
        <v>9937</v>
      </c>
      <c r="E4447">
        <v>6066581559</v>
      </c>
      <c r="F4447" t="s">
        <v>551</v>
      </c>
      <c r="G4447" t="s">
        <v>552</v>
      </c>
      <c r="I4447" t="s">
        <v>42</v>
      </c>
      <c r="J4447" s="13">
        <v>46057</v>
      </c>
      <c r="K4447" s="13">
        <v>46082</v>
      </c>
      <c r="L4447" t="s">
        <v>490</v>
      </c>
      <c r="M4447" t="s">
        <v>58</v>
      </c>
      <c r="N4447">
        <v>74026917</v>
      </c>
    </row>
    <row r="4448" spans="1:14" x14ac:dyDescent="0.25">
      <c r="A4448">
        <v>60238906</v>
      </c>
      <c r="B4448" t="s">
        <v>3451</v>
      </c>
      <c r="C4448" t="s">
        <v>9938</v>
      </c>
      <c r="D4448" t="s">
        <v>9939</v>
      </c>
      <c r="E4448">
        <v>7738403640</v>
      </c>
      <c r="F4448" t="s">
        <v>628</v>
      </c>
      <c r="G4448" t="s">
        <v>629</v>
      </c>
      <c r="I4448" t="s">
        <v>24</v>
      </c>
      <c r="J4448" s="13">
        <v>46057</v>
      </c>
      <c r="K4448" s="13">
        <v>46082</v>
      </c>
      <c r="L4448" t="s">
        <v>470</v>
      </c>
      <c r="M4448" t="s">
        <v>60</v>
      </c>
      <c r="N4448">
        <v>74027407</v>
      </c>
    </row>
    <row r="4449" spans="1:14" x14ac:dyDescent="0.25">
      <c r="A4449">
        <v>60239729</v>
      </c>
      <c r="B4449" t="s">
        <v>3290</v>
      </c>
      <c r="C4449" t="s">
        <v>9940</v>
      </c>
      <c r="D4449" t="s">
        <v>9941</v>
      </c>
      <c r="E4449">
        <v>6022280188</v>
      </c>
      <c r="F4449" t="s">
        <v>416</v>
      </c>
      <c r="G4449" t="s">
        <v>417</v>
      </c>
      <c r="I4449" t="s">
        <v>26</v>
      </c>
      <c r="J4449" s="13">
        <v>46057</v>
      </c>
      <c r="K4449" s="13">
        <v>46082</v>
      </c>
      <c r="L4449" t="s">
        <v>1179</v>
      </c>
      <c r="M4449" t="s">
        <v>54</v>
      </c>
      <c r="N4449">
        <v>74027673</v>
      </c>
    </row>
    <row r="4450" spans="1:14" x14ac:dyDescent="0.25">
      <c r="A4450">
        <v>60243761</v>
      </c>
      <c r="B4450" t="s">
        <v>6128</v>
      </c>
      <c r="C4450" t="s">
        <v>9942</v>
      </c>
      <c r="D4450" t="s">
        <v>9943</v>
      </c>
      <c r="E4450">
        <v>6026208599</v>
      </c>
      <c r="F4450" t="s">
        <v>649</v>
      </c>
      <c r="G4450" t="s">
        <v>650</v>
      </c>
      <c r="I4450" t="s">
        <v>28</v>
      </c>
      <c r="J4450" s="13">
        <v>46057</v>
      </c>
      <c r="K4450" s="13">
        <v>46082</v>
      </c>
      <c r="L4450" t="s">
        <v>1179</v>
      </c>
      <c r="M4450" t="s">
        <v>55</v>
      </c>
      <c r="N4450">
        <v>74033476</v>
      </c>
    </row>
    <row r="4451" spans="1:14" x14ac:dyDescent="0.25">
      <c r="A4451">
        <v>60244611</v>
      </c>
      <c r="B4451" t="s">
        <v>5687</v>
      </c>
      <c r="C4451" t="s">
        <v>9944</v>
      </c>
      <c r="D4451" t="s">
        <v>9945</v>
      </c>
      <c r="E4451">
        <v>3142764917</v>
      </c>
      <c r="F4451" t="s">
        <v>1013</v>
      </c>
      <c r="G4451" t="s">
        <v>1014</v>
      </c>
      <c r="I4451" t="s">
        <v>43</v>
      </c>
      <c r="J4451" s="13">
        <v>46057</v>
      </c>
      <c r="K4451" s="13">
        <v>46082</v>
      </c>
      <c r="L4451" t="s">
        <v>434</v>
      </c>
      <c r="M4451" t="s">
        <v>55</v>
      </c>
      <c r="N4451">
        <v>74036731</v>
      </c>
    </row>
    <row r="4452" spans="1:14" x14ac:dyDescent="0.25">
      <c r="A4452">
        <v>60246281</v>
      </c>
      <c r="B4452" t="s">
        <v>1408</v>
      </c>
      <c r="C4452" t="s">
        <v>9946</v>
      </c>
      <c r="D4452" t="s">
        <v>9947</v>
      </c>
      <c r="E4452">
        <v>9709805187</v>
      </c>
      <c r="F4452" t="s">
        <v>1067</v>
      </c>
      <c r="G4452" t="s">
        <v>1068</v>
      </c>
      <c r="I4452" t="s">
        <v>35</v>
      </c>
      <c r="J4452" s="13">
        <v>46057</v>
      </c>
      <c r="K4452" s="13">
        <v>46082</v>
      </c>
      <c r="L4452" t="s">
        <v>539</v>
      </c>
      <c r="M4452" t="s">
        <v>58</v>
      </c>
      <c r="N4452">
        <v>74041266</v>
      </c>
    </row>
    <row r="4453" spans="1:14" x14ac:dyDescent="0.25">
      <c r="A4453">
        <v>60247406</v>
      </c>
      <c r="B4453" t="s">
        <v>925</v>
      </c>
      <c r="C4453" t="s">
        <v>4741</v>
      </c>
      <c r="D4453" t="s">
        <v>9948</v>
      </c>
      <c r="E4453">
        <v>2566097793</v>
      </c>
      <c r="F4453" t="s">
        <v>448</v>
      </c>
      <c r="G4453" t="s">
        <v>449</v>
      </c>
      <c r="I4453" t="s">
        <v>31</v>
      </c>
      <c r="J4453" s="13">
        <v>46057</v>
      </c>
      <c r="K4453" s="13">
        <v>46082</v>
      </c>
      <c r="L4453" t="s">
        <v>450</v>
      </c>
      <c r="M4453" t="s">
        <v>59</v>
      </c>
      <c r="N4453">
        <v>74042334</v>
      </c>
    </row>
    <row r="4454" spans="1:14" x14ac:dyDescent="0.25">
      <c r="A4454">
        <v>60248251</v>
      </c>
      <c r="B4454" t="s">
        <v>6402</v>
      </c>
      <c r="C4454" t="s">
        <v>9949</v>
      </c>
      <c r="D4454" t="s">
        <v>9950</v>
      </c>
      <c r="E4454">
        <v>4179012572</v>
      </c>
      <c r="F4454" t="s">
        <v>574</v>
      </c>
      <c r="G4454" t="s">
        <v>575</v>
      </c>
      <c r="I4454" t="s">
        <v>14</v>
      </c>
      <c r="J4454" s="13">
        <v>46057</v>
      </c>
      <c r="K4454" s="13">
        <v>46082</v>
      </c>
      <c r="L4454" t="s">
        <v>434</v>
      </c>
      <c r="M4454" t="s">
        <v>56</v>
      </c>
      <c r="N4454">
        <v>74044538</v>
      </c>
    </row>
    <row r="4455" spans="1:14" x14ac:dyDescent="0.25">
      <c r="A4455">
        <v>60249969</v>
      </c>
      <c r="B4455" t="s">
        <v>7111</v>
      </c>
      <c r="C4455" t="s">
        <v>2544</v>
      </c>
      <c r="D4455" t="s">
        <v>9951</v>
      </c>
      <c r="E4455">
        <v>6024867690</v>
      </c>
      <c r="F4455" t="s">
        <v>775</v>
      </c>
      <c r="G4455" t="s">
        <v>776</v>
      </c>
      <c r="I4455" t="s">
        <v>22</v>
      </c>
      <c r="J4455" s="13">
        <v>46057</v>
      </c>
      <c r="K4455" s="13">
        <v>46082</v>
      </c>
      <c r="L4455" t="s">
        <v>1179</v>
      </c>
      <c r="M4455" t="s">
        <v>56</v>
      </c>
      <c r="N4455">
        <v>74048052</v>
      </c>
    </row>
    <row r="4456" spans="1:14" x14ac:dyDescent="0.25">
      <c r="A4456">
        <v>60250432</v>
      </c>
      <c r="B4456" t="s">
        <v>9952</v>
      </c>
      <c r="C4456" t="s">
        <v>6493</v>
      </c>
      <c r="D4456" t="s">
        <v>9953</v>
      </c>
      <c r="E4456">
        <v>9287970947</v>
      </c>
      <c r="F4456" t="s">
        <v>416</v>
      </c>
      <c r="G4456" t="s">
        <v>417</v>
      </c>
      <c r="I4456" t="s">
        <v>26</v>
      </c>
      <c r="J4456" s="13">
        <v>46057</v>
      </c>
      <c r="K4456" s="13">
        <v>46082</v>
      </c>
      <c r="L4456" t="s">
        <v>1179</v>
      </c>
      <c r="M4456" t="s">
        <v>54</v>
      </c>
      <c r="N4456">
        <v>74048077</v>
      </c>
    </row>
    <row r="4457" spans="1:14" x14ac:dyDescent="0.25">
      <c r="A4457">
        <v>60254398</v>
      </c>
      <c r="B4457" t="s">
        <v>1232</v>
      </c>
      <c r="C4457" t="s">
        <v>5737</v>
      </c>
      <c r="D4457" t="s">
        <v>9954</v>
      </c>
      <c r="E4457">
        <v>8709042114</v>
      </c>
      <c r="F4457" t="s">
        <v>1067</v>
      </c>
      <c r="G4457" t="s">
        <v>1068</v>
      </c>
      <c r="I4457" t="s">
        <v>35</v>
      </c>
      <c r="J4457" s="13">
        <v>46057</v>
      </c>
      <c r="K4457" s="13">
        <v>46082</v>
      </c>
      <c r="L4457" t="s">
        <v>553</v>
      </c>
      <c r="M4457" t="s">
        <v>56</v>
      </c>
      <c r="N4457">
        <v>74056355</v>
      </c>
    </row>
    <row r="4458" spans="1:14" x14ac:dyDescent="0.25">
      <c r="A4458">
        <v>60255587</v>
      </c>
      <c r="B4458" t="s">
        <v>3326</v>
      </c>
      <c r="C4458" t="s">
        <v>9955</v>
      </c>
      <c r="D4458" t="s">
        <v>9956</v>
      </c>
      <c r="E4458">
        <v>5134290543</v>
      </c>
      <c r="F4458" t="s">
        <v>1013</v>
      </c>
      <c r="G4458" t="s">
        <v>1014</v>
      </c>
      <c r="I4458" t="s">
        <v>43</v>
      </c>
      <c r="J4458" s="13">
        <v>46057</v>
      </c>
      <c r="K4458" s="13">
        <v>46082</v>
      </c>
      <c r="L4458" t="s">
        <v>418</v>
      </c>
      <c r="M4458" t="s">
        <v>59</v>
      </c>
      <c r="N4458">
        <v>74058285</v>
      </c>
    </row>
    <row r="4459" spans="1:14" x14ac:dyDescent="0.25">
      <c r="A4459">
        <v>60255799</v>
      </c>
      <c r="B4459" t="s">
        <v>4325</v>
      </c>
      <c r="C4459" t="s">
        <v>9957</v>
      </c>
      <c r="D4459" t="s">
        <v>9958</v>
      </c>
      <c r="E4459">
        <v>8167164801</v>
      </c>
      <c r="F4459" t="s">
        <v>649</v>
      </c>
      <c r="G4459" t="s">
        <v>650</v>
      </c>
      <c r="I4459" t="s">
        <v>28</v>
      </c>
      <c r="J4459" s="13">
        <v>46057</v>
      </c>
      <c r="K4459" s="13">
        <v>46082</v>
      </c>
      <c r="L4459" t="s">
        <v>434</v>
      </c>
      <c r="M4459" t="s">
        <v>56</v>
      </c>
      <c r="N4459">
        <v>74058437</v>
      </c>
    </row>
    <row r="4460" spans="1:14" x14ac:dyDescent="0.25">
      <c r="A4460">
        <v>60256608</v>
      </c>
      <c r="B4460" t="s">
        <v>3351</v>
      </c>
      <c r="C4460" t="s">
        <v>9959</v>
      </c>
      <c r="D4460" t="s">
        <v>9960</v>
      </c>
      <c r="E4460">
        <v>9204959802</v>
      </c>
      <c r="F4460" t="s">
        <v>474</v>
      </c>
      <c r="G4460" t="s">
        <v>475</v>
      </c>
      <c r="I4460" t="s">
        <v>132</v>
      </c>
      <c r="J4460" s="13">
        <v>46057</v>
      </c>
      <c r="K4460" s="13">
        <v>46082</v>
      </c>
      <c r="L4460" t="s">
        <v>675</v>
      </c>
      <c r="M4460" t="s">
        <v>58</v>
      </c>
      <c r="N4460">
        <v>74059028</v>
      </c>
    </row>
    <row r="4461" spans="1:14" x14ac:dyDescent="0.25">
      <c r="A4461">
        <v>60256778</v>
      </c>
      <c r="B4461" t="s">
        <v>1910</v>
      </c>
      <c r="C4461" t="s">
        <v>9961</v>
      </c>
      <c r="D4461" t="s">
        <v>9962</v>
      </c>
      <c r="E4461">
        <v>9413239701</v>
      </c>
      <c r="F4461" t="s">
        <v>416</v>
      </c>
      <c r="G4461" t="s">
        <v>417</v>
      </c>
      <c r="I4461" t="s">
        <v>26</v>
      </c>
      <c r="J4461" s="13">
        <v>46057</v>
      </c>
      <c r="K4461" s="13">
        <v>46082</v>
      </c>
      <c r="L4461" t="s">
        <v>497</v>
      </c>
      <c r="M4461" t="s">
        <v>56</v>
      </c>
      <c r="N4461">
        <v>74059157</v>
      </c>
    </row>
    <row r="4462" spans="1:14" x14ac:dyDescent="0.25">
      <c r="A4462">
        <v>60257006</v>
      </c>
      <c r="B4462" t="s">
        <v>2028</v>
      </c>
      <c r="C4462" t="s">
        <v>2782</v>
      </c>
      <c r="D4462" t="s">
        <v>9963</v>
      </c>
      <c r="E4462">
        <v>6027021421</v>
      </c>
      <c r="F4462" t="s">
        <v>1345</v>
      </c>
      <c r="G4462" t="s">
        <v>799</v>
      </c>
      <c r="I4462" t="s">
        <v>47</v>
      </c>
      <c r="J4462" s="13">
        <v>46057</v>
      </c>
      <c r="K4462" s="13">
        <v>46082</v>
      </c>
      <c r="L4462" t="s">
        <v>1179</v>
      </c>
      <c r="M4462" t="s">
        <v>54</v>
      </c>
      <c r="N4462">
        <v>74059331</v>
      </c>
    </row>
    <row r="4463" spans="1:14" x14ac:dyDescent="0.25">
      <c r="A4463">
        <v>60257081</v>
      </c>
      <c r="B4463" t="s">
        <v>9964</v>
      </c>
      <c r="C4463" t="s">
        <v>9965</v>
      </c>
      <c r="D4463" t="s">
        <v>9966</v>
      </c>
      <c r="E4463">
        <v>5732088763</v>
      </c>
      <c r="F4463" t="s">
        <v>574</v>
      </c>
      <c r="G4463" t="s">
        <v>575</v>
      </c>
      <c r="I4463" t="s">
        <v>14</v>
      </c>
      <c r="J4463" s="13">
        <v>46057</v>
      </c>
      <c r="K4463" s="13">
        <v>46082</v>
      </c>
      <c r="L4463" t="s">
        <v>434</v>
      </c>
      <c r="M4463" t="s">
        <v>56</v>
      </c>
      <c r="N4463">
        <v>74059395</v>
      </c>
    </row>
    <row r="4464" spans="1:14" x14ac:dyDescent="0.25">
      <c r="A4464">
        <v>60257318</v>
      </c>
      <c r="B4464" t="s">
        <v>1445</v>
      </c>
      <c r="C4464" t="s">
        <v>9967</v>
      </c>
      <c r="D4464" t="s">
        <v>9968</v>
      </c>
      <c r="E4464">
        <v>9045683423</v>
      </c>
      <c r="F4464" t="s">
        <v>770</v>
      </c>
      <c r="G4464" t="s">
        <v>771</v>
      </c>
      <c r="I4464" t="s">
        <v>25</v>
      </c>
      <c r="J4464" s="13">
        <v>46057</v>
      </c>
      <c r="K4464" s="13">
        <v>46082</v>
      </c>
      <c r="L4464" t="s">
        <v>497</v>
      </c>
      <c r="M4464" t="s">
        <v>56</v>
      </c>
      <c r="N4464">
        <v>74059592</v>
      </c>
    </row>
    <row r="4465" spans="1:14" x14ac:dyDescent="0.25">
      <c r="A4465">
        <v>60257402</v>
      </c>
      <c r="B4465" t="s">
        <v>948</v>
      </c>
      <c r="C4465" t="s">
        <v>9969</v>
      </c>
      <c r="D4465" t="s">
        <v>9970</v>
      </c>
      <c r="E4465">
        <v>5209758362</v>
      </c>
      <c r="F4465" t="s">
        <v>798</v>
      </c>
      <c r="G4465" t="s">
        <v>799</v>
      </c>
      <c r="I4465" t="s">
        <v>800</v>
      </c>
      <c r="J4465" s="13">
        <v>46057</v>
      </c>
      <c r="K4465" s="13">
        <v>46082</v>
      </c>
      <c r="L4465" t="s">
        <v>1179</v>
      </c>
      <c r="M4465" t="s">
        <v>58</v>
      </c>
      <c r="N4465">
        <v>74059654</v>
      </c>
    </row>
    <row r="4466" spans="1:14" x14ac:dyDescent="0.25">
      <c r="A4466">
        <v>60265196</v>
      </c>
      <c r="B4466" t="s">
        <v>8117</v>
      </c>
      <c r="C4466" t="s">
        <v>9971</v>
      </c>
      <c r="D4466" t="s">
        <v>9972</v>
      </c>
      <c r="E4466">
        <v>8592289306</v>
      </c>
      <c r="F4466" t="s">
        <v>828</v>
      </c>
      <c r="G4466" t="s">
        <v>1148</v>
      </c>
      <c r="I4466" t="s">
        <v>17</v>
      </c>
      <c r="J4466" s="13">
        <v>46058</v>
      </c>
      <c r="K4466" s="13">
        <v>46082</v>
      </c>
      <c r="L4466" t="s">
        <v>490</v>
      </c>
      <c r="M4466" t="s">
        <v>56</v>
      </c>
      <c r="N4466">
        <v>74065919</v>
      </c>
    </row>
    <row r="4467" spans="1:14" x14ac:dyDescent="0.25">
      <c r="A4467">
        <v>60265837</v>
      </c>
      <c r="B4467" t="s">
        <v>2523</v>
      </c>
      <c r="C4467" t="s">
        <v>9973</v>
      </c>
      <c r="D4467" t="s">
        <v>9974</v>
      </c>
      <c r="E4467">
        <v>2055031577</v>
      </c>
      <c r="F4467" t="s">
        <v>705</v>
      </c>
      <c r="G4467" t="s">
        <v>706</v>
      </c>
      <c r="I4467" t="s">
        <v>12</v>
      </c>
      <c r="J4467" s="13">
        <v>46058</v>
      </c>
      <c r="K4467" s="13">
        <v>46082</v>
      </c>
      <c r="L4467" t="s">
        <v>450</v>
      </c>
      <c r="M4467" t="s">
        <v>59</v>
      </c>
      <c r="N4467">
        <v>74066370</v>
      </c>
    </row>
    <row r="4468" spans="1:14" x14ac:dyDescent="0.25">
      <c r="A4468">
        <v>60266259</v>
      </c>
      <c r="B4468" t="s">
        <v>522</v>
      </c>
      <c r="C4468" t="s">
        <v>9975</v>
      </c>
      <c r="D4468" t="s">
        <v>9976</v>
      </c>
      <c r="E4468">
        <v>8066324503</v>
      </c>
      <c r="F4468" t="s">
        <v>790</v>
      </c>
      <c r="G4468" t="s">
        <v>791</v>
      </c>
      <c r="I4468" t="s">
        <v>119</v>
      </c>
      <c r="J4468" s="13">
        <v>46058</v>
      </c>
      <c r="K4468" s="13">
        <v>46082</v>
      </c>
      <c r="L4468" t="s">
        <v>444</v>
      </c>
      <c r="M4468" t="s">
        <v>419</v>
      </c>
      <c r="N4468">
        <v>74066496</v>
      </c>
    </row>
    <row r="4469" spans="1:14" x14ac:dyDescent="0.25">
      <c r="A4469">
        <v>60267532</v>
      </c>
      <c r="B4469" t="s">
        <v>1268</v>
      </c>
      <c r="C4469" t="s">
        <v>9977</v>
      </c>
      <c r="D4469" t="s">
        <v>9978</v>
      </c>
      <c r="E4469">
        <v>8504170134</v>
      </c>
      <c r="F4469" t="s">
        <v>423</v>
      </c>
      <c r="G4469" t="s">
        <v>424</v>
      </c>
      <c r="I4469" t="s">
        <v>46</v>
      </c>
      <c r="J4469" s="13">
        <v>46058</v>
      </c>
      <c r="K4469" s="13">
        <v>46082</v>
      </c>
      <c r="L4469" t="s">
        <v>497</v>
      </c>
      <c r="M4469" t="s">
        <v>56</v>
      </c>
      <c r="N4469">
        <v>74066814</v>
      </c>
    </row>
    <row r="4470" spans="1:14" x14ac:dyDescent="0.25">
      <c r="A4470">
        <v>60267547</v>
      </c>
      <c r="B4470" t="s">
        <v>517</v>
      </c>
      <c r="C4470" t="s">
        <v>9979</v>
      </c>
      <c r="D4470" t="s">
        <v>9980</v>
      </c>
      <c r="E4470">
        <v>3523457735</v>
      </c>
      <c r="F4470" t="s">
        <v>780</v>
      </c>
      <c r="G4470" t="s">
        <v>781</v>
      </c>
      <c r="I4470" t="s">
        <v>20</v>
      </c>
      <c r="J4470" s="13">
        <v>46058</v>
      </c>
      <c r="K4470" s="13">
        <v>46082</v>
      </c>
      <c r="L4470" t="s">
        <v>497</v>
      </c>
      <c r="M4470" t="s">
        <v>56</v>
      </c>
      <c r="N4470">
        <v>74067429</v>
      </c>
    </row>
    <row r="4471" spans="1:14" x14ac:dyDescent="0.25">
      <c r="A4471">
        <v>60267589</v>
      </c>
      <c r="B4471" t="s">
        <v>449</v>
      </c>
      <c r="C4471" t="s">
        <v>9981</v>
      </c>
      <c r="D4471" t="s">
        <v>9982</v>
      </c>
      <c r="E4471">
        <v>6029215641</v>
      </c>
      <c r="F4471" t="s">
        <v>416</v>
      </c>
      <c r="G4471" t="s">
        <v>417</v>
      </c>
      <c r="I4471" t="s">
        <v>26</v>
      </c>
      <c r="J4471" s="13">
        <v>46058</v>
      </c>
      <c r="K4471" s="13">
        <v>46082</v>
      </c>
      <c r="L4471" t="s">
        <v>1179</v>
      </c>
      <c r="M4471" t="s">
        <v>54</v>
      </c>
      <c r="N4471">
        <v>74067446</v>
      </c>
    </row>
    <row r="4472" spans="1:14" x14ac:dyDescent="0.25">
      <c r="A4472">
        <v>60268526</v>
      </c>
      <c r="B4472" t="s">
        <v>2771</v>
      </c>
      <c r="C4472" t="s">
        <v>6438</v>
      </c>
      <c r="D4472" t="s">
        <v>9983</v>
      </c>
      <c r="E4472">
        <v>4404581733</v>
      </c>
      <c r="F4472" t="s">
        <v>448</v>
      </c>
      <c r="G4472" t="s">
        <v>449</v>
      </c>
      <c r="I4472" t="s">
        <v>31</v>
      </c>
      <c r="J4472" s="13">
        <v>46058</v>
      </c>
      <c r="K4472" s="13">
        <v>46082</v>
      </c>
      <c r="L4472" t="s">
        <v>418</v>
      </c>
      <c r="M4472" t="s">
        <v>59</v>
      </c>
      <c r="N4472">
        <v>74068001</v>
      </c>
    </row>
    <row r="4473" spans="1:14" x14ac:dyDescent="0.25">
      <c r="A4473">
        <v>60268638</v>
      </c>
      <c r="B4473" t="s">
        <v>888</v>
      </c>
      <c r="C4473" t="s">
        <v>477</v>
      </c>
      <c r="D4473" t="s">
        <v>9984</v>
      </c>
      <c r="E4473">
        <v>6028912562</v>
      </c>
      <c r="F4473" t="s">
        <v>770</v>
      </c>
      <c r="G4473" t="s">
        <v>771</v>
      </c>
      <c r="I4473" t="s">
        <v>25</v>
      </c>
      <c r="J4473" s="13">
        <v>46058</v>
      </c>
      <c r="K4473" s="13">
        <v>46082</v>
      </c>
      <c r="L4473" t="s">
        <v>1179</v>
      </c>
      <c r="M4473" t="s">
        <v>56</v>
      </c>
      <c r="N4473">
        <v>74068088</v>
      </c>
    </row>
    <row r="4474" spans="1:14" x14ac:dyDescent="0.25">
      <c r="A4474">
        <v>60269324</v>
      </c>
      <c r="B4474" t="s">
        <v>1160</v>
      </c>
      <c r="C4474" t="s">
        <v>9985</v>
      </c>
      <c r="D4474" t="s">
        <v>9986</v>
      </c>
      <c r="E4474">
        <v>6367487203</v>
      </c>
      <c r="F4474" t="s">
        <v>551</v>
      </c>
      <c r="G4474" t="s">
        <v>552</v>
      </c>
      <c r="I4474" t="s">
        <v>42</v>
      </c>
      <c r="J4474" s="13">
        <v>46058</v>
      </c>
      <c r="K4474" s="13">
        <v>46082</v>
      </c>
      <c r="L4474" t="s">
        <v>434</v>
      </c>
      <c r="M4474" t="s">
        <v>56</v>
      </c>
      <c r="N4474">
        <v>74068556</v>
      </c>
    </row>
    <row r="4475" spans="1:14" x14ac:dyDescent="0.25">
      <c r="A4475">
        <v>60645442</v>
      </c>
      <c r="B4475" t="s">
        <v>9987</v>
      </c>
      <c r="C4475" t="s">
        <v>6711</v>
      </c>
      <c r="D4475" t="s">
        <v>9988</v>
      </c>
      <c r="E4475" t="s">
        <v>9989</v>
      </c>
      <c r="F4475" t="s">
        <v>474</v>
      </c>
      <c r="G4475" t="s">
        <v>475</v>
      </c>
      <c r="I4475" t="s">
        <v>132</v>
      </c>
      <c r="J4475" s="13">
        <v>46070</v>
      </c>
      <c r="K4475" s="13">
        <v>46082</v>
      </c>
      <c r="L4475" t="s">
        <v>434</v>
      </c>
      <c r="M4475" t="s">
        <v>58</v>
      </c>
      <c r="N4475">
        <v>74068935</v>
      </c>
    </row>
    <row r="4476" spans="1:14" x14ac:dyDescent="0.25">
      <c r="A4476">
        <v>60269857</v>
      </c>
      <c r="B4476" t="s">
        <v>5144</v>
      </c>
      <c r="C4476" t="s">
        <v>9990</v>
      </c>
      <c r="D4476" t="s">
        <v>9991</v>
      </c>
      <c r="E4476">
        <v>8438268930</v>
      </c>
      <c r="F4476" t="s">
        <v>423</v>
      </c>
      <c r="G4476" t="s">
        <v>424</v>
      </c>
      <c r="I4476" t="s">
        <v>46</v>
      </c>
      <c r="J4476" s="13">
        <v>46058</v>
      </c>
      <c r="K4476" s="13">
        <v>46082</v>
      </c>
      <c r="L4476" t="s">
        <v>533</v>
      </c>
      <c r="M4476" t="s">
        <v>56</v>
      </c>
      <c r="N4476">
        <v>74068965</v>
      </c>
    </row>
    <row r="4477" spans="1:14" x14ac:dyDescent="0.25">
      <c r="A4477">
        <v>60270213</v>
      </c>
      <c r="B4477" t="s">
        <v>4374</v>
      </c>
      <c r="C4477" t="s">
        <v>9992</v>
      </c>
      <c r="D4477" t="s">
        <v>9993</v>
      </c>
      <c r="E4477">
        <v>7574393494</v>
      </c>
      <c r="F4477" t="s">
        <v>649</v>
      </c>
      <c r="G4477" t="s">
        <v>650</v>
      </c>
      <c r="I4477" t="s">
        <v>28</v>
      </c>
      <c r="J4477" s="13">
        <v>46058</v>
      </c>
      <c r="K4477" s="13">
        <v>46082</v>
      </c>
      <c r="L4477" t="s">
        <v>454</v>
      </c>
      <c r="M4477" t="s">
        <v>56</v>
      </c>
      <c r="N4477">
        <v>74071681</v>
      </c>
    </row>
    <row r="4478" spans="1:14" x14ac:dyDescent="0.25">
      <c r="A4478">
        <v>60270241</v>
      </c>
      <c r="B4478" t="s">
        <v>952</v>
      </c>
      <c r="C4478" t="s">
        <v>9994</v>
      </c>
      <c r="D4478" t="s">
        <v>9995</v>
      </c>
      <c r="E4478">
        <v>6025387081</v>
      </c>
      <c r="F4478" t="s">
        <v>775</v>
      </c>
      <c r="G4478" t="s">
        <v>776</v>
      </c>
      <c r="I4478" t="s">
        <v>22</v>
      </c>
      <c r="J4478" s="13">
        <v>46058</v>
      </c>
      <c r="K4478" s="13">
        <v>46082</v>
      </c>
      <c r="L4478" t="s">
        <v>1179</v>
      </c>
      <c r="M4478" t="s">
        <v>59</v>
      </c>
      <c r="N4478">
        <v>74071698</v>
      </c>
    </row>
    <row r="4479" spans="1:14" x14ac:dyDescent="0.25">
      <c r="A4479">
        <v>60270511</v>
      </c>
      <c r="B4479" t="s">
        <v>586</v>
      </c>
      <c r="C4479" t="s">
        <v>748</v>
      </c>
      <c r="D4479" t="s">
        <v>9996</v>
      </c>
      <c r="E4479">
        <v>3184015486</v>
      </c>
      <c r="F4479" t="s">
        <v>705</v>
      </c>
      <c r="G4479" t="s">
        <v>706</v>
      </c>
      <c r="I4479" t="s">
        <v>12</v>
      </c>
      <c r="J4479" s="13">
        <v>46058</v>
      </c>
      <c r="K4479" s="13">
        <v>46082</v>
      </c>
      <c r="L4479" t="s">
        <v>612</v>
      </c>
      <c r="M4479" t="s">
        <v>58</v>
      </c>
      <c r="N4479">
        <v>74071858</v>
      </c>
    </row>
    <row r="4480" spans="1:14" x14ac:dyDescent="0.25">
      <c r="A4480">
        <v>60270609</v>
      </c>
      <c r="B4480" t="s">
        <v>9997</v>
      </c>
      <c r="C4480" t="s">
        <v>8233</v>
      </c>
      <c r="D4480" t="s">
        <v>9998</v>
      </c>
      <c r="E4480">
        <v>7196798300</v>
      </c>
      <c r="F4480" t="s">
        <v>1013</v>
      </c>
      <c r="G4480" t="s">
        <v>1014</v>
      </c>
      <c r="I4480" t="s">
        <v>43</v>
      </c>
      <c r="J4480" s="13">
        <v>46058</v>
      </c>
      <c r="K4480" s="13">
        <v>46082</v>
      </c>
      <c r="L4480" t="s">
        <v>539</v>
      </c>
      <c r="M4480" t="s">
        <v>58</v>
      </c>
      <c r="N4480">
        <v>74071924</v>
      </c>
    </row>
    <row r="4481" spans="1:14" x14ac:dyDescent="0.25">
      <c r="A4481">
        <v>60270896</v>
      </c>
      <c r="B4481" t="s">
        <v>5882</v>
      </c>
      <c r="C4481" t="s">
        <v>9999</v>
      </c>
      <c r="D4481" t="s">
        <v>10000</v>
      </c>
      <c r="E4481">
        <v>7197287969</v>
      </c>
      <c r="F4481" t="s">
        <v>828</v>
      </c>
      <c r="G4481" t="s">
        <v>1148</v>
      </c>
      <c r="I4481" t="s">
        <v>17</v>
      </c>
      <c r="J4481" s="13">
        <v>46058</v>
      </c>
      <c r="K4481" s="13">
        <v>46082</v>
      </c>
      <c r="L4481" t="s">
        <v>539</v>
      </c>
      <c r="M4481" t="s">
        <v>56</v>
      </c>
      <c r="N4481">
        <v>74072134</v>
      </c>
    </row>
    <row r="4482" spans="1:14" x14ac:dyDescent="0.25">
      <c r="A4482">
        <v>60271795</v>
      </c>
      <c r="B4482" t="s">
        <v>1148</v>
      </c>
      <c r="C4482" t="s">
        <v>10001</v>
      </c>
      <c r="D4482" t="s">
        <v>10002</v>
      </c>
      <c r="E4482">
        <v>2708472763</v>
      </c>
      <c r="F4482" t="s">
        <v>423</v>
      </c>
      <c r="G4482" t="s">
        <v>424</v>
      </c>
      <c r="I4482" t="s">
        <v>46</v>
      </c>
      <c r="J4482" s="13">
        <v>46058</v>
      </c>
      <c r="K4482" s="13">
        <v>46082</v>
      </c>
      <c r="L4482" t="s">
        <v>490</v>
      </c>
      <c r="M4482" t="s">
        <v>61</v>
      </c>
      <c r="N4482">
        <v>74072617</v>
      </c>
    </row>
    <row r="4483" spans="1:14" x14ac:dyDescent="0.25">
      <c r="A4483">
        <v>61043766</v>
      </c>
      <c r="B4483" t="s">
        <v>1699</v>
      </c>
      <c r="C4483" t="s">
        <v>770</v>
      </c>
      <c r="D4483" t="s">
        <v>10003</v>
      </c>
      <c r="E4483">
        <v>9543946522</v>
      </c>
      <c r="F4483" t="s">
        <v>474</v>
      </c>
      <c r="G4483" t="s">
        <v>475</v>
      </c>
      <c r="I4483" t="s">
        <v>132</v>
      </c>
      <c r="J4483" s="13">
        <v>46083</v>
      </c>
      <c r="K4483" s="13">
        <v>46113</v>
      </c>
      <c r="L4483" t="s">
        <v>497</v>
      </c>
      <c r="M4483" t="s">
        <v>56</v>
      </c>
      <c r="N4483">
        <v>74072880</v>
      </c>
    </row>
    <row r="4484" spans="1:14" x14ac:dyDescent="0.25">
      <c r="A4484">
        <v>60273738</v>
      </c>
      <c r="B4484" t="s">
        <v>9221</v>
      </c>
      <c r="C4484" t="s">
        <v>10004</v>
      </c>
      <c r="D4484" t="s">
        <v>10005</v>
      </c>
      <c r="E4484">
        <v>9543945200</v>
      </c>
      <c r="F4484" t="s">
        <v>1067</v>
      </c>
      <c r="G4484" t="s">
        <v>1068</v>
      </c>
      <c r="I4484" t="s">
        <v>35</v>
      </c>
      <c r="J4484" s="13">
        <v>46058</v>
      </c>
      <c r="K4484" s="13">
        <v>46082</v>
      </c>
      <c r="L4484" t="s">
        <v>497</v>
      </c>
      <c r="M4484" t="s">
        <v>56</v>
      </c>
      <c r="N4484">
        <v>74077613</v>
      </c>
    </row>
    <row r="4485" spans="1:14" x14ac:dyDescent="0.25">
      <c r="A4485">
        <v>60274069</v>
      </c>
      <c r="B4485" t="s">
        <v>10006</v>
      </c>
      <c r="C4485" t="s">
        <v>10007</v>
      </c>
      <c r="D4485" t="s">
        <v>10008</v>
      </c>
      <c r="E4485">
        <v>3148696290</v>
      </c>
      <c r="F4485" t="s">
        <v>649</v>
      </c>
      <c r="G4485" t="s">
        <v>650</v>
      </c>
      <c r="I4485" t="s">
        <v>28</v>
      </c>
      <c r="J4485" s="13">
        <v>46058</v>
      </c>
      <c r="K4485" s="13">
        <v>46082</v>
      </c>
      <c r="L4485" t="s">
        <v>434</v>
      </c>
      <c r="M4485" t="s">
        <v>419</v>
      </c>
      <c r="N4485">
        <v>74081542</v>
      </c>
    </row>
    <row r="4486" spans="1:14" x14ac:dyDescent="0.25">
      <c r="A4486">
        <v>60274419</v>
      </c>
      <c r="B4486" t="s">
        <v>1038</v>
      </c>
      <c r="C4486" t="s">
        <v>10009</v>
      </c>
      <c r="D4486" t="s">
        <v>10010</v>
      </c>
      <c r="E4486">
        <v>8702275082</v>
      </c>
      <c r="F4486" t="s">
        <v>1013</v>
      </c>
      <c r="G4486" t="s">
        <v>1014</v>
      </c>
      <c r="I4486" t="s">
        <v>43</v>
      </c>
      <c r="J4486" s="13">
        <v>46058</v>
      </c>
      <c r="K4486" s="13">
        <v>46082</v>
      </c>
      <c r="L4486" t="s">
        <v>553</v>
      </c>
      <c r="M4486" t="s">
        <v>59</v>
      </c>
      <c r="N4486">
        <v>74082998</v>
      </c>
    </row>
    <row r="4487" spans="1:14" x14ac:dyDescent="0.25">
      <c r="A4487">
        <v>60274833</v>
      </c>
      <c r="B4487" t="s">
        <v>6150</v>
      </c>
      <c r="C4487" t="s">
        <v>10011</v>
      </c>
      <c r="D4487" t="s">
        <v>10012</v>
      </c>
      <c r="E4487">
        <v>2165773695</v>
      </c>
      <c r="F4487" t="s">
        <v>628</v>
      </c>
      <c r="G4487" t="s">
        <v>629</v>
      </c>
      <c r="I4487" t="s">
        <v>24</v>
      </c>
      <c r="J4487" s="13">
        <v>46058</v>
      </c>
      <c r="K4487" s="13">
        <v>46082</v>
      </c>
      <c r="L4487" t="s">
        <v>418</v>
      </c>
      <c r="M4487" t="s">
        <v>59</v>
      </c>
      <c r="N4487">
        <v>74083248</v>
      </c>
    </row>
    <row r="4488" spans="1:14" x14ac:dyDescent="0.25">
      <c r="A4488">
        <v>60278967</v>
      </c>
      <c r="B4488" t="s">
        <v>3193</v>
      </c>
      <c r="C4488" t="s">
        <v>10013</v>
      </c>
      <c r="D4488" t="s">
        <v>10014</v>
      </c>
      <c r="E4488">
        <v>8034632601</v>
      </c>
      <c r="F4488" t="s">
        <v>574</v>
      </c>
      <c r="G4488" t="s">
        <v>575</v>
      </c>
      <c r="I4488" t="s">
        <v>14</v>
      </c>
      <c r="J4488" s="13">
        <v>46058</v>
      </c>
      <c r="K4488" s="13">
        <v>46082</v>
      </c>
      <c r="L4488" t="s">
        <v>533</v>
      </c>
      <c r="M4488" t="s">
        <v>56</v>
      </c>
      <c r="N4488">
        <v>74084299</v>
      </c>
    </row>
    <row r="4489" spans="1:14" x14ac:dyDescent="0.25">
      <c r="A4489">
        <v>60279270</v>
      </c>
      <c r="B4489" t="s">
        <v>676</v>
      </c>
      <c r="C4489" t="s">
        <v>10015</v>
      </c>
      <c r="D4489" t="s">
        <v>10016</v>
      </c>
      <c r="E4489">
        <v>9046293249</v>
      </c>
      <c r="F4489" t="s">
        <v>551</v>
      </c>
      <c r="G4489" t="s">
        <v>552</v>
      </c>
      <c r="I4489" t="s">
        <v>42</v>
      </c>
      <c r="J4489" s="13">
        <v>46058</v>
      </c>
      <c r="K4489" s="13">
        <v>46082</v>
      </c>
      <c r="L4489" t="s">
        <v>497</v>
      </c>
      <c r="M4489" t="s">
        <v>58</v>
      </c>
      <c r="N4489">
        <v>74084307</v>
      </c>
    </row>
    <row r="4490" spans="1:14" x14ac:dyDescent="0.25">
      <c r="A4490">
        <v>60281761</v>
      </c>
      <c r="B4490" t="s">
        <v>1297</v>
      </c>
      <c r="C4490" t="s">
        <v>10017</v>
      </c>
      <c r="D4490" t="s">
        <v>10018</v>
      </c>
      <c r="E4490">
        <v>5738870992</v>
      </c>
      <c r="F4490" t="s">
        <v>474</v>
      </c>
      <c r="G4490" t="s">
        <v>475</v>
      </c>
      <c r="I4490" t="s">
        <v>132</v>
      </c>
      <c r="J4490" s="13">
        <v>46058</v>
      </c>
      <c r="K4490" s="13">
        <v>46082</v>
      </c>
      <c r="L4490" t="s">
        <v>470</v>
      </c>
      <c r="M4490" t="s">
        <v>56</v>
      </c>
      <c r="N4490">
        <v>74085417</v>
      </c>
    </row>
    <row r="4491" spans="1:14" x14ac:dyDescent="0.25">
      <c r="A4491">
        <v>60282642</v>
      </c>
      <c r="B4491" t="s">
        <v>425</v>
      </c>
      <c r="C4491" t="s">
        <v>10019</v>
      </c>
      <c r="D4491" t="s">
        <v>10020</v>
      </c>
      <c r="E4491">
        <v>5739157977</v>
      </c>
      <c r="F4491" t="s">
        <v>423</v>
      </c>
      <c r="G4491" t="s">
        <v>424</v>
      </c>
      <c r="I4491" t="s">
        <v>46</v>
      </c>
      <c r="J4491" s="13">
        <v>46058</v>
      </c>
      <c r="K4491" s="13">
        <v>46082</v>
      </c>
      <c r="L4491" t="s">
        <v>434</v>
      </c>
      <c r="M4491" t="s">
        <v>60</v>
      </c>
      <c r="N4491">
        <v>74085438</v>
      </c>
    </row>
    <row r="4492" spans="1:14" x14ac:dyDescent="0.25">
      <c r="A4492">
        <v>60282504</v>
      </c>
      <c r="B4492" t="s">
        <v>4405</v>
      </c>
      <c r="C4492" t="s">
        <v>10019</v>
      </c>
      <c r="D4492" t="s">
        <v>10021</v>
      </c>
      <c r="E4492">
        <v>5739157977</v>
      </c>
      <c r="F4492" t="s">
        <v>423</v>
      </c>
      <c r="G4492" t="s">
        <v>424</v>
      </c>
      <c r="I4492" t="s">
        <v>46</v>
      </c>
      <c r="J4492" s="13">
        <v>46058</v>
      </c>
      <c r="K4492" s="13">
        <v>46082</v>
      </c>
      <c r="L4492" t="s">
        <v>434</v>
      </c>
      <c r="M4492" t="s">
        <v>60</v>
      </c>
      <c r="N4492">
        <v>74085444</v>
      </c>
    </row>
    <row r="4493" spans="1:14" x14ac:dyDescent="0.25">
      <c r="A4493">
        <v>60282494</v>
      </c>
      <c r="B4493" t="s">
        <v>3113</v>
      </c>
      <c r="C4493" t="s">
        <v>10022</v>
      </c>
      <c r="D4493" t="s">
        <v>10023</v>
      </c>
      <c r="E4493">
        <v>8583495005</v>
      </c>
      <c r="F4493" t="s">
        <v>448</v>
      </c>
      <c r="G4493" t="s">
        <v>449</v>
      </c>
      <c r="I4493" t="s">
        <v>31</v>
      </c>
      <c r="J4493" s="13">
        <v>46058</v>
      </c>
      <c r="K4493" s="13">
        <v>46082</v>
      </c>
      <c r="L4493" t="s">
        <v>1179</v>
      </c>
      <c r="M4493" t="s">
        <v>54</v>
      </c>
      <c r="N4493">
        <v>74085987</v>
      </c>
    </row>
    <row r="4494" spans="1:14" x14ac:dyDescent="0.25">
      <c r="A4494">
        <v>60283073</v>
      </c>
      <c r="B4494" t="s">
        <v>10024</v>
      </c>
      <c r="C4494" t="s">
        <v>10025</v>
      </c>
      <c r="D4494" t="s">
        <v>10026</v>
      </c>
      <c r="E4494">
        <v>2708076039</v>
      </c>
      <c r="F4494" t="s">
        <v>790</v>
      </c>
      <c r="G4494" t="s">
        <v>791</v>
      </c>
      <c r="I4494" t="s">
        <v>119</v>
      </c>
      <c r="J4494" s="13">
        <v>46058</v>
      </c>
      <c r="K4494" s="13">
        <v>46082</v>
      </c>
      <c r="L4494" t="s">
        <v>490</v>
      </c>
      <c r="M4494" t="s">
        <v>56</v>
      </c>
      <c r="N4494">
        <v>74086262</v>
      </c>
    </row>
    <row r="4495" spans="1:14" x14ac:dyDescent="0.25">
      <c r="A4495">
        <v>60284053</v>
      </c>
      <c r="B4495" t="s">
        <v>1679</v>
      </c>
      <c r="C4495" t="s">
        <v>2288</v>
      </c>
      <c r="D4495" t="s">
        <v>10027</v>
      </c>
      <c r="E4495">
        <v>5205814099</v>
      </c>
      <c r="F4495" t="s">
        <v>780</v>
      </c>
      <c r="G4495" t="s">
        <v>781</v>
      </c>
      <c r="I4495" t="s">
        <v>20</v>
      </c>
      <c r="J4495" s="13">
        <v>46058</v>
      </c>
      <c r="K4495" s="13">
        <v>46082</v>
      </c>
      <c r="L4495" t="s">
        <v>1179</v>
      </c>
      <c r="M4495" t="s">
        <v>54</v>
      </c>
      <c r="N4495">
        <v>74086772</v>
      </c>
    </row>
    <row r="4496" spans="1:14" x14ac:dyDescent="0.25">
      <c r="A4496">
        <v>60284090</v>
      </c>
      <c r="B4496" t="s">
        <v>10028</v>
      </c>
      <c r="C4496" t="s">
        <v>10029</v>
      </c>
      <c r="D4496" t="s">
        <v>10030</v>
      </c>
      <c r="E4496">
        <v>3045396896</v>
      </c>
      <c r="F4496" t="s">
        <v>649</v>
      </c>
      <c r="G4496" t="s">
        <v>650</v>
      </c>
      <c r="I4496" t="s">
        <v>28</v>
      </c>
      <c r="J4496" s="13">
        <v>46058</v>
      </c>
      <c r="K4496" s="13">
        <v>46082</v>
      </c>
      <c r="L4496" t="s">
        <v>1188</v>
      </c>
      <c r="M4496" t="s">
        <v>56</v>
      </c>
      <c r="N4496">
        <v>74086796</v>
      </c>
    </row>
    <row r="4497" spans="1:14" x14ac:dyDescent="0.25">
      <c r="A4497">
        <v>60284559</v>
      </c>
      <c r="B4497" t="s">
        <v>10031</v>
      </c>
      <c r="C4497" t="s">
        <v>2057</v>
      </c>
      <c r="D4497" t="s">
        <v>10032</v>
      </c>
      <c r="E4497">
        <v>5202274714</v>
      </c>
      <c r="F4497" t="s">
        <v>775</v>
      </c>
      <c r="G4497" t="s">
        <v>776</v>
      </c>
      <c r="I4497" t="s">
        <v>22</v>
      </c>
      <c r="J4497" s="13">
        <v>46058</v>
      </c>
      <c r="K4497" s="13">
        <v>46082</v>
      </c>
      <c r="L4497" t="s">
        <v>1179</v>
      </c>
      <c r="M4497" t="s">
        <v>59</v>
      </c>
      <c r="N4497">
        <v>74087104</v>
      </c>
    </row>
    <row r="4498" spans="1:14" x14ac:dyDescent="0.25">
      <c r="A4498">
        <v>60291133</v>
      </c>
      <c r="B4498" t="s">
        <v>517</v>
      </c>
      <c r="C4498" t="s">
        <v>10033</v>
      </c>
      <c r="D4498" t="s">
        <v>10034</v>
      </c>
      <c r="E4498">
        <v>8134017575</v>
      </c>
      <c r="F4498" t="s">
        <v>928</v>
      </c>
      <c r="G4498" t="s">
        <v>929</v>
      </c>
      <c r="I4498" t="s">
        <v>30</v>
      </c>
      <c r="J4498" s="13">
        <v>46059</v>
      </c>
      <c r="K4498" s="13">
        <v>46082</v>
      </c>
      <c r="L4498" t="s">
        <v>497</v>
      </c>
      <c r="M4498" t="s">
        <v>56</v>
      </c>
      <c r="N4498">
        <v>74091780</v>
      </c>
    </row>
    <row r="4499" spans="1:14" x14ac:dyDescent="0.25">
      <c r="A4499">
        <v>60291455</v>
      </c>
      <c r="B4499" t="s">
        <v>10035</v>
      </c>
      <c r="C4499" t="s">
        <v>10036</v>
      </c>
      <c r="D4499" t="s">
        <v>10037</v>
      </c>
      <c r="E4499">
        <v>4045800544</v>
      </c>
      <c r="F4499" t="s">
        <v>551</v>
      </c>
      <c r="G4499" t="s">
        <v>552</v>
      </c>
      <c r="I4499" t="s">
        <v>42</v>
      </c>
      <c r="J4499" s="13">
        <v>46059</v>
      </c>
      <c r="K4499" s="13">
        <v>46082</v>
      </c>
      <c r="L4499" t="s">
        <v>621</v>
      </c>
      <c r="M4499" t="s">
        <v>55</v>
      </c>
      <c r="N4499">
        <v>74091972</v>
      </c>
    </row>
    <row r="4500" spans="1:14" x14ac:dyDescent="0.25">
      <c r="A4500">
        <v>60291979</v>
      </c>
      <c r="B4500" t="s">
        <v>1097</v>
      </c>
      <c r="C4500" t="s">
        <v>564</v>
      </c>
      <c r="D4500" t="s">
        <v>10038</v>
      </c>
      <c r="E4500">
        <v>8632054128</v>
      </c>
      <c r="F4500" t="s">
        <v>448</v>
      </c>
      <c r="G4500" t="s">
        <v>449</v>
      </c>
      <c r="I4500" t="s">
        <v>31</v>
      </c>
      <c r="J4500" s="13">
        <v>46059</v>
      </c>
      <c r="K4500" s="13">
        <v>46082</v>
      </c>
      <c r="L4500" t="s">
        <v>533</v>
      </c>
      <c r="M4500" t="s">
        <v>58</v>
      </c>
      <c r="N4500">
        <v>74092597</v>
      </c>
    </row>
    <row r="4501" spans="1:14" x14ac:dyDescent="0.25">
      <c r="A4501">
        <v>60292969</v>
      </c>
      <c r="B4501" t="s">
        <v>1522</v>
      </c>
      <c r="C4501" t="s">
        <v>2709</v>
      </c>
      <c r="D4501" t="s">
        <v>10039</v>
      </c>
      <c r="E4501">
        <v>5136308964</v>
      </c>
      <c r="F4501" t="s">
        <v>790</v>
      </c>
      <c r="G4501" t="s">
        <v>791</v>
      </c>
      <c r="I4501" t="s">
        <v>119</v>
      </c>
      <c r="J4501" s="13">
        <v>46059</v>
      </c>
      <c r="K4501" s="13">
        <v>46082</v>
      </c>
      <c r="L4501" t="s">
        <v>418</v>
      </c>
      <c r="M4501" t="s">
        <v>58</v>
      </c>
      <c r="N4501">
        <v>74093096</v>
      </c>
    </row>
    <row r="4502" spans="1:14" x14ac:dyDescent="0.25">
      <c r="A4502">
        <v>60293245</v>
      </c>
      <c r="B4502" t="s">
        <v>2099</v>
      </c>
      <c r="C4502" t="s">
        <v>10040</v>
      </c>
      <c r="D4502" t="s">
        <v>10041</v>
      </c>
      <c r="E4502">
        <v>5672830146</v>
      </c>
      <c r="F4502" t="s">
        <v>1013</v>
      </c>
      <c r="G4502" t="s">
        <v>1014</v>
      </c>
      <c r="I4502" t="s">
        <v>43</v>
      </c>
      <c r="J4502" s="13">
        <v>46059</v>
      </c>
      <c r="K4502" s="13">
        <v>46082</v>
      </c>
      <c r="L4502" t="s">
        <v>418</v>
      </c>
      <c r="M4502" t="s">
        <v>59</v>
      </c>
      <c r="N4502">
        <v>74093388</v>
      </c>
    </row>
    <row r="4503" spans="1:14" x14ac:dyDescent="0.25">
      <c r="A4503">
        <v>60293429</v>
      </c>
      <c r="B4503" t="s">
        <v>3017</v>
      </c>
      <c r="C4503" t="s">
        <v>8913</v>
      </c>
      <c r="D4503" t="s">
        <v>10042</v>
      </c>
      <c r="E4503">
        <v>7405059052</v>
      </c>
      <c r="F4503" t="s">
        <v>705</v>
      </c>
      <c r="G4503" t="s">
        <v>706</v>
      </c>
      <c r="I4503" t="s">
        <v>12</v>
      </c>
      <c r="J4503" s="13">
        <v>46059</v>
      </c>
      <c r="K4503" s="13">
        <v>46082</v>
      </c>
      <c r="L4503" t="s">
        <v>418</v>
      </c>
      <c r="M4503" t="s">
        <v>60</v>
      </c>
      <c r="N4503">
        <v>74093418</v>
      </c>
    </row>
    <row r="4504" spans="1:14" x14ac:dyDescent="0.25">
      <c r="A4504">
        <v>60293523</v>
      </c>
      <c r="B4504" t="s">
        <v>10043</v>
      </c>
      <c r="C4504" t="s">
        <v>10044</v>
      </c>
      <c r="D4504" t="s">
        <v>10045</v>
      </c>
      <c r="E4504">
        <v>8709381654</v>
      </c>
      <c r="F4504" t="s">
        <v>649</v>
      </c>
      <c r="G4504" t="s">
        <v>650</v>
      </c>
      <c r="I4504" t="s">
        <v>28</v>
      </c>
      <c r="J4504" s="13">
        <v>46059</v>
      </c>
      <c r="K4504" s="13">
        <v>46082</v>
      </c>
      <c r="L4504" t="s">
        <v>553</v>
      </c>
      <c r="M4504" t="s">
        <v>56</v>
      </c>
      <c r="N4504">
        <v>74093463</v>
      </c>
    </row>
    <row r="4505" spans="1:14" x14ac:dyDescent="0.25">
      <c r="A4505">
        <v>60295855</v>
      </c>
      <c r="B4505" t="s">
        <v>7386</v>
      </c>
      <c r="C4505" t="s">
        <v>10046</v>
      </c>
      <c r="D4505" t="s">
        <v>10047</v>
      </c>
      <c r="E4505">
        <v>6062724563</v>
      </c>
      <c r="F4505" t="s">
        <v>448</v>
      </c>
      <c r="G4505" t="s">
        <v>449</v>
      </c>
      <c r="I4505" t="s">
        <v>31</v>
      </c>
      <c r="J4505" s="13">
        <v>46059</v>
      </c>
      <c r="K4505" s="13">
        <v>46082</v>
      </c>
      <c r="M4505" t="s">
        <v>56</v>
      </c>
      <c r="N4505">
        <v>74094671</v>
      </c>
    </row>
    <row r="4506" spans="1:14" x14ac:dyDescent="0.25">
      <c r="A4506">
        <v>60295888</v>
      </c>
      <c r="B4506" t="s">
        <v>10048</v>
      </c>
      <c r="C4506" t="s">
        <v>10049</v>
      </c>
      <c r="D4506" t="s">
        <v>10050</v>
      </c>
      <c r="E4506">
        <v>4195604098</v>
      </c>
      <c r="F4506" t="s">
        <v>790</v>
      </c>
      <c r="G4506" t="s">
        <v>791</v>
      </c>
      <c r="I4506" t="s">
        <v>119</v>
      </c>
      <c r="J4506" s="13">
        <v>46059</v>
      </c>
      <c r="K4506" s="13">
        <v>46082</v>
      </c>
      <c r="L4506" t="s">
        <v>418</v>
      </c>
      <c r="M4506" t="s">
        <v>59</v>
      </c>
      <c r="N4506">
        <v>74094697</v>
      </c>
    </row>
    <row r="4507" spans="1:14" x14ac:dyDescent="0.25">
      <c r="A4507">
        <v>60295969</v>
      </c>
      <c r="B4507" t="s">
        <v>1385</v>
      </c>
      <c r="C4507" t="s">
        <v>10051</v>
      </c>
      <c r="D4507" t="s">
        <v>10052</v>
      </c>
      <c r="E4507">
        <v>9046541319</v>
      </c>
      <c r="F4507" t="s">
        <v>1345</v>
      </c>
      <c r="G4507" t="s">
        <v>799</v>
      </c>
      <c r="I4507" t="s">
        <v>47</v>
      </c>
      <c r="J4507" s="13">
        <v>46059</v>
      </c>
      <c r="K4507" s="13">
        <v>46082</v>
      </c>
      <c r="L4507" t="s">
        <v>497</v>
      </c>
      <c r="M4507" t="s">
        <v>56</v>
      </c>
      <c r="N4507">
        <v>74094768</v>
      </c>
    </row>
    <row r="4508" spans="1:14" x14ac:dyDescent="0.25">
      <c r="A4508">
        <v>60297903</v>
      </c>
      <c r="B4508" t="s">
        <v>867</v>
      </c>
      <c r="C4508" t="s">
        <v>10053</v>
      </c>
      <c r="D4508" t="s">
        <v>10054</v>
      </c>
      <c r="E4508">
        <v>3076290159</v>
      </c>
      <c r="F4508" t="s">
        <v>416</v>
      </c>
      <c r="G4508" t="s">
        <v>417</v>
      </c>
      <c r="I4508" t="s">
        <v>26</v>
      </c>
      <c r="J4508" s="13">
        <v>46059</v>
      </c>
      <c r="K4508" s="13">
        <v>46082</v>
      </c>
      <c r="L4508" t="s">
        <v>1179</v>
      </c>
      <c r="M4508" t="s">
        <v>54</v>
      </c>
      <c r="N4508">
        <v>74095320</v>
      </c>
    </row>
    <row r="4509" spans="1:14" x14ac:dyDescent="0.25">
      <c r="A4509">
        <v>60297922</v>
      </c>
      <c r="B4509" t="s">
        <v>1167</v>
      </c>
      <c r="C4509" t="s">
        <v>10055</v>
      </c>
      <c r="D4509" t="s">
        <v>10056</v>
      </c>
      <c r="E4509">
        <v>2053773663</v>
      </c>
      <c r="F4509" t="s">
        <v>474</v>
      </c>
      <c r="G4509" t="s">
        <v>475</v>
      </c>
      <c r="I4509" t="s">
        <v>132</v>
      </c>
      <c r="J4509" s="13">
        <v>46059</v>
      </c>
      <c r="K4509" s="13">
        <v>46082</v>
      </c>
      <c r="L4509" t="s">
        <v>450</v>
      </c>
      <c r="M4509" t="s">
        <v>56</v>
      </c>
      <c r="N4509">
        <v>74095336</v>
      </c>
    </row>
    <row r="4510" spans="1:14" x14ac:dyDescent="0.25">
      <c r="A4510">
        <v>60298152</v>
      </c>
      <c r="B4510" t="s">
        <v>6311</v>
      </c>
      <c r="C4510" t="s">
        <v>9855</v>
      </c>
      <c r="D4510" t="s">
        <v>10057</v>
      </c>
      <c r="E4510">
        <v>4804997362</v>
      </c>
      <c r="F4510" t="s">
        <v>775</v>
      </c>
      <c r="G4510" t="s">
        <v>776</v>
      </c>
      <c r="I4510" t="s">
        <v>22</v>
      </c>
      <c r="J4510" s="13">
        <v>46059</v>
      </c>
      <c r="K4510" s="13">
        <v>46082</v>
      </c>
      <c r="L4510" t="s">
        <v>1179</v>
      </c>
      <c r="M4510" t="s">
        <v>56</v>
      </c>
      <c r="N4510">
        <v>74095482</v>
      </c>
    </row>
    <row r="4511" spans="1:14" x14ac:dyDescent="0.25">
      <c r="A4511">
        <v>60298366</v>
      </c>
      <c r="B4511" t="s">
        <v>1304</v>
      </c>
      <c r="C4511" t="s">
        <v>10049</v>
      </c>
      <c r="D4511" t="s">
        <v>10058</v>
      </c>
      <c r="E4511" t="s">
        <v>10059</v>
      </c>
      <c r="F4511" t="s">
        <v>790</v>
      </c>
      <c r="G4511" t="s">
        <v>791</v>
      </c>
      <c r="I4511" t="s">
        <v>119</v>
      </c>
      <c r="J4511" s="13">
        <v>46059</v>
      </c>
      <c r="K4511" s="13">
        <v>46082</v>
      </c>
      <c r="L4511" t="s">
        <v>418</v>
      </c>
      <c r="M4511" t="s">
        <v>59</v>
      </c>
      <c r="N4511">
        <v>74095606</v>
      </c>
    </row>
    <row r="4512" spans="1:14" x14ac:dyDescent="0.25">
      <c r="A4512">
        <v>60298508</v>
      </c>
      <c r="B4512" t="s">
        <v>2071</v>
      </c>
      <c r="C4512" t="s">
        <v>1242</v>
      </c>
      <c r="D4512" t="s">
        <v>10060</v>
      </c>
      <c r="E4512">
        <v>4802765249</v>
      </c>
      <c r="F4512" t="s">
        <v>1013</v>
      </c>
      <c r="G4512" t="s">
        <v>1014</v>
      </c>
      <c r="I4512" t="s">
        <v>43</v>
      </c>
      <c r="J4512" s="13">
        <v>46059</v>
      </c>
      <c r="K4512" s="13">
        <v>46082</v>
      </c>
      <c r="L4512" t="s">
        <v>1179</v>
      </c>
      <c r="M4512" t="s">
        <v>56</v>
      </c>
      <c r="N4512">
        <v>74095718</v>
      </c>
    </row>
    <row r="4513" spans="1:14" x14ac:dyDescent="0.25">
      <c r="A4513">
        <v>60298873</v>
      </c>
      <c r="B4513" t="s">
        <v>10061</v>
      </c>
      <c r="C4513" t="s">
        <v>3758</v>
      </c>
      <c r="D4513" t="s">
        <v>10062</v>
      </c>
      <c r="E4513">
        <v>3042374877</v>
      </c>
      <c r="F4513" t="s">
        <v>828</v>
      </c>
      <c r="G4513" t="s">
        <v>1148</v>
      </c>
      <c r="I4513" t="s">
        <v>17</v>
      </c>
      <c r="J4513" s="13">
        <v>46059</v>
      </c>
      <c r="K4513" s="13">
        <v>46082</v>
      </c>
      <c r="L4513" t="s">
        <v>1188</v>
      </c>
      <c r="M4513" t="s">
        <v>56</v>
      </c>
      <c r="N4513">
        <v>74100289</v>
      </c>
    </row>
    <row r="4514" spans="1:14" x14ac:dyDescent="0.25">
      <c r="A4514">
        <v>60299293</v>
      </c>
      <c r="B4514" t="s">
        <v>10063</v>
      </c>
      <c r="C4514" t="s">
        <v>10064</v>
      </c>
      <c r="D4514" t="s">
        <v>10065</v>
      </c>
      <c r="E4514">
        <v>4802442235</v>
      </c>
      <c r="F4514" t="s">
        <v>770</v>
      </c>
      <c r="G4514" t="s">
        <v>771</v>
      </c>
      <c r="I4514" t="s">
        <v>25</v>
      </c>
      <c r="J4514" s="13">
        <v>46059</v>
      </c>
      <c r="K4514" s="13">
        <v>46082</v>
      </c>
      <c r="L4514" t="s">
        <v>1179</v>
      </c>
      <c r="M4514" t="s">
        <v>54</v>
      </c>
      <c r="N4514">
        <v>74105241</v>
      </c>
    </row>
    <row r="4515" spans="1:14" x14ac:dyDescent="0.25">
      <c r="A4515">
        <v>60299333</v>
      </c>
      <c r="B4515" t="s">
        <v>1226</v>
      </c>
      <c r="C4515" t="s">
        <v>10066</v>
      </c>
      <c r="D4515" t="s">
        <v>10067</v>
      </c>
      <c r="E4515">
        <v>9547063653</v>
      </c>
      <c r="F4515" t="s">
        <v>807</v>
      </c>
      <c r="G4515" t="s">
        <v>808</v>
      </c>
      <c r="I4515" t="s">
        <v>33</v>
      </c>
      <c r="J4515" s="13">
        <v>46059</v>
      </c>
      <c r="K4515" s="13">
        <v>46082</v>
      </c>
      <c r="L4515" t="s">
        <v>497</v>
      </c>
      <c r="M4515" t="s">
        <v>54</v>
      </c>
      <c r="N4515">
        <v>74105679</v>
      </c>
    </row>
    <row r="4516" spans="1:14" x14ac:dyDescent="0.25">
      <c r="A4516">
        <v>60299611</v>
      </c>
      <c r="B4516" t="s">
        <v>753</v>
      </c>
      <c r="C4516" t="s">
        <v>8442</v>
      </c>
      <c r="D4516" t="s">
        <v>10068</v>
      </c>
      <c r="E4516">
        <v>6233329581</v>
      </c>
      <c r="F4516" t="s">
        <v>474</v>
      </c>
      <c r="G4516" t="s">
        <v>475</v>
      </c>
      <c r="I4516" t="s">
        <v>132</v>
      </c>
      <c r="J4516" s="13">
        <v>46059</v>
      </c>
      <c r="K4516" s="13">
        <v>46082</v>
      </c>
      <c r="L4516" t="s">
        <v>1179</v>
      </c>
      <c r="M4516" t="s">
        <v>56</v>
      </c>
      <c r="N4516">
        <v>74106107</v>
      </c>
    </row>
    <row r="4517" spans="1:14" x14ac:dyDescent="0.25">
      <c r="A4517">
        <v>60310791</v>
      </c>
      <c r="B4517" t="s">
        <v>3133</v>
      </c>
      <c r="C4517" t="s">
        <v>10069</v>
      </c>
      <c r="D4517" t="s">
        <v>10070</v>
      </c>
      <c r="E4517">
        <v>9047071406</v>
      </c>
      <c r="F4517" t="s">
        <v>815</v>
      </c>
      <c r="G4517" t="s">
        <v>816</v>
      </c>
      <c r="I4517" t="s">
        <v>23</v>
      </c>
      <c r="J4517" s="13">
        <v>46059</v>
      </c>
      <c r="K4517" s="13">
        <v>46082</v>
      </c>
      <c r="L4517" t="s">
        <v>497</v>
      </c>
      <c r="M4517" t="s">
        <v>59</v>
      </c>
      <c r="N4517">
        <v>74112392</v>
      </c>
    </row>
    <row r="4518" spans="1:14" x14ac:dyDescent="0.25">
      <c r="A4518">
        <v>60312612</v>
      </c>
      <c r="B4518" t="s">
        <v>636</v>
      </c>
      <c r="C4518" t="s">
        <v>10071</v>
      </c>
      <c r="D4518" t="s">
        <v>10072</v>
      </c>
      <c r="E4518">
        <v>5209079821</v>
      </c>
      <c r="F4518" t="s">
        <v>780</v>
      </c>
      <c r="G4518" t="s">
        <v>781</v>
      </c>
      <c r="I4518" t="s">
        <v>20</v>
      </c>
      <c r="J4518" s="13">
        <v>46059</v>
      </c>
      <c r="K4518" s="13">
        <v>46082</v>
      </c>
      <c r="L4518" t="s">
        <v>1179</v>
      </c>
      <c r="M4518" t="s">
        <v>54</v>
      </c>
      <c r="N4518">
        <v>74114559</v>
      </c>
    </row>
    <row r="4519" spans="1:14" x14ac:dyDescent="0.25">
      <c r="A4519">
        <v>60313108</v>
      </c>
      <c r="B4519" t="s">
        <v>4976</v>
      </c>
      <c r="C4519" t="s">
        <v>10073</v>
      </c>
      <c r="D4519" t="s">
        <v>10074</v>
      </c>
      <c r="E4519">
        <v>3375788754</v>
      </c>
      <c r="F4519" t="s">
        <v>790</v>
      </c>
      <c r="G4519" t="s">
        <v>791</v>
      </c>
      <c r="I4519" t="s">
        <v>119</v>
      </c>
      <c r="J4519" s="13">
        <v>46059</v>
      </c>
      <c r="K4519" s="13">
        <v>46082</v>
      </c>
      <c r="L4519" t="s">
        <v>612</v>
      </c>
      <c r="M4519" t="s">
        <v>58</v>
      </c>
      <c r="N4519">
        <v>74116152</v>
      </c>
    </row>
    <row r="4520" spans="1:14" x14ac:dyDescent="0.25">
      <c r="A4520">
        <v>60314796</v>
      </c>
      <c r="B4520" t="s">
        <v>10075</v>
      </c>
      <c r="C4520" t="s">
        <v>10076</v>
      </c>
      <c r="D4520" t="s">
        <v>10077</v>
      </c>
      <c r="E4520">
        <v>7543298787</v>
      </c>
      <c r="F4520" t="s">
        <v>628</v>
      </c>
      <c r="G4520" t="s">
        <v>629</v>
      </c>
      <c r="I4520" t="s">
        <v>24</v>
      </c>
      <c r="J4520" s="13">
        <v>46059</v>
      </c>
      <c r="K4520" s="13">
        <v>46082</v>
      </c>
      <c r="L4520" t="s">
        <v>497</v>
      </c>
      <c r="M4520" t="s">
        <v>60</v>
      </c>
      <c r="N4520">
        <v>74118188</v>
      </c>
    </row>
    <row r="4521" spans="1:14" x14ac:dyDescent="0.25">
      <c r="A4521">
        <v>60315653</v>
      </c>
      <c r="B4521" t="s">
        <v>7601</v>
      </c>
      <c r="C4521" t="s">
        <v>5661</v>
      </c>
      <c r="D4521" t="s">
        <v>10078</v>
      </c>
      <c r="E4521">
        <v>5203041575</v>
      </c>
      <c r="F4521" t="s">
        <v>780</v>
      </c>
      <c r="G4521" t="s">
        <v>781</v>
      </c>
      <c r="I4521" t="s">
        <v>20</v>
      </c>
      <c r="J4521" s="13">
        <v>46059</v>
      </c>
      <c r="K4521" s="13">
        <v>46082</v>
      </c>
      <c r="L4521" t="s">
        <v>1179</v>
      </c>
      <c r="M4521" t="s">
        <v>54</v>
      </c>
      <c r="N4521">
        <v>74119605</v>
      </c>
    </row>
    <row r="4522" spans="1:14" x14ac:dyDescent="0.25">
      <c r="A4522">
        <v>60315970</v>
      </c>
      <c r="B4522" t="s">
        <v>4480</v>
      </c>
      <c r="C4522" t="s">
        <v>10079</v>
      </c>
      <c r="D4522" t="s">
        <v>10080</v>
      </c>
      <c r="E4522">
        <v>9183785470</v>
      </c>
      <c r="F4522" t="s">
        <v>1067</v>
      </c>
      <c r="G4522" t="s">
        <v>1068</v>
      </c>
      <c r="I4522" t="s">
        <v>35</v>
      </c>
      <c r="J4522" s="13">
        <v>46059</v>
      </c>
      <c r="K4522" s="13">
        <v>46082</v>
      </c>
      <c r="L4522" t="s">
        <v>539</v>
      </c>
      <c r="M4522" t="s">
        <v>56</v>
      </c>
      <c r="N4522">
        <v>74120205</v>
      </c>
    </row>
    <row r="4523" spans="1:14" x14ac:dyDescent="0.25">
      <c r="A4523">
        <v>60316007</v>
      </c>
      <c r="B4523" t="s">
        <v>606</v>
      </c>
      <c r="C4523" t="s">
        <v>10081</v>
      </c>
      <c r="D4523" t="s">
        <v>10082</v>
      </c>
      <c r="E4523">
        <v>6815055155</v>
      </c>
      <c r="F4523" t="s">
        <v>649</v>
      </c>
      <c r="G4523" t="s">
        <v>650</v>
      </c>
      <c r="I4523" t="s">
        <v>28</v>
      </c>
      <c r="J4523" s="13">
        <v>46059</v>
      </c>
      <c r="K4523" s="13">
        <v>46082</v>
      </c>
      <c r="L4523" t="s">
        <v>1188</v>
      </c>
      <c r="M4523" t="s">
        <v>56</v>
      </c>
      <c r="N4523">
        <v>74120423</v>
      </c>
    </row>
    <row r="4524" spans="1:14" x14ac:dyDescent="0.25">
      <c r="A4524">
        <v>60316053</v>
      </c>
      <c r="B4524" t="s">
        <v>7067</v>
      </c>
      <c r="C4524" t="s">
        <v>10083</v>
      </c>
      <c r="D4524" t="s">
        <v>10084</v>
      </c>
      <c r="E4524">
        <v>9084206840</v>
      </c>
      <c r="F4524" t="s">
        <v>928</v>
      </c>
      <c r="G4524" t="s">
        <v>929</v>
      </c>
      <c r="I4524" t="s">
        <v>30</v>
      </c>
      <c r="J4524" s="13">
        <v>46059</v>
      </c>
      <c r="K4524" s="13">
        <v>46082</v>
      </c>
      <c r="L4524" t="s">
        <v>621</v>
      </c>
      <c r="M4524" t="s">
        <v>59</v>
      </c>
      <c r="N4524">
        <v>74120508</v>
      </c>
    </row>
    <row r="4525" spans="1:14" x14ac:dyDescent="0.25">
      <c r="A4525">
        <v>60316136</v>
      </c>
      <c r="B4525" t="s">
        <v>990</v>
      </c>
      <c r="C4525" t="s">
        <v>10085</v>
      </c>
      <c r="D4525" t="s">
        <v>10086</v>
      </c>
      <c r="E4525">
        <v>6232366703</v>
      </c>
      <c r="F4525" t="s">
        <v>416</v>
      </c>
      <c r="G4525" t="s">
        <v>417</v>
      </c>
      <c r="I4525" t="s">
        <v>26</v>
      </c>
      <c r="J4525" s="13">
        <v>46059</v>
      </c>
      <c r="K4525" s="13">
        <v>46082</v>
      </c>
      <c r="L4525" t="s">
        <v>1179</v>
      </c>
      <c r="M4525" t="s">
        <v>58</v>
      </c>
      <c r="N4525">
        <v>74120602</v>
      </c>
    </row>
    <row r="4526" spans="1:14" x14ac:dyDescent="0.25">
      <c r="A4526">
        <v>60317298</v>
      </c>
      <c r="B4526" t="s">
        <v>10087</v>
      </c>
      <c r="C4526" t="s">
        <v>10088</v>
      </c>
      <c r="D4526" t="s">
        <v>10089</v>
      </c>
      <c r="E4526">
        <v>7277447611</v>
      </c>
      <c r="F4526" t="s">
        <v>1345</v>
      </c>
      <c r="G4526" t="s">
        <v>799</v>
      </c>
      <c r="I4526" t="s">
        <v>47</v>
      </c>
      <c r="J4526" s="13">
        <v>46059</v>
      </c>
      <c r="K4526" s="13">
        <v>46082</v>
      </c>
      <c r="L4526" t="s">
        <v>497</v>
      </c>
      <c r="M4526" t="s">
        <v>54</v>
      </c>
      <c r="N4526">
        <v>74121627</v>
      </c>
    </row>
    <row r="4527" spans="1:14" x14ac:dyDescent="0.25">
      <c r="A4527">
        <v>60352666</v>
      </c>
      <c r="B4527" t="s">
        <v>10090</v>
      </c>
      <c r="C4527" t="s">
        <v>4568</v>
      </c>
      <c r="D4527" t="s">
        <v>10091</v>
      </c>
      <c r="E4527">
        <v>6362331707</v>
      </c>
      <c r="F4527" t="s">
        <v>649</v>
      </c>
      <c r="G4527" t="s">
        <v>650</v>
      </c>
      <c r="I4527" t="s">
        <v>28</v>
      </c>
      <c r="J4527" s="13">
        <v>46062</v>
      </c>
      <c r="K4527" s="13">
        <v>46082</v>
      </c>
      <c r="L4527" t="s">
        <v>434</v>
      </c>
      <c r="M4527" t="s">
        <v>56</v>
      </c>
      <c r="N4527">
        <v>74139425</v>
      </c>
    </row>
    <row r="4528" spans="1:14" x14ac:dyDescent="0.25">
      <c r="A4528">
        <v>60352780</v>
      </c>
      <c r="B4528" t="s">
        <v>3451</v>
      </c>
      <c r="C4528" t="s">
        <v>10092</v>
      </c>
      <c r="D4528" t="s">
        <v>10093</v>
      </c>
      <c r="E4528">
        <v>9102601765</v>
      </c>
      <c r="F4528" t="s">
        <v>569</v>
      </c>
      <c r="G4528" t="s">
        <v>570</v>
      </c>
      <c r="I4528" t="s">
        <v>34</v>
      </c>
      <c r="J4528" s="13">
        <v>46062</v>
      </c>
      <c r="K4528" s="13">
        <v>46082</v>
      </c>
      <c r="L4528" t="s">
        <v>603</v>
      </c>
      <c r="M4528" t="s">
        <v>56</v>
      </c>
      <c r="N4528">
        <v>74139492</v>
      </c>
    </row>
    <row r="4529" spans="1:14" x14ac:dyDescent="0.25">
      <c r="A4529">
        <v>60352837</v>
      </c>
      <c r="B4529" t="s">
        <v>799</v>
      </c>
      <c r="C4529" t="s">
        <v>10094</v>
      </c>
      <c r="D4529" t="s">
        <v>10095</v>
      </c>
      <c r="E4529" t="s">
        <v>10096</v>
      </c>
      <c r="F4529" t="s">
        <v>569</v>
      </c>
      <c r="G4529" t="s">
        <v>570</v>
      </c>
      <c r="I4529" t="s">
        <v>34</v>
      </c>
      <c r="J4529" s="13">
        <v>46062</v>
      </c>
      <c r="K4529" s="13">
        <v>46082</v>
      </c>
      <c r="L4529" t="s">
        <v>603</v>
      </c>
      <c r="M4529" t="s">
        <v>56</v>
      </c>
      <c r="N4529">
        <v>74139510</v>
      </c>
    </row>
    <row r="4530" spans="1:14" x14ac:dyDescent="0.25">
      <c r="A4530">
        <v>60352985</v>
      </c>
      <c r="B4530" t="s">
        <v>10097</v>
      </c>
      <c r="C4530" t="s">
        <v>10098</v>
      </c>
      <c r="D4530" t="s">
        <v>10099</v>
      </c>
      <c r="E4530">
        <v>5018894330</v>
      </c>
      <c r="F4530" t="s">
        <v>474</v>
      </c>
      <c r="G4530" t="s">
        <v>475</v>
      </c>
      <c r="I4530" t="s">
        <v>132</v>
      </c>
      <c r="J4530" s="13">
        <v>46062</v>
      </c>
      <c r="K4530" s="13">
        <v>46082</v>
      </c>
      <c r="L4530" t="s">
        <v>553</v>
      </c>
      <c r="M4530" t="s">
        <v>56</v>
      </c>
      <c r="N4530">
        <v>74139660</v>
      </c>
    </row>
    <row r="4531" spans="1:14" x14ac:dyDescent="0.25">
      <c r="A4531">
        <v>60353419</v>
      </c>
      <c r="B4531" t="s">
        <v>2330</v>
      </c>
      <c r="C4531" t="s">
        <v>10100</v>
      </c>
      <c r="D4531" t="s">
        <v>10101</v>
      </c>
      <c r="E4531">
        <v>4804997362</v>
      </c>
      <c r="F4531" t="s">
        <v>775</v>
      </c>
      <c r="G4531" t="s">
        <v>776</v>
      </c>
      <c r="I4531" t="s">
        <v>22</v>
      </c>
      <c r="J4531" s="13">
        <v>46062</v>
      </c>
      <c r="K4531" s="13">
        <v>46082</v>
      </c>
      <c r="L4531" t="s">
        <v>1179</v>
      </c>
      <c r="M4531" t="s">
        <v>56</v>
      </c>
      <c r="N4531">
        <v>74139826</v>
      </c>
    </row>
    <row r="4532" spans="1:14" x14ac:dyDescent="0.25">
      <c r="A4532">
        <v>60355686</v>
      </c>
      <c r="B4532" t="s">
        <v>1362</v>
      </c>
      <c r="C4532" t="s">
        <v>10102</v>
      </c>
      <c r="D4532" t="s">
        <v>10103</v>
      </c>
      <c r="E4532">
        <v>7193203288</v>
      </c>
      <c r="F4532" t="s">
        <v>474</v>
      </c>
      <c r="G4532" t="s">
        <v>475</v>
      </c>
      <c r="I4532" t="s">
        <v>132</v>
      </c>
      <c r="J4532" s="13">
        <v>46062</v>
      </c>
      <c r="K4532" s="13">
        <v>46082</v>
      </c>
      <c r="L4532" t="s">
        <v>539</v>
      </c>
      <c r="M4532" t="s">
        <v>58</v>
      </c>
      <c r="N4532">
        <v>74141819</v>
      </c>
    </row>
    <row r="4533" spans="1:14" x14ac:dyDescent="0.25">
      <c r="A4533">
        <v>60362619</v>
      </c>
      <c r="B4533" t="s">
        <v>1535</v>
      </c>
      <c r="C4533" t="s">
        <v>10104</v>
      </c>
      <c r="D4533" t="s">
        <v>10105</v>
      </c>
      <c r="E4533">
        <v>7205394944</v>
      </c>
      <c r="F4533" t="s">
        <v>448</v>
      </c>
      <c r="G4533" t="s">
        <v>449</v>
      </c>
      <c r="I4533" t="s">
        <v>31</v>
      </c>
      <c r="J4533" s="13">
        <v>46062</v>
      </c>
      <c r="K4533" s="13">
        <v>46082</v>
      </c>
      <c r="L4533" t="s">
        <v>539</v>
      </c>
      <c r="M4533" t="s">
        <v>59</v>
      </c>
      <c r="N4533">
        <v>74146854</v>
      </c>
    </row>
    <row r="4534" spans="1:14" x14ac:dyDescent="0.25">
      <c r="A4534">
        <v>60365834</v>
      </c>
      <c r="B4534" t="s">
        <v>5075</v>
      </c>
      <c r="C4534" t="s">
        <v>10106</v>
      </c>
      <c r="D4534" t="s">
        <v>10107</v>
      </c>
      <c r="E4534">
        <v>7275426068</v>
      </c>
      <c r="F4534" t="s">
        <v>780</v>
      </c>
      <c r="G4534" t="s">
        <v>781</v>
      </c>
      <c r="I4534" t="s">
        <v>20</v>
      </c>
      <c r="J4534" s="13">
        <v>46062</v>
      </c>
      <c r="K4534" s="13">
        <v>46082</v>
      </c>
      <c r="L4534" t="s">
        <v>497</v>
      </c>
      <c r="M4534" t="s">
        <v>56</v>
      </c>
      <c r="N4534">
        <v>74149372</v>
      </c>
    </row>
    <row r="4535" spans="1:14" x14ac:dyDescent="0.25">
      <c r="A4535">
        <v>60367661</v>
      </c>
      <c r="B4535" t="s">
        <v>5329</v>
      </c>
      <c r="C4535" t="s">
        <v>10108</v>
      </c>
      <c r="D4535" t="s">
        <v>10109</v>
      </c>
      <c r="E4535">
        <v>9047474598</v>
      </c>
      <c r="F4535" t="s">
        <v>775</v>
      </c>
      <c r="G4535" t="s">
        <v>776</v>
      </c>
      <c r="I4535" t="s">
        <v>22</v>
      </c>
      <c r="J4535" s="13">
        <v>46062</v>
      </c>
      <c r="K4535" s="13">
        <v>46082</v>
      </c>
      <c r="L4535" t="s">
        <v>497</v>
      </c>
      <c r="M4535" t="s">
        <v>59</v>
      </c>
      <c r="N4535">
        <v>74150363</v>
      </c>
    </row>
    <row r="4536" spans="1:14" x14ac:dyDescent="0.25">
      <c r="A4536">
        <v>60367896</v>
      </c>
      <c r="B4536" t="s">
        <v>2654</v>
      </c>
      <c r="C4536" t="s">
        <v>4864</v>
      </c>
      <c r="D4536" t="s">
        <v>10110</v>
      </c>
      <c r="E4536">
        <v>9284349358</v>
      </c>
      <c r="F4536" t="s">
        <v>770</v>
      </c>
      <c r="G4536" t="s">
        <v>771</v>
      </c>
      <c r="I4536" t="s">
        <v>25</v>
      </c>
      <c r="J4536" s="13">
        <v>46062</v>
      </c>
      <c r="K4536" s="13">
        <v>46082</v>
      </c>
      <c r="L4536" t="s">
        <v>1179</v>
      </c>
      <c r="M4536" t="s">
        <v>56</v>
      </c>
      <c r="N4536">
        <v>74150464</v>
      </c>
    </row>
    <row r="4537" spans="1:14" x14ac:dyDescent="0.25">
      <c r="A4537">
        <v>60368257</v>
      </c>
      <c r="B4537" t="s">
        <v>5978</v>
      </c>
      <c r="C4537" t="s">
        <v>10111</v>
      </c>
      <c r="D4537" t="s">
        <v>10112</v>
      </c>
      <c r="E4537">
        <v>6066371739</v>
      </c>
      <c r="F4537" t="s">
        <v>705</v>
      </c>
      <c r="G4537" t="s">
        <v>706</v>
      </c>
      <c r="I4537" t="s">
        <v>12</v>
      </c>
      <c r="J4537" s="13">
        <v>46062</v>
      </c>
      <c r="K4537" s="13">
        <v>46082</v>
      </c>
      <c r="L4537" t="s">
        <v>490</v>
      </c>
      <c r="M4537" t="s">
        <v>58</v>
      </c>
      <c r="N4537">
        <v>74150657</v>
      </c>
    </row>
    <row r="4538" spans="1:14" x14ac:dyDescent="0.25">
      <c r="A4538">
        <v>60371435</v>
      </c>
      <c r="B4538" t="s">
        <v>10113</v>
      </c>
      <c r="C4538" t="s">
        <v>5951</v>
      </c>
      <c r="D4538" t="s">
        <v>10114</v>
      </c>
      <c r="E4538">
        <v>8285059224</v>
      </c>
      <c r="F4538" t="s">
        <v>790</v>
      </c>
      <c r="G4538" t="s">
        <v>791</v>
      </c>
      <c r="I4538" t="s">
        <v>119</v>
      </c>
      <c r="J4538" s="13">
        <v>46062</v>
      </c>
      <c r="K4538" s="13">
        <v>46082</v>
      </c>
      <c r="L4538" t="s">
        <v>603</v>
      </c>
      <c r="M4538" t="s">
        <v>56</v>
      </c>
      <c r="N4538">
        <v>74151906</v>
      </c>
    </row>
    <row r="4539" spans="1:14" x14ac:dyDescent="0.25">
      <c r="A4539">
        <v>60369773</v>
      </c>
      <c r="B4539" t="s">
        <v>1316</v>
      </c>
      <c r="C4539" t="s">
        <v>4338</v>
      </c>
      <c r="D4539" t="s">
        <v>10115</v>
      </c>
      <c r="E4539">
        <v>6025403291</v>
      </c>
      <c r="F4539" t="s">
        <v>1013</v>
      </c>
      <c r="G4539" t="s">
        <v>1014</v>
      </c>
      <c r="I4539" t="s">
        <v>43</v>
      </c>
      <c r="J4539" s="13">
        <v>46062</v>
      </c>
      <c r="K4539" s="13">
        <v>46082</v>
      </c>
      <c r="L4539" t="s">
        <v>1179</v>
      </c>
      <c r="M4539" t="s">
        <v>56</v>
      </c>
      <c r="N4539">
        <v>74151934</v>
      </c>
    </row>
    <row r="4540" spans="1:14" x14ac:dyDescent="0.25">
      <c r="A4540">
        <v>60370650</v>
      </c>
      <c r="B4540" t="s">
        <v>3326</v>
      </c>
      <c r="C4540" t="s">
        <v>10116</v>
      </c>
      <c r="D4540" t="s">
        <v>10117</v>
      </c>
      <c r="E4540">
        <v>9045157686</v>
      </c>
      <c r="F4540" t="s">
        <v>416</v>
      </c>
      <c r="G4540" t="s">
        <v>417</v>
      </c>
      <c r="I4540" t="s">
        <v>26</v>
      </c>
      <c r="J4540" s="13">
        <v>46062</v>
      </c>
      <c r="K4540" s="13">
        <v>46082</v>
      </c>
      <c r="L4540" t="s">
        <v>497</v>
      </c>
      <c r="M4540" t="s">
        <v>54</v>
      </c>
      <c r="N4540">
        <v>74152579</v>
      </c>
    </row>
    <row r="4541" spans="1:14" x14ac:dyDescent="0.25">
      <c r="A4541">
        <v>60373618</v>
      </c>
      <c r="B4541" t="s">
        <v>6848</v>
      </c>
      <c r="C4541" t="s">
        <v>10118</v>
      </c>
      <c r="D4541" t="s">
        <v>10119</v>
      </c>
      <c r="E4541">
        <v>6233499223</v>
      </c>
      <c r="F4541" t="s">
        <v>569</v>
      </c>
      <c r="G4541" t="s">
        <v>570</v>
      </c>
      <c r="I4541" t="s">
        <v>34</v>
      </c>
      <c r="J4541" s="13">
        <v>46062</v>
      </c>
      <c r="K4541" s="13">
        <v>46082</v>
      </c>
      <c r="L4541" t="s">
        <v>1179</v>
      </c>
      <c r="M4541" t="s">
        <v>56</v>
      </c>
      <c r="N4541">
        <v>74154157</v>
      </c>
    </row>
    <row r="4542" spans="1:14" x14ac:dyDescent="0.25">
      <c r="A4542">
        <v>60373893</v>
      </c>
      <c r="B4542" t="s">
        <v>458</v>
      </c>
      <c r="C4542" t="s">
        <v>10120</v>
      </c>
      <c r="D4542" t="s">
        <v>10121</v>
      </c>
      <c r="E4542">
        <v>6062911440</v>
      </c>
      <c r="F4542" t="s">
        <v>474</v>
      </c>
      <c r="G4542" t="s">
        <v>475</v>
      </c>
      <c r="I4542" t="s">
        <v>132</v>
      </c>
      <c r="J4542" s="13">
        <v>46062</v>
      </c>
      <c r="K4542" s="13">
        <v>46082</v>
      </c>
      <c r="L4542" t="s">
        <v>490</v>
      </c>
      <c r="M4542" t="s">
        <v>58</v>
      </c>
      <c r="N4542">
        <v>74154397</v>
      </c>
    </row>
    <row r="4543" spans="1:14" x14ac:dyDescent="0.25">
      <c r="A4543">
        <v>60373954</v>
      </c>
      <c r="B4543" t="s">
        <v>10122</v>
      </c>
      <c r="C4543" t="s">
        <v>2544</v>
      </c>
      <c r="D4543" t="s">
        <v>10123</v>
      </c>
      <c r="E4543">
        <v>3185081848</v>
      </c>
      <c r="F4543" t="s">
        <v>790</v>
      </c>
      <c r="G4543" t="s">
        <v>791</v>
      </c>
      <c r="I4543" t="s">
        <v>119</v>
      </c>
      <c r="J4543" s="13">
        <v>46062</v>
      </c>
      <c r="K4543" s="13">
        <v>46082</v>
      </c>
      <c r="L4543" t="s">
        <v>612</v>
      </c>
      <c r="M4543" t="s">
        <v>56</v>
      </c>
      <c r="N4543">
        <v>74154438</v>
      </c>
    </row>
    <row r="4544" spans="1:14" x14ac:dyDescent="0.25">
      <c r="A4544">
        <v>60374030</v>
      </c>
      <c r="B4544" t="s">
        <v>687</v>
      </c>
      <c r="C4544" t="s">
        <v>2057</v>
      </c>
      <c r="D4544" t="s">
        <v>10124</v>
      </c>
      <c r="E4544">
        <v>7197785811</v>
      </c>
      <c r="F4544" t="s">
        <v>1067</v>
      </c>
      <c r="G4544" t="s">
        <v>1068</v>
      </c>
      <c r="I4544" t="s">
        <v>35</v>
      </c>
      <c r="J4544" s="13">
        <v>46062</v>
      </c>
      <c r="K4544" s="13">
        <v>46082</v>
      </c>
      <c r="L4544" t="s">
        <v>539</v>
      </c>
      <c r="M4544" t="s">
        <v>56</v>
      </c>
      <c r="N4544">
        <v>74154515</v>
      </c>
    </row>
    <row r="4545" spans="1:14" x14ac:dyDescent="0.25">
      <c r="A4545">
        <v>60374139</v>
      </c>
      <c r="B4545" t="s">
        <v>1406</v>
      </c>
      <c r="C4545" t="s">
        <v>9403</v>
      </c>
      <c r="D4545" t="s">
        <v>10125</v>
      </c>
      <c r="E4545">
        <v>5613079021</v>
      </c>
      <c r="F4545" t="s">
        <v>807</v>
      </c>
      <c r="G4545" t="s">
        <v>808</v>
      </c>
      <c r="I4545" t="s">
        <v>33</v>
      </c>
      <c r="J4545" s="13">
        <v>46062</v>
      </c>
      <c r="K4545" s="13">
        <v>46082</v>
      </c>
      <c r="L4545" t="s">
        <v>497</v>
      </c>
      <c r="M4545" t="s">
        <v>56</v>
      </c>
      <c r="N4545">
        <v>74154619</v>
      </c>
    </row>
    <row r="4546" spans="1:14" x14ac:dyDescent="0.25">
      <c r="A4546">
        <v>60374427</v>
      </c>
      <c r="B4546" t="s">
        <v>888</v>
      </c>
      <c r="C4546" t="s">
        <v>10126</v>
      </c>
      <c r="D4546" t="s">
        <v>10127</v>
      </c>
      <c r="E4546">
        <v>5202375957</v>
      </c>
      <c r="F4546" t="s">
        <v>649</v>
      </c>
      <c r="G4546" t="s">
        <v>650</v>
      </c>
      <c r="I4546" t="s">
        <v>28</v>
      </c>
      <c r="J4546" s="13">
        <v>46062</v>
      </c>
      <c r="K4546" s="13">
        <v>46082</v>
      </c>
      <c r="L4546" t="s">
        <v>1179</v>
      </c>
      <c r="M4546" t="s">
        <v>59</v>
      </c>
      <c r="N4546">
        <v>74154873</v>
      </c>
    </row>
    <row r="4547" spans="1:14" x14ac:dyDescent="0.25">
      <c r="A4547">
        <v>60379189</v>
      </c>
      <c r="B4547" t="s">
        <v>980</v>
      </c>
      <c r="C4547" t="s">
        <v>10128</v>
      </c>
      <c r="D4547" t="s">
        <v>10129</v>
      </c>
      <c r="E4547">
        <v>4806476267</v>
      </c>
      <c r="F4547" t="s">
        <v>416</v>
      </c>
      <c r="G4547" t="s">
        <v>417</v>
      </c>
      <c r="I4547" t="s">
        <v>26</v>
      </c>
      <c r="J4547" s="13">
        <v>46062</v>
      </c>
      <c r="K4547" s="13">
        <v>46082</v>
      </c>
      <c r="L4547" t="s">
        <v>1179</v>
      </c>
      <c r="M4547" t="s">
        <v>54</v>
      </c>
      <c r="N4547">
        <v>74158725</v>
      </c>
    </row>
    <row r="4548" spans="1:14" x14ac:dyDescent="0.25">
      <c r="A4548">
        <v>60379361</v>
      </c>
      <c r="B4548" t="s">
        <v>2654</v>
      </c>
      <c r="C4548" t="s">
        <v>10130</v>
      </c>
      <c r="D4548" t="s">
        <v>10131</v>
      </c>
      <c r="E4548">
        <v>6023913679</v>
      </c>
      <c r="F4548" t="s">
        <v>780</v>
      </c>
      <c r="G4548" t="s">
        <v>781</v>
      </c>
      <c r="I4548" t="s">
        <v>20</v>
      </c>
      <c r="J4548" s="13">
        <v>46062</v>
      </c>
      <c r="K4548" s="13">
        <v>46082</v>
      </c>
      <c r="L4548" t="s">
        <v>1179</v>
      </c>
      <c r="M4548" t="s">
        <v>54</v>
      </c>
      <c r="N4548">
        <v>74158870</v>
      </c>
    </row>
    <row r="4549" spans="1:14" x14ac:dyDescent="0.25">
      <c r="A4549">
        <v>60379561</v>
      </c>
      <c r="B4549" t="s">
        <v>743</v>
      </c>
      <c r="C4549" t="s">
        <v>10132</v>
      </c>
      <c r="D4549" t="s">
        <v>10133</v>
      </c>
      <c r="E4549">
        <v>6026973458</v>
      </c>
      <c r="F4549" t="s">
        <v>775</v>
      </c>
      <c r="G4549" t="s">
        <v>776</v>
      </c>
      <c r="I4549" t="s">
        <v>22</v>
      </c>
      <c r="J4549" s="13">
        <v>46062</v>
      </c>
      <c r="K4549" s="13">
        <v>46082</v>
      </c>
      <c r="L4549" t="s">
        <v>1179</v>
      </c>
      <c r="M4549" t="s">
        <v>55</v>
      </c>
      <c r="N4549">
        <v>74158977</v>
      </c>
    </row>
    <row r="4550" spans="1:14" x14ac:dyDescent="0.25">
      <c r="A4550">
        <v>60379775</v>
      </c>
      <c r="B4550" t="s">
        <v>593</v>
      </c>
      <c r="C4550" t="s">
        <v>10134</v>
      </c>
      <c r="D4550" t="s">
        <v>10135</v>
      </c>
      <c r="E4550">
        <v>6064489844</v>
      </c>
      <c r="F4550" t="s">
        <v>705</v>
      </c>
      <c r="G4550" t="s">
        <v>706</v>
      </c>
      <c r="I4550" t="s">
        <v>12</v>
      </c>
      <c r="J4550" s="13">
        <v>46062</v>
      </c>
      <c r="K4550" s="13">
        <v>46082</v>
      </c>
      <c r="L4550" t="s">
        <v>490</v>
      </c>
      <c r="M4550" t="s">
        <v>61</v>
      </c>
      <c r="N4550">
        <v>74159101</v>
      </c>
    </row>
    <row r="4551" spans="1:14" x14ac:dyDescent="0.25">
      <c r="A4551">
        <v>60380232</v>
      </c>
      <c r="B4551" t="s">
        <v>10136</v>
      </c>
      <c r="C4551" t="s">
        <v>10137</v>
      </c>
      <c r="D4551" t="s">
        <v>10138</v>
      </c>
      <c r="E4551">
        <v>3147539831</v>
      </c>
      <c r="F4551" t="s">
        <v>815</v>
      </c>
      <c r="G4551" t="s">
        <v>816</v>
      </c>
      <c r="I4551" t="s">
        <v>23</v>
      </c>
      <c r="J4551" s="13">
        <v>46062</v>
      </c>
      <c r="K4551" s="13">
        <v>46082</v>
      </c>
      <c r="L4551" t="s">
        <v>434</v>
      </c>
      <c r="M4551" t="s">
        <v>59</v>
      </c>
      <c r="N4551">
        <v>74159458</v>
      </c>
    </row>
    <row r="4552" spans="1:14" x14ac:dyDescent="0.25">
      <c r="A4552">
        <v>60391618</v>
      </c>
      <c r="B4552" t="s">
        <v>10139</v>
      </c>
      <c r="C4552" t="s">
        <v>10140</v>
      </c>
      <c r="D4552" t="s">
        <v>10141</v>
      </c>
      <c r="E4552">
        <v>4707606589</v>
      </c>
      <c r="F4552" t="s">
        <v>928</v>
      </c>
      <c r="G4552" t="s">
        <v>929</v>
      </c>
      <c r="I4552" t="s">
        <v>30</v>
      </c>
      <c r="J4552" s="13">
        <v>46063</v>
      </c>
      <c r="K4552" s="13">
        <v>46082</v>
      </c>
      <c r="L4552" t="s">
        <v>621</v>
      </c>
      <c r="M4552" t="s">
        <v>59</v>
      </c>
      <c r="N4552">
        <v>74169330</v>
      </c>
    </row>
    <row r="4553" spans="1:14" x14ac:dyDescent="0.25">
      <c r="A4553">
        <v>60391895</v>
      </c>
      <c r="B4553" t="s">
        <v>645</v>
      </c>
      <c r="C4553" t="s">
        <v>4753</v>
      </c>
      <c r="D4553" t="s">
        <v>10142</v>
      </c>
      <c r="E4553">
        <v>8702438853</v>
      </c>
      <c r="F4553" t="s">
        <v>1067</v>
      </c>
      <c r="G4553" t="s">
        <v>1068</v>
      </c>
      <c r="I4553" t="s">
        <v>35</v>
      </c>
      <c r="J4553" s="13">
        <v>46063</v>
      </c>
      <c r="K4553" s="13">
        <v>46143</v>
      </c>
      <c r="L4553" t="s">
        <v>553</v>
      </c>
      <c r="M4553" t="s">
        <v>56</v>
      </c>
      <c r="N4553">
        <v>74169549</v>
      </c>
    </row>
    <row r="4554" spans="1:14" x14ac:dyDescent="0.25">
      <c r="A4554">
        <v>60391995</v>
      </c>
      <c r="B4554" t="s">
        <v>1167</v>
      </c>
      <c r="C4554" t="s">
        <v>928</v>
      </c>
      <c r="D4554" t="s">
        <v>10143</v>
      </c>
      <c r="E4554">
        <v>5677561753</v>
      </c>
      <c r="F4554" t="s">
        <v>551</v>
      </c>
      <c r="G4554" t="s">
        <v>552</v>
      </c>
      <c r="I4554" t="s">
        <v>42</v>
      </c>
      <c r="J4554" s="13">
        <v>46063</v>
      </c>
      <c r="K4554" s="13">
        <v>46082</v>
      </c>
      <c r="L4554" t="s">
        <v>418</v>
      </c>
      <c r="M4554" t="s">
        <v>58</v>
      </c>
      <c r="N4554">
        <v>74169587</v>
      </c>
    </row>
    <row r="4555" spans="1:14" x14ac:dyDescent="0.25">
      <c r="A4555">
        <v>60392423</v>
      </c>
      <c r="B4555" t="s">
        <v>8049</v>
      </c>
      <c r="C4555" t="s">
        <v>10144</v>
      </c>
      <c r="D4555" t="s">
        <v>10145</v>
      </c>
      <c r="E4555">
        <v>7407510885</v>
      </c>
      <c r="F4555" t="s">
        <v>828</v>
      </c>
      <c r="G4555" t="s">
        <v>1148</v>
      </c>
      <c r="I4555" t="s">
        <v>17</v>
      </c>
      <c r="J4555" s="13">
        <v>46063</v>
      </c>
      <c r="K4555" s="13">
        <v>46082</v>
      </c>
      <c r="L4555" t="s">
        <v>418</v>
      </c>
      <c r="M4555" t="s">
        <v>419</v>
      </c>
      <c r="N4555">
        <v>74169980</v>
      </c>
    </row>
    <row r="4556" spans="1:14" x14ac:dyDescent="0.25">
      <c r="A4556">
        <v>60392761</v>
      </c>
      <c r="B4556" t="s">
        <v>10146</v>
      </c>
      <c r="C4556" t="s">
        <v>9551</v>
      </c>
      <c r="D4556" t="s">
        <v>10147</v>
      </c>
      <c r="E4556">
        <v>8704032993</v>
      </c>
      <c r="F4556" t="s">
        <v>790</v>
      </c>
      <c r="G4556" t="s">
        <v>791</v>
      </c>
      <c r="I4556" t="s">
        <v>119</v>
      </c>
      <c r="J4556" s="13">
        <v>46063</v>
      </c>
      <c r="K4556" s="13">
        <v>46082</v>
      </c>
      <c r="L4556" t="s">
        <v>553</v>
      </c>
      <c r="M4556" t="s">
        <v>58</v>
      </c>
      <c r="N4556">
        <v>74170188</v>
      </c>
    </row>
    <row r="4557" spans="1:14" x14ac:dyDescent="0.25">
      <c r="A4557">
        <v>60392868</v>
      </c>
      <c r="B4557" t="s">
        <v>1589</v>
      </c>
      <c r="C4557" t="s">
        <v>10148</v>
      </c>
      <c r="D4557" t="s">
        <v>10149</v>
      </c>
      <c r="E4557">
        <v>5134311106</v>
      </c>
      <c r="F4557" t="s">
        <v>474</v>
      </c>
      <c r="G4557" t="s">
        <v>475</v>
      </c>
      <c r="I4557" t="s">
        <v>132</v>
      </c>
      <c r="J4557" s="13">
        <v>46063</v>
      </c>
      <c r="K4557" s="13">
        <v>46082</v>
      </c>
      <c r="L4557" t="s">
        <v>418</v>
      </c>
      <c r="M4557" t="s">
        <v>58</v>
      </c>
      <c r="N4557">
        <v>74170271</v>
      </c>
    </row>
    <row r="4558" spans="1:14" x14ac:dyDescent="0.25">
      <c r="A4558">
        <v>60393084</v>
      </c>
      <c r="B4558" t="s">
        <v>702</v>
      </c>
      <c r="C4558" t="s">
        <v>10150</v>
      </c>
      <c r="D4558" t="s">
        <v>10151</v>
      </c>
      <c r="E4558">
        <v>8133761431</v>
      </c>
      <c r="F4558" t="s">
        <v>448</v>
      </c>
      <c r="G4558" t="s">
        <v>449</v>
      </c>
      <c r="I4558" t="s">
        <v>31</v>
      </c>
      <c r="J4558" s="13">
        <v>46063</v>
      </c>
      <c r="K4558" s="13">
        <v>46082</v>
      </c>
      <c r="L4558" t="s">
        <v>497</v>
      </c>
      <c r="M4558" t="s">
        <v>58</v>
      </c>
      <c r="N4558">
        <v>74170446</v>
      </c>
    </row>
    <row r="4559" spans="1:14" x14ac:dyDescent="0.25">
      <c r="A4559">
        <v>60393495</v>
      </c>
      <c r="B4559" t="s">
        <v>10152</v>
      </c>
      <c r="C4559" t="s">
        <v>10153</v>
      </c>
      <c r="D4559" t="s">
        <v>10154</v>
      </c>
      <c r="E4559" t="s">
        <v>10155</v>
      </c>
      <c r="F4559" t="s">
        <v>705</v>
      </c>
      <c r="G4559" t="s">
        <v>706</v>
      </c>
      <c r="I4559" t="s">
        <v>12</v>
      </c>
      <c r="J4559" s="13">
        <v>46063</v>
      </c>
      <c r="K4559" s="13">
        <v>46082</v>
      </c>
      <c r="L4559" t="s">
        <v>444</v>
      </c>
      <c r="M4559" t="s">
        <v>56</v>
      </c>
      <c r="N4559">
        <v>74170763</v>
      </c>
    </row>
    <row r="4560" spans="1:14" x14ac:dyDescent="0.25">
      <c r="A4560">
        <v>60393508</v>
      </c>
      <c r="B4560" t="s">
        <v>1234</v>
      </c>
      <c r="C4560" t="s">
        <v>2732</v>
      </c>
      <c r="D4560" t="s">
        <v>10156</v>
      </c>
      <c r="E4560">
        <v>5204064901</v>
      </c>
      <c r="F4560" t="s">
        <v>807</v>
      </c>
      <c r="G4560" t="s">
        <v>808</v>
      </c>
      <c r="I4560" t="s">
        <v>33</v>
      </c>
      <c r="J4560" s="13">
        <v>46063</v>
      </c>
      <c r="K4560" s="13">
        <v>46082</v>
      </c>
      <c r="L4560" t="s">
        <v>1179</v>
      </c>
      <c r="M4560" t="s">
        <v>54</v>
      </c>
      <c r="N4560">
        <v>74170777</v>
      </c>
    </row>
    <row r="4561" spans="1:14" x14ac:dyDescent="0.25">
      <c r="A4561">
        <v>60394693</v>
      </c>
      <c r="B4561" t="s">
        <v>8666</v>
      </c>
      <c r="C4561" t="s">
        <v>4965</v>
      </c>
      <c r="D4561" t="s">
        <v>10157</v>
      </c>
      <c r="E4561">
        <v>7207911403</v>
      </c>
      <c r="F4561" t="s">
        <v>649</v>
      </c>
      <c r="G4561" t="s">
        <v>650</v>
      </c>
      <c r="I4561" t="s">
        <v>28</v>
      </c>
      <c r="J4561" s="13">
        <v>46063</v>
      </c>
      <c r="K4561" s="13">
        <v>46082</v>
      </c>
      <c r="L4561" t="s">
        <v>539</v>
      </c>
      <c r="M4561" t="s">
        <v>59</v>
      </c>
      <c r="N4561">
        <v>74171732</v>
      </c>
    </row>
    <row r="4562" spans="1:14" x14ac:dyDescent="0.25">
      <c r="A4562">
        <v>60396830</v>
      </c>
      <c r="B4562" t="s">
        <v>3438</v>
      </c>
      <c r="C4562" t="s">
        <v>10158</v>
      </c>
      <c r="D4562" t="s">
        <v>10159</v>
      </c>
      <c r="E4562">
        <v>5124318900</v>
      </c>
      <c r="F4562" t="s">
        <v>551</v>
      </c>
      <c r="G4562" t="s">
        <v>552</v>
      </c>
      <c r="I4562" t="s">
        <v>42</v>
      </c>
      <c r="J4562" s="13">
        <v>46063</v>
      </c>
      <c r="K4562" s="13">
        <v>46082</v>
      </c>
      <c r="L4562" t="s">
        <v>444</v>
      </c>
      <c r="M4562" t="s">
        <v>58</v>
      </c>
      <c r="N4562">
        <v>74172334</v>
      </c>
    </row>
    <row r="4563" spans="1:14" x14ac:dyDescent="0.25">
      <c r="A4563">
        <v>60397036</v>
      </c>
      <c r="B4563" t="s">
        <v>3252</v>
      </c>
      <c r="C4563" t="s">
        <v>10160</v>
      </c>
      <c r="D4563" t="s">
        <v>10161</v>
      </c>
      <c r="E4563">
        <v>6144415585</v>
      </c>
      <c r="F4563" t="s">
        <v>474</v>
      </c>
      <c r="G4563" t="s">
        <v>475</v>
      </c>
      <c r="I4563" t="s">
        <v>132</v>
      </c>
      <c r="J4563" s="13">
        <v>46063</v>
      </c>
      <c r="K4563" s="13">
        <v>46082</v>
      </c>
      <c r="L4563" t="s">
        <v>418</v>
      </c>
      <c r="M4563" t="s">
        <v>58</v>
      </c>
      <c r="N4563">
        <v>74173109</v>
      </c>
    </row>
    <row r="4564" spans="1:14" x14ac:dyDescent="0.25">
      <c r="A4564">
        <v>60397321</v>
      </c>
      <c r="B4564" t="s">
        <v>445</v>
      </c>
      <c r="C4564" t="s">
        <v>9400</v>
      </c>
      <c r="D4564" t="s">
        <v>10162</v>
      </c>
      <c r="E4564">
        <v>5134307459</v>
      </c>
      <c r="F4564" t="s">
        <v>1013</v>
      </c>
      <c r="G4564" t="s">
        <v>1014</v>
      </c>
      <c r="I4564" t="s">
        <v>43</v>
      </c>
      <c r="J4564" s="13">
        <v>46063</v>
      </c>
      <c r="K4564" s="13">
        <v>46082</v>
      </c>
      <c r="L4564" t="s">
        <v>418</v>
      </c>
      <c r="M4564" t="s">
        <v>58</v>
      </c>
      <c r="N4564">
        <v>74173314</v>
      </c>
    </row>
    <row r="4565" spans="1:14" x14ac:dyDescent="0.25">
      <c r="A4565">
        <v>60397516</v>
      </c>
      <c r="B4565" t="s">
        <v>748</v>
      </c>
      <c r="C4565" t="s">
        <v>10163</v>
      </c>
      <c r="D4565" t="s">
        <v>10164</v>
      </c>
      <c r="E4565">
        <v>2105620162</v>
      </c>
      <c r="F4565" t="s">
        <v>815</v>
      </c>
      <c r="G4565" t="s">
        <v>816</v>
      </c>
      <c r="I4565" t="s">
        <v>23</v>
      </c>
      <c r="J4565" s="13">
        <v>46063</v>
      </c>
      <c r="K4565" s="13">
        <v>46082</v>
      </c>
      <c r="L4565" t="s">
        <v>444</v>
      </c>
      <c r="M4565" t="s">
        <v>56</v>
      </c>
      <c r="N4565">
        <v>74173475</v>
      </c>
    </row>
    <row r="4566" spans="1:14" x14ac:dyDescent="0.25">
      <c r="A4566">
        <v>60397622</v>
      </c>
      <c r="B4566" t="s">
        <v>10165</v>
      </c>
      <c r="C4566" t="s">
        <v>957</v>
      </c>
      <c r="D4566" t="s">
        <v>10166</v>
      </c>
      <c r="E4566">
        <v>7205897355</v>
      </c>
      <c r="F4566" t="s">
        <v>790</v>
      </c>
      <c r="G4566" t="s">
        <v>791</v>
      </c>
      <c r="I4566" t="s">
        <v>119</v>
      </c>
      <c r="J4566" s="13">
        <v>46063</v>
      </c>
      <c r="K4566" s="13">
        <v>46082</v>
      </c>
      <c r="L4566" t="s">
        <v>539</v>
      </c>
      <c r="M4566" t="s">
        <v>59</v>
      </c>
      <c r="N4566">
        <v>74173531</v>
      </c>
    </row>
    <row r="4567" spans="1:14" x14ac:dyDescent="0.25">
      <c r="A4567">
        <v>60398325</v>
      </c>
      <c r="B4567" t="s">
        <v>3686</v>
      </c>
      <c r="C4567" t="s">
        <v>10167</v>
      </c>
      <c r="D4567" t="s">
        <v>10168</v>
      </c>
      <c r="E4567">
        <v>7273830165</v>
      </c>
      <c r="F4567" t="s">
        <v>1345</v>
      </c>
      <c r="G4567" t="s">
        <v>799</v>
      </c>
      <c r="I4567" t="s">
        <v>47</v>
      </c>
      <c r="J4567" s="13">
        <v>46063</v>
      </c>
      <c r="K4567" s="13">
        <v>46082</v>
      </c>
      <c r="L4567" t="s">
        <v>497</v>
      </c>
      <c r="M4567" t="s">
        <v>54</v>
      </c>
      <c r="N4567">
        <v>74173982</v>
      </c>
    </row>
    <row r="4568" spans="1:14" x14ac:dyDescent="0.25">
      <c r="A4568">
        <v>60398438</v>
      </c>
      <c r="B4568" t="s">
        <v>9221</v>
      </c>
      <c r="C4568" t="s">
        <v>10169</v>
      </c>
      <c r="D4568" t="s">
        <v>10170</v>
      </c>
      <c r="E4568">
        <v>2057779324</v>
      </c>
      <c r="F4568" t="s">
        <v>628</v>
      </c>
      <c r="G4568" t="s">
        <v>629</v>
      </c>
      <c r="I4568" t="s">
        <v>24</v>
      </c>
      <c r="J4568" s="13">
        <v>46063</v>
      </c>
      <c r="K4568" s="13">
        <v>46082</v>
      </c>
      <c r="L4568" t="s">
        <v>450</v>
      </c>
      <c r="M4568" t="s">
        <v>55</v>
      </c>
      <c r="N4568">
        <v>74174069</v>
      </c>
    </row>
    <row r="4569" spans="1:14" x14ac:dyDescent="0.25">
      <c r="A4569">
        <v>60398798</v>
      </c>
      <c r="B4569" t="s">
        <v>449</v>
      </c>
      <c r="C4569" t="s">
        <v>2558</v>
      </c>
      <c r="D4569" t="s">
        <v>10171</v>
      </c>
      <c r="E4569">
        <v>7542149033</v>
      </c>
      <c r="F4569" t="s">
        <v>416</v>
      </c>
      <c r="G4569" t="s">
        <v>417</v>
      </c>
      <c r="I4569" t="s">
        <v>26</v>
      </c>
      <c r="J4569" s="13">
        <v>46063</v>
      </c>
      <c r="K4569" s="13">
        <v>46082</v>
      </c>
      <c r="L4569" t="s">
        <v>497</v>
      </c>
      <c r="M4569" t="s">
        <v>56</v>
      </c>
      <c r="N4569">
        <v>74174174</v>
      </c>
    </row>
    <row r="4570" spans="1:14" x14ac:dyDescent="0.25">
      <c r="A4570">
        <v>60399124</v>
      </c>
      <c r="B4570" t="s">
        <v>10172</v>
      </c>
      <c r="C4570" t="s">
        <v>10173</v>
      </c>
      <c r="D4570" t="s">
        <v>10174</v>
      </c>
      <c r="E4570">
        <v>2299776185</v>
      </c>
      <c r="F4570" t="s">
        <v>569</v>
      </c>
      <c r="G4570" t="s">
        <v>570</v>
      </c>
      <c r="I4570" t="s">
        <v>34</v>
      </c>
      <c r="J4570" s="13">
        <v>46063</v>
      </c>
      <c r="K4570" s="13">
        <v>46082</v>
      </c>
      <c r="L4570" t="s">
        <v>454</v>
      </c>
      <c r="M4570" t="s">
        <v>58</v>
      </c>
      <c r="N4570">
        <v>74174443</v>
      </c>
    </row>
    <row r="4571" spans="1:14" x14ac:dyDescent="0.25">
      <c r="A4571">
        <v>60399377</v>
      </c>
      <c r="B4571" t="s">
        <v>3581</v>
      </c>
      <c r="C4571" t="s">
        <v>10175</v>
      </c>
      <c r="D4571" t="s">
        <v>10176</v>
      </c>
      <c r="E4571">
        <v>6232957530</v>
      </c>
      <c r="F4571" t="s">
        <v>780</v>
      </c>
      <c r="G4571" t="s">
        <v>781</v>
      </c>
      <c r="I4571" t="s">
        <v>20</v>
      </c>
      <c r="J4571" s="13">
        <v>46063</v>
      </c>
      <c r="K4571" s="13">
        <v>46082</v>
      </c>
      <c r="L4571" t="s">
        <v>1179</v>
      </c>
      <c r="M4571" t="s">
        <v>56</v>
      </c>
      <c r="N4571">
        <v>74174630</v>
      </c>
    </row>
    <row r="4572" spans="1:14" x14ac:dyDescent="0.25">
      <c r="A4572">
        <v>60399484</v>
      </c>
      <c r="B4572" t="s">
        <v>1621</v>
      </c>
      <c r="C4572" t="s">
        <v>10177</v>
      </c>
      <c r="D4572" t="s">
        <v>10178</v>
      </c>
      <c r="E4572">
        <v>2087553077</v>
      </c>
      <c r="F4572" t="s">
        <v>1013</v>
      </c>
      <c r="G4572" t="s">
        <v>1014</v>
      </c>
      <c r="I4572" t="s">
        <v>43</v>
      </c>
      <c r="J4572" s="13">
        <v>46063</v>
      </c>
      <c r="K4572" s="13">
        <v>46082</v>
      </c>
      <c r="L4572" t="s">
        <v>1179</v>
      </c>
      <c r="M4572" t="s">
        <v>55</v>
      </c>
      <c r="N4572">
        <v>74174697</v>
      </c>
    </row>
    <row r="4573" spans="1:14" x14ac:dyDescent="0.25">
      <c r="A4573">
        <v>60400755</v>
      </c>
      <c r="B4573" t="s">
        <v>508</v>
      </c>
      <c r="C4573" t="s">
        <v>4134</v>
      </c>
      <c r="D4573" t="s">
        <v>10179</v>
      </c>
      <c r="E4573">
        <v>2627055124</v>
      </c>
      <c r="F4573" t="s">
        <v>828</v>
      </c>
      <c r="G4573" t="s">
        <v>1148</v>
      </c>
      <c r="I4573" t="s">
        <v>17</v>
      </c>
      <c r="J4573" s="13">
        <v>46063</v>
      </c>
      <c r="K4573" s="13">
        <v>46082</v>
      </c>
      <c r="L4573" t="s">
        <v>675</v>
      </c>
      <c r="M4573" t="s">
        <v>56</v>
      </c>
      <c r="N4573">
        <v>74175495</v>
      </c>
    </row>
    <row r="4574" spans="1:14" x14ac:dyDescent="0.25">
      <c r="A4574">
        <v>60401366</v>
      </c>
      <c r="B4574" t="s">
        <v>10180</v>
      </c>
      <c r="C4574" t="s">
        <v>1435</v>
      </c>
      <c r="D4574" t="s">
        <v>10181</v>
      </c>
      <c r="E4574">
        <v>6027383687</v>
      </c>
      <c r="F4574" t="s">
        <v>770</v>
      </c>
      <c r="G4574" t="s">
        <v>771</v>
      </c>
      <c r="I4574" t="s">
        <v>25</v>
      </c>
      <c r="J4574" s="13">
        <v>46063</v>
      </c>
      <c r="K4574" s="13">
        <v>46082</v>
      </c>
      <c r="L4574" t="s">
        <v>1179</v>
      </c>
      <c r="M4574" t="s">
        <v>59</v>
      </c>
      <c r="N4574">
        <v>74175950</v>
      </c>
    </row>
    <row r="4575" spans="1:14" x14ac:dyDescent="0.25">
      <c r="A4575">
        <v>60401591</v>
      </c>
      <c r="B4575" t="s">
        <v>5607</v>
      </c>
      <c r="C4575" t="s">
        <v>10182</v>
      </c>
      <c r="D4575" t="s">
        <v>10183</v>
      </c>
      <c r="E4575" t="s">
        <v>10184</v>
      </c>
      <c r="F4575" t="s">
        <v>551</v>
      </c>
      <c r="G4575" t="s">
        <v>552</v>
      </c>
      <c r="I4575" t="s">
        <v>42</v>
      </c>
      <c r="J4575" s="13">
        <v>46063</v>
      </c>
      <c r="K4575" s="13">
        <v>46082</v>
      </c>
      <c r="L4575" t="s">
        <v>418</v>
      </c>
      <c r="M4575" t="s">
        <v>58</v>
      </c>
      <c r="N4575">
        <v>74176027</v>
      </c>
    </row>
    <row r="4576" spans="1:14" x14ac:dyDescent="0.25">
      <c r="A4576">
        <v>60401619</v>
      </c>
      <c r="B4576" t="s">
        <v>10185</v>
      </c>
      <c r="C4576" t="s">
        <v>10186</v>
      </c>
      <c r="D4576" t="s">
        <v>10187</v>
      </c>
      <c r="E4576">
        <v>2395640305</v>
      </c>
      <c r="F4576" t="s">
        <v>1067</v>
      </c>
      <c r="G4576" t="s">
        <v>1068</v>
      </c>
      <c r="I4576" t="s">
        <v>35</v>
      </c>
      <c r="J4576" s="13">
        <v>46063</v>
      </c>
      <c r="K4576" s="13">
        <v>46082</v>
      </c>
      <c r="L4576" t="s">
        <v>497</v>
      </c>
      <c r="M4576" t="s">
        <v>58</v>
      </c>
      <c r="N4576">
        <v>74176114</v>
      </c>
    </row>
    <row r="4577" spans="1:14" x14ac:dyDescent="0.25">
      <c r="A4577">
        <v>60401802</v>
      </c>
      <c r="B4577" t="s">
        <v>8515</v>
      </c>
      <c r="C4577" t="s">
        <v>10188</v>
      </c>
      <c r="D4577" t="s">
        <v>10189</v>
      </c>
      <c r="E4577">
        <v>8124312477</v>
      </c>
      <c r="F4577" t="s">
        <v>474</v>
      </c>
      <c r="G4577" t="s">
        <v>475</v>
      </c>
      <c r="I4577" t="s">
        <v>132</v>
      </c>
      <c r="J4577" s="13">
        <v>46063</v>
      </c>
      <c r="K4577" s="13">
        <v>46082</v>
      </c>
      <c r="L4577" t="s">
        <v>490</v>
      </c>
      <c r="M4577" t="s">
        <v>61</v>
      </c>
      <c r="N4577">
        <v>74176261</v>
      </c>
    </row>
    <row r="4578" spans="1:14" x14ac:dyDescent="0.25">
      <c r="A4578">
        <v>60402639</v>
      </c>
      <c r="B4578" t="s">
        <v>7125</v>
      </c>
      <c r="C4578" t="s">
        <v>10190</v>
      </c>
      <c r="D4578" t="s">
        <v>10191</v>
      </c>
      <c r="E4578">
        <v>9048884238</v>
      </c>
      <c r="F4578" t="s">
        <v>448</v>
      </c>
      <c r="G4578" t="s">
        <v>449</v>
      </c>
      <c r="I4578" t="s">
        <v>31</v>
      </c>
      <c r="J4578" s="13">
        <v>46063</v>
      </c>
      <c r="K4578" s="13">
        <v>46082</v>
      </c>
      <c r="L4578" t="s">
        <v>497</v>
      </c>
      <c r="M4578" t="s">
        <v>54</v>
      </c>
      <c r="N4578">
        <v>74176963</v>
      </c>
    </row>
    <row r="4579" spans="1:14" x14ac:dyDescent="0.25">
      <c r="A4579">
        <v>60402812</v>
      </c>
      <c r="B4579" t="s">
        <v>10192</v>
      </c>
      <c r="C4579" t="s">
        <v>1342</v>
      </c>
      <c r="D4579" t="s">
        <v>10193</v>
      </c>
      <c r="E4579" t="s">
        <v>10194</v>
      </c>
      <c r="F4579" t="s">
        <v>705</v>
      </c>
      <c r="G4579" t="s">
        <v>706</v>
      </c>
      <c r="I4579" t="s">
        <v>12</v>
      </c>
      <c r="J4579" s="13">
        <v>46063</v>
      </c>
      <c r="K4579" s="13">
        <v>46082</v>
      </c>
      <c r="L4579" t="s">
        <v>553</v>
      </c>
      <c r="M4579" t="s">
        <v>59</v>
      </c>
      <c r="N4579">
        <v>74177125</v>
      </c>
    </row>
    <row r="4580" spans="1:14" x14ac:dyDescent="0.25">
      <c r="A4580">
        <v>60403230</v>
      </c>
      <c r="B4580" t="s">
        <v>730</v>
      </c>
      <c r="C4580" t="s">
        <v>10195</v>
      </c>
      <c r="D4580" t="s">
        <v>10196</v>
      </c>
      <c r="E4580">
        <v>2165609968</v>
      </c>
      <c r="F4580" t="s">
        <v>790</v>
      </c>
      <c r="G4580" t="s">
        <v>791</v>
      </c>
      <c r="I4580" t="s">
        <v>119</v>
      </c>
      <c r="J4580" s="13">
        <v>46063</v>
      </c>
      <c r="K4580" s="13">
        <v>46082</v>
      </c>
      <c r="L4580" t="s">
        <v>418</v>
      </c>
      <c r="M4580" t="s">
        <v>58</v>
      </c>
      <c r="N4580">
        <v>74177154</v>
      </c>
    </row>
    <row r="4581" spans="1:14" x14ac:dyDescent="0.25">
      <c r="A4581">
        <v>60402925</v>
      </c>
      <c r="B4581" t="s">
        <v>10197</v>
      </c>
      <c r="C4581" t="s">
        <v>10198</v>
      </c>
      <c r="D4581" t="s">
        <v>10199</v>
      </c>
      <c r="E4581">
        <v>6237343131</v>
      </c>
      <c r="F4581" t="s">
        <v>807</v>
      </c>
      <c r="G4581" t="s">
        <v>808</v>
      </c>
      <c r="I4581" t="s">
        <v>33</v>
      </c>
      <c r="J4581" s="13">
        <v>46063</v>
      </c>
      <c r="K4581" s="13">
        <v>46082</v>
      </c>
      <c r="L4581" t="s">
        <v>1179</v>
      </c>
      <c r="M4581" t="s">
        <v>61</v>
      </c>
      <c r="N4581">
        <v>74177227</v>
      </c>
    </row>
    <row r="4582" spans="1:14" x14ac:dyDescent="0.25">
      <c r="A4582">
        <v>60404851</v>
      </c>
      <c r="B4582" t="s">
        <v>449</v>
      </c>
      <c r="C4582" t="s">
        <v>10200</v>
      </c>
      <c r="D4582" t="s">
        <v>10201</v>
      </c>
      <c r="E4582">
        <v>9286006581</v>
      </c>
      <c r="F4582" t="s">
        <v>649</v>
      </c>
      <c r="G4582" t="s">
        <v>650</v>
      </c>
      <c r="I4582" t="s">
        <v>28</v>
      </c>
      <c r="J4582" s="13">
        <v>46063</v>
      </c>
      <c r="K4582" s="13">
        <v>46082</v>
      </c>
      <c r="L4582" t="s">
        <v>1179</v>
      </c>
      <c r="M4582" t="s">
        <v>56</v>
      </c>
      <c r="N4582">
        <v>74178651</v>
      </c>
    </row>
    <row r="4583" spans="1:14" x14ac:dyDescent="0.25">
      <c r="A4583">
        <v>60405744</v>
      </c>
      <c r="B4583" t="s">
        <v>10202</v>
      </c>
      <c r="C4583" t="s">
        <v>10203</v>
      </c>
      <c r="D4583" t="s">
        <v>10204</v>
      </c>
      <c r="E4583">
        <v>5202460484</v>
      </c>
      <c r="F4583" t="s">
        <v>416</v>
      </c>
      <c r="G4583" t="s">
        <v>417</v>
      </c>
      <c r="I4583" t="s">
        <v>26</v>
      </c>
      <c r="J4583" s="13">
        <v>46063</v>
      </c>
      <c r="K4583" s="13">
        <v>46082</v>
      </c>
      <c r="L4583" t="s">
        <v>1179</v>
      </c>
      <c r="M4583" t="s">
        <v>59</v>
      </c>
      <c r="N4583">
        <v>74178991</v>
      </c>
    </row>
    <row r="4584" spans="1:14" x14ac:dyDescent="0.25">
      <c r="A4584">
        <v>60410002</v>
      </c>
      <c r="B4584" t="s">
        <v>1978</v>
      </c>
      <c r="C4584" t="s">
        <v>10205</v>
      </c>
      <c r="D4584" t="s">
        <v>10206</v>
      </c>
      <c r="E4584">
        <v>9702000831</v>
      </c>
      <c r="F4584" t="s">
        <v>1067</v>
      </c>
      <c r="G4584" t="s">
        <v>1068</v>
      </c>
      <c r="I4584" t="s">
        <v>35</v>
      </c>
      <c r="J4584" s="13">
        <v>46063</v>
      </c>
      <c r="K4584" s="13">
        <v>46082</v>
      </c>
      <c r="L4584" t="s">
        <v>539</v>
      </c>
      <c r="M4584" t="s">
        <v>56</v>
      </c>
      <c r="N4584">
        <v>74181286</v>
      </c>
    </row>
    <row r="4585" spans="1:14" x14ac:dyDescent="0.25">
      <c r="A4585">
        <v>60413397</v>
      </c>
      <c r="B4585" t="s">
        <v>10207</v>
      </c>
      <c r="C4585" t="s">
        <v>6723</v>
      </c>
      <c r="D4585" t="s">
        <v>10208</v>
      </c>
      <c r="E4585">
        <v>9197174393</v>
      </c>
      <c r="F4585" t="s">
        <v>828</v>
      </c>
      <c r="G4585" t="s">
        <v>1148</v>
      </c>
      <c r="I4585" t="s">
        <v>17</v>
      </c>
      <c r="J4585" s="13">
        <v>46063</v>
      </c>
      <c r="K4585" s="13">
        <v>46082</v>
      </c>
      <c r="L4585" t="s">
        <v>603</v>
      </c>
      <c r="M4585" t="s">
        <v>56</v>
      </c>
      <c r="N4585">
        <v>74182216</v>
      </c>
    </row>
    <row r="4586" spans="1:14" x14ac:dyDescent="0.25">
      <c r="A4586">
        <v>60418554</v>
      </c>
      <c r="B4586" t="s">
        <v>3581</v>
      </c>
      <c r="C4586" t="s">
        <v>10209</v>
      </c>
      <c r="D4586" t="s">
        <v>10210</v>
      </c>
      <c r="E4586">
        <v>7628503448</v>
      </c>
      <c r="F4586" t="s">
        <v>2544</v>
      </c>
      <c r="G4586" t="s">
        <v>4833</v>
      </c>
      <c r="I4586" t="s">
        <v>18</v>
      </c>
      <c r="J4586" s="13">
        <v>46063</v>
      </c>
      <c r="K4586" s="13">
        <v>46082</v>
      </c>
      <c r="L4586" t="s">
        <v>621</v>
      </c>
      <c r="M4586" t="s">
        <v>60</v>
      </c>
      <c r="N4586">
        <v>74188207</v>
      </c>
    </row>
    <row r="4587" spans="1:14" x14ac:dyDescent="0.25">
      <c r="A4587">
        <v>60419711</v>
      </c>
      <c r="B4587" t="s">
        <v>1250</v>
      </c>
      <c r="C4587" t="s">
        <v>6807</v>
      </c>
      <c r="D4587" t="s">
        <v>10211</v>
      </c>
      <c r="E4587">
        <v>6786988026</v>
      </c>
      <c r="F4587" t="s">
        <v>628</v>
      </c>
      <c r="G4587" t="s">
        <v>629</v>
      </c>
      <c r="I4587" t="s">
        <v>24</v>
      </c>
      <c r="J4587" s="13">
        <v>46063</v>
      </c>
      <c r="K4587" s="13">
        <v>46082</v>
      </c>
      <c r="L4587" t="s">
        <v>621</v>
      </c>
      <c r="M4587" t="s">
        <v>59</v>
      </c>
      <c r="N4587">
        <v>74189711</v>
      </c>
    </row>
    <row r="4588" spans="1:14" x14ac:dyDescent="0.25">
      <c r="A4588">
        <v>60421617</v>
      </c>
      <c r="B4588" t="s">
        <v>10212</v>
      </c>
      <c r="C4588" t="s">
        <v>10213</v>
      </c>
      <c r="D4588" t="s">
        <v>10214</v>
      </c>
      <c r="E4588">
        <v>6026772302</v>
      </c>
      <c r="F4588" t="s">
        <v>1345</v>
      </c>
      <c r="G4588" t="s">
        <v>799</v>
      </c>
      <c r="I4588" t="s">
        <v>47</v>
      </c>
      <c r="J4588" s="13">
        <v>46063</v>
      </c>
      <c r="K4588" s="13">
        <v>46082</v>
      </c>
      <c r="L4588" t="s">
        <v>1179</v>
      </c>
      <c r="M4588" t="s">
        <v>54</v>
      </c>
      <c r="N4588">
        <v>74190786</v>
      </c>
    </row>
    <row r="4589" spans="1:14" x14ac:dyDescent="0.25">
      <c r="A4589">
        <v>60424094</v>
      </c>
      <c r="B4589" t="s">
        <v>5487</v>
      </c>
      <c r="C4589" t="s">
        <v>10215</v>
      </c>
      <c r="D4589" t="s">
        <v>10216</v>
      </c>
      <c r="E4589">
        <v>9545587598</v>
      </c>
      <c r="F4589" t="s">
        <v>775</v>
      </c>
      <c r="G4589" t="s">
        <v>776</v>
      </c>
      <c r="I4589" t="s">
        <v>22</v>
      </c>
      <c r="J4589" s="13">
        <v>46063</v>
      </c>
      <c r="K4589" s="13">
        <v>46082</v>
      </c>
      <c r="L4589" t="s">
        <v>497</v>
      </c>
      <c r="M4589" t="s">
        <v>54</v>
      </c>
      <c r="N4589">
        <v>74192067</v>
      </c>
    </row>
    <row r="4590" spans="1:14" x14ac:dyDescent="0.25">
      <c r="A4590">
        <v>60438860</v>
      </c>
      <c r="B4590" t="s">
        <v>1316</v>
      </c>
      <c r="C4590" t="s">
        <v>1258</v>
      </c>
      <c r="D4590" t="s">
        <v>10217</v>
      </c>
      <c r="E4590">
        <v>5207010173</v>
      </c>
      <c r="F4590" t="s">
        <v>1013</v>
      </c>
      <c r="G4590" t="s">
        <v>1014</v>
      </c>
      <c r="I4590" t="s">
        <v>43</v>
      </c>
      <c r="J4590" s="13">
        <v>46064</v>
      </c>
      <c r="K4590" s="13">
        <v>46082</v>
      </c>
      <c r="L4590" t="s">
        <v>1179</v>
      </c>
      <c r="M4590" t="s">
        <v>58</v>
      </c>
      <c r="N4590">
        <v>74233402</v>
      </c>
    </row>
    <row r="4591" spans="1:14" x14ac:dyDescent="0.25">
      <c r="A4591">
        <v>60440838</v>
      </c>
      <c r="B4591" t="s">
        <v>1805</v>
      </c>
      <c r="C4591" t="s">
        <v>1036</v>
      </c>
      <c r="D4591" t="s">
        <v>10218</v>
      </c>
      <c r="E4591">
        <v>8705921623</v>
      </c>
      <c r="F4591" t="s">
        <v>1067</v>
      </c>
      <c r="G4591" t="s">
        <v>1068</v>
      </c>
      <c r="I4591" t="s">
        <v>35</v>
      </c>
      <c r="J4591" s="13">
        <v>46064</v>
      </c>
      <c r="K4591" s="13">
        <v>46082</v>
      </c>
      <c r="L4591" t="s">
        <v>553</v>
      </c>
      <c r="M4591" t="s">
        <v>56</v>
      </c>
      <c r="N4591">
        <v>74234429</v>
      </c>
    </row>
    <row r="4592" spans="1:14" x14ac:dyDescent="0.25">
      <c r="A4592">
        <v>60441358</v>
      </c>
      <c r="B4592" t="s">
        <v>799</v>
      </c>
      <c r="C4592" t="s">
        <v>10219</v>
      </c>
      <c r="D4592" t="s">
        <v>10220</v>
      </c>
      <c r="E4592">
        <v>7153194357</v>
      </c>
      <c r="F4592" t="s">
        <v>928</v>
      </c>
      <c r="G4592" t="s">
        <v>929</v>
      </c>
      <c r="I4592" t="s">
        <v>30</v>
      </c>
      <c r="J4592" s="13">
        <v>46064</v>
      </c>
      <c r="K4592" s="13">
        <v>46082</v>
      </c>
      <c r="L4592" t="s">
        <v>675</v>
      </c>
      <c r="M4592" t="s">
        <v>58</v>
      </c>
      <c r="N4592">
        <v>74234577</v>
      </c>
    </row>
    <row r="4593" spans="1:14" x14ac:dyDescent="0.25">
      <c r="A4593">
        <v>60443873</v>
      </c>
      <c r="B4593" t="s">
        <v>10221</v>
      </c>
      <c r="C4593" t="s">
        <v>5897</v>
      </c>
      <c r="D4593" t="s">
        <v>10222</v>
      </c>
      <c r="E4593">
        <v>8647962271</v>
      </c>
      <c r="F4593" t="s">
        <v>705</v>
      </c>
      <c r="G4593" t="s">
        <v>706</v>
      </c>
      <c r="I4593" t="s">
        <v>12</v>
      </c>
      <c r="J4593" s="13">
        <v>46064</v>
      </c>
      <c r="K4593" s="13">
        <v>46082</v>
      </c>
      <c r="L4593" t="s">
        <v>533</v>
      </c>
      <c r="M4593" t="s">
        <v>56</v>
      </c>
      <c r="N4593">
        <v>74235310</v>
      </c>
    </row>
    <row r="4594" spans="1:14" x14ac:dyDescent="0.25">
      <c r="A4594">
        <v>60451418</v>
      </c>
      <c r="B4594" t="s">
        <v>4735</v>
      </c>
      <c r="C4594" t="s">
        <v>10223</v>
      </c>
      <c r="D4594" t="s">
        <v>10224</v>
      </c>
      <c r="E4594">
        <v>9706910726</v>
      </c>
      <c r="F4594" t="s">
        <v>628</v>
      </c>
      <c r="G4594" t="s">
        <v>629</v>
      </c>
      <c r="I4594" t="s">
        <v>24</v>
      </c>
      <c r="J4594" s="13">
        <v>46064</v>
      </c>
      <c r="K4594" s="13">
        <v>46082</v>
      </c>
      <c r="L4594" t="s">
        <v>539</v>
      </c>
      <c r="M4594" t="s">
        <v>59</v>
      </c>
      <c r="N4594">
        <v>74238513</v>
      </c>
    </row>
    <row r="4595" spans="1:14" x14ac:dyDescent="0.25">
      <c r="A4595">
        <v>60982512</v>
      </c>
      <c r="B4595" t="s">
        <v>2112</v>
      </c>
      <c r="C4595" t="s">
        <v>10225</v>
      </c>
      <c r="D4595" t="s">
        <v>10226</v>
      </c>
      <c r="E4595">
        <v>5016252315</v>
      </c>
      <c r="F4595" t="s">
        <v>828</v>
      </c>
      <c r="G4595" t="s">
        <v>1148</v>
      </c>
      <c r="I4595" t="s">
        <v>17</v>
      </c>
      <c r="J4595" s="13">
        <v>46080</v>
      </c>
      <c r="K4595" s="13">
        <v>46082</v>
      </c>
      <c r="L4595" t="s">
        <v>553</v>
      </c>
      <c r="M4595" t="s">
        <v>56</v>
      </c>
      <c r="N4595">
        <v>74238765</v>
      </c>
    </row>
    <row r="4596" spans="1:14" x14ac:dyDescent="0.25">
      <c r="A4596">
        <v>60455423</v>
      </c>
      <c r="B4596" t="s">
        <v>2418</v>
      </c>
      <c r="C4596" t="s">
        <v>10227</v>
      </c>
      <c r="D4596" t="s">
        <v>10228</v>
      </c>
      <c r="E4596">
        <v>6233993514</v>
      </c>
      <c r="F4596" t="s">
        <v>1013</v>
      </c>
      <c r="G4596" t="s">
        <v>1014</v>
      </c>
      <c r="I4596" t="s">
        <v>43</v>
      </c>
      <c r="J4596" s="13">
        <v>46064</v>
      </c>
      <c r="K4596" s="13">
        <v>46082</v>
      </c>
      <c r="L4596" t="s">
        <v>1179</v>
      </c>
      <c r="M4596" t="s">
        <v>56</v>
      </c>
      <c r="N4596">
        <v>74241373</v>
      </c>
    </row>
    <row r="4597" spans="1:14" x14ac:dyDescent="0.25">
      <c r="A4597">
        <v>60455752</v>
      </c>
      <c r="B4597" t="s">
        <v>10229</v>
      </c>
      <c r="C4597" t="s">
        <v>4385</v>
      </c>
      <c r="D4597" t="s">
        <v>10230</v>
      </c>
      <c r="E4597">
        <v>5614491875</v>
      </c>
      <c r="F4597" t="s">
        <v>448</v>
      </c>
      <c r="G4597" t="s">
        <v>449</v>
      </c>
      <c r="I4597" t="s">
        <v>31</v>
      </c>
      <c r="J4597" s="13">
        <v>46064</v>
      </c>
      <c r="K4597" s="13">
        <v>46082</v>
      </c>
      <c r="L4597" t="s">
        <v>497</v>
      </c>
      <c r="M4597" t="s">
        <v>56</v>
      </c>
      <c r="N4597">
        <v>74242702</v>
      </c>
    </row>
    <row r="4598" spans="1:14" x14ac:dyDescent="0.25">
      <c r="A4598">
        <v>60455938</v>
      </c>
      <c r="B4598" t="s">
        <v>517</v>
      </c>
      <c r="C4598" t="s">
        <v>3467</v>
      </c>
      <c r="D4598" t="s">
        <v>10231</v>
      </c>
      <c r="E4598">
        <v>5135800903</v>
      </c>
      <c r="F4598" t="s">
        <v>790</v>
      </c>
      <c r="G4598" t="s">
        <v>791</v>
      </c>
      <c r="I4598" t="s">
        <v>119</v>
      </c>
      <c r="J4598" s="13">
        <v>46064</v>
      </c>
      <c r="K4598" s="13">
        <v>46082</v>
      </c>
      <c r="L4598" t="s">
        <v>418</v>
      </c>
      <c r="M4598" t="s">
        <v>55</v>
      </c>
      <c r="N4598">
        <v>74242775</v>
      </c>
    </row>
    <row r="4599" spans="1:14" x14ac:dyDescent="0.25">
      <c r="A4599">
        <v>60455987</v>
      </c>
      <c r="B4599" t="s">
        <v>5685</v>
      </c>
      <c r="C4599" t="s">
        <v>10232</v>
      </c>
      <c r="D4599" t="s">
        <v>10233</v>
      </c>
      <c r="E4599">
        <v>9362500934</v>
      </c>
      <c r="F4599" t="s">
        <v>474</v>
      </c>
      <c r="G4599" t="s">
        <v>475</v>
      </c>
      <c r="I4599" t="s">
        <v>132</v>
      </c>
      <c r="J4599" s="13">
        <v>46064</v>
      </c>
      <c r="K4599" s="13">
        <v>46082</v>
      </c>
      <c r="L4599" t="s">
        <v>470</v>
      </c>
      <c r="M4599" t="s">
        <v>58</v>
      </c>
      <c r="N4599">
        <v>74243105</v>
      </c>
    </row>
    <row r="4600" spans="1:14" x14ac:dyDescent="0.25">
      <c r="A4600">
        <v>60456133</v>
      </c>
      <c r="B4600" t="s">
        <v>10234</v>
      </c>
      <c r="C4600" t="s">
        <v>923</v>
      </c>
      <c r="D4600" t="s">
        <v>10235</v>
      </c>
      <c r="E4600" t="s">
        <v>10236</v>
      </c>
      <c r="F4600" t="s">
        <v>807</v>
      </c>
      <c r="G4600" t="s">
        <v>808</v>
      </c>
      <c r="I4600" t="s">
        <v>33</v>
      </c>
      <c r="J4600" s="13">
        <v>46064</v>
      </c>
      <c r="K4600" s="13">
        <v>46082</v>
      </c>
      <c r="L4600" t="s">
        <v>1179</v>
      </c>
      <c r="M4600" t="s">
        <v>54</v>
      </c>
      <c r="N4600">
        <v>74244001</v>
      </c>
    </row>
    <row r="4601" spans="1:14" x14ac:dyDescent="0.25">
      <c r="A4601">
        <v>60456570</v>
      </c>
      <c r="B4601" t="s">
        <v>2674</v>
      </c>
      <c r="C4601" t="s">
        <v>1368</v>
      </c>
      <c r="D4601" t="s">
        <v>10237</v>
      </c>
      <c r="E4601">
        <v>5739440454</v>
      </c>
      <c r="F4601" t="s">
        <v>649</v>
      </c>
      <c r="G4601" t="s">
        <v>650</v>
      </c>
      <c r="I4601" t="s">
        <v>28</v>
      </c>
      <c r="J4601" s="13">
        <v>46064</v>
      </c>
      <c r="K4601" s="13">
        <v>46082</v>
      </c>
      <c r="L4601" t="s">
        <v>434</v>
      </c>
      <c r="M4601" t="s">
        <v>56</v>
      </c>
      <c r="N4601">
        <v>74246551</v>
      </c>
    </row>
    <row r="4602" spans="1:14" x14ac:dyDescent="0.25">
      <c r="A4602">
        <v>60457333</v>
      </c>
      <c r="B4602" t="s">
        <v>791</v>
      </c>
      <c r="C4602" t="s">
        <v>10238</v>
      </c>
      <c r="D4602" t="s">
        <v>10239</v>
      </c>
      <c r="E4602">
        <v>7192890546</v>
      </c>
      <c r="F4602" t="s">
        <v>1067</v>
      </c>
      <c r="G4602" t="s">
        <v>1068</v>
      </c>
      <c r="I4602" t="s">
        <v>35</v>
      </c>
      <c r="J4602" s="13">
        <v>46064</v>
      </c>
      <c r="K4602" s="13">
        <v>46082</v>
      </c>
      <c r="L4602" t="s">
        <v>539</v>
      </c>
      <c r="M4602" t="s">
        <v>56</v>
      </c>
      <c r="N4602">
        <v>74247210</v>
      </c>
    </row>
    <row r="4603" spans="1:14" x14ac:dyDescent="0.25">
      <c r="A4603">
        <v>60458034</v>
      </c>
      <c r="B4603" t="s">
        <v>10240</v>
      </c>
      <c r="C4603" t="s">
        <v>10241</v>
      </c>
      <c r="D4603" t="s">
        <v>10242</v>
      </c>
      <c r="F4603" t="s">
        <v>537</v>
      </c>
      <c r="G4603" t="s">
        <v>538</v>
      </c>
      <c r="I4603" t="s">
        <v>49</v>
      </c>
      <c r="J4603" s="13">
        <v>46064</v>
      </c>
      <c r="K4603" s="13">
        <v>46082</v>
      </c>
      <c r="L4603" t="s">
        <v>553</v>
      </c>
      <c r="M4603" t="s">
        <v>59</v>
      </c>
      <c r="N4603">
        <v>74247876</v>
      </c>
    </row>
    <row r="4604" spans="1:14" x14ac:dyDescent="0.25">
      <c r="A4604">
        <v>60458278</v>
      </c>
      <c r="B4604" t="s">
        <v>2418</v>
      </c>
      <c r="C4604" t="s">
        <v>903</v>
      </c>
      <c r="D4604" t="s">
        <v>10243</v>
      </c>
      <c r="E4604">
        <v>5209092811</v>
      </c>
      <c r="F4604" t="s">
        <v>448</v>
      </c>
      <c r="G4604" t="s">
        <v>449</v>
      </c>
      <c r="I4604" t="s">
        <v>31</v>
      </c>
      <c r="J4604" s="13">
        <v>46064</v>
      </c>
      <c r="K4604" s="13">
        <v>46082</v>
      </c>
      <c r="L4604" t="s">
        <v>1179</v>
      </c>
      <c r="M4604" t="s">
        <v>58</v>
      </c>
      <c r="N4604">
        <v>74248067</v>
      </c>
    </row>
    <row r="4605" spans="1:14" x14ac:dyDescent="0.25">
      <c r="A4605">
        <v>60458362</v>
      </c>
      <c r="B4605" t="s">
        <v>1148</v>
      </c>
      <c r="C4605" t="s">
        <v>10244</v>
      </c>
      <c r="D4605" t="s">
        <v>10245</v>
      </c>
      <c r="E4605">
        <v>5042351604</v>
      </c>
      <c r="F4605" t="s">
        <v>705</v>
      </c>
      <c r="G4605" t="s">
        <v>706</v>
      </c>
      <c r="I4605" t="s">
        <v>12</v>
      </c>
      <c r="J4605" s="13">
        <v>46064</v>
      </c>
      <c r="K4605" s="13">
        <v>46082</v>
      </c>
      <c r="L4605" t="s">
        <v>612</v>
      </c>
      <c r="M4605" t="s">
        <v>56</v>
      </c>
      <c r="N4605">
        <v>74248123</v>
      </c>
    </row>
    <row r="4606" spans="1:14" x14ac:dyDescent="0.25">
      <c r="A4606">
        <v>60459295</v>
      </c>
      <c r="B4606" t="s">
        <v>724</v>
      </c>
      <c r="C4606" t="s">
        <v>10246</v>
      </c>
      <c r="D4606" t="s">
        <v>10247</v>
      </c>
      <c r="E4606">
        <v>5732595042</v>
      </c>
      <c r="F4606" t="s">
        <v>1013</v>
      </c>
      <c r="G4606" t="s">
        <v>1014</v>
      </c>
      <c r="I4606" t="s">
        <v>43</v>
      </c>
      <c r="J4606" s="13">
        <v>46064</v>
      </c>
      <c r="K4606" s="13">
        <v>46082</v>
      </c>
      <c r="L4606" t="s">
        <v>434</v>
      </c>
      <c r="M4606" t="s">
        <v>59</v>
      </c>
      <c r="N4606">
        <v>74248588</v>
      </c>
    </row>
    <row r="4607" spans="1:14" x14ac:dyDescent="0.25">
      <c r="A4607">
        <v>60459812</v>
      </c>
      <c r="B4607" t="s">
        <v>6269</v>
      </c>
      <c r="C4607" t="s">
        <v>4568</v>
      </c>
      <c r="D4607" t="s">
        <v>10248</v>
      </c>
      <c r="E4607">
        <v>5019938337</v>
      </c>
      <c r="F4607" t="s">
        <v>628</v>
      </c>
      <c r="G4607" t="s">
        <v>629</v>
      </c>
      <c r="I4607" t="s">
        <v>24</v>
      </c>
      <c r="J4607" s="13">
        <v>46064</v>
      </c>
      <c r="K4607" s="13">
        <v>46082</v>
      </c>
      <c r="L4607" t="s">
        <v>553</v>
      </c>
      <c r="M4607" t="s">
        <v>60</v>
      </c>
      <c r="N4607">
        <v>74249027</v>
      </c>
    </row>
    <row r="4608" spans="1:14" x14ac:dyDescent="0.25">
      <c r="A4608">
        <v>60460365</v>
      </c>
      <c r="B4608" t="s">
        <v>799</v>
      </c>
      <c r="C4608" t="s">
        <v>10249</v>
      </c>
      <c r="D4608" t="s">
        <v>10250</v>
      </c>
      <c r="E4608">
        <v>7276024863</v>
      </c>
      <c r="F4608" t="s">
        <v>1345</v>
      </c>
      <c r="G4608" t="s">
        <v>799</v>
      </c>
      <c r="I4608" t="s">
        <v>47</v>
      </c>
      <c r="J4608" s="13">
        <v>46064</v>
      </c>
      <c r="K4608" s="13">
        <v>46082</v>
      </c>
      <c r="L4608" t="s">
        <v>497</v>
      </c>
      <c r="M4608" t="s">
        <v>56</v>
      </c>
      <c r="N4608">
        <v>74249445</v>
      </c>
    </row>
    <row r="4609" spans="1:14" x14ac:dyDescent="0.25">
      <c r="A4609">
        <v>60461969</v>
      </c>
      <c r="B4609" t="s">
        <v>1524</v>
      </c>
      <c r="C4609" t="s">
        <v>10251</v>
      </c>
      <c r="D4609" t="s">
        <v>10252</v>
      </c>
      <c r="E4609">
        <v>6063964807</v>
      </c>
      <c r="F4609" t="s">
        <v>10253</v>
      </c>
      <c r="G4609" t="s">
        <v>781</v>
      </c>
      <c r="I4609" t="s">
        <v>36</v>
      </c>
      <c r="J4609" s="13">
        <v>46064</v>
      </c>
      <c r="K4609" s="13">
        <v>46082</v>
      </c>
      <c r="L4609" t="s">
        <v>490</v>
      </c>
      <c r="M4609" t="s">
        <v>59</v>
      </c>
      <c r="N4609">
        <v>74251089</v>
      </c>
    </row>
    <row r="4610" spans="1:14" x14ac:dyDescent="0.25">
      <c r="A4610">
        <v>60462477</v>
      </c>
      <c r="B4610" t="s">
        <v>4210</v>
      </c>
      <c r="C4610" t="s">
        <v>10254</v>
      </c>
      <c r="D4610" t="s">
        <v>10255</v>
      </c>
      <c r="E4610">
        <v>9108134736</v>
      </c>
      <c r="F4610" t="s">
        <v>790</v>
      </c>
      <c r="G4610" t="s">
        <v>791</v>
      </c>
      <c r="I4610" t="s">
        <v>119</v>
      </c>
      <c r="J4610" s="13">
        <v>46064</v>
      </c>
      <c r="K4610" s="13">
        <v>46082</v>
      </c>
      <c r="L4610" t="s">
        <v>603</v>
      </c>
      <c r="M4610" t="s">
        <v>58</v>
      </c>
      <c r="N4610">
        <v>74251792</v>
      </c>
    </row>
    <row r="4611" spans="1:14" x14ac:dyDescent="0.25">
      <c r="A4611">
        <v>60462665</v>
      </c>
      <c r="B4611" t="s">
        <v>1988</v>
      </c>
      <c r="C4611" t="s">
        <v>8456</v>
      </c>
      <c r="D4611" t="s">
        <v>10256</v>
      </c>
      <c r="E4611">
        <v>9545527665</v>
      </c>
      <c r="F4611" t="s">
        <v>780</v>
      </c>
      <c r="G4611" t="s">
        <v>781</v>
      </c>
      <c r="I4611" t="s">
        <v>20</v>
      </c>
      <c r="J4611" s="13">
        <v>46064</v>
      </c>
      <c r="K4611" s="13">
        <v>46082</v>
      </c>
      <c r="L4611" t="s">
        <v>497</v>
      </c>
      <c r="M4611" t="s">
        <v>56</v>
      </c>
      <c r="N4611">
        <v>74252103</v>
      </c>
    </row>
    <row r="4612" spans="1:14" x14ac:dyDescent="0.25">
      <c r="A4612">
        <v>60468208</v>
      </c>
      <c r="B4612" t="s">
        <v>748</v>
      </c>
      <c r="C4612" t="s">
        <v>2488</v>
      </c>
      <c r="D4612" t="s">
        <v>10257</v>
      </c>
      <c r="E4612">
        <v>6234188387</v>
      </c>
      <c r="F4612" t="s">
        <v>416</v>
      </c>
      <c r="G4612" t="s">
        <v>417</v>
      </c>
      <c r="I4612" t="s">
        <v>26</v>
      </c>
      <c r="J4612" s="13">
        <v>46064</v>
      </c>
      <c r="K4612" s="13">
        <v>46082</v>
      </c>
      <c r="L4612" t="s">
        <v>1179</v>
      </c>
      <c r="M4612" t="s">
        <v>56</v>
      </c>
      <c r="N4612">
        <v>74255736</v>
      </c>
    </row>
    <row r="4613" spans="1:14" x14ac:dyDescent="0.25">
      <c r="A4613">
        <v>60468043</v>
      </c>
      <c r="B4613" t="s">
        <v>1038</v>
      </c>
      <c r="C4613" t="s">
        <v>10258</v>
      </c>
      <c r="D4613" t="s">
        <v>10259</v>
      </c>
      <c r="E4613">
        <v>6234188387</v>
      </c>
      <c r="F4613" t="s">
        <v>416</v>
      </c>
      <c r="G4613" t="s">
        <v>417</v>
      </c>
      <c r="I4613" t="s">
        <v>26</v>
      </c>
      <c r="J4613" s="13">
        <v>46064</v>
      </c>
      <c r="K4613" s="13">
        <v>46082</v>
      </c>
      <c r="L4613" t="s">
        <v>1179</v>
      </c>
      <c r="M4613" t="s">
        <v>56</v>
      </c>
      <c r="N4613">
        <v>74255907</v>
      </c>
    </row>
    <row r="4614" spans="1:14" x14ac:dyDescent="0.25">
      <c r="A4614">
        <v>60468562</v>
      </c>
      <c r="B4614" t="s">
        <v>1118</v>
      </c>
      <c r="C4614" t="s">
        <v>10258</v>
      </c>
      <c r="D4614" t="s">
        <v>10260</v>
      </c>
      <c r="E4614" t="s">
        <v>10261</v>
      </c>
      <c r="F4614" t="s">
        <v>416</v>
      </c>
      <c r="G4614" t="s">
        <v>417</v>
      </c>
      <c r="I4614" t="s">
        <v>26</v>
      </c>
      <c r="J4614" s="13">
        <v>46064</v>
      </c>
      <c r="K4614" s="13">
        <v>46082</v>
      </c>
      <c r="L4614" t="s">
        <v>1179</v>
      </c>
      <c r="M4614" t="s">
        <v>56</v>
      </c>
      <c r="N4614">
        <v>74256236</v>
      </c>
    </row>
    <row r="4615" spans="1:14" x14ac:dyDescent="0.25">
      <c r="A4615">
        <v>60466980</v>
      </c>
      <c r="B4615" t="s">
        <v>10262</v>
      </c>
      <c r="C4615" t="s">
        <v>10263</v>
      </c>
      <c r="D4615" t="s">
        <v>10264</v>
      </c>
      <c r="E4615">
        <v>4196771301</v>
      </c>
      <c r="F4615" t="s">
        <v>828</v>
      </c>
      <c r="G4615" t="s">
        <v>1148</v>
      </c>
      <c r="I4615" t="s">
        <v>17</v>
      </c>
      <c r="J4615" s="13">
        <v>46064</v>
      </c>
      <c r="K4615" s="13">
        <v>46082</v>
      </c>
      <c r="L4615" t="s">
        <v>418</v>
      </c>
      <c r="M4615" t="s">
        <v>58</v>
      </c>
      <c r="N4615">
        <v>74256338</v>
      </c>
    </row>
    <row r="4616" spans="1:14" x14ac:dyDescent="0.25">
      <c r="A4616">
        <v>60470023</v>
      </c>
      <c r="B4616" t="s">
        <v>6713</v>
      </c>
      <c r="C4616" t="s">
        <v>10265</v>
      </c>
      <c r="D4616" t="s">
        <v>10266</v>
      </c>
      <c r="E4616">
        <v>4253810224</v>
      </c>
      <c r="F4616" t="s">
        <v>1013</v>
      </c>
      <c r="G4616" t="s">
        <v>1014</v>
      </c>
      <c r="I4616" t="s">
        <v>43</v>
      </c>
      <c r="J4616" s="13">
        <v>46064</v>
      </c>
      <c r="K4616" s="13">
        <v>46082</v>
      </c>
      <c r="L4616" t="s">
        <v>539</v>
      </c>
      <c r="M4616" t="s">
        <v>56</v>
      </c>
      <c r="N4616">
        <v>74259390</v>
      </c>
    </row>
    <row r="4617" spans="1:14" x14ac:dyDescent="0.25">
      <c r="A4617">
        <v>60470995</v>
      </c>
      <c r="B4617" t="s">
        <v>8695</v>
      </c>
      <c r="C4617" t="s">
        <v>10267</v>
      </c>
      <c r="D4617" t="s">
        <v>10268</v>
      </c>
      <c r="E4617">
        <v>6023151109</v>
      </c>
      <c r="F4617" t="s">
        <v>448</v>
      </c>
      <c r="G4617" t="s">
        <v>449</v>
      </c>
      <c r="I4617" t="s">
        <v>31</v>
      </c>
      <c r="J4617" s="13">
        <v>46064</v>
      </c>
      <c r="K4617" s="13">
        <v>46082</v>
      </c>
      <c r="L4617" t="s">
        <v>1179</v>
      </c>
      <c r="M4617" t="s">
        <v>56</v>
      </c>
      <c r="N4617">
        <v>74259890</v>
      </c>
    </row>
    <row r="4618" spans="1:14" x14ac:dyDescent="0.25">
      <c r="A4618">
        <v>60471010</v>
      </c>
      <c r="B4618" t="s">
        <v>1038</v>
      </c>
      <c r="C4618" t="s">
        <v>10269</v>
      </c>
      <c r="D4618" t="s">
        <v>10270</v>
      </c>
      <c r="E4618">
        <v>4043999834</v>
      </c>
      <c r="F4618" t="s">
        <v>537</v>
      </c>
      <c r="G4618" t="s">
        <v>538</v>
      </c>
      <c r="I4618" t="s">
        <v>49</v>
      </c>
      <c r="J4618" s="13">
        <v>46064</v>
      </c>
      <c r="K4618" s="13">
        <v>46082</v>
      </c>
      <c r="L4618" t="s">
        <v>621</v>
      </c>
      <c r="M4618" t="s">
        <v>56</v>
      </c>
      <c r="N4618">
        <v>74259908</v>
      </c>
    </row>
    <row r="4619" spans="1:14" x14ac:dyDescent="0.25">
      <c r="A4619">
        <v>60471344</v>
      </c>
      <c r="B4619" t="s">
        <v>2852</v>
      </c>
      <c r="C4619" t="s">
        <v>735</v>
      </c>
      <c r="D4619" t="s">
        <v>10271</v>
      </c>
      <c r="E4619">
        <v>8599792821</v>
      </c>
      <c r="F4619" t="s">
        <v>790</v>
      </c>
      <c r="G4619" t="s">
        <v>791</v>
      </c>
      <c r="I4619" t="s">
        <v>119</v>
      </c>
      <c r="J4619" s="13">
        <v>46064</v>
      </c>
      <c r="K4619" s="13">
        <v>46082</v>
      </c>
      <c r="L4619" t="s">
        <v>490</v>
      </c>
      <c r="M4619" t="s">
        <v>56</v>
      </c>
      <c r="N4619">
        <v>74260049</v>
      </c>
    </row>
    <row r="4620" spans="1:14" x14ac:dyDescent="0.25">
      <c r="A4620">
        <v>60471937</v>
      </c>
      <c r="B4620" t="s">
        <v>799</v>
      </c>
      <c r="C4620" t="s">
        <v>10272</v>
      </c>
      <c r="D4620" t="s">
        <v>10273</v>
      </c>
      <c r="E4620">
        <v>3045736904</v>
      </c>
      <c r="F4620" t="s">
        <v>628</v>
      </c>
      <c r="G4620" t="s">
        <v>629</v>
      </c>
      <c r="I4620" t="s">
        <v>24</v>
      </c>
      <c r="J4620" s="13">
        <v>46064</v>
      </c>
      <c r="K4620" s="13">
        <v>46082</v>
      </c>
      <c r="L4620" t="s">
        <v>1188</v>
      </c>
      <c r="M4620" t="s">
        <v>58</v>
      </c>
      <c r="N4620">
        <v>74260572</v>
      </c>
    </row>
    <row r="4621" spans="1:14" x14ac:dyDescent="0.25">
      <c r="A4621">
        <v>60472504</v>
      </c>
      <c r="B4621" t="s">
        <v>10274</v>
      </c>
      <c r="C4621" t="s">
        <v>10275</v>
      </c>
      <c r="D4621" t="s">
        <v>10276</v>
      </c>
      <c r="E4621">
        <v>6063964807</v>
      </c>
      <c r="F4621" t="s">
        <v>10253</v>
      </c>
      <c r="G4621" t="s">
        <v>781</v>
      </c>
      <c r="I4621" t="s">
        <v>36</v>
      </c>
      <c r="J4621" s="13">
        <v>46064</v>
      </c>
      <c r="K4621" s="13">
        <v>46082</v>
      </c>
      <c r="L4621" t="s">
        <v>490</v>
      </c>
      <c r="M4621" t="s">
        <v>59</v>
      </c>
      <c r="N4621">
        <v>74260751</v>
      </c>
    </row>
    <row r="4622" spans="1:14" x14ac:dyDescent="0.25">
      <c r="A4622">
        <v>60472627</v>
      </c>
      <c r="B4622" t="s">
        <v>10277</v>
      </c>
      <c r="C4622" t="s">
        <v>10278</v>
      </c>
      <c r="D4622" t="s">
        <v>10279</v>
      </c>
      <c r="E4622">
        <v>8017215210</v>
      </c>
      <c r="F4622" t="s">
        <v>1013</v>
      </c>
      <c r="G4622" t="s">
        <v>1014</v>
      </c>
      <c r="I4622" t="s">
        <v>43</v>
      </c>
      <c r="J4622" s="13">
        <v>46064</v>
      </c>
      <c r="K4622" s="13">
        <v>46082</v>
      </c>
      <c r="L4622" t="s">
        <v>1179</v>
      </c>
      <c r="M4622" t="s">
        <v>55</v>
      </c>
      <c r="N4622">
        <v>74260795</v>
      </c>
    </row>
    <row r="4623" spans="1:14" x14ac:dyDescent="0.25">
      <c r="A4623">
        <v>60473797</v>
      </c>
      <c r="B4623" t="s">
        <v>10280</v>
      </c>
      <c r="C4623" t="s">
        <v>10281</v>
      </c>
      <c r="D4623" t="s">
        <v>10282</v>
      </c>
      <c r="E4623">
        <v>6027947119</v>
      </c>
      <c r="F4623" t="s">
        <v>815</v>
      </c>
      <c r="G4623" t="s">
        <v>816</v>
      </c>
      <c r="I4623" t="s">
        <v>23</v>
      </c>
      <c r="J4623" s="13">
        <v>46064</v>
      </c>
      <c r="K4623" s="13">
        <v>46064</v>
      </c>
      <c r="L4623" t="s">
        <v>1179</v>
      </c>
      <c r="M4623" t="s">
        <v>54</v>
      </c>
      <c r="N4623">
        <v>74261395</v>
      </c>
    </row>
    <row r="4624" spans="1:14" x14ac:dyDescent="0.25">
      <c r="A4624">
        <v>60473831</v>
      </c>
      <c r="B4624" t="s">
        <v>10283</v>
      </c>
      <c r="C4624" t="s">
        <v>10284</v>
      </c>
      <c r="D4624" t="s">
        <v>10285</v>
      </c>
      <c r="E4624">
        <v>9284056563</v>
      </c>
      <c r="F4624" t="s">
        <v>780</v>
      </c>
      <c r="G4624" t="s">
        <v>781</v>
      </c>
      <c r="I4624" t="s">
        <v>20</v>
      </c>
      <c r="J4624" s="13">
        <v>46064</v>
      </c>
      <c r="K4624" s="13">
        <v>46082</v>
      </c>
      <c r="L4624" t="s">
        <v>1179</v>
      </c>
      <c r="M4624" t="s">
        <v>54</v>
      </c>
      <c r="N4624">
        <v>74261408</v>
      </c>
    </row>
    <row r="4625" spans="1:14" x14ac:dyDescent="0.25">
      <c r="A4625">
        <v>60474606</v>
      </c>
      <c r="B4625" t="s">
        <v>10286</v>
      </c>
      <c r="C4625" t="s">
        <v>10287</v>
      </c>
      <c r="D4625" t="s">
        <v>10288</v>
      </c>
      <c r="E4625">
        <v>8643613955</v>
      </c>
      <c r="F4625" t="s">
        <v>423</v>
      </c>
      <c r="G4625" t="s">
        <v>424</v>
      </c>
      <c r="I4625" t="s">
        <v>46</v>
      </c>
      <c r="J4625" s="13">
        <v>46064</v>
      </c>
      <c r="K4625" s="13">
        <v>46082</v>
      </c>
      <c r="L4625" t="s">
        <v>533</v>
      </c>
      <c r="M4625" t="s">
        <v>56</v>
      </c>
      <c r="N4625">
        <v>74261466</v>
      </c>
    </row>
    <row r="4626" spans="1:14" x14ac:dyDescent="0.25">
      <c r="A4626">
        <v>60475858</v>
      </c>
      <c r="B4626" t="s">
        <v>1882</v>
      </c>
      <c r="C4626" t="s">
        <v>10289</v>
      </c>
      <c r="D4626" t="s">
        <v>10290</v>
      </c>
      <c r="E4626">
        <v>5133450567</v>
      </c>
      <c r="F4626" t="s">
        <v>688</v>
      </c>
      <c r="G4626" t="s">
        <v>10291</v>
      </c>
      <c r="I4626" t="s">
        <v>48</v>
      </c>
      <c r="J4626" s="13">
        <v>46064</v>
      </c>
      <c r="K4626" s="13">
        <v>46082</v>
      </c>
      <c r="L4626" t="s">
        <v>490</v>
      </c>
      <c r="M4626" t="s">
        <v>58</v>
      </c>
      <c r="N4626">
        <v>74262370</v>
      </c>
    </row>
    <row r="4627" spans="1:14" x14ac:dyDescent="0.25">
      <c r="A4627">
        <v>60475927</v>
      </c>
      <c r="B4627" t="s">
        <v>431</v>
      </c>
      <c r="C4627" t="s">
        <v>10292</v>
      </c>
      <c r="D4627" t="s">
        <v>10293</v>
      </c>
      <c r="E4627">
        <v>3372566437</v>
      </c>
      <c r="F4627" t="s">
        <v>828</v>
      </c>
      <c r="G4627" t="s">
        <v>1148</v>
      </c>
      <c r="I4627" t="s">
        <v>17</v>
      </c>
      <c r="J4627" s="13">
        <v>46064</v>
      </c>
      <c r="K4627" s="13">
        <v>46143</v>
      </c>
      <c r="L4627" t="s">
        <v>612</v>
      </c>
      <c r="M4627" t="s">
        <v>56</v>
      </c>
      <c r="N4627">
        <v>74262428</v>
      </c>
    </row>
    <row r="4628" spans="1:14" x14ac:dyDescent="0.25">
      <c r="A4628">
        <v>60476230</v>
      </c>
      <c r="B4628" t="s">
        <v>10294</v>
      </c>
      <c r="C4628" t="s">
        <v>1126</v>
      </c>
      <c r="D4628" t="s">
        <v>10295</v>
      </c>
      <c r="E4628">
        <v>3145741282</v>
      </c>
      <c r="F4628" t="s">
        <v>1345</v>
      </c>
      <c r="G4628" t="s">
        <v>799</v>
      </c>
      <c r="I4628" t="s">
        <v>47</v>
      </c>
      <c r="J4628" s="13">
        <v>46064</v>
      </c>
      <c r="K4628" s="13">
        <v>46082</v>
      </c>
      <c r="L4628" t="s">
        <v>1179</v>
      </c>
      <c r="M4628" t="s">
        <v>54</v>
      </c>
      <c r="N4628">
        <v>74262658</v>
      </c>
    </row>
    <row r="4629" spans="1:14" x14ac:dyDescent="0.25">
      <c r="A4629">
        <v>60476302</v>
      </c>
      <c r="B4629" t="s">
        <v>10296</v>
      </c>
      <c r="C4629" t="s">
        <v>10297</v>
      </c>
      <c r="D4629" t="s">
        <v>10298</v>
      </c>
      <c r="E4629" t="s">
        <v>10299</v>
      </c>
      <c r="F4629" t="s">
        <v>790</v>
      </c>
      <c r="G4629" t="s">
        <v>791</v>
      </c>
      <c r="I4629" t="s">
        <v>119</v>
      </c>
      <c r="J4629" s="13">
        <v>46064</v>
      </c>
      <c r="K4629" s="13">
        <v>46082</v>
      </c>
      <c r="L4629" t="s">
        <v>470</v>
      </c>
      <c r="M4629" t="s">
        <v>56</v>
      </c>
      <c r="N4629">
        <v>74262697</v>
      </c>
    </row>
    <row r="4630" spans="1:14" x14ac:dyDescent="0.25">
      <c r="A4630">
        <v>60481871</v>
      </c>
      <c r="B4630" t="s">
        <v>7409</v>
      </c>
      <c r="C4630" t="s">
        <v>10300</v>
      </c>
      <c r="D4630" t="s">
        <v>10301</v>
      </c>
      <c r="E4630">
        <v>6065946445</v>
      </c>
      <c r="F4630" t="s">
        <v>474</v>
      </c>
      <c r="G4630" t="s">
        <v>475</v>
      </c>
      <c r="I4630" t="s">
        <v>132</v>
      </c>
      <c r="J4630" s="13">
        <v>46065</v>
      </c>
      <c r="K4630" s="13">
        <v>46082</v>
      </c>
      <c r="L4630" t="s">
        <v>490</v>
      </c>
      <c r="M4630" t="s">
        <v>58</v>
      </c>
      <c r="N4630">
        <v>74282059</v>
      </c>
    </row>
    <row r="4631" spans="1:14" x14ac:dyDescent="0.25">
      <c r="A4631">
        <v>60482143</v>
      </c>
      <c r="B4631" t="s">
        <v>10302</v>
      </c>
      <c r="C4631" t="s">
        <v>10303</v>
      </c>
      <c r="D4631" t="s">
        <v>10304</v>
      </c>
      <c r="E4631">
        <v>2058352021</v>
      </c>
      <c r="F4631" t="s">
        <v>423</v>
      </c>
      <c r="G4631" t="s">
        <v>424</v>
      </c>
      <c r="I4631" t="s">
        <v>46</v>
      </c>
      <c r="J4631" s="13">
        <v>46065</v>
      </c>
      <c r="K4631" s="13">
        <v>46082</v>
      </c>
      <c r="L4631" t="s">
        <v>450</v>
      </c>
      <c r="M4631" t="s">
        <v>59</v>
      </c>
      <c r="N4631">
        <v>74284405</v>
      </c>
    </row>
    <row r="4632" spans="1:14" x14ac:dyDescent="0.25">
      <c r="A4632">
        <v>60482976</v>
      </c>
      <c r="B4632" t="s">
        <v>517</v>
      </c>
      <c r="C4632" t="s">
        <v>10305</v>
      </c>
      <c r="D4632" t="s">
        <v>10306</v>
      </c>
      <c r="E4632">
        <v>7204862003</v>
      </c>
      <c r="F4632" t="s">
        <v>10253</v>
      </c>
      <c r="G4632" t="s">
        <v>781</v>
      </c>
      <c r="I4632" t="s">
        <v>36</v>
      </c>
      <c r="J4632" s="13">
        <v>46065</v>
      </c>
      <c r="K4632" s="13">
        <v>46082</v>
      </c>
      <c r="L4632" t="s">
        <v>539</v>
      </c>
      <c r="M4632" t="s">
        <v>58</v>
      </c>
      <c r="N4632">
        <v>74289681</v>
      </c>
    </row>
    <row r="4633" spans="1:14" x14ac:dyDescent="0.25">
      <c r="A4633">
        <v>60483343</v>
      </c>
      <c r="B4633" t="s">
        <v>1316</v>
      </c>
      <c r="C4633" t="s">
        <v>10307</v>
      </c>
      <c r="D4633" t="s">
        <v>10308</v>
      </c>
      <c r="F4633" t="s">
        <v>928</v>
      </c>
      <c r="G4633" t="s">
        <v>929</v>
      </c>
      <c r="I4633" t="s">
        <v>30</v>
      </c>
      <c r="J4633" s="13">
        <v>46065</v>
      </c>
      <c r="K4633" s="13">
        <v>46082</v>
      </c>
      <c r="L4633" t="s">
        <v>444</v>
      </c>
      <c r="M4633" t="s">
        <v>59</v>
      </c>
      <c r="N4633">
        <v>74291429</v>
      </c>
    </row>
    <row r="4634" spans="1:14" x14ac:dyDescent="0.25">
      <c r="A4634">
        <v>60484067</v>
      </c>
      <c r="B4634" t="s">
        <v>748</v>
      </c>
      <c r="C4634" t="s">
        <v>10309</v>
      </c>
      <c r="D4634" t="s">
        <v>10310</v>
      </c>
      <c r="E4634">
        <v>9044128082</v>
      </c>
      <c r="F4634" t="s">
        <v>828</v>
      </c>
      <c r="G4634" t="s">
        <v>1148</v>
      </c>
      <c r="I4634" t="s">
        <v>17</v>
      </c>
      <c r="J4634" s="13">
        <v>46065</v>
      </c>
      <c r="K4634" s="13">
        <v>46082</v>
      </c>
      <c r="L4634" t="s">
        <v>497</v>
      </c>
      <c r="M4634" t="s">
        <v>56</v>
      </c>
      <c r="N4634">
        <v>74291994</v>
      </c>
    </row>
    <row r="4635" spans="1:14" x14ac:dyDescent="0.25">
      <c r="A4635">
        <v>60484263</v>
      </c>
      <c r="B4635" t="s">
        <v>799</v>
      </c>
      <c r="C4635" t="s">
        <v>10311</v>
      </c>
      <c r="D4635" t="s">
        <v>10312</v>
      </c>
      <c r="E4635">
        <v>8139923251</v>
      </c>
      <c r="F4635" t="s">
        <v>780</v>
      </c>
      <c r="G4635" t="s">
        <v>781</v>
      </c>
      <c r="I4635" t="s">
        <v>20</v>
      </c>
      <c r="J4635" s="13">
        <v>46065</v>
      </c>
      <c r="K4635" s="13">
        <v>46082</v>
      </c>
      <c r="L4635" t="s">
        <v>497</v>
      </c>
      <c r="M4635" t="s">
        <v>56</v>
      </c>
      <c r="N4635">
        <v>74292148</v>
      </c>
    </row>
    <row r="4636" spans="1:14" x14ac:dyDescent="0.25">
      <c r="A4636">
        <v>60484336</v>
      </c>
      <c r="B4636" t="s">
        <v>10313</v>
      </c>
      <c r="C4636" t="s">
        <v>10314</v>
      </c>
      <c r="D4636" t="s">
        <v>10315</v>
      </c>
      <c r="E4636">
        <v>6026683842</v>
      </c>
      <c r="F4636" t="s">
        <v>649</v>
      </c>
      <c r="G4636" t="s">
        <v>650</v>
      </c>
      <c r="I4636" t="s">
        <v>28</v>
      </c>
      <c r="J4636" s="13">
        <v>46065</v>
      </c>
      <c r="K4636" s="13">
        <v>46082</v>
      </c>
      <c r="L4636" t="s">
        <v>1179</v>
      </c>
      <c r="M4636" t="s">
        <v>61</v>
      </c>
      <c r="N4636">
        <v>74292210</v>
      </c>
    </row>
    <row r="4637" spans="1:14" x14ac:dyDescent="0.25">
      <c r="A4637">
        <v>60484351</v>
      </c>
      <c r="B4637" t="s">
        <v>10316</v>
      </c>
      <c r="C4637" t="s">
        <v>10317</v>
      </c>
      <c r="D4637" t="s">
        <v>10318</v>
      </c>
      <c r="E4637">
        <v>4796510831</v>
      </c>
      <c r="F4637" t="s">
        <v>1067</v>
      </c>
      <c r="G4637" t="s">
        <v>1068</v>
      </c>
      <c r="I4637" t="s">
        <v>35</v>
      </c>
      <c r="J4637" s="13">
        <v>46065</v>
      </c>
      <c r="K4637" s="13">
        <v>46082</v>
      </c>
      <c r="L4637" t="s">
        <v>553</v>
      </c>
      <c r="M4637" t="s">
        <v>58</v>
      </c>
      <c r="N4637">
        <v>74292219</v>
      </c>
    </row>
    <row r="4638" spans="1:14" x14ac:dyDescent="0.25">
      <c r="A4638">
        <v>60484432</v>
      </c>
      <c r="B4638" t="s">
        <v>8520</v>
      </c>
      <c r="C4638" t="s">
        <v>1587</v>
      </c>
      <c r="D4638" t="s">
        <v>10319</v>
      </c>
      <c r="E4638">
        <v>7432321915</v>
      </c>
      <c r="F4638" t="s">
        <v>474</v>
      </c>
      <c r="G4638" t="s">
        <v>475</v>
      </c>
      <c r="I4638" t="s">
        <v>132</v>
      </c>
      <c r="J4638" s="13">
        <v>46065</v>
      </c>
      <c r="K4638" s="13">
        <v>46082</v>
      </c>
      <c r="L4638" t="s">
        <v>603</v>
      </c>
      <c r="M4638" t="s">
        <v>59</v>
      </c>
      <c r="N4638">
        <v>74292261</v>
      </c>
    </row>
    <row r="4639" spans="1:14" x14ac:dyDescent="0.25">
      <c r="A4639">
        <v>60484434</v>
      </c>
      <c r="B4639" t="s">
        <v>1289</v>
      </c>
      <c r="C4639" t="s">
        <v>1563</v>
      </c>
      <c r="D4639" t="s">
        <v>10320</v>
      </c>
      <c r="E4639">
        <v>4042453412</v>
      </c>
      <c r="F4639" t="s">
        <v>569</v>
      </c>
      <c r="G4639" t="s">
        <v>570</v>
      </c>
      <c r="I4639" t="s">
        <v>34</v>
      </c>
      <c r="J4639" s="13">
        <v>46065</v>
      </c>
      <c r="K4639" s="13">
        <v>46082</v>
      </c>
      <c r="L4639" t="s">
        <v>621</v>
      </c>
      <c r="M4639" t="s">
        <v>58</v>
      </c>
      <c r="N4639">
        <v>74292262</v>
      </c>
    </row>
    <row r="4640" spans="1:14" x14ac:dyDescent="0.25">
      <c r="A4640">
        <v>61366704</v>
      </c>
      <c r="B4640" t="s">
        <v>1872</v>
      </c>
      <c r="C4640" t="s">
        <v>6014</v>
      </c>
      <c r="D4640" t="s">
        <v>10321</v>
      </c>
      <c r="E4640">
        <v>7275262219</v>
      </c>
      <c r="F4640" t="s">
        <v>815</v>
      </c>
      <c r="G4640" t="s">
        <v>816</v>
      </c>
      <c r="I4640" t="s">
        <v>23</v>
      </c>
      <c r="J4640" s="13">
        <v>46093</v>
      </c>
      <c r="K4640" s="13">
        <v>46113</v>
      </c>
      <c r="L4640" t="s">
        <v>497</v>
      </c>
      <c r="M4640" t="s">
        <v>54</v>
      </c>
      <c r="N4640">
        <v>74294925</v>
      </c>
    </row>
    <row r="4641" spans="1:14" x14ac:dyDescent="0.25">
      <c r="A4641">
        <v>60486422</v>
      </c>
      <c r="B4641" t="s">
        <v>10322</v>
      </c>
      <c r="C4641" t="s">
        <v>10323</v>
      </c>
      <c r="D4641" t="s">
        <v>10324</v>
      </c>
      <c r="E4641">
        <v>8322284033</v>
      </c>
      <c r="F4641" t="s">
        <v>1013</v>
      </c>
      <c r="G4641" t="s">
        <v>1014</v>
      </c>
      <c r="I4641" t="s">
        <v>43</v>
      </c>
      <c r="J4641" s="13">
        <v>46065</v>
      </c>
      <c r="K4641" s="13">
        <v>46082</v>
      </c>
      <c r="L4641" t="s">
        <v>444</v>
      </c>
      <c r="M4641" t="s">
        <v>56</v>
      </c>
      <c r="N4641">
        <v>74296631</v>
      </c>
    </row>
    <row r="4642" spans="1:14" x14ac:dyDescent="0.25">
      <c r="A4642">
        <v>60488332</v>
      </c>
      <c r="B4642" t="s">
        <v>8704</v>
      </c>
      <c r="C4642" t="s">
        <v>8705</v>
      </c>
      <c r="D4642" t="s">
        <v>8706</v>
      </c>
      <c r="E4642">
        <v>8434326974</v>
      </c>
      <c r="F4642" t="s">
        <v>628</v>
      </c>
      <c r="G4642" t="s">
        <v>629</v>
      </c>
      <c r="I4642" t="s">
        <v>24</v>
      </c>
      <c r="J4642" s="13">
        <v>46065</v>
      </c>
      <c r="K4642" s="13">
        <v>46082</v>
      </c>
      <c r="L4642" t="s">
        <v>497</v>
      </c>
      <c r="M4642" t="s">
        <v>59</v>
      </c>
      <c r="N4642">
        <v>74302661</v>
      </c>
    </row>
    <row r="4643" spans="1:14" x14ac:dyDescent="0.25">
      <c r="A4643">
        <v>60492397</v>
      </c>
      <c r="B4643" t="s">
        <v>3174</v>
      </c>
      <c r="C4643" t="s">
        <v>5722</v>
      </c>
      <c r="D4643" t="s">
        <v>10325</v>
      </c>
      <c r="E4643">
        <v>7739669914</v>
      </c>
      <c r="F4643" t="s">
        <v>1147</v>
      </c>
      <c r="G4643" t="s">
        <v>1148</v>
      </c>
      <c r="I4643" t="s">
        <v>41</v>
      </c>
      <c r="J4643" s="13">
        <v>46065</v>
      </c>
      <c r="K4643" s="13">
        <v>46082</v>
      </c>
      <c r="L4643" t="s">
        <v>470</v>
      </c>
      <c r="M4643" t="s">
        <v>62</v>
      </c>
      <c r="N4643">
        <v>74304767</v>
      </c>
    </row>
    <row r="4644" spans="1:14" x14ac:dyDescent="0.25">
      <c r="A4644">
        <v>60492442</v>
      </c>
      <c r="B4644" t="s">
        <v>1004</v>
      </c>
      <c r="C4644" t="s">
        <v>770</v>
      </c>
      <c r="D4644" t="s">
        <v>10326</v>
      </c>
      <c r="E4644">
        <v>4806285062</v>
      </c>
      <c r="F4644" t="s">
        <v>1345</v>
      </c>
      <c r="G4644" t="s">
        <v>799</v>
      </c>
      <c r="I4644" t="s">
        <v>47</v>
      </c>
      <c r="J4644" s="13">
        <v>46065</v>
      </c>
      <c r="K4644" s="13">
        <v>46082</v>
      </c>
      <c r="L4644" t="s">
        <v>1179</v>
      </c>
      <c r="M4644" t="s">
        <v>54</v>
      </c>
      <c r="N4644">
        <v>74308827</v>
      </c>
    </row>
    <row r="4645" spans="1:14" x14ac:dyDescent="0.25">
      <c r="A4645">
        <v>60492479</v>
      </c>
      <c r="B4645" t="s">
        <v>1213</v>
      </c>
      <c r="C4645" t="s">
        <v>10327</v>
      </c>
      <c r="D4645" t="s">
        <v>10328</v>
      </c>
      <c r="E4645">
        <v>5202647378</v>
      </c>
      <c r="F4645" t="s">
        <v>780</v>
      </c>
      <c r="G4645" t="s">
        <v>781</v>
      </c>
      <c r="I4645" t="s">
        <v>20</v>
      </c>
      <c r="J4645" s="13">
        <v>46065</v>
      </c>
      <c r="K4645" s="13">
        <v>46082</v>
      </c>
      <c r="L4645" t="s">
        <v>1179</v>
      </c>
      <c r="M4645" t="s">
        <v>54</v>
      </c>
      <c r="N4645">
        <v>74308854</v>
      </c>
    </row>
    <row r="4646" spans="1:14" x14ac:dyDescent="0.25">
      <c r="A4646">
        <v>60492798</v>
      </c>
      <c r="B4646" t="s">
        <v>3193</v>
      </c>
      <c r="C4646" t="s">
        <v>649</v>
      </c>
      <c r="D4646" t="s">
        <v>10329</v>
      </c>
      <c r="E4646">
        <v>8162035695</v>
      </c>
      <c r="F4646" t="s">
        <v>828</v>
      </c>
      <c r="G4646" t="s">
        <v>1148</v>
      </c>
      <c r="I4646" t="s">
        <v>17</v>
      </c>
      <c r="J4646" s="13">
        <v>46065</v>
      </c>
      <c r="K4646" s="13">
        <v>46082</v>
      </c>
      <c r="L4646" t="s">
        <v>434</v>
      </c>
      <c r="M4646" t="s">
        <v>56</v>
      </c>
      <c r="N4646">
        <v>74310010</v>
      </c>
    </row>
    <row r="4647" spans="1:14" x14ac:dyDescent="0.25">
      <c r="A4647">
        <v>60493347</v>
      </c>
      <c r="B4647" t="s">
        <v>431</v>
      </c>
      <c r="C4647" t="s">
        <v>2647</v>
      </c>
      <c r="D4647" t="s">
        <v>10330</v>
      </c>
      <c r="E4647">
        <v>7272907965</v>
      </c>
      <c r="F4647" t="s">
        <v>416</v>
      </c>
      <c r="G4647" t="s">
        <v>417</v>
      </c>
      <c r="I4647" t="s">
        <v>26</v>
      </c>
      <c r="J4647" s="13">
        <v>46065</v>
      </c>
      <c r="K4647" s="13">
        <v>46082</v>
      </c>
      <c r="L4647" t="s">
        <v>497</v>
      </c>
      <c r="M4647" t="s">
        <v>59</v>
      </c>
      <c r="N4647">
        <v>74310236</v>
      </c>
    </row>
    <row r="4648" spans="1:14" x14ac:dyDescent="0.25">
      <c r="A4648">
        <v>60494453</v>
      </c>
      <c r="B4648" t="s">
        <v>7281</v>
      </c>
      <c r="C4648" t="s">
        <v>957</v>
      </c>
      <c r="D4648" t="s">
        <v>10331</v>
      </c>
      <c r="E4648">
        <v>6022955490</v>
      </c>
      <c r="F4648" t="s">
        <v>807</v>
      </c>
      <c r="G4648" t="s">
        <v>808</v>
      </c>
      <c r="I4648" t="s">
        <v>33</v>
      </c>
      <c r="J4648" s="13">
        <v>46065</v>
      </c>
      <c r="K4648" s="13">
        <v>46082</v>
      </c>
      <c r="L4648" t="s">
        <v>1179</v>
      </c>
      <c r="M4648" t="s">
        <v>54</v>
      </c>
      <c r="N4648">
        <v>74315024</v>
      </c>
    </row>
    <row r="4649" spans="1:14" x14ac:dyDescent="0.25">
      <c r="A4649">
        <v>60494558</v>
      </c>
      <c r="B4649" t="s">
        <v>1941</v>
      </c>
      <c r="C4649" t="s">
        <v>10332</v>
      </c>
      <c r="D4649" t="s">
        <v>10333</v>
      </c>
      <c r="E4649">
        <v>8033161624</v>
      </c>
      <c r="F4649" t="s">
        <v>551</v>
      </c>
      <c r="G4649" t="s">
        <v>552</v>
      </c>
      <c r="I4649" t="s">
        <v>42</v>
      </c>
      <c r="J4649" s="13">
        <v>46065</v>
      </c>
      <c r="K4649" s="13">
        <v>46082</v>
      </c>
      <c r="L4649" t="s">
        <v>533</v>
      </c>
      <c r="M4649" t="s">
        <v>58</v>
      </c>
      <c r="N4649">
        <v>74315892</v>
      </c>
    </row>
    <row r="4650" spans="1:14" x14ac:dyDescent="0.25">
      <c r="A4650">
        <v>60494643</v>
      </c>
      <c r="B4650" t="s">
        <v>1522</v>
      </c>
      <c r="C4650" t="s">
        <v>3703</v>
      </c>
      <c r="D4650" t="s">
        <v>10334</v>
      </c>
      <c r="E4650">
        <v>8155410276</v>
      </c>
      <c r="F4650" t="s">
        <v>705</v>
      </c>
      <c r="G4650" t="s">
        <v>706</v>
      </c>
      <c r="I4650" t="s">
        <v>12</v>
      </c>
      <c r="J4650" s="13">
        <v>46065</v>
      </c>
      <c r="K4650" s="13">
        <v>46082</v>
      </c>
      <c r="L4650" t="s">
        <v>470</v>
      </c>
      <c r="M4650" t="s">
        <v>58</v>
      </c>
      <c r="N4650">
        <v>74316339</v>
      </c>
    </row>
    <row r="4651" spans="1:14" x14ac:dyDescent="0.25">
      <c r="A4651">
        <v>60494789</v>
      </c>
      <c r="B4651" t="s">
        <v>1936</v>
      </c>
      <c r="C4651" t="s">
        <v>10335</v>
      </c>
      <c r="D4651" t="s">
        <v>10336</v>
      </c>
      <c r="E4651">
        <v>3126319128</v>
      </c>
      <c r="F4651" t="s">
        <v>649</v>
      </c>
      <c r="G4651" t="s">
        <v>650</v>
      </c>
      <c r="I4651" t="s">
        <v>28</v>
      </c>
      <c r="J4651" s="13">
        <v>46065</v>
      </c>
      <c r="K4651" s="13">
        <v>46082</v>
      </c>
      <c r="L4651" t="s">
        <v>470</v>
      </c>
      <c r="M4651" t="s">
        <v>61</v>
      </c>
      <c r="N4651">
        <v>74317581</v>
      </c>
    </row>
    <row r="4652" spans="1:14" x14ac:dyDescent="0.25">
      <c r="A4652">
        <v>60495264</v>
      </c>
      <c r="B4652" t="s">
        <v>1997</v>
      </c>
      <c r="C4652" t="s">
        <v>796</v>
      </c>
      <c r="D4652" t="s">
        <v>10337</v>
      </c>
      <c r="E4652">
        <v>4806207565</v>
      </c>
      <c r="F4652" t="s">
        <v>574</v>
      </c>
      <c r="G4652" t="s">
        <v>575</v>
      </c>
      <c r="I4652" t="s">
        <v>14</v>
      </c>
      <c r="J4652" s="13">
        <v>46065</v>
      </c>
      <c r="K4652" s="13">
        <v>46082</v>
      </c>
      <c r="L4652" t="s">
        <v>1179</v>
      </c>
      <c r="M4652" t="s">
        <v>55</v>
      </c>
      <c r="N4652">
        <v>74318819</v>
      </c>
    </row>
    <row r="4653" spans="1:14" x14ac:dyDescent="0.25">
      <c r="A4653">
        <v>60496358</v>
      </c>
      <c r="B4653" t="s">
        <v>757</v>
      </c>
      <c r="C4653" t="s">
        <v>10338</v>
      </c>
      <c r="D4653" t="s">
        <v>10339</v>
      </c>
      <c r="E4653">
        <v>7739215434</v>
      </c>
      <c r="F4653" t="s">
        <v>790</v>
      </c>
      <c r="G4653" t="s">
        <v>791</v>
      </c>
      <c r="I4653" t="s">
        <v>119</v>
      </c>
      <c r="J4653" s="13">
        <v>46065</v>
      </c>
      <c r="K4653" s="13">
        <v>46082</v>
      </c>
      <c r="L4653" t="s">
        <v>470</v>
      </c>
      <c r="M4653" t="s">
        <v>56</v>
      </c>
      <c r="N4653">
        <v>74322929</v>
      </c>
    </row>
    <row r="4654" spans="1:14" x14ac:dyDescent="0.25">
      <c r="A4654">
        <v>60497780</v>
      </c>
      <c r="B4654" t="s">
        <v>4025</v>
      </c>
      <c r="C4654" t="s">
        <v>1979</v>
      </c>
      <c r="D4654" t="s">
        <v>10340</v>
      </c>
      <c r="E4654">
        <v>5015963331</v>
      </c>
      <c r="F4654" t="s">
        <v>705</v>
      </c>
      <c r="G4654" t="s">
        <v>706</v>
      </c>
      <c r="I4654" t="s">
        <v>12</v>
      </c>
      <c r="J4654" s="13">
        <v>46065</v>
      </c>
      <c r="K4654" s="13">
        <v>46082</v>
      </c>
      <c r="L4654" t="s">
        <v>553</v>
      </c>
      <c r="M4654" t="s">
        <v>56</v>
      </c>
      <c r="N4654">
        <v>74330152</v>
      </c>
    </row>
    <row r="4655" spans="1:14" x14ac:dyDescent="0.25">
      <c r="A4655">
        <v>60497838</v>
      </c>
      <c r="B4655" t="s">
        <v>3193</v>
      </c>
      <c r="C4655" t="s">
        <v>10341</v>
      </c>
      <c r="D4655" t="s">
        <v>10342</v>
      </c>
      <c r="E4655">
        <v>6024134834</v>
      </c>
      <c r="F4655" t="s">
        <v>1345</v>
      </c>
      <c r="G4655" t="s">
        <v>799</v>
      </c>
      <c r="I4655" t="s">
        <v>47</v>
      </c>
      <c r="J4655" s="13">
        <v>46065</v>
      </c>
      <c r="K4655" s="13">
        <v>46082</v>
      </c>
      <c r="L4655" t="s">
        <v>1179</v>
      </c>
      <c r="M4655" t="s">
        <v>54</v>
      </c>
      <c r="N4655">
        <v>74330191</v>
      </c>
    </row>
    <row r="4656" spans="1:14" x14ac:dyDescent="0.25">
      <c r="A4656">
        <v>60498123</v>
      </c>
      <c r="B4656" t="s">
        <v>8789</v>
      </c>
      <c r="C4656" t="s">
        <v>5193</v>
      </c>
      <c r="D4656" t="s">
        <v>10343</v>
      </c>
      <c r="E4656">
        <v>7727087931</v>
      </c>
      <c r="F4656" t="s">
        <v>770</v>
      </c>
      <c r="G4656" t="s">
        <v>771</v>
      </c>
      <c r="I4656" t="s">
        <v>25</v>
      </c>
      <c r="J4656" s="13">
        <v>46065</v>
      </c>
      <c r="K4656" s="13">
        <v>46082</v>
      </c>
      <c r="L4656" t="s">
        <v>497</v>
      </c>
      <c r="M4656" t="s">
        <v>58</v>
      </c>
      <c r="N4656">
        <v>74330407</v>
      </c>
    </row>
    <row r="4657" spans="1:14" x14ac:dyDescent="0.25">
      <c r="A4657">
        <v>60498297</v>
      </c>
      <c r="B4657" t="s">
        <v>2392</v>
      </c>
      <c r="C4657" t="s">
        <v>868</v>
      </c>
      <c r="D4657" t="s">
        <v>10344</v>
      </c>
      <c r="E4657">
        <v>3045317593</v>
      </c>
      <c r="F4657" t="s">
        <v>1067</v>
      </c>
      <c r="G4657" t="s">
        <v>1068</v>
      </c>
      <c r="I4657" t="s">
        <v>35</v>
      </c>
      <c r="J4657" s="13">
        <v>46065</v>
      </c>
      <c r="K4657" s="13">
        <v>46082</v>
      </c>
      <c r="L4657" t="s">
        <v>1188</v>
      </c>
      <c r="M4657" t="s">
        <v>56</v>
      </c>
      <c r="N4657">
        <v>74332248</v>
      </c>
    </row>
    <row r="4658" spans="1:14" x14ac:dyDescent="0.25">
      <c r="A4658">
        <v>60498447</v>
      </c>
      <c r="B4658" t="s">
        <v>10345</v>
      </c>
      <c r="C4658" t="s">
        <v>4396</v>
      </c>
      <c r="D4658" t="s">
        <v>10346</v>
      </c>
      <c r="E4658">
        <v>7209374618</v>
      </c>
      <c r="F4658" t="s">
        <v>10347</v>
      </c>
      <c r="G4658" t="s">
        <v>501</v>
      </c>
      <c r="I4658" t="s">
        <v>10348</v>
      </c>
      <c r="J4658" s="13">
        <v>46065</v>
      </c>
      <c r="K4658" s="13">
        <v>46082</v>
      </c>
      <c r="L4658" t="s">
        <v>539</v>
      </c>
      <c r="M4658" t="s">
        <v>59</v>
      </c>
      <c r="N4658">
        <v>74333926</v>
      </c>
    </row>
    <row r="4659" spans="1:14" x14ac:dyDescent="0.25">
      <c r="A4659">
        <v>60499202</v>
      </c>
      <c r="B4659" t="s">
        <v>867</v>
      </c>
      <c r="C4659" t="s">
        <v>10349</v>
      </c>
      <c r="D4659" t="s">
        <v>10350</v>
      </c>
      <c r="E4659">
        <v>7252476248</v>
      </c>
      <c r="F4659" t="s">
        <v>474</v>
      </c>
      <c r="G4659" t="s">
        <v>475</v>
      </c>
      <c r="I4659" t="s">
        <v>132</v>
      </c>
      <c r="J4659" s="13">
        <v>46065</v>
      </c>
      <c r="K4659" s="13">
        <v>46082</v>
      </c>
      <c r="L4659" t="s">
        <v>483</v>
      </c>
      <c r="M4659" t="s">
        <v>56</v>
      </c>
      <c r="N4659">
        <v>74340461</v>
      </c>
    </row>
    <row r="4660" spans="1:14" x14ac:dyDescent="0.25">
      <c r="A4660">
        <v>60499735</v>
      </c>
      <c r="B4660" t="s">
        <v>9177</v>
      </c>
      <c r="C4660" t="s">
        <v>10351</v>
      </c>
      <c r="D4660" t="s">
        <v>10352</v>
      </c>
      <c r="E4660">
        <v>9373364337</v>
      </c>
      <c r="F4660" t="s">
        <v>1013</v>
      </c>
      <c r="G4660" t="s">
        <v>1014</v>
      </c>
      <c r="I4660" t="s">
        <v>43</v>
      </c>
      <c r="J4660" s="13">
        <v>46065</v>
      </c>
      <c r="K4660" s="13">
        <v>46082</v>
      </c>
      <c r="L4660" t="s">
        <v>418</v>
      </c>
      <c r="M4660" t="s">
        <v>55</v>
      </c>
      <c r="N4660">
        <v>74342700</v>
      </c>
    </row>
    <row r="4661" spans="1:14" x14ac:dyDescent="0.25">
      <c r="A4661">
        <v>60499836</v>
      </c>
      <c r="B4661" t="s">
        <v>5359</v>
      </c>
      <c r="C4661" t="s">
        <v>10353</v>
      </c>
      <c r="D4661" t="s">
        <v>10354</v>
      </c>
      <c r="E4661" t="s">
        <v>10355</v>
      </c>
      <c r="F4661" t="s">
        <v>1013</v>
      </c>
      <c r="G4661" t="s">
        <v>1014</v>
      </c>
      <c r="I4661" t="s">
        <v>43</v>
      </c>
      <c r="J4661" s="13">
        <v>46065</v>
      </c>
      <c r="K4661" s="13">
        <v>46082</v>
      </c>
      <c r="L4661" t="s">
        <v>418</v>
      </c>
      <c r="M4661" t="s">
        <v>55</v>
      </c>
      <c r="N4661">
        <v>74342769</v>
      </c>
    </row>
    <row r="4662" spans="1:14" x14ac:dyDescent="0.25">
      <c r="A4662">
        <v>60499882</v>
      </c>
      <c r="B4662" t="s">
        <v>1148</v>
      </c>
      <c r="C4662" t="s">
        <v>10356</v>
      </c>
      <c r="D4662" t="s">
        <v>10357</v>
      </c>
      <c r="E4662">
        <v>7722536387</v>
      </c>
      <c r="F4662" t="s">
        <v>780</v>
      </c>
      <c r="G4662" t="s">
        <v>781</v>
      </c>
      <c r="I4662" t="s">
        <v>20</v>
      </c>
      <c r="J4662" s="13">
        <v>46065</v>
      </c>
      <c r="K4662" s="13">
        <v>46082</v>
      </c>
      <c r="L4662" t="s">
        <v>497</v>
      </c>
      <c r="M4662" t="s">
        <v>56</v>
      </c>
      <c r="N4662">
        <v>74343324</v>
      </c>
    </row>
    <row r="4663" spans="1:14" x14ac:dyDescent="0.25">
      <c r="A4663">
        <v>60499914</v>
      </c>
      <c r="B4663" t="s">
        <v>1445</v>
      </c>
      <c r="C4663" t="s">
        <v>10358</v>
      </c>
      <c r="D4663" t="s">
        <v>10359</v>
      </c>
      <c r="E4663">
        <v>3306107286</v>
      </c>
      <c r="F4663" t="s">
        <v>649</v>
      </c>
      <c r="G4663" t="s">
        <v>650</v>
      </c>
      <c r="I4663" t="s">
        <v>28</v>
      </c>
      <c r="J4663" s="13">
        <v>46065</v>
      </c>
      <c r="K4663" s="13">
        <v>46082</v>
      </c>
      <c r="L4663" t="s">
        <v>418</v>
      </c>
      <c r="M4663" t="s">
        <v>419</v>
      </c>
      <c r="N4663">
        <v>74343867</v>
      </c>
    </row>
    <row r="4664" spans="1:14" x14ac:dyDescent="0.25">
      <c r="A4664">
        <v>60499993</v>
      </c>
      <c r="B4664" t="s">
        <v>948</v>
      </c>
      <c r="C4664" t="s">
        <v>3477</v>
      </c>
      <c r="D4664" t="s">
        <v>10360</v>
      </c>
      <c r="E4664">
        <v>7192407601</v>
      </c>
      <c r="F4664" t="s">
        <v>1067</v>
      </c>
      <c r="G4664" t="s">
        <v>1068</v>
      </c>
      <c r="I4664" t="s">
        <v>35</v>
      </c>
      <c r="J4664" s="13">
        <v>46065</v>
      </c>
      <c r="K4664" s="13">
        <v>46082</v>
      </c>
      <c r="L4664" t="s">
        <v>539</v>
      </c>
      <c r="M4664" t="s">
        <v>58</v>
      </c>
      <c r="N4664">
        <v>74343947</v>
      </c>
    </row>
    <row r="4665" spans="1:14" x14ac:dyDescent="0.25">
      <c r="A4665">
        <v>60500116</v>
      </c>
      <c r="B4665" t="s">
        <v>1148</v>
      </c>
      <c r="C4665" t="s">
        <v>8233</v>
      </c>
      <c r="D4665" t="s">
        <v>10361</v>
      </c>
      <c r="E4665">
        <v>7274057783</v>
      </c>
      <c r="F4665" t="s">
        <v>815</v>
      </c>
      <c r="G4665" t="s">
        <v>816</v>
      </c>
      <c r="I4665" t="s">
        <v>23</v>
      </c>
      <c r="J4665" s="13">
        <v>46065</v>
      </c>
      <c r="K4665" s="13">
        <v>46082</v>
      </c>
      <c r="L4665" t="s">
        <v>497</v>
      </c>
      <c r="M4665" t="s">
        <v>54</v>
      </c>
      <c r="N4665">
        <v>74344734</v>
      </c>
    </row>
    <row r="4666" spans="1:14" x14ac:dyDescent="0.25">
      <c r="A4666">
        <v>60501463</v>
      </c>
      <c r="B4666" t="s">
        <v>672</v>
      </c>
      <c r="C4666" t="s">
        <v>10362</v>
      </c>
      <c r="D4666" t="s">
        <v>10363</v>
      </c>
      <c r="E4666">
        <v>5406047469</v>
      </c>
      <c r="F4666" t="s">
        <v>551</v>
      </c>
      <c r="G4666" t="s">
        <v>552</v>
      </c>
      <c r="I4666" t="s">
        <v>42</v>
      </c>
      <c r="J4666" s="13">
        <v>46065</v>
      </c>
      <c r="K4666" s="13">
        <v>46082</v>
      </c>
      <c r="L4666" t="s">
        <v>454</v>
      </c>
      <c r="M4666" t="s">
        <v>56</v>
      </c>
      <c r="N4666">
        <v>74346372</v>
      </c>
    </row>
    <row r="4667" spans="1:14" x14ac:dyDescent="0.25">
      <c r="A4667">
        <v>60501575</v>
      </c>
      <c r="B4667" t="s">
        <v>1260</v>
      </c>
      <c r="C4667" t="s">
        <v>10364</v>
      </c>
      <c r="D4667" t="s">
        <v>10365</v>
      </c>
      <c r="E4667">
        <v>4809439777</v>
      </c>
      <c r="F4667" t="s">
        <v>1013</v>
      </c>
      <c r="G4667" t="s">
        <v>1014</v>
      </c>
      <c r="I4667" t="s">
        <v>43</v>
      </c>
      <c r="J4667" s="13">
        <v>46065</v>
      </c>
      <c r="K4667" s="13">
        <v>46082</v>
      </c>
      <c r="L4667" t="s">
        <v>1179</v>
      </c>
      <c r="M4667" t="s">
        <v>59</v>
      </c>
      <c r="N4667">
        <v>74346442</v>
      </c>
    </row>
    <row r="4668" spans="1:14" x14ac:dyDescent="0.25">
      <c r="A4668">
        <v>60502092</v>
      </c>
      <c r="B4668" t="s">
        <v>1160</v>
      </c>
      <c r="C4668" t="s">
        <v>4667</v>
      </c>
      <c r="D4668" t="s">
        <v>10366</v>
      </c>
      <c r="E4668">
        <v>9047353981</v>
      </c>
      <c r="F4668" t="s">
        <v>807</v>
      </c>
      <c r="G4668" t="s">
        <v>808</v>
      </c>
      <c r="I4668" t="s">
        <v>33</v>
      </c>
      <c r="J4668" s="13">
        <v>46065</v>
      </c>
      <c r="K4668" s="13">
        <v>46082</v>
      </c>
      <c r="L4668" t="s">
        <v>497</v>
      </c>
      <c r="M4668" t="s">
        <v>54</v>
      </c>
      <c r="N4668">
        <v>74346663</v>
      </c>
    </row>
    <row r="4669" spans="1:14" x14ac:dyDescent="0.25">
      <c r="A4669">
        <v>60502135</v>
      </c>
      <c r="B4669" t="s">
        <v>10367</v>
      </c>
      <c r="C4669" t="s">
        <v>10368</v>
      </c>
      <c r="D4669" t="s">
        <v>10369</v>
      </c>
      <c r="E4669">
        <v>9014984945</v>
      </c>
      <c r="F4669" t="s">
        <v>828</v>
      </c>
      <c r="G4669" t="s">
        <v>1148</v>
      </c>
      <c r="I4669" t="s">
        <v>17</v>
      </c>
      <c r="J4669" s="13">
        <v>46065</v>
      </c>
      <c r="K4669" s="13">
        <v>46082</v>
      </c>
      <c r="L4669" t="s">
        <v>479</v>
      </c>
      <c r="M4669" t="s">
        <v>62</v>
      </c>
      <c r="N4669">
        <v>74346692</v>
      </c>
    </row>
    <row r="4670" spans="1:14" x14ac:dyDescent="0.25">
      <c r="A4670">
        <v>60502147</v>
      </c>
      <c r="B4670" t="s">
        <v>1115</v>
      </c>
      <c r="C4670" t="s">
        <v>2795</v>
      </c>
      <c r="D4670" t="s">
        <v>10370</v>
      </c>
      <c r="E4670">
        <v>2164630360</v>
      </c>
      <c r="F4670" t="s">
        <v>574</v>
      </c>
      <c r="G4670" t="s">
        <v>575</v>
      </c>
      <c r="I4670" t="s">
        <v>14</v>
      </c>
      <c r="J4670" s="13">
        <v>46065</v>
      </c>
      <c r="K4670" s="13">
        <v>46082</v>
      </c>
      <c r="L4670" t="s">
        <v>418</v>
      </c>
      <c r="M4670" t="s">
        <v>59</v>
      </c>
      <c r="N4670">
        <v>74346702</v>
      </c>
    </row>
    <row r="4671" spans="1:14" x14ac:dyDescent="0.25">
      <c r="A4671">
        <v>60502156</v>
      </c>
      <c r="B4671" t="s">
        <v>10371</v>
      </c>
      <c r="C4671" t="s">
        <v>10372</v>
      </c>
      <c r="D4671" t="s">
        <v>10373</v>
      </c>
      <c r="E4671">
        <v>4802856092</v>
      </c>
      <c r="F4671" t="s">
        <v>1345</v>
      </c>
      <c r="G4671" t="s">
        <v>799</v>
      </c>
      <c r="I4671" t="s">
        <v>47</v>
      </c>
      <c r="J4671" s="13">
        <v>46065</v>
      </c>
      <c r="K4671" s="13">
        <v>46082</v>
      </c>
      <c r="L4671" t="s">
        <v>1179</v>
      </c>
      <c r="M4671" t="s">
        <v>54</v>
      </c>
      <c r="N4671">
        <v>74346707</v>
      </c>
    </row>
    <row r="4672" spans="1:14" x14ac:dyDescent="0.25">
      <c r="A4672">
        <v>60502269</v>
      </c>
      <c r="B4672" t="s">
        <v>6443</v>
      </c>
      <c r="C4672" t="s">
        <v>7914</v>
      </c>
      <c r="D4672" t="s">
        <v>10374</v>
      </c>
      <c r="E4672">
        <v>5138848124</v>
      </c>
      <c r="F4672" t="s">
        <v>649</v>
      </c>
      <c r="G4672" t="s">
        <v>650</v>
      </c>
      <c r="I4672" t="s">
        <v>28</v>
      </c>
      <c r="J4672" s="13">
        <v>46065</v>
      </c>
      <c r="K4672" s="13">
        <v>46082</v>
      </c>
      <c r="L4672" t="s">
        <v>418</v>
      </c>
      <c r="M4672" t="s">
        <v>59</v>
      </c>
      <c r="N4672">
        <v>74346802</v>
      </c>
    </row>
    <row r="4673" spans="1:14" x14ac:dyDescent="0.25">
      <c r="A4673">
        <v>60502321</v>
      </c>
      <c r="B4673" t="s">
        <v>3335</v>
      </c>
      <c r="C4673" t="s">
        <v>10375</v>
      </c>
      <c r="D4673" t="s">
        <v>10376</v>
      </c>
      <c r="E4673">
        <v>9109220999</v>
      </c>
      <c r="F4673" t="s">
        <v>775</v>
      </c>
      <c r="G4673" t="s">
        <v>776</v>
      </c>
      <c r="I4673" t="s">
        <v>22</v>
      </c>
      <c r="J4673" s="13">
        <v>46065</v>
      </c>
      <c r="K4673" s="13">
        <v>46082</v>
      </c>
      <c r="L4673" t="s">
        <v>603</v>
      </c>
      <c r="M4673" t="s">
        <v>56</v>
      </c>
      <c r="N4673">
        <v>74346850</v>
      </c>
    </row>
    <row r="4674" spans="1:14" x14ac:dyDescent="0.25">
      <c r="A4674">
        <v>60580889</v>
      </c>
      <c r="B4674" t="s">
        <v>2920</v>
      </c>
      <c r="C4674" t="s">
        <v>1439</v>
      </c>
      <c r="D4674" t="s">
        <v>10377</v>
      </c>
      <c r="E4674">
        <v>4078084867</v>
      </c>
      <c r="F4674" t="s">
        <v>770</v>
      </c>
      <c r="G4674" t="s">
        <v>771</v>
      </c>
      <c r="I4674" t="s">
        <v>25</v>
      </c>
      <c r="J4674" s="13">
        <v>46066</v>
      </c>
      <c r="K4674" s="13">
        <v>46082</v>
      </c>
      <c r="L4674" t="s">
        <v>497</v>
      </c>
      <c r="M4674" t="s">
        <v>54</v>
      </c>
      <c r="N4674">
        <v>74353941</v>
      </c>
    </row>
    <row r="4675" spans="1:14" x14ac:dyDescent="0.25">
      <c r="A4675">
        <v>60582819</v>
      </c>
      <c r="B4675" t="s">
        <v>10378</v>
      </c>
      <c r="C4675" t="s">
        <v>3420</v>
      </c>
      <c r="D4675" t="s">
        <v>10379</v>
      </c>
      <c r="E4675">
        <v>9362832239</v>
      </c>
      <c r="F4675" t="s">
        <v>474</v>
      </c>
      <c r="G4675" t="s">
        <v>475</v>
      </c>
      <c r="I4675" t="s">
        <v>132</v>
      </c>
      <c r="J4675" s="13">
        <v>46066</v>
      </c>
      <c r="K4675" s="13">
        <v>46082</v>
      </c>
      <c r="L4675" t="s">
        <v>444</v>
      </c>
      <c r="M4675" t="s">
        <v>59</v>
      </c>
      <c r="N4675">
        <v>74354103</v>
      </c>
    </row>
    <row r="4676" spans="1:14" x14ac:dyDescent="0.25">
      <c r="A4676">
        <v>60583167</v>
      </c>
      <c r="B4676" t="s">
        <v>715</v>
      </c>
      <c r="C4676" t="s">
        <v>923</v>
      </c>
      <c r="D4676" t="s">
        <v>10380</v>
      </c>
      <c r="E4676">
        <v>9548395593</v>
      </c>
      <c r="F4676" t="s">
        <v>828</v>
      </c>
      <c r="G4676" t="s">
        <v>1148</v>
      </c>
      <c r="I4676" t="s">
        <v>17</v>
      </c>
      <c r="J4676" s="13">
        <v>46066</v>
      </c>
      <c r="K4676" s="13">
        <v>46082</v>
      </c>
      <c r="L4676" t="s">
        <v>497</v>
      </c>
      <c r="M4676" t="s">
        <v>56</v>
      </c>
      <c r="N4676">
        <v>74354144</v>
      </c>
    </row>
    <row r="4677" spans="1:14" x14ac:dyDescent="0.25">
      <c r="A4677">
        <v>63550674</v>
      </c>
      <c r="B4677" t="s">
        <v>10381</v>
      </c>
      <c r="C4677" t="s">
        <v>10382</v>
      </c>
      <c r="D4677" t="s">
        <v>10383</v>
      </c>
      <c r="E4677">
        <v>6023182322</v>
      </c>
      <c r="F4677" t="s">
        <v>574</v>
      </c>
      <c r="G4677" t="s">
        <v>575</v>
      </c>
      <c r="I4677" t="s">
        <v>14</v>
      </c>
      <c r="J4677" s="13">
        <v>46146</v>
      </c>
      <c r="K4677" s="13">
        <v>46174</v>
      </c>
      <c r="L4677" t="s">
        <v>621</v>
      </c>
      <c r="M4677" t="s">
        <v>59</v>
      </c>
      <c r="N4677">
        <v>74355191</v>
      </c>
    </row>
    <row r="4678" spans="1:14" x14ac:dyDescent="0.25">
      <c r="A4678">
        <v>60588178</v>
      </c>
      <c r="B4678" t="s">
        <v>420</v>
      </c>
      <c r="C4678" t="s">
        <v>4568</v>
      </c>
      <c r="D4678" t="s">
        <v>10384</v>
      </c>
      <c r="E4678">
        <v>8152742332</v>
      </c>
      <c r="F4678" t="s">
        <v>790</v>
      </c>
      <c r="G4678" t="s">
        <v>791</v>
      </c>
      <c r="I4678" t="s">
        <v>119</v>
      </c>
      <c r="J4678" s="13">
        <v>46066</v>
      </c>
      <c r="K4678" s="13">
        <v>46082</v>
      </c>
      <c r="L4678" t="s">
        <v>470</v>
      </c>
      <c r="M4678" t="s">
        <v>58</v>
      </c>
      <c r="N4678">
        <v>74355263</v>
      </c>
    </row>
    <row r="4679" spans="1:14" x14ac:dyDescent="0.25">
      <c r="A4679">
        <v>60589452</v>
      </c>
      <c r="B4679" t="s">
        <v>1905</v>
      </c>
      <c r="C4679" t="s">
        <v>10385</v>
      </c>
      <c r="D4679" t="s">
        <v>10386</v>
      </c>
      <c r="E4679">
        <v>6025546387</v>
      </c>
      <c r="F4679" t="s">
        <v>705</v>
      </c>
      <c r="G4679" t="s">
        <v>706</v>
      </c>
      <c r="I4679" t="s">
        <v>12</v>
      </c>
      <c r="J4679" s="13">
        <v>46066</v>
      </c>
      <c r="K4679" s="13">
        <v>46082</v>
      </c>
      <c r="L4679" t="s">
        <v>1179</v>
      </c>
      <c r="M4679" t="s">
        <v>55</v>
      </c>
      <c r="N4679">
        <v>74355869</v>
      </c>
    </row>
    <row r="4680" spans="1:14" x14ac:dyDescent="0.25">
      <c r="A4680">
        <v>60590056</v>
      </c>
      <c r="B4680" t="s">
        <v>1167</v>
      </c>
      <c r="C4680" t="s">
        <v>10387</v>
      </c>
      <c r="D4680" t="s">
        <v>10388</v>
      </c>
      <c r="E4680">
        <v>2165091100</v>
      </c>
      <c r="F4680" t="s">
        <v>551</v>
      </c>
      <c r="G4680" t="s">
        <v>552</v>
      </c>
      <c r="I4680" t="s">
        <v>42</v>
      </c>
      <c r="J4680" s="13">
        <v>46066</v>
      </c>
      <c r="K4680" s="13">
        <v>46082</v>
      </c>
      <c r="L4680" t="s">
        <v>418</v>
      </c>
      <c r="M4680" t="s">
        <v>56</v>
      </c>
      <c r="N4680">
        <v>74356037</v>
      </c>
    </row>
    <row r="4681" spans="1:14" x14ac:dyDescent="0.25">
      <c r="A4681">
        <v>60591861</v>
      </c>
      <c r="B4681" t="s">
        <v>1687</v>
      </c>
      <c r="C4681" t="s">
        <v>1702</v>
      </c>
      <c r="D4681" t="s">
        <v>10389</v>
      </c>
      <c r="E4681">
        <v>3104336845</v>
      </c>
      <c r="F4681" t="s">
        <v>780</v>
      </c>
      <c r="G4681" t="s">
        <v>781</v>
      </c>
      <c r="I4681" t="s">
        <v>20</v>
      </c>
      <c r="J4681" s="13">
        <v>46066</v>
      </c>
      <c r="K4681" s="13">
        <v>46082</v>
      </c>
      <c r="L4681" t="s">
        <v>1179</v>
      </c>
      <c r="M4681" t="s">
        <v>54</v>
      </c>
      <c r="N4681">
        <v>74357751</v>
      </c>
    </row>
    <row r="4682" spans="1:14" x14ac:dyDescent="0.25">
      <c r="A4682">
        <v>60592701</v>
      </c>
      <c r="B4682" t="s">
        <v>879</v>
      </c>
      <c r="C4682" t="s">
        <v>10390</v>
      </c>
      <c r="D4682" t="s">
        <v>10391</v>
      </c>
      <c r="E4682">
        <v>4178764808</v>
      </c>
      <c r="F4682" t="s">
        <v>1013</v>
      </c>
      <c r="G4682" t="s">
        <v>1014</v>
      </c>
      <c r="I4682" t="s">
        <v>43</v>
      </c>
      <c r="J4682" s="13">
        <v>46066</v>
      </c>
      <c r="K4682" s="13">
        <v>46082</v>
      </c>
      <c r="L4682" t="s">
        <v>434</v>
      </c>
      <c r="M4682" t="s">
        <v>59</v>
      </c>
      <c r="N4682">
        <v>74358315</v>
      </c>
    </row>
    <row r="4683" spans="1:14" x14ac:dyDescent="0.25">
      <c r="A4683">
        <v>60592786</v>
      </c>
      <c r="B4683" t="s">
        <v>687</v>
      </c>
      <c r="C4683" t="s">
        <v>1702</v>
      </c>
      <c r="D4683" t="s">
        <v>10392</v>
      </c>
      <c r="E4683">
        <v>7723320777</v>
      </c>
      <c r="F4683" t="s">
        <v>1345</v>
      </c>
      <c r="G4683" t="s">
        <v>799</v>
      </c>
      <c r="I4683" t="s">
        <v>47</v>
      </c>
      <c r="J4683" s="13">
        <v>46066</v>
      </c>
      <c r="K4683" s="13">
        <v>46082</v>
      </c>
      <c r="L4683" t="s">
        <v>497</v>
      </c>
      <c r="M4683" t="s">
        <v>54</v>
      </c>
      <c r="N4683">
        <v>74358401</v>
      </c>
    </row>
    <row r="4684" spans="1:14" x14ac:dyDescent="0.25">
      <c r="A4684">
        <v>60596097</v>
      </c>
      <c r="B4684" t="s">
        <v>5362</v>
      </c>
      <c r="C4684" t="s">
        <v>10393</v>
      </c>
      <c r="D4684" t="s">
        <v>10394</v>
      </c>
      <c r="E4684">
        <v>9548017419</v>
      </c>
      <c r="F4684" t="s">
        <v>1067</v>
      </c>
      <c r="G4684" t="s">
        <v>1068</v>
      </c>
      <c r="I4684" t="s">
        <v>35</v>
      </c>
      <c r="J4684" s="13">
        <v>46066</v>
      </c>
      <c r="K4684" s="13">
        <v>46082</v>
      </c>
      <c r="L4684" t="s">
        <v>497</v>
      </c>
      <c r="M4684" t="s">
        <v>56</v>
      </c>
      <c r="N4684">
        <v>74367167</v>
      </c>
    </row>
    <row r="4685" spans="1:14" x14ac:dyDescent="0.25">
      <c r="A4685">
        <v>60596174</v>
      </c>
      <c r="B4685" t="s">
        <v>791</v>
      </c>
      <c r="C4685" t="s">
        <v>6246</v>
      </c>
      <c r="D4685" t="s">
        <v>10395</v>
      </c>
      <c r="E4685">
        <v>5209296085</v>
      </c>
      <c r="F4685" t="s">
        <v>416</v>
      </c>
      <c r="G4685" t="s">
        <v>417</v>
      </c>
      <c r="I4685" t="s">
        <v>26</v>
      </c>
      <c r="J4685" s="13">
        <v>46066</v>
      </c>
      <c r="K4685" s="13">
        <v>46082</v>
      </c>
      <c r="L4685" t="s">
        <v>1179</v>
      </c>
      <c r="M4685" t="s">
        <v>59</v>
      </c>
      <c r="N4685">
        <v>74367206</v>
      </c>
    </row>
    <row r="4686" spans="1:14" x14ac:dyDescent="0.25">
      <c r="A4686">
        <v>60596422</v>
      </c>
      <c r="B4686" t="s">
        <v>10396</v>
      </c>
      <c r="C4686" t="s">
        <v>10397</v>
      </c>
      <c r="D4686" t="s">
        <v>10398</v>
      </c>
      <c r="E4686">
        <v>9545341720</v>
      </c>
      <c r="F4686" t="s">
        <v>474</v>
      </c>
      <c r="G4686" t="s">
        <v>475</v>
      </c>
      <c r="I4686" t="s">
        <v>132</v>
      </c>
      <c r="J4686" s="13">
        <v>46066</v>
      </c>
      <c r="K4686" s="13">
        <v>46082</v>
      </c>
      <c r="L4686" t="s">
        <v>497</v>
      </c>
      <c r="M4686" t="s">
        <v>56</v>
      </c>
      <c r="N4686">
        <v>74367427</v>
      </c>
    </row>
    <row r="4687" spans="1:14" x14ac:dyDescent="0.25">
      <c r="A4687">
        <v>60596586</v>
      </c>
      <c r="B4687" t="s">
        <v>10399</v>
      </c>
      <c r="C4687" t="s">
        <v>8778</v>
      </c>
      <c r="D4687" t="s">
        <v>10400</v>
      </c>
      <c r="E4687">
        <v>3346692179</v>
      </c>
      <c r="F4687" t="s">
        <v>628</v>
      </c>
      <c r="G4687" t="s">
        <v>629</v>
      </c>
      <c r="I4687" t="s">
        <v>24</v>
      </c>
      <c r="J4687" s="13">
        <v>46066</v>
      </c>
      <c r="K4687" s="13">
        <v>46082</v>
      </c>
      <c r="L4687" t="s">
        <v>450</v>
      </c>
      <c r="M4687" t="s">
        <v>59</v>
      </c>
      <c r="N4687">
        <v>74367548</v>
      </c>
    </row>
    <row r="4688" spans="1:14" x14ac:dyDescent="0.25">
      <c r="A4688">
        <v>60599505</v>
      </c>
      <c r="B4688" t="s">
        <v>6544</v>
      </c>
      <c r="C4688" t="s">
        <v>1368</v>
      </c>
      <c r="D4688" t="s">
        <v>10401</v>
      </c>
      <c r="E4688">
        <v>2702975011</v>
      </c>
      <c r="F4688" t="s">
        <v>928</v>
      </c>
      <c r="G4688" t="s">
        <v>929</v>
      </c>
      <c r="I4688" t="s">
        <v>30</v>
      </c>
      <c r="J4688" s="13">
        <v>46066</v>
      </c>
      <c r="K4688" s="13">
        <v>46082</v>
      </c>
      <c r="L4688" t="s">
        <v>490</v>
      </c>
      <c r="M4688" t="s">
        <v>58</v>
      </c>
      <c r="N4688">
        <v>74369168</v>
      </c>
    </row>
    <row r="4689" spans="1:14" x14ac:dyDescent="0.25">
      <c r="A4689">
        <v>60599834</v>
      </c>
      <c r="B4689" t="s">
        <v>1675</v>
      </c>
      <c r="C4689" t="s">
        <v>1177</v>
      </c>
      <c r="D4689" t="s">
        <v>10402</v>
      </c>
      <c r="E4689">
        <v>4196510291</v>
      </c>
      <c r="F4689" t="s">
        <v>574</v>
      </c>
      <c r="G4689" t="s">
        <v>575</v>
      </c>
      <c r="I4689" t="s">
        <v>14</v>
      </c>
      <c r="J4689" s="13">
        <v>46066</v>
      </c>
      <c r="K4689" s="13">
        <v>46082</v>
      </c>
      <c r="L4689" t="s">
        <v>418</v>
      </c>
      <c r="M4689" t="s">
        <v>56</v>
      </c>
      <c r="N4689">
        <v>74369417</v>
      </c>
    </row>
    <row r="4690" spans="1:14" x14ac:dyDescent="0.25">
      <c r="A4690">
        <v>60600395</v>
      </c>
      <c r="B4690" t="s">
        <v>2296</v>
      </c>
      <c r="C4690" t="s">
        <v>10403</v>
      </c>
      <c r="D4690" t="s">
        <v>10404</v>
      </c>
      <c r="E4690">
        <v>8702608580</v>
      </c>
      <c r="F4690" t="s">
        <v>551</v>
      </c>
      <c r="G4690" t="s">
        <v>552</v>
      </c>
      <c r="I4690" t="s">
        <v>42</v>
      </c>
      <c r="J4690" s="13">
        <v>46066</v>
      </c>
      <c r="K4690" s="13">
        <v>46082</v>
      </c>
      <c r="L4690" t="s">
        <v>553</v>
      </c>
      <c r="M4690" t="s">
        <v>58</v>
      </c>
      <c r="N4690">
        <v>74369791</v>
      </c>
    </row>
    <row r="4691" spans="1:14" x14ac:dyDescent="0.25">
      <c r="A4691">
        <v>60600418</v>
      </c>
      <c r="B4691" t="s">
        <v>3193</v>
      </c>
      <c r="C4691" t="s">
        <v>10405</v>
      </c>
      <c r="D4691" t="s">
        <v>10406</v>
      </c>
      <c r="E4691">
        <v>6027037047</v>
      </c>
      <c r="F4691" t="s">
        <v>1345</v>
      </c>
      <c r="G4691" t="s">
        <v>799</v>
      </c>
      <c r="I4691" t="s">
        <v>47</v>
      </c>
      <c r="J4691" s="13">
        <v>46066</v>
      </c>
      <c r="K4691" s="13">
        <v>46082</v>
      </c>
      <c r="L4691" t="s">
        <v>1179</v>
      </c>
      <c r="M4691" t="s">
        <v>56</v>
      </c>
      <c r="N4691">
        <v>74369865</v>
      </c>
    </row>
    <row r="4692" spans="1:14" x14ac:dyDescent="0.25">
      <c r="A4692">
        <v>60600553</v>
      </c>
      <c r="B4692" t="s">
        <v>2071</v>
      </c>
      <c r="C4692" t="s">
        <v>10407</v>
      </c>
      <c r="D4692" t="s">
        <v>10408</v>
      </c>
      <c r="E4692">
        <v>9542143794</v>
      </c>
      <c r="F4692" t="s">
        <v>828</v>
      </c>
      <c r="G4692" t="s">
        <v>1148</v>
      </c>
      <c r="I4692" t="s">
        <v>17</v>
      </c>
      <c r="J4692" s="13">
        <v>46066</v>
      </c>
      <c r="K4692" s="13">
        <v>46082</v>
      </c>
      <c r="L4692" t="s">
        <v>497</v>
      </c>
      <c r="M4692" t="s">
        <v>56</v>
      </c>
      <c r="N4692">
        <v>74369969</v>
      </c>
    </row>
    <row r="4693" spans="1:14" x14ac:dyDescent="0.25">
      <c r="A4693">
        <v>60600612</v>
      </c>
      <c r="B4693" t="s">
        <v>517</v>
      </c>
      <c r="C4693" t="s">
        <v>10409</v>
      </c>
      <c r="D4693" t="s">
        <v>10410</v>
      </c>
      <c r="E4693">
        <v>8592067775</v>
      </c>
      <c r="F4693" t="s">
        <v>705</v>
      </c>
      <c r="G4693" t="s">
        <v>706</v>
      </c>
      <c r="I4693" t="s">
        <v>12</v>
      </c>
      <c r="J4693" s="13">
        <v>46066</v>
      </c>
      <c r="K4693" s="13">
        <v>46082</v>
      </c>
      <c r="L4693" t="s">
        <v>490</v>
      </c>
      <c r="M4693" t="s">
        <v>58</v>
      </c>
      <c r="N4693">
        <v>74370017</v>
      </c>
    </row>
    <row r="4694" spans="1:14" x14ac:dyDescent="0.25">
      <c r="A4694">
        <v>60600703</v>
      </c>
      <c r="B4694" t="s">
        <v>6544</v>
      </c>
      <c r="C4694" t="s">
        <v>10411</v>
      </c>
      <c r="D4694" t="s">
        <v>10412</v>
      </c>
      <c r="E4694">
        <v>5207631055</v>
      </c>
      <c r="F4694" t="s">
        <v>807</v>
      </c>
      <c r="G4694" t="s">
        <v>808</v>
      </c>
      <c r="I4694" t="s">
        <v>33</v>
      </c>
      <c r="J4694" s="13">
        <v>46066</v>
      </c>
      <c r="K4694" s="13">
        <v>46082</v>
      </c>
      <c r="L4694" t="s">
        <v>1179</v>
      </c>
      <c r="M4694" t="s">
        <v>59</v>
      </c>
      <c r="N4694">
        <v>74370098</v>
      </c>
    </row>
    <row r="4695" spans="1:14" x14ac:dyDescent="0.25">
      <c r="A4695">
        <v>60602055</v>
      </c>
      <c r="B4695" t="s">
        <v>1699</v>
      </c>
      <c r="C4695" t="s">
        <v>10413</v>
      </c>
      <c r="D4695" t="s">
        <v>10414</v>
      </c>
      <c r="E4695">
        <v>6303986178</v>
      </c>
      <c r="F4695" t="s">
        <v>474</v>
      </c>
      <c r="G4695" t="s">
        <v>475</v>
      </c>
      <c r="I4695" t="s">
        <v>132</v>
      </c>
      <c r="J4695" s="13">
        <v>46066</v>
      </c>
      <c r="K4695" s="13">
        <v>46082</v>
      </c>
      <c r="L4695" t="s">
        <v>470</v>
      </c>
      <c r="M4695" t="s">
        <v>56</v>
      </c>
      <c r="N4695">
        <v>74371130</v>
      </c>
    </row>
    <row r="4696" spans="1:14" x14ac:dyDescent="0.25">
      <c r="A4696">
        <v>60602516</v>
      </c>
      <c r="B4696" t="s">
        <v>1250</v>
      </c>
      <c r="C4696" t="s">
        <v>10287</v>
      </c>
      <c r="D4696" t="s">
        <v>10415</v>
      </c>
      <c r="E4696">
        <v>8594135145</v>
      </c>
      <c r="F4696" t="s">
        <v>574</v>
      </c>
      <c r="G4696" t="s">
        <v>575</v>
      </c>
      <c r="I4696" t="s">
        <v>14</v>
      </c>
      <c r="J4696" s="13">
        <v>46066</v>
      </c>
      <c r="K4696" s="13">
        <v>46082</v>
      </c>
      <c r="L4696" t="s">
        <v>490</v>
      </c>
      <c r="M4696" t="s">
        <v>59</v>
      </c>
      <c r="N4696">
        <v>74373425</v>
      </c>
    </row>
    <row r="4697" spans="1:14" x14ac:dyDescent="0.25">
      <c r="A4697">
        <v>60602587</v>
      </c>
      <c r="B4697" t="s">
        <v>1106</v>
      </c>
      <c r="C4697" t="s">
        <v>10416</v>
      </c>
      <c r="D4697" t="s">
        <v>10417</v>
      </c>
      <c r="E4697">
        <v>4793170343</v>
      </c>
      <c r="F4697" t="s">
        <v>828</v>
      </c>
      <c r="G4697" t="s">
        <v>1148</v>
      </c>
      <c r="I4697" t="s">
        <v>17</v>
      </c>
      <c r="J4697" s="13">
        <v>46066</v>
      </c>
      <c r="K4697" s="13">
        <v>46082</v>
      </c>
      <c r="L4697" t="s">
        <v>553</v>
      </c>
      <c r="M4697" t="s">
        <v>56</v>
      </c>
      <c r="N4697">
        <v>74373482</v>
      </c>
    </row>
    <row r="4698" spans="1:14" x14ac:dyDescent="0.25">
      <c r="A4698">
        <v>60602593</v>
      </c>
      <c r="B4698" t="s">
        <v>6404</v>
      </c>
      <c r="C4698" t="s">
        <v>10418</v>
      </c>
      <c r="D4698" t="s">
        <v>10419</v>
      </c>
      <c r="E4698">
        <v>5204314664</v>
      </c>
      <c r="F4698" t="s">
        <v>770</v>
      </c>
      <c r="G4698" t="s">
        <v>771</v>
      </c>
      <c r="I4698" t="s">
        <v>25</v>
      </c>
      <c r="J4698" s="13">
        <v>46066</v>
      </c>
      <c r="K4698" s="13">
        <v>46082</v>
      </c>
      <c r="L4698" t="s">
        <v>1179</v>
      </c>
      <c r="M4698" t="s">
        <v>54</v>
      </c>
      <c r="N4698">
        <v>74373493</v>
      </c>
    </row>
    <row r="4699" spans="1:14" x14ac:dyDescent="0.25">
      <c r="A4699">
        <v>60602629</v>
      </c>
      <c r="B4699" t="s">
        <v>1038</v>
      </c>
      <c r="C4699" t="s">
        <v>549</v>
      </c>
      <c r="D4699" t="s">
        <v>10420</v>
      </c>
      <c r="E4699">
        <v>6238894144</v>
      </c>
      <c r="F4699" t="s">
        <v>1013</v>
      </c>
      <c r="G4699" t="s">
        <v>1014</v>
      </c>
      <c r="I4699" t="s">
        <v>43</v>
      </c>
      <c r="J4699" s="13">
        <v>46066</v>
      </c>
      <c r="K4699" s="13">
        <v>46082</v>
      </c>
      <c r="L4699" t="s">
        <v>1179</v>
      </c>
      <c r="M4699" t="s">
        <v>56</v>
      </c>
      <c r="N4699">
        <v>74373518</v>
      </c>
    </row>
    <row r="4700" spans="1:14" x14ac:dyDescent="0.25">
      <c r="A4700">
        <v>60604809</v>
      </c>
      <c r="B4700" t="s">
        <v>10421</v>
      </c>
      <c r="C4700" t="s">
        <v>8917</v>
      </c>
      <c r="E4700">
        <v>9548127925</v>
      </c>
      <c r="F4700" t="s">
        <v>448</v>
      </c>
      <c r="G4700" t="s">
        <v>449</v>
      </c>
      <c r="I4700" t="s">
        <v>31</v>
      </c>
      <c r="J4700" s="13">
        <v>46066</v>
      </c>
      <c r="K4700" s="13">
        <v>46082</v>
      </c>
      <c r="L4700" t="s">
        <v>497</v>
      </c>
      <c r="M4700" t="s">
        <v>58</v>
      </c>
      <c r="N4700">
        <v>74375103</v>
      </c>
    </row>
    <row r="4701" spans="1:14" x14ac:dyDescent="0.25">
      <c r="A4701">
        <v>60604815</v>
      </c>
      <c r="B4701" t="s">
        <v>10422</v>
      </c>
      <c r="C4701" t="s">
        <v>5406</v>
      </c>
      <c r="D4701" t="s">
        <v>10423</v>
      </c>
      <c r="E4701">
        <v>5733474715</v>
      </c>
      <c r="F4701" t="s">
        <v>569</v>
      </c>
      <c r="G4701" t="s">
        <v>570</v>
      </c>
      <c r="I4701" t="s">
        <v>34</v>
      </c>
      <c r="J4701" s="13">
        <v>46066</v>
      </c>
      <c r="K4701" s="13">
        <v>46082</v>
      </c>
      <c r="L4701" t="s">
        <v>434</v>
      </c>
      <c r="M4701" t="s">
        <v>60</v>
      </c>
      <c r="N4701">
        <v>74375106</v>
      </c>
    </row>
    <row r="4702" spans="1:14" x14ac:dyDescent="0.25">
      <c r="A4702">
        <v>60605069</v>
      </c>
      <c r="B4702" t="s">
        <v>10424</v>
      </c>
      <c r="C4702" t="s">
        <v>6797</v>
      </c>
      <c r="D4702" t="s">
        <v>10425</v>
      </c>
      <c r="F4702" t="s">
        <v>448</v>
      </c>
      <c r="G4702" t="s">
        <v>449</v>
      </c>
      <c r="I4702" t="s">
        <v>31</v>
      </c>
      <c r="J4702" s="13">
        <v>46066</v>
      </c>
      <c r="K4702" s="13">
        <v>46082</v>
      </c>
      <c r="L4702" t="s">
        <v>497</v>
      </c>
      <c r="M4702" t="s">
        <v>60</v>
      </c>
      <c r="N4702">
        <v>74375125</v>
      </c>
    </row>
    <row r="4703" spans="1:14" x14ac:dyDescent="0.25">
      <c r="A4703">
        <v>60605522</v>
      </c>
      <c r="B4703" t="s">
        <v>3587</v>
      </c>
      <c r="C4703" t="s">
        <v>10426</v>
      </c>
      <c r="D4703" t="s">
        <v>10427</v>
      </c>
      <c r="E4703">
        <v>4794019190</v>
      </c>
      <c r="F4703" t="s">
        <v>628</v>
      </c>
      <c r="G4703" t="s">
        <v>629</v>
      </c>
      <c r="I4703" t="s">
        <v>24</v>
      </c>
      <c r="J4703" s="13">
        <v>46066</v>
      </c>
      <c r="K4703" s="13">
        <v>46082</v>
      </c>
      <c r="L4703" t="s">
        <v>553</v>
      </c>
      <c r="M4703" t="s">
        <v>58</v>
      </c>
      <c r="N4703">
        <v>74375780</v>
      </c>
    </row>
    <row r="4704" spans="1:14" x14ac:dyDescent="0.25">
      <c r="A4704">
        <v>60606675</v>
      </c>
      <c r="B4704" t="s">
        <v>4480</v>
      </c>
      <c r="C4704" t="s">
        <v>799</v>
      </c>
      <c r="D4704" t="s">
        <v>10428</v>
      </c>
      <c r="E4704">
        <v>9048031983</v>
      </c>
      <c r="F4704" t="s">
        <v>416</v>
      </c>
      <c r="G4704" t="s">
        <v>417</v>
      </c>
      <c r="I4704" t="s">
        <v>26</v>
      </c>
      <c r="J4704" s="13">
        <v>46066</v>
      </c>
      <c r="K4704" s="13">
        <v>46082</v>
      </c>
      <c r="L4704" t="s">
        <v>497</v>
      </c>
      <c r="M4704" t="s">
        <v>56</v>
      </c>
      <c r="N4704">
        <v>74376375</v>
      </c>
    </row>
    <row r="4705" spans="1:14" x14ac:dyDescent="0.25">
      <c r="A4705">
        <v>60616633</v>
      </c>
      <c r="B4705" t="s">
        <v>10429</v>
      </c>
      <c r="C4705" t="s">
        <v>10430</v>
      </c>
      <c r="D4705" t="s">
        <v>10431</v>
      </c>
      <c r="E4705">
        <v>8033483838</v>
      </c>
      <c r="F4705" t="s">
        <v>790</v>
      </c>
      <c r="G4705" t="s">
        <v>791</v>
      </c>
      <c r="I4705" t="s">
        <v>119</v>
      </c>
      <c r="J4705" s="13">
        <v>46069</v>
      </c>
      <c r="K4705" s="13">
        <v>46082</v>
      </c>
      <c r="L4705" t="s">
        <v>533</v>
      </c>
      <c r="M4705" t="s">
        <v>56</v>
      </c>
      <c r="N4705">
        <v>74384325</v>
      </c>
    </row>
    <row r="4706" spans="1:14" x14ac:dyDescent="0.25">
      <c r="A4706">
        <v>60617488</v>
      </c>
      <c r="B4706" t="s">
        <v>552</v>
      </c>
      <c r="C4706" t="s">
        <v>10432</v>
      </c>
      <c r="D4706" t="s">
        <v>10433</v>
      </c>
      <c r="E4706">
        <v>5135266333</v>
      </c>
      <c r="F4706" t="s">
        <v>828</v>
      </c>
      <c r="G4706" t="s">
        <v>1148</v>
      </c>
      <c r="I4706" t="s">
        <v>17</v>
      </c>
      <c r="J4706" s="13">
        <v>46069</v>
      </c>
      <c r="K4706" s="13">
        <v>46082</v>
      </c>
      <c r="L4706" t="s">
        <v>418</v>
      </c>
      <c r="M4706" t="s">
        <v>56</v>
      </c>
      <c r="N4706">
        <v>74385030</v>
      </c>
    </row>
    <row r="4707" spans="1:14" x14ac:dyDescent="0.25">
      <c r="A4707">
        <v>60621801</v>
      </c>
      <c r="B4707" t="s">
        <v>1941</v>
      </c>
      <c r="C4707" t="s">
        <v>770</v>
      </c>
      <c r="D4707" t="s">
        <v>10434</v>
      </c>
      <c r="E4707">
        <v>9013648420</v>
      </c>
      <c r="F4707" t="s">
        <v>10435</v>
      </c>
      <c r="G4707" t="s">
        <v>2551</v>
      </c>
      <c r="I4707" t="s">
        <v>10436</v>
      </c>
      <c r="J4707" s="13">
        <v>46069</v>
      </c>
      <c r="K4707" s="13">
        <v>46082</v>
      </c>
      <c r="L4707" t="s">
        <v>479</v>
      </c>
      <c r="M4707" t="s">
        <v>55</v>
      </c>
      <c r="N4707">
        <v>74388180</v>
      </c>
    </row>
    <row r="4708" spans="1:14" x14ac:dyDescent="0.25">
      <c r="A4708">
        <v>60621914</v>
      </c>
      <c r="B4708" t="s">
        <v>2019</v>
      </c>
      <c r="C4708" t="s">
        <v>2978</v>
      </c>
      <c r="D4708" t="s">
        <v>10437</v>
      </c>
      <c r="E4708">
        <v>2566771341</v>
      </c>
      <c r="F4708" t="s">
        <v>574</v>
      </c>
      <c r="G4708" t="s">
        <v>575</v>
      </c>
      <c r="I4708" t="s">
        <v>14</v>
      </c>
      <c r="J4708" s="13">
        <v>46069</v>
      </c>
      <c r="K4708" s="13">
        <v>46082</v>
      </c>
      <c r="L4708" t="s">
        <v>450</v>
      </c>
      <c r="M4708" t="s">
        <v>56</v>
      </c>
      <c r="N4708">
        <v>74388265</v>
      </c>
    </row>
    <row r="4709" spans="1:14" x14ac:dyDescent="0.25">
      <c r="A4709">
        <v>60622739</v>
      </c>
      <c r="B4709" t="s">
        <v>1160</v>
      </c>
      <c r="C4709" t="s">
        <v>10438</v>
      </c>
      <c r="D4709" t="s">
        <v>10439</v>
      </c>
      <c r="E4709">
        <v>4804897106</v>
      </c>
      <c r="F4709" t="s">
        <v>416</v>
      </c>
      <c r="G4709" t="s">
        <v>417</v>
      </c>
      <c r="I4709" t="s">
        <v>26</v>
      </c>
      <c r="J4709" s="13">
        <v>46069</v>
      </c>
      <c r="K4709" s="13">
        <v>46082</v>
      </c>
      <c r="L4709" t="s">
        <v>1179</v>
      </c>
      <c r="M4709" t="s">
        <v>55</v>
      </c>
      <c r="N4709">
        <v>74388828</v>
      </c>
    </row>
    <row r="4710" spans="1:14" x14ac:dyDescent="0.25">
      <c r="A4710">
        <v>60622757</v>
      </c>
      <c r="B4710" t="s">
        <v>8297</v>
      </c>
      <c r="C4710" t="s">
        <v>10440</v>
      </c>
      <c r="D4710" t="s">
        <v>10441</v>
      </c>
      <c r="E4710">
        <v>6022100530</v>
      </c>
      <c r="F4710" t="s">
        <v>815</v>
      </c>
      <c r="G4710" t="s">
        <v>816</v>
      </c>
      <c r="I4710" t="s">
        <v>23</v>
      </c>
      <c r="J4710" s="13">
        <v>46069</v>
      </c>
      <c r="K4710" s="13">
        <v>46082</v>
      </c>
      <c r="L4710" t="s">
        <v>1179</v>
      </c>
      <c r="M4710" t="s">
        <v>54</v>
      </c>
      <c r="N4710">
        <v>74388897</v>
      </c>
    </row>
    <row r="4711" spans="1:14" x14ac:dyDescent="0.25">
      <c r="A4711">
        <v>60622783</v>
      </c>
      <c r="B4711" t="s">
        <v>10442</v>
      </c>
      <c r="C4711" t="s">
        <v>10443</v>
      </c>
      <c r="D4711" t="s">
        <v>10444</v>
      </c>
      <c r="E4711">
        <v>7723538539</v>
      </c>
      <c r="F4711" t="s">
        <v>807</v>
      </c>
      <c r="G4711" t="s">
        <v>808</v>
      </c>
      <c r="I4711" t="s">
        <v>33</v>
      </c>
      <c r="J4711" s="13">
        <v>46069</v>
      </c>
      <c r="K4711" s="13">
        <v>46082</v>
      </c>
      <c r="L4711" t="s">
        <v>497</v>
      </c>
      <c r="M4711" t="s">
        <v>56</v>
      </c>
      <c r="N4711">
        <v>74388920</v>
      </c>
    </row>
    <row r="4712" spans="1:14" x14ac:dyDescent="0.25">
      <c r="A4712">
        <v>60623844</v>
      </c>
      <c r="B4712" t="s">
        <v>2360</v>
      </c>
      <c r="C4712" t="s">
        <v>5442</v>
      </c>
      <c r="D4712" t="s">
        <v>10445</v>
      </c>
      <c r="E4712">
        <v>7408530115</v>
      </c>
      <c r="F4712" t="s">
        <v>628</v>
      </c>
      <c r="G4712" t="s">
        <v>629</v>
      </c>
      <c r="I4712" t="s">
        <v>24</v>
      </c>
      <c r="J4712" s="13">
        <v>46069</v>
      </c>
      <c r="K4712" s="13">
        <v>46082</v>
      </c>
      <c r="L4712" t="s">
        <v>418</v>
      </c>
      <c r="M4712" t="s">
        <v>58</v>
      </c>
      <c r="N4712">
        <v>74389677</v>
      </c>
    </row>
    <row r="4713" spans="1:14" x14ac:dyDescent="0.25">
      <c r="A4713">
        <v>60625060</v>
      </c>
      <c r="B4713" t="s">
        <v>7615</v>
      </c>
      <c r="C4713" t="s">
        <v>770</v>
      </c>
      <c r="D4713" t="s">
        <v>10446</v>
      </c>
      <c r="E4713">
        <v>3347047052</v>
      </c>
      <c r="F4713" t="s">
        <v>569</v>
      </c>
      <c r="G4713" t="s">
        <v>570</v>
      </c>
      <c r="I4713" t="s">
        <v>34</v>
      </c>
      <c r="J4713" s="13">
        <v>46069</v>
      </c>
      <c r="K4713" s="13">
        <v>46082</v>
      </c>
      <c r="L4713" t="s">
        <v>450</v>
      </c>
      <c r="M4713" t="s">
        <v>56</v>
      </c>
      <c r="N4713">
        <v>74390835</v>
      </c>
    </row>
    <row r="4714" spans="1:14" x14ac:dyDescent="0.25">
      <c r="A4714">
        <v>60625445</v>
      </c>
      <c r="B4714" t="s">
        <v>3326</v>
      </c>
      <c r="C4714" t="s">
        <v>2574</v>
      </c>
      <c r="D4714" t="s">
        <v>10447</v>
      </c>
      <c r="E4714">
        <v>9175624554</v>
      </c>
      <c r="F4714" t="s">
        <v>790</v>
      </c>
      <c r="G4714" t="s">
        <v>791</v>
      </c>
      <c r="I4714" t="s">
        <v>119</v>
      </c>
      <c r="J4714" s="13">
        <v>46069</v>
      </c>
      <c r="K4714" s="13">
        <v>46082</v>
      </c>
      <c r="L4714" t="s">
        <v>603</v>
      </c>
      <c r="M4714" t="s">
        <v>56</v>
      </c>
      <c r="N4714">
        <v>74391162</v>
      </c>
    </row>
    <row r="4715" spans="1:14" x14ac:dyDescent="0.25">
      <c r="A4715">
        <v>60627943</v>
      </c>
      <c r="B4715" t="s">
        <v>4405</v>
      </c>
      <c r="C4715" t="s">
        <v>10448</v>
      </c>
      <c r="D4715" t="s">
        <v>10449</v>
      </c>
      <c r="E4715">
        <v>9044380635</v>
      </c>
      <c r="F4715" t="s">
        <v>775</v>
      </c>
      <c r="G4715" t="s">
        <v>776</v>
      </c>
      <c r="I4715" t="s">
        <v>22</v>
      </c>
      <c r="J4715" s="13">
        <v>46069</v>
      </c>
      <c r="K4715" s="13">
        <v>46082</v>
      </c>
      <c r="L4715" t="s">
        <v>497</v>
      </c>
      <c r="M4715" t="s">
        <v>56</v>
      </c>
      <c r="N4715">
        <v>74394391</v>
      </c>
    </row>
    <row r="4716" spans="1:14" x14ac:dyDescent="0.25">
      <c r="A4716">
        <v>60628447</v>
      </c>
      <c r="B4716" t="s">
        <v>10450</v>
      </c>
      <c r="C4716" t="s">
        <v>1598</v>
      </c>
      <c r="D4716" t="s">
        <v>10451</v>
      </c>
      <c r="E4716">
        <v>4194388025</v>
      </c>
      <c r="F4716" t="s">
        <v>574</v>
      </c>
      <c r="G4716" t="s">
        <v>575</v>
      </c>
      <c r="I4716" t="s">
        <v>14</v>
      </c>
      <c r="J4716" s="13">
        <v>46069</v>
      </c>
      <c r="K4716" s="13">
        <v>46082</v>
      </c>
      <c r="L4716" t="s">
        <v>418</v>
      </c>
      <c r="M4716" t="s">
        <v>56</v>
      </c>
      <c r="N4716">
        <v>74395195</v>
      </c>
    </row>
    <row r="4717" spans="1:14" x14ac:dyDescent="0.25">
      <c r="A4717">
        <v>60629431</v>
      </c>
      <c r="B4717" t="s">
        <v>2185</v>
      </c>
      <c r="C4717" t="s">
        <v>5913</v>
      </c>
      <c r="D4717" t="s">
        <v>10452</v>
      </c>
      <c r="E4717">
        <v>9044377916</v>
      </c>
      <c r="F4717" t="s">
        <v>780</v>
      </c>
      <c r="G4717" t="s">
        <v>781</v>
      </c>
      <c r="I4717" t="s">
        <v>20</v>
      </c>
      <c r="J4717" s="13">
        <v>46069</v>
      </c>
      <c r="K4717" s="13">
        <v>46082</v>
      </c>
      <c r="L4717" t="s">
        <v>497</v>
      </c>
      <c r="M4717" t="s">
        <v>56</v>
      </c>
      <c r="N4717">
        <v>74396388</v>
      </c>
    </row>
    <row r="4718" spans="1:14" x14ac:dyDescent="0.25">
      <c r="A4718">
        <v>60630157</v>
      </c>
      <c r="B4718" t="s">
        <v>467</v>
      </c>
      <c r="C4718" t="s">
        <v>4343</v>
      </c>
      <c r="D4718" t="s">
        <v>10453</v>
      </c>
      <c r="E4718">
        <v>2708366745</v>
      </c>
      <c r="F4718" t="s">
        <v>474</v>
      </c>
      <c r="G4718" t="s">
        <v>475</v>
      </c>
      <c r="I4718" t="s">
        <v>132</v>
      </c>
      <c r="J4718" s="13">
        <v>46069</v>
      </c>
      <c r="K4718" s="13">
        <v>46082</v>
      </c>
      <c r="L4718" t="s">
        <v>490</v>
      </c>
      <c r="M4718" t="s">
        <v>56</v>
      </c>
      <c r="N4718">
        <v>74397037</v>
      </c>
    </row>
    <row r="4719" spans="1:14" x14ac:dyDescent="0.25">
      <c r="A4719">
        <v>60630736</v>
      </c>
      <c r="B4719" t="s">
        <v>445</v>
      </c>
      <c r="C4719" t="s">
        <v>515</v>
      </c>
      <c r="D4719" t="s">
        <v>10454</v>
      </c>
      <c r="E4719">
        <v>7086318811</v>
      </c>
      <c r="F4719" t="s">
        <v>649</v>
      </c>
      <c r="G4719" t="s">
        <v>650</v>
      </c>
      <c r="I4719" t="s">
        <v>28</v>
      </c>
      <c r="J4719" s="13">
        <v>46069</v>
      </c>
      <c r="K4719" s="13">
        <v>46082</v>
      </c>
      <c r="L4719" t="s">
        <v>470</v>
      </c>
      <c r="M4719" t="s">
        <v>58</v>
      </c>
      <c r="N4719">
        <v>74397405</v>
      </c>
    </row>
    <row r="4720" spans="1:14" x14ac:dyDescent="0.25">
      <c r="A4720">
        <v>60631235</v>
      </c>
      <c r="B4720" t="s">
        <v>501</v>
      </c>
      <c r="C4720" t="s">
        <v>10455</v>
      </c>
      <c r="D4720" t="s">
        <v>10456</v>
      </c>
      <c r="E4720">
        <v>3046709440</v>
      </c>
      <c r="F4720" t="s">
        <v>569</v>
      </c>
      <c r="G4720" t="s">
        <v>570</v>
      </c>
      <c r="I4720" t="s">
        <v>34</v>
      </c>
      <c r="J4720" s="13">
        <v>46069</v>
      </c>
      <c r="K4720" s="13">
        <v>46082</v>
      </c>
      <c r="L4720" t="s">
        <v>1188</v>
      </c>
      <c r="M4720" t="s">
        <v>56</v>
      </c>
      <c r="N4720">
        <v>74397789</v>
      </c>
    </row>
    <row r="4721" spans="1:14" x14ac:dyDescent="0.25">
      <c r="A4721">
        <v>60631605</v>
      </c>
      <c r="B4721" t="s">
        <v>2662</v>
      </c>
      <c r="C4721" t="s">
        <v>2636</v>
      </c>
      <c r="D4721" t="s">
        <v>10457</v>
      </c>
      <c r="E4721">
        <v>8137777722</v>
      </c>
      <c r="F4721" t="s">
        <v>770</v>
      </c>
      <c r="G4721" t="s">
        <v>771</v>
      </c>
      <c r="I4721" t="s">
        <v>25</v>
      </c>
      <c r="J4721" s="13">
        <v>46069</v>
      </c>
      <c r="K4721" s="13">
        <v>46082</v>
      </c>
      <c r="L4721" t="s">
        <v>497</v>
      </c>
      <c r="M4721" t="s">
        <v>56</v>
      </c>
      <c r="N4721">
        <v>74397999</v>
      </c>
    </row>
    <row r="4722" spans="1:14" x14ac:dyDescent="0.25">
      <c r="A4722">
        <v>60632291</v>
      </c>
      <c r="B4722" t="s">
        <v>1226</v>
      </c>
      <c r="C4722" t="s">
        <v>10458</v>
      </c>
      <c r="D4722" t="s">
        <v>10459</v>
      </c>
      <c r="E4722">
        <v>5208783377</v>
      </c>
      <c r="F4722" t="s">
        <v>10460</v>
      </c>
      <c r="G4722" t="s">
        <v>6663</v>
      </c>
      <c r="I4722" t="s">
        <v>40</v>
      </c>
      <c r="J4722" s="13">
        <v>46069</v>
      </c>
      <c r="K4722" s="13">
        <v>46082</v>
      </c>
      <c r="L4722" t="s">
        <v>1179</v>
      </c>
      <c r="M4722" t="s">
        <v>59</v>
      </c>
      <c r="N4722">
        <v>74398543</v>
      </c>
    </row>
    <row r="4723" spans="1:14" x14ac:dyDescent="0.25">
      <c r="A4723">
        <v>60632471</v>
      </c>
      <c r="B4723" t="s">
        <v>1784</v>
      </c>
      <c r="C4723" t="s">
        <v>10461</v>
      </c>
      <c r="D4723" t="s">
        <v>10462</v>
      </c>
      <c r="E4723">
        <v>7159291923</v>
      </c>
      <c r="F4723" t="s">
        <v>928</v>
      </c>
      <c r="G4723" t="s">
        <v>929</v>
      </c>
      <c r="I4723" t="s">
        <v>30</v>
      </c>
      <c r="J4723" s="13">
        <v>46069</v>
      </c>
      <c r="K4723" s="13">
        <v>46082</v>
      </c>
      <c r="L4723" t="s">
        <v>675</v>
      </c>
      <c r="M4723" t="s">
        <v>56</v>
      </c>
      <c r="N4723">
        <v>74398702</v>
      </c>
    </row>
    <row r="4724" spans="1:14" x14ac:dyDescent="0.25">
      <c r="A4724">
        <v>60632480</v>
      </c>
      <c r="B4724" t="s">
        <v>730</v>
      </c>
      <c r="C4724" t="s">
        <v>10463</v>
      </c>
      <c r="D4724" t="s">
        <v>10464</v>
      </c>
      <c r="E4724">
        <v>4404539481</v>
      </c>
      <c r="F4724" t="s">
        <v>828</v>
      </c>
      <c r="G4724" t="s">
        <v>1148</v>
      </c>
      <c r="I4724" t="s">
        <v>17</v>
      </c>
      <c r="J4724" s="13">
        <v>46069</v>
      </c>
      <c r="K4724" s="13">
        <v>46082</v>
      </c>
      <c r="L4724" t="s">
        <v>418</v>
      </c>
      <c r="M4724" t="s">
        <v>60</v>
      </c>
      <c r="N4724">
        <v>74398708</v>
      </c>
    </row>
    <row r="4725" spans="1:14" x14ac:dyDescent="0.25">
      <c r="A4725">
        <v>60632542</v>
      </c>
      <c r="B4725" t="s">
        <v>464</v>
      </c>
      <c r="C4725" t="s">
        <v>10465</v>
      </c>
      <c r="D4725" t="s">
        <v>10466</v>
      </c>
      <c r="E4725">
        <v>5204228389</v>
      </c>
      <c r="F4725" t="s">
        <v>807</v>
      </c>
      <c r="G4725" t="s">
        <v>808</v>
      </c>
      <c r="I4725" t="s">
        <v>33</v>
      </c>
      <c r="J4725" s="13">
        <v>46069</v>
      </c>
      <c r="K4725" s="13">
        <v>46082</v>
      </c>
      <c r="L4725" t="s">
        <v>1179</v>
      </c>
      <c r="M4725" t="s">
        <v>59</v>
      </c>
      <c r="N4725">
        <v>74398755</v>
      </c>
    </row>
    <row r="4726" spans="1:14" x14ac:dyDescent="0.25">
      <c r="A4726">
        <v>60632805</v>
      </c>
      <c r="B4726" t="s">
        <v>10467</v>
      </c>
      <c r="C4726" t="s">
        <v>10468</v>
      </c>
      <c r="D4726" t="s">
        <v>10469</v>
      </c>
      <c r="E4726">
        <v>6069236502</v>
      </c>
      <c r="F4726" t="s">
        <v>423</v>
      </c>
      <c r="G4726" t="s">
        <v>424</v>
      </c>
      <c r="I4726" t="s">
        <v>46</v>
      </c>
      <c r="J4726" s="13">
        <v>46069</v>
      </c>
      <c r="K4726" s="13">
        <v>46082</v>
      </c>
      <c r="L4726" t="s">
        <v>490</v>
      </c>
      <c r="M4726" t="s">
        <v>61</v>
      </c>
      <c r="N4726">
        <v>74398832</v>
      </c>
    </row>
    <row r="4727" spans="1:14" x14ac:dyDescent="0.25">
      <c r="A4727">
        <v>60632821</v>
      </c>
      <c r="B4727" t="s">
        <v>1167</v>
      </c>
      <c r="C4727" t="s">
        <v>10470</v>
      </c>
      <c r="D4727" t="s">
        <v>10471</v>
      </c>
      <c r="E4727">
        <v>8137651077</v>
      </c>
      <c r="F4727" t="s">
        <v>448</v>
      </c>
      <c r="G4727" t="s">
        <v>449</v>
      </c>
      <c r="I4727" t="s">
        <v>31</v>
      </c>
      <c r="J4727" s="13">
        <v>46069</v>
      </c>
      <c r="K4727" s="13">
        <v>46082</v>
      </c>
      <c r="L4727" t="s">
        <v>497</v>
      </c>
      <c r="M4727" t="s">
        <v>56</v>
      </c>
      <c r="N4727">
        <v>74398968</v>
      </c>
    </row>
    <row r="4728" spans="1:14" x14ac:dyDescent="0.25">
      <c r="A4728">
        <v>60632971</v>
      </c>
      <c r="B4728" t="s">
        <v>5666</v>
      </c>
      <c r="C4728" t="s">
        <v>10472</v>
      </c>
      <c r="D4728" t="s">
        <v>10473</v>
      </c>
      <c r="E4728">
        <v>8155732182</v>
      </c>
      <c r="F4728" t="s">
        <v>649</v>
      </c>
      <c r="G4728" t="s">
        <v>650</v>
      </c>
      <c r="I4728" t="s">
        <v>28</v>
      </c>
      <c r="J4728" s="13">
        <v>46069</v>
      </c>
      <c r="K4728" s="13">
        <v>46082</v>
      </c>
      <c r="L4728" t="s">
        <v>470</v>
      </c>
      <c r="M4728" t="s">
        <v>56</v>
      </c>
      <c r="N4728">
        <v>74399092</v>
      </c>
    </row>
    <row r="4729" spans="1:14" x14ac:dyDescent="0.25">
      <c r="A4729">
        <v>60634731</v>
      </c>
      <c r="B4729" t="s">
        <v>10197</v>
      </c>
      <c r="C4729" t="s">
        <v>10474</v>
      </c>
      <c r="D4729" t="s">
        <v>10475</v>
      </c>
      <c r="E4729">
        <v>7737322631</v>
      </c>
      <c r="F4729" t="s">
        <v>474</v>
      </c>
      <c r="G4729" t="s">
        <v>475</v>
      </c>
      <c r="I4729" t="s">
        <v>132</v>
      </c>
      <c r="J4729" s="13">
        <v>46069</v>
      </c>
      <c r="K4729" s="13">
        <v>46082</v>
      </c>
      <c r="L4729" t="s">
        <v>470</v>
      </c>
      <c r="M4729" t="s">
        <v>60</v>
      </c>
      <c r="N4729">
        <v>74399953</v>
      </c>
    </row>
    <row r="4730" spans="1:14" x14ac:dyDescent="0.25">
      <c r="A4730">
        <v>60635203</v>
      </c>
      <c r="B4730" t="s">
        <v>10476</v>
      </c>
      <c r="C4730" t="s">
        <v>10477</v>
      </c>
      <c r="D4730" t="s">
        <v>10478</v>
      </c>
      <c r="E4730">
        <v>9795998846</v>
      </c>
      <c r="F4730" t="s">
        <v>551</v>
      </c>
      <c r="G4730" t="s">
        <v>552</v>
      </c>
      <c r="I4730" t="s">
        <v>42</v>
      </c>
      <c r="J4730" s="13">
        <v>46069</v>
      </c>
      <c r="K4730" s="13">
        <v>46082</v>
      </c>
      <c r="L4730" t="s">
        <v>444</v>
      </c>
      <c r="M4730" t="s">
        <v>56</v>
      </c>
      <c r="N4730">
        <v>74400423</v>
      </c>
    </row>
    <row r="4731" spans="1:14" x14ac:dyDescent="0.25">
      <c r="A4731">
        <v>60635184</v>
      </c>
      <c r="B4731" t="s">
        <v>10479</v>
      </c>
      <c r="C4731" t="s">
        <v>10480</v>
      </c>
      <c r="D4731" t="s">
        <v>10481</v>
      </c>
      <c r="E4731">
        <v>9547400806</v>
      </c>
      <c r="F4731" t="s">
        <v>780</v>
      </c>
      <c r="G4731" t="s">
        <v>781</v>
      </c>
      <c r="I4731" t="s">
        <v>20</v>
      </c>
      <c r="J4731" s="13">
        <v>46069</v>
      </c>
      <c r="K4731" s="13">
        <v>46082</v>
      </c>
      <c r="L4731" t="s">
        <v>497</v>
      </c>
      <c r="M4731" t="s">
        <v>58</v>
      </c>
      <c r="N4731">
        <v>74400426</v>
      </c>
    </row>
    <row r="4732" spans="1:14" x14ac:dyDescent="0.25">
      <c r="A4732">
        <v>60635234</v>
      </c>
      <c r="B4732" t="s">
        <v>1167</v>
      </c>
      <c r="C4732" t="s">
        <v>1220</v>
      </c>
      <c r="D4732" t="s">
        <v>10482</v>
      </c>
      <c r="E4732">
        <v>5126698779</v>
      </c>
      <c r="F4732" t="s">
        <v>790</v>
      </c>
      <c r="G4732" t="s">
        <v>791</v>
      </c>
      <c r="I4732" t="s">
        <v>119</v>
      </c>
      <c r="J4732" s="13">
        <v>46069</v>
      </c>
      <c r="K4732" s="13">
        <v>46082</v>
      </c>
      <c r="L4732" t="s">
        <v>444</v>
      </c>
      <c r="M4732" t="s">
        <v>59</v>
      </c>
      <c r="N4732">
        <v>74400451</v>
      </c>
    </row>
    <row r="4733" spans="1:14" x14ac:dyDescent="0.25">
      <c r="A4733">
        <v>60635318</v>
      </c>
      <c r="B4733" t="s">
        <v>1643</v>
      </c>
      <c r="C4733" t="s">
        <v>10483</v>
      </c>
      <c r="D4733" t="s">
        <v>10484</v>
      </c>
      <c r="E4733">
        <v>4693357191</v>
      </c>
      <c r="F4733" t="s">
        <v>628</v>
      </c>
      <c r="G4733" t="s">
        <v>629</v>
      </c>
      <c r="I4733" t="s">
        <v>24</v>
      </c>
      <c r="J4733" s="13">
        <v>46069</v>
      </c>
      <c r="K4733" s="13">
        <v>46082</v>
      </c>
      <c r="L4733" t="s">
        <v>612</v>
      </c>
      <c r="M4733" t="s">
        <v>58</v>
      </c>
      <c r="N4733">
        <v>74400539</v>
      </c>
    </row>
    <row r="4734" spans="1:14" x14ac:dyDescent="0.25">
      <c r="A4734">
        <v>60640963</v>
      </c>
      <c r="B4734" t="s">
        <v>925</v>
      </c>
      <c r="C4734" t="s">
        <v>10485</v>
      </c>
      <c r="D4734" t="s">
        <v>10486</v>
      </c>
      <c r="E4734">
        <v>9549823361</v>
      </c>
      <c r="F4734" t="s">
        <v>474</v>
      </c>
      <c r="G4734" t="s">
        <v>475</v>
      </c>
      <c r="I4734" t="s">
        <v>132</v>
      </c>
      <c r="J4734" s="13">
        <v>46070</v>
      </c>
      <c r="K4734" s="13">
        <v>46082</v>
      </c>
      <c r="L4734" t="s">
        <v>497</v>
      </c>
      <c r="M4734" t="s">
        <v>56</v>
      </c>
      <c r="N4734">
        <v>74405242</v>
      </c>
    </row>
    <row r="4735" spans="1:14" x14ac:dyDescent="0.25">
      <c r="A4735">
        <v>60640989</v>
      </c>
      <c r="B4735" t="s">
        <v>1408</v>
      </c>
      <c r="C4735" t="s">
        <v>877</v>
      </c>
      <c r="D4735" t="s">
        <v>10487</v>
      </c>
      <c r="E4735">
        <v>8702990109</v>
      </c>
      <c r="F4735" t="s">
        <v>448</v>
      </c>
      <c r="G4735" t="s">
        <v>449</v>
      </c>
      <c r="I4735" t="s">
        <v>31</v>
      </c>
      <c r="J4735" s="13">
        <v>46070</v>
      </c>
      <c r="K4735" s="13">
        <v>46082</v>
      </c>
      <c r="L4735" t="s">
        <v>553</v>
      </c>
      <c r="M4735" t="s">
        <v>58</v>
      </c>
      <c r="N4735">
        <v>74405258</v>
      </c>
    </row>
    <row r="4736" spans="1:14" x14ac:dyDescent="0.25">
      <c r="A4736">
        <v>60641636</v>
      </c>
      <c r="B4736" t="s">
        <v>2128</v>
      </c>
      <c r="C4736" t="s">
        <v>10488</v>
      </c>
      <c r="D4736" t="s">
        <v>10489</v>
      </c>
      <c r="E4736">
        <v>6067898523</v>
      </c>
      <c r="F4736" t="s">
        <v>705</v>
      </c>
      <c r="G4736" t="s">
        <v>706</v>
      </c>
      <c r="I4736" t="s">
        <v>12</v>
      </c>
      <c r="J4736" s="13">
        <v>46070</v>
      </c>
      <c r="K4736" s="13">
        <v>46082</v>
      </c>
      <c r="L4736" t="s">
        <v>490</v>
      </c>
      <c r="M4736" t="s">
        <v>61</v>
      </c>
      <c r="N4736">
        <v>74405733</v>
      </c>
    </row>
    <row r="4737" spans="1:14" x14ac:dyDescent="0.25">
      <c r="A4737">
        <v>60642563</v>
      </c>
      <c r="B4737" t="s">
        <v>10490</v>
      </c>
      <c r="C4737" t="s">
        <v>3858</v>
      </c>
      <c r="D4737" t="s">
        <v>10491</v>
      </c>
      <c r="E4737">
        <v>5015514806</v>
      </c>
      <c r="F4737" t="s">
        <v>649</v>
      </c>
      <c r="G4737" t="s">
        <v>650</v>
      </c>
      <c r="I4737" t="s">
        <v>28</v>
      </c>
      <c r="J4737" s="13">
        <v>46070</v>
      </c>
      <c r="K4737" s="13">
        <v>46082</v>
      </c>
      <c r="L4737" t="s">
        <v>553</v>
      </c>
      <c r="M4737" t="s">
        <v>58</v>
      </c>
      <c r="N4737">
        <v>74406406</v>
      </c>
    </row>
    <row r="4738" spans="1:14" x14ac:dyDescent="0.25">
      <c r="A4738">
        <v>60643254</v>
      </c>
      <c r="B4738" t="s">
        <v>521</v>
      </c>
      <c r="C4738" t="s">
        <v>10492</v>
      </c>
      <c r="D4738" t="s">
        <v>10493</v>
      </c>
      <c r="E4738">
        <v>2562024052</v>
      </c>
      <c r="F4738" t="s">
        <v>569</v>
      </c>
      <c r="G4738" t="s">
        <v>570</v>
      </c>
      <c r="I4738" t="s">
        <v>34</v>
      </c>
      <c r="J4738" s="13">
        <v>46070</v>
      </c>
      <c r="K4738" s="13">
        <v>46082</v>
      </c>
      <c r="L4738" t="s">
        <v>450</v>
      </c>
      <c r="M4738" t="s">
        <v>56</v>
      </c>
      <c r="N4738">
        <v>74406968</v>
      </c>
    </row>
    <row r="4739" spans="1:14" x14ac:dyDescent="0.25">
      <c r="A4739">
        <v>60643362</v>
      </c>
      <c r="B4739" t="s">
        <v>4271</v>
      </c>
      <c r="C4739" t="s">
        <v>10494</v>
      </c>
      <c r="D4739" t="s">
        <v>10495</v>
      </c>
      <c r="E4739">
        <v>5203700662</v>
      </c>
      <c r="F4739" t="s">
        <v>1013</v>
      </c>
      <c r="G4739" t="s">
        <v>1014</v>
      </c>
      <c r="I4739" t="s">
        <v>43</v>
      </c>
      <c r="J4739" s="13">
        <v>46070</v>
      </c>
      <c r="K4739" s="13">
        <v>46082</v>
      </c>
      <c r="L4739" t="s">
        <v>1179</v>
      </c>
      <c r="M4739" t="s">
        <v>59</v>
      </c>
      <c r="N4739">
        <v>74407055</v>
      </c>
    </row>
    <row r="4740" spans="1:14" x14ac:dyDescent="0.25">
      <c r="A4740">
        <v>60643780</v>
      </c>
      <c r="B4740" t="s">
        <v>2882</v>
      </c>
      <c r="C4740" t="s">
        <v>10496</v>
      </c>
      <c r="D4740" t="s">
        <v>10497</v>
      </c>
      <c r="E4740">
        <v>7733088906</v>
      </c>
      <c r="F4740" t="s">
        <v>551</v>
      </c>
      <c r="G4740" t="s">
        <v>552</v>
      </c>
      <c r="I4740" t="s">
        <v>42</v>
      </c>
      <c r="J4740" s="13">
        <v>46070</v>
      </c>
      <c r="K4740" s="13">
        <v>46082</v>
      </c>
      <c r="L4740" t="s">
        <v>470</v>
      </c>
      <c r="M4740" t="s">
        <v>56</v>
      </c>
      <c r="N4740">
        <v>74407358</v>
      </c>
    </row>
    <row r="4741" spans="1:14" x14ac:dyDescent="0.25">
      <c r="A4741">
        <v>60644599</v>
      </c>
      <c r="B4741" t="s">
        <v>1041</v>
      </c>
      <c r="C4741" t="s">
        <v>10498</v>
      </c>
      <c r="D4741" t="s">
        <v>10499</v>
      </c>
      <c r="E4741">
        <v>7274332614</v>
      </c>
      <c r="F4741" t="s">
        <v>770</v>
      </c>
      <c r="G4741" t="s">
        <v>771</v>
      </c>
      <c r="I4741" t="s">
        <v>25</v>
      </c>
      <c r="J4741" s="13">
        <v>46070</v>
      </c>
      <c r="K4741" s="13">
        <v>46082</v>
      </c>
      <c r="L4741" t="s">
        <v>497</v>
      </c>
      <c r="M4741" t="s">
        <v>54</v>
      </c>
      <c r="N4741">
        <v>74408157</v>
      </c>
    </row>
    <row r="4742" spans="1:14" x14ac:dyDescent="0.25">
      <c r="A4742">
        <v>60645435</v>
      </c>
      <c r="B4742" t="s">
        <v>8475</v>
      </c>
      <c r="C4742" t="s">
        <v>10500</v>
      </c>
      <c r="D4742" t="s">
        <v>10501</v>
      </c>
      <c r="E4742">
        <v>5136028112</v>
      </c>
      <c r="F4742" t="s">
        <v>551</v>
      </c>
      <c r="G4742" t="s">
        <v>552</v>
      </c>
      <c r="I4742" t="s">
        <v>42</v>
      </c>
      <c r="J4742" s="13">
        <v>46070</v>
      </c>
      <c r="K4742" s="13">
        <v>46082</v>
      </c>
      <c r="L4742" t="s">
        <v>418</v>
      </c>
      <c r="M4742" t="s">
        <v>56</v>
      </c>
      <c r="N4742">
        <v>74408805</v>
      </c>
    </row>
    <row r="4743" spans="1:14" x14ac:dyDescent="0.25">
      <c r="A4743">
        <v>60645721</v>
      </c>
      <c r="B4743" t="s">
        <v>4617</v>
      </c>
      <c r="C4743" t="s">
        <v>10502</v>
      </c>
      <c r="D4743" t="s">
        <v>10503</v>
      </c>
      <c r="E4743">
        <v>2706650033</v>
      </c>
      <c r="F4743" t="s">
        <v>574</v>
      </c>
      <c r="G4743" t="s">
        <v>575</v>
      </c>
      <c r="I4743" t="s">
        <v>14</v>
      </c>
      <c r="J4743" s="13">
        <v>46070</v>
      </c>
      <c r="K4743" s="13">
        <v>46082</v>
      </c>
      <c r="L4743" t="s">
        <v>490</v>
      </c>
      <c r="M4743" t="s">
        <v>56</v>
      </c>
      <c r="N4743">
        <v>74409053</v>
      </c>
    </row>
    <row r="4744" spans="1:14" x14ac:dyDescent="0.25">
      <c r="A4744">
        <v>60646009</v>
      </c>
      <c r="B4744" t="s">
        <v>1148</v>
      </c>
      <c r="C4744" t="s">
        <v>10411</v>
      </c>
      <c r="D4744" t="s">
        <v>10504</v>
      </c>
      <c r="E4744">
        <v>5202822198</v>
      </c>
      <c r="F4744" t="s">
        <v>780</v>
      </c>
      <c r="G4744" t="s">
        <v>781</v>
      </c>
      <c r="I4744" t="s">
        <v>20</v>
      </c>
      <c r="J4744" s="13">
        <v>46070</v>
      </c>
      <c r="K4744" s="13">
        <v>46082</v>
      </c>
      <c r="L4744" t="s">
        <v>1179</v>
      </c>
      <c r="M4744" t="s">
        <v>54</v>
      </c>
      <c r="N4744">
        <v>74409289</v>
      </c>
    </row>
    <row r="4745" spans="1:14" x14ac:dyDescent="0.25">
      <c r="A4745">
        <v>60646120</v>
      </c>
      <c r="B4745" t="s">
        <v>5657</v>
      </c>
      <c r="C4745" t="s">
        <v>10505</v>
      </c>
      <c r="D4745" t="s">
        <v>10506</v>
      </c>
      <c r="E4745">
        <v>3302064083</v>
      </c>
      <c r="F4745" t="s">
        <v>688</v>
      </c>
      <c r="G4745" t="s">
        <v>10291</v>
      </c>
      <c r="I4745" t="s">
        <v>48</v>
      </c>
      <c r="J4745" s="13">
        <v>46070</v>
      </c>
      <c r="K4745" s="13">
        <v>46082</v>
      </c>
      <c r="L4745" t="s">
        <v>418</v>
      </c>
      <c r="M4745" t="s">
        <v>59</v>
      </c>
      <c r="N4745">
        <v>74409382</v>
      </c>
    </row>
    <row r="4746" spans="1:14" x14ac:dyDescent="0.25">
      <c r="A4746">
        <v>60646291</v>
      </c>
      <c r="B4746" t="s">
        <v>9221</v>
      </c>
      <c r="C4746" t="s">
        <v>10507</v>
      </c>
      <c r="D4746" t="s">
        <v>10508</v>
      </c>
      <c r="E4746">
        <v>9549807386</v>
      </c>
      <c r="F4746" t="s">
        <v>569</v>
      </c>
      <c r="G4746" t="s">
        <v>570</v>
      </c>
      <c r="I4746" t="s">
        <v>34</v>
      </c>
      <c r="J4746" s="13">
        <v>46070</v>
      </c>
      <c r="K4746" s="13">
        <v>46082</v>
      </c>
      <c r="L4746" t="s">
        <v>497</v>
      </c>
      <c r="M4746" t="s">
        <v>54</v>
      </c>
      <c r="N4746">
        <v>74409499</v>
      </c>
    </row>
    <row r="4747" spans="1:14" x14ac:dyDescent="0.25">
      <c r="A4747">
        <v>60646292</v>
      </c>
      <c r="B4747" t="s">
        <v>10509</v>
      </c>
      <c r="C4747" t="s">
        <v>2335</v>
      </c>
      <c r="D4747" t="s">
        <v>10510</v>
      </c>
      <c r="E4747">
        <v>3344254356</v>
      </c>
      <c r="F4747" t="s">
        <v>2544</v>
      </c>
      <c r="G4747" t="s">
        <v>4833</v>
      </c>
      <c r="I4747" t="s">
        <v>18</v>
      </c>
      <c r="J4747" s="13">
        <v>46070</v>
      </c>
      <c r="K4747" s="13">
        <v>46082</v>
      </c>
      <c r="L4747" t="s">
        <v>450</v>
      </c>
      <c r="M4747" t="s">
        <v>59</v>
      </c>
      <c r="N4747">
        <v>74409502</v>
      </c>
    </row>
    <row r="4748" spans="1:14" x14ac:dyDescent="0.25">
      <c r="A4748">
        <v>60646647</v>
      </c>
      <c r="B4748" t="s">
        <v>4387</v>
      </c>
      <c r="C4748" t="s">
        <v>10511</v>
      </c>
      <c r="D4748" t="s">
        <v>10512</v>
      </c>
      <c r="E4748">
        <v>3305241035</v>
      </c>
      <c r="F4748" t="s">
        <v>705</v>
      </c>
      <c r="G4748" t="s">
        <v>706</v>
      </c>
      <c r="I4748" t="s">
        <v>12</v>
      </c>
      <c r="J4748" s="13">
        <v>46070</v>
      </c>
      <c r="K4748" s="13">
        <v>46082</v>
      </c>
      <c r="L4748" t="s">
        <v>418</v>
      </c>
      <c r="M4748" t="s">
        <v>56</v>
      </c>
      <c r="N4748">
        <v>74409733</v>
      </c>
    </row>
    <row r="4749" spans="1:14" x14ac:dyDescent="0.25">
      <c r="A4749">
        <v>60647558</v>
      </c>
      <c r="B4749" t="s">
        <v>4480</v>
      </c>
      <c r="C4749" t="s">
        <v>10513</v>
      </c>
      <c r="D4749" t="s">
        <v>10514</v>
      </c>
      <c r="E4749">
        <v>7193712140</v>
      </c>
      <c r="F4749" t="s">
        <v>649</v>
      </c>
      <c r="G4749" t="s">
        <v>650</v>
      </c>
      <c r="I4749" t="s">
        <v>28</v>
      </c>
      <c r="J4749" s="13">
        <v>46070</v>
      </c>
      <c r="K4749" s="13">
        <v>46082</v>
      </c>
      <c r="L4749" t="s">
        <v>539</v>
      </c>
      <c r="M4749" t="s">
        <v>58</v>
      </c>
      <c r="N4749">
        <v>74410646</v>
      </c>
    </row>
    <row r="4750" spans="1:14" x14ac:dyDescent="0.25">
      <c r="A4750">
        <v>60647736</v>
      </c>
      <c r="B4750" t="s">
        <v>10515</v>
      </c>
      <c r="C4750" t="s">
        <v>10516</v>
      </c>
      <c r="D4750" t="s">
        <v>10517</v>
      </c>
      <c r="E4750">
        <v>6025610529</v>
      </c>
      <c r="F4750" t="s">
        <v>448</v>
      </c>
      <c r="G4750" t="s">
        <v>449</v>
      </c>
      <c r="I4750" t="s">
        <v>31</v>
      </c>
      <c r="J4750" s="13">
        <v>46070</v>
      </c>
      <c r="K4750" s="13">
        <v>46082</v>
      </c>
      <c r="L4750" t="s">
        <v>1179</v>
      </c>
      <c r="M4750" t="s">
        <v>54</v>
      </c>
      <c r="N4750">
        <v>74410921</v>
      </c>
    </row>
    <row r="4751" spans="1:14" x14ac:dyDescent="0.25">
      <c r="A4751">
        <v>60647763</v>
      </c>
      <c r="B4751" t="s">
        <v>6760</v>
      </c>
      <c r="C4751" t="s">
        <v>4735</v>
      </c>
      <c r="D4751" t="s">
        <v>10518</v>
      </c>
      <c r="E4751">
        <v>2708893374</v>
      </c>
      <c r="F4751" t="s">
        <v>474</v>
      </c>
      <c r="G4751" t="s">
        <v>475</v>
      </c>
      <c r="I4751" t="s">
        <v>132</v>
      </c>
      <c r="J4751" s="13">
        <v>46070</v>
      </c>
      <c r="K4751" s="13">
        <v>46082</v>
      </c>
      <c r="L4751" t="s">
        <v>490</v>
      </c>
      <c r="M4751" t="s">
        <v>61</v>
      </c>
      <c r="N4751">
        <v>74410950</v>
      </c>
    </row>
    <row r="4752" spans="1:14" x14ac:dyDescent="0.25">
      <c r="A4752">
        <v>60647931</v>
      </c>
      <c r="B4752" t="s">
        <v>552</v>
      </c>
      <c r="C4752" t="s">
        <v>10519</v>
      </c>
      <c r="D4752" t="s">
        <v>10520</v>
      </c>
      <c r="E4752">
        <v>5205510248</v>
      </c>
      <c r="F4752" t="s">
        <v>1013</v>
      </c>
      <c r="G4752" t="s">
        <v>1014</v>
      </c>
      <c r="I4752" t="s">
        <v>43</v>
      </c>
      <c r="J4752" s="13">
        <v>46070</v>
      </c>
      <c r="K4752" s="13">
        <v>46082</v>
      </c>
      <c r="L4752" t="s">
        <v>1179</v>
      </c>
      <c r="M4752" t="s">
        <v>59</v>
      </c>
      <c r="N4752">
        <v>74411069</v>
      </c>
    </row>
    <row r="4753" spans="1:14" x14ac:dyDescent="0.25">
      <c r="A4753">
        <v>60652870</v>
      </c>
      <c r="B4753" t="s">
        <v>10521</v>
      </c>
      <c r="C4753" t="s">
        <v>10522</v>
      </c>
      <c r="D4753" t="s">
        <v>10523</v>
      </c>
      <c r="E4753">
        <v>9286514651</v>
      </c>
      <c r="F4753" t="s">
        <v>574</v>
      </c>
      <c r="G4753" t="s">
        <v>575</v>
      </c>
      <c r="I4753" t="s">
        <v>14</v>
      </c>
      <c r="J4753" s="13">
        <v>46070</v>
      </c>
      <c r="K4753" s="13">
        <v>46082</v>
      </c>
      <c r="L4753" t="s">
        <v>1179</v>
      </c>
      <c r="M4753" t="s">
        <v>56</v>
      </c>
      <c r="N4753">
        <v>74415273</v>
      </c>
    </row>
    <row r="4754" spans="1:14" x14ac:dyDescent="0.25">
      <c r="A4754">
        <v>60655221</v>
      </c>
      <c r="B4754" t="s">
        <v>3607</v>
      </c>
      <c r="C4754" t="s">
        <v>4328</v>
      </c>
      <c r="D4754" t="s">
        <v>10524</v>
      </c>
      <c r="E4754">
        <v>6145072834</v>
      </c>
      <c r="F4754" t="s">
        <v>551</v>
      </c>
      <c r="G4754" t="s">
        <v>552</v>
      </c>
      <c r="I4754" t="s">
        <v>42</v>
      </c>
      <c r="J4754" s="13">
        <v>46070</v>
      </c>
      <c r="K4754" s="13">
        <v>46082</v>
      </c>
      <c r="L4754" t="s">
        <v>418</v>
      </c>
      <c r="M4754" t="s">
        <v>60</v>
      </c>
      <c r="N4754">
        <v>74416789</v>
      </c>
    </row>
    <row r="4755" spans="1:14" x14ac:dyDescent="0.25">
      <c r="A4755">
        <v>60656462</v>
      </c>
      <c r="B4755" t="s">
        <v>1167</v>
      </c>
      <c r="C4755" t="s">
        <v>10525</v>
      </c>
      <c r="D4755" t="s">
        <v>10526</v>
      </c>
      <c r="E4755">
        <v>6023156249</v>
      </c>
      <c r="F4755" t="s">
        <v>705</v>
      </c>
      <c r="G4755" t="s">
        <v>706</v>
      </c>
      <c r="I4755" t="s">
        <v>12</v>
      </c>
      <c r="J4755" s="13">
        <v>46070</v>
      </c>
      <c r="K4755" s="13">
        <v>46082</v>
      </c>
      <c r="L4755" t="s">
        <v>1179</v>
      </c>
      <c r="M4755" t="s">
        <v>59</v>
      </c>
      <c r="N4755">
        <v>74420076</v>
      </c>
    </row>
    <row r="4756" spans="1:14" x14ac:dyDescent="0.25">
      <c r="A4756">
        <v>60656498</v>
      </c>
      <c r="B4756" t="s">
        <v>10527</v>
      </c>
      <c r="C4756" t="s">
        <v>6054</v>
      </c>
      <c r="D4756" t="s">
        <v>10528</v>
      </c>
      <c r="E4756">
        <v>5615583694</v>
      </c>
      <c r="F4756" t="s">
        <v>1067</v>
      </c>
      <c r="G4756" t="s">
        <v>1068</v>
      </c>
      <c r="I4756" t="s">
        <v>35</v>
      </c>
      <c r="J4756" s="13">
        <v>46070</v>
      </c>
      <c r="K4756" s="13">
        <v>46082</v>
      </c>
      <c r="L4756" t="s">
        <v>497</v>
      </c>
      <c r="M4756" t="s">
        <v>56</v>
      </c>
      <c r="N4756">
        <v>74420085</v>
      </c>
    </row>
    <row r="4757" spans="1:14" x14ac:dyDescent="0.25">
      <c r="A4757">
        <v>60656537</v>
      </c>
      <c r="B4757" t="s">
        <v>2956</v>
      </c>
      <c r="C4757" t="s">
        <v>4536</v>
      </c>
      <c r="D4757" t="s">
        <v>10529</v>
      </c>
      <c r="E4757">
        <v>6362418718</v>
      </c>
      <c r="F4757" t="s">
        <v>628</v>
      </c>
      <c r="G4757" t="s">
        <v>629</v>
      </c>
      <c r="I4757" t="s">
        <v>24</v>
      </c>
      <c r="J4757" s="13">
        <v>46070</v>
      </c>
      <c r="K4757" s="13">
        <v>46082</v>
      </c>
      <c r="L4757" t="s">
        <v>434</v>
      </c>
      <c r="M4757" t="s">
        <v>58</v>
      </c>
      <c r="N4757">
        <v>74420108</v>
      </c>
    </row>
    <row r="4758" spans="1:14" x14ac:dyDescent="0.25">
      <c r="A4758">
        <v>60656627</v>
      </c>
      <c r="B4758" t="s">
        <v>8166</v>
      </c>
      <c r="C4758" t="s">
        <v>10530</v>
      </c>
      <c r="D4758" t="s">
        <v>10531</v>
      </c>
      <c r="E4758">
        <v>4699777160</v>
      </c>
      <c r="F4758" t="s">
        <v>688</v>
      </c>
      <c r="G4758" t="s">
        <v>10291</v>
      </c>
      <c r="I4758" t="s">
        <v>48</v>
      </c>
      <c r="J4758" s="13">
        <v>46070</v>
      </c>
      <c r="K4758" s="13">
        <v>46082</v>
      </c>
      <c r="L4758" t="s">
        <v>444</v>
      </c>
      <c r="M4758" t="s">
        <v>55</v>
      </c>
      <c r="N4758">
        <v>74420194</v>
      </c>
    </row>
    <row r="4759" spans="1:14" x14ac:dyDescent="0.25">
      <c r="A4759">
        <v>60656771</v>
      </c>
      <c r="B4759" t="s">
        <v>730</v>
      </c>
      <c r="C4759" t="s">
        <v>688</v>
      </c>
      <c r="D4759" t="s">
        <v>10532</v>
      </c>
      <c r="E4759">
        <v>4143997437</v>
      </c>
      <c r="F4759" t="s">
        <v>474</v>
      </c>
      <c r="G4759" t="s">
        <v>475</v>
      </c>
      <c r="I4759" t="s">
        <v>132</v>
      </c>
      <c r="J4759" s="13">
        <v>46070</v>
      </c>
      <c r="K4759" s="13">
        <v>46082</v>
      </c>
      <c r="L4759" t="s">
        <v>675</v>
      </c>
      <c r="M4759" t="s">
        <v>61</v>
      </c>
      <c r="N4759">
        <v>74420298</v>
      </c>
    </row>
    <row r="4760" spans="1:14" x14ac:dyDescent="0.25">
      <c r="A4760">
        <v>60656882</v>
      </c>
      <c r="B4760" t="s">
        <v>8152</v>
      </c>
      <c r="C4760" t="s">
        <v>10533</v>
      </c>
      <c r="D4760" t="s">
        <v>10534</v>
      </c>
      <c r="E4760">
        <v>5204066628</v>
      </c>
      <c r="F4760" t="s">
        <v>448</v>
      </c>
      <c r="G4760" t="s">
        <v>449</v>
      </c>
      <c r="I4760" t="s">
        <v>31</v>
      </c>
      <c r="J4760" s="13">
        <v>46070</v>
      </c>
      <c r="K4760" s="13">
        <v>46082</v>
      </c>
      <c r="L4760" t="s">
        <v>1179</v>
      </c>
      <c r="M4760" t="s">
        <v>59</v>
      </c>
      <c r="N4760">
        <v>74420382</v>
      </c>
    </row>
    <row r="4761" spans="1:14" x14ac:dyDescent="0.25">
      <c r="A4761">
        <v>60657876</v>
      </c>
      <c r="B4761" t="s">
        <v>8956</v>
      </c>
      <c r="C4761" t="s">
        <v>10535</v>
      </c>
      <c r="D4761" t="s">
        <v>10536</v>
      </c>
      <c r="E4761">
        <v>5207543928</v>
      </c>
      <c r="F4761" t="s">
        <v>537</v>
      </c>
      <c r="G4761" t="s">
        <v>538</v>
      </c>
      <c r="I4761" t="s">
        <v>49</v>
      </c>
      <c r="J4761" s="13">
        <v>46070</v>
      </c>
      <c r="K4761" s="13">
        <v>46082</v>
      </c>
      <c r="L4761" t="s">
        <v>1179</v>
      </c>
      <c r="M4761" t="s">
        <v>59</v>
      </c>
      <c r="N4761">
        <v>74420833</v>
      </c>
    </row>
    <row r="4762" spans="1:14" x14ac:dyDescent="0.25">
      <c r="A4762">
        <v>60658006</v>
      </c>
      <c r="B4762" t="s">
        <v>3017</v>
      </c>
      <c r="C4762" t="s">
        <v>10537</v>
      </c>
      <c r="D4762" t="s">
        <v>10538</v>
      </c>
      <c r="E4762">
        <v>6603417502</v>
      </c>
      <c r="F4762" t="s">
        <v>828</v>
      </c>
      <c r="G4762" t="s">
        <v>1148</v>
      </c>
      <c r="I4762" t="s">
        <v>17</v>
      </c>
      <c r="J4762" s="13">
        <v>46070</v>
      </c>
      <c r="K4762" s="13">
        <v>46082</v>
      </c>
      <c r="L4762" t="s">
        <v>434</v>
      </c>
      <c r="M4762" t="s">
        <v>56</v>
      </c>
      <c r="N4762">
        <v>74420930</v>
      </c>
    </row>
    <row r="4763" spans="1:14" x14ac:dyDescent="0.25">
      <c r="A4763">
        <v>60658990</v>
      </c>
      <c r="B4763" t="s">
        <v>1635</v>
      </c>
      <c r="C4763" t="s">
        <v>5897</v>
      </c>
      <c r="D4763" t="s">
        <v>10539</v>
      </c>
      <c r="E4763">
        <v>2082979693</v>
      </c>
      <c r="F4763" t="s">
        <v>574</v>
      </c>
      <c r="G4763" t="s">
        <v>575</v>
      </c>
      <c r="I4763" t="s">
        <v>14</v>
      </c>
      <c r="J4763" s="13">
        <v>46070</v>
      </c>
      <c r="K4763" s="13">
        <v>46082</v>
      </c>
      <c r="L4763" t="s">
        <v>553</v>
      </c>
      <c r="M4763" t="s">
        <v>56</v>
      </c>
      <c r="N4763">
        <v>74421413</v>
      </c>
    </row>
    <row r="4764" spans="1:14" x14ac:dyDescent="0.25">
      <c r="A4764">
        <v>60659587</v>
      </c>
      <c r="B4764" t="s">
        <v>9204</v>
      </c>
      <c r="C4764" t="s">
        <v>10540</v>
      </c>
      <c r="D4764" t="s">
        <v>10541</v>
      </c>
      <c r="E4764">
        <v>6062763765</v>
      </c>
      <c r="F4764" t="s">
        <v>790</v>
      </c>
      <c r="G4764" t="s">
        <v>791</v>
      </c>
      <c r="I4764" t="s">
        <v>119</v>
      </c>
      <c r="J4764" s="13">
        <v>46070</v>
      </c>
      <c r="K4764" s="13">
        <v>46082</v>
      </c>
      <c r="L4764" t="s">
        <v>490</v>
      </c>
      <c r="M4764" t="s">
        <v>59</v>
      </c>
      <c r="N4764">
        <v>74421749</v>
      </c>
    </row>
    <row r="4765" spans="1:14" x14ac:dyDescent="0.25">
      <c r="A4765">
        <v>60665553</v>
      </c>
      <c r="B4765" t="s">
        <v>791</v>
      </c>
      <c r="C4765" t="s">
        <v>10542</v>
      </c>
      <c r="D4765" t="s">
        <v>10543</v>
      </c>
      <c r="E4765">
        <v>5614944279</v>
      </c>
      <c r="F4765" t="s">
        <v>416</v>
      </c>
      <c r="G4765" t="s">
        <v>417</v>
      </c>
      <c r="I4765" t="s">
        <v>26</v>
      </c>
      <c r="J4765" s="13">
        <v>46071</v>
      </c>
      <c r="K4765" s="13">
        <v>46082</v>
      </c>
      <c r="L4765" t="s">
        <v>497</v>
      </c>
      <c r="M4765" t="s">
        <v>54</v>
      </c>
      <c r="N4765">
        <v>74425544</v>
      </c>
    </row>
    <row r="4766" spans="1:14" x14ac:dyDescent="0.25">
      <c r="A4766">
        <v>60665908</v>
      </c>
      <c r="B4766" t="s">
        <v>10544</v>
      </c>
      <c r="C4766" t="s">
        <v>8821</v>
      </c>
      <c r="D4766" t="s">
        <v>10545</v>
      </c>
      <c r="E4766">
        <v>6783688992</v>
      </c>
      <c r="F4766" t="s">
        <v>928</v>
      </c>
      <c r="G4766" t="s">
        <v>929</v>
      </c>
      <c r="I4766" t="s">
        <v>30</v>
      </c>
      <c r="J4766" s="13">
        <v>46071</v>
      </c>
      <c r="K4766" s="13">
        <v>46082</v>
      </c>
      <c r="L4766" t="s">
        <v>621</v>
      </c>
      <c r="M4766" t="s">
        <v>59</v>
      </c>
      <c r="N4766">
        <v>74425832</v>
      </c>
    </row>
    <row r="4767" spans="1:14" x14ac:dyDescent="0.25">
      <c r="A4767">
        <v>60666300</v>
      </c>
      <c r="B4767" t="s">
        <v>8494</v>
      </c>
      <c r="C4767" t="s">
        <v>10546</v>
      </c>
      <c r="D4767" t="s">
        <v>10547</v>
      </c>
      <c r="E4767" t="s">
        <v>10548</v>
      </c>
      <c r="F4767" t="s">
        <v>705</v>
      </c>
      <c r="G4767" t="s">
        <v>706</v>
      </c>
      <c r="I4767" t="s">
        <v>12</v>
      </c>
      <c r="J4767" s="13">
        <v>46071</v>
      </c>
      <c r="K4767" s="13">
        <v>46082</v>
      </c>
      <c r="L4767" t="s">
        <v>553</v>
      </c>
      <c r="M4767" t="s">
        <v>56</v>
      </c>
      <c r="N4767">
        <v>74426130</v>
      </c>
    </row>
    <row r="4768" spans="1:14" x14ac:dyDescent="0.25">
      <c r="A4768">
        <v>60666404</v>
      </c>
      <c r="B4768" t="s">
        <v>10549</v>
      </c>
      <c r="C4768" t="s">
        <v>10550</v>
      </c>
      <c r="D4768" t="s">
        <v>10551</v>
      </c>
      <c r="E4768">
        <v>9012824428</v>
      </c>
      <c r="F4768" t="s">
        <v>551</v>
      </c>
      <c r="G4768" t="s">
        <v>552</v>
      </c>
      <c r="I4768" t="s">
        <v>42</v>
      </c>
      <c r="J4768" s="13">
        <v>46071</v>
      </c>
      <c r="K4768" s="13">
        <v>46082</v>
      </c>
      <c r="L4768" t="s">
        <v>479</v>
      </c>
      <c r="M4768" t="s">
        <v>58</v>
      </c>
      <c r="N4768">
        <v>74426149</v>
      </c>
    </row>
    <row r="4769" spans="1:14" x14ac:dyDescent="0.25">
      <c r="A4769">
        <v>60666658</v>
      </c>
      <c r="B4769" t="s">
        <v>6316</v>
      </c>
      <c r="C4769" t="s">
        <v>10552</v>
      </c>
      <c r="D4769" t="s">
        <v>10553</v>
      </c>
      <c r="E4769">
        <v>6813852032</v>
      </c>
      <c r="F4769" t="s">
        <v>574</v>
      </c>
      <c r="G4769" t="s">
        <v>575</v>
      </c>
      <c r="I4769" t="s">
        <v>14</v>
      </c>
      <c r="J4769" s="13">
        <v>46071</v>
      </c>
      <c r="K4769" s="13">
        <v>46082</v>
      </c>
      <c r="L4769" t="s">
        <v>1188</v>
      </c>
      <c r="M4769" t="s">
        <v>58</v>
      </c>
      <c r="N4769">
        <v>74426381</v>
      </c>
    </row>
    <row r="4770" spans="1:14" x14ac:dyDescent="0.25">
      <c r="A4770">
        <v>60666799</v>
      </c>
      <c r="B4770" t="s">
        <v>1160</v>
      </c>
      <c r="C4770" t="s">
        <v>10554</v>
      </c>
      <c r="D4770" t="s">
        <v>10555</v>
      </c>
      <c r="E4770">
        <v>5205139240</v>
      </c>
      <c r="F4770" t="s">
        <v>416</v>
      </c>
      <c r="G4770" t="s">
        <v>417</v>
      </c>
      <c r="I4770" t="s">
        <v>26</v>
      </c>
      <c r="J4770" s="13">
        <v>46071</v>
      </c>
      <c r="K4770" s="13">
        <v>46082</v>
      </c>
      <c r="L4770" t="s">
        <v>1179</v>
      </c>
      <c r="M4770" t="s">
        <v>59</v>
      </c>
      <c r="N4770">
        <v>74426488</v>
      </c>
    </row>
    <row r="4771" spans="1:14" x14ac:dyDescent="0.25">
      <c r="A4771">
        <v>60667039</v>
      </c>
      <c r="B4771" t="s">
        <v>1445</v>
      </c>
      <c r="C4771" t="s">
        <v>10556</v>
      </c>
      <c r="D4771" t="s">
        <v>10557</v>
      </c>
      <c r="E4771">
        <v>5207051111</v>
      </c>
      <c r="F4771" t="s">
        <v>569</v>
      </c>
      <c r="G4771" t="s">
        <v>570</v>
      </c>
      <c r="I4771" t="s">
        <v>34</v>
      </c>
      <c r="J4771" s="13">
        <v>46071</v>
      </c>
      <c r="K4771" s="13">
        <v>46082</v>
      </c>
      <c r="L4771" t="s">
        <v>1179</v>
      </c>
      <c r="M4771" t="s">
        <v>54</v>
      </c>
      <c r="N4771">
        <v>74427332</v>
      </c>
    </row>
    <row r="4772" spans="1:14" x14ac:dyDescent="0.25">
      <c r="A4772">
        <v>60669792</v>
      </c>
      <c r="B4772" t="s">
        <v>10558</v>
      </c>
      <c r="C4772" t="s">
        <v>2967</v>
      </c>
      <c r="D4772" t="s">
        <v>10559</v>
      </c>
      <c r="E4772">
        <v>9282008405</v>
      </c>
      <c r="F4772" t="s">
        <v>448</v>
      </c>
      <c r="G4772" t="s">
        <v>449</v>
      </c>
      <c r="I4772" t="s">
        <v>31</v>
      </c>
      <c r="J4772" s="13">
        <v>46071</v>
      </c>
      <c r="K4772" s="13">
        <v>46082</v>
      </c>
      <c r="L4772" t="s">
        <v>1179</v>
      </c>
      <c r="M4772" t="s">
        <v>54</v>
      </c>
      <c r="N4772">
        <v>74430582</v>
      </c>
    </row>
    <row r="4773" spans="1:14" x14ac:dyDescent="0.25">
      <c r="A4773">
        <v>60669794</v>
      </c>
      <c r="B4773" t="s">
        <v>10560</v>
      </c>
      <c r="C4773" t="s">
        <v>10561</v>
      </c>
      <c r="D4773" t="s">
        <v>10562</v>
      </c>
      <c r="E4773">
        <v>2079049195</v>
      </c>
      <c r="F4773" t="s">
        <v>705</v>
      </c>
      <c r="G4773" t="s">
        <v>706</v>
      </c>
      <c r="I4773" t="s">
        <v>12</v>
      </c>
      <c r="J4773" s="13">
        <v>46071</v>
      </c>
      <c r="K4773" s="13">
        <v>46082</v>
      </c>
      <c r="L4773" t="s">
        <v>941</v>
      </c>
      <c r="M4773" t="s">
        <v>56</v>
      </c>
      <c r="N4773">
        <v>74430584</v>
      </c>
    </row>
    <row r="4774" spans="1:14" x14ac:dyDescent="0.25">
      <c r="A4774">
        <v>60670612</v>
      </c>
      <c r="B4774" t="s">
        <v>2674</v>
      </c>
      <c r="C4774" t="s">
        <v>10563</v>
      </c>
      <c r="D4774" t="s">
        <v>10564</v>
      </c>
      <c r="E4774">
        <v>5125082252</v>
      </c>
      <c r="F4774" t="s">
        <v>828</v>
      </c>
      <c r="G4774" t="s">
        <v>1148</v>
      </c>
      <c r="I4774" t="s">
        <v>17</v>
      </c>
      <c r="J4774" s="13">
        <v>46071</v>
      </c>
      <c r="K4774" s="13">
        <v>46082</v>
      </c>
      <c r="L4774" t="s">
        <v>444</v>
      </c>
      <c r="M4774" t="s">
        <v>59</v>
      </c>
      <c r="N4774">
        <v>74431265</v>
      </c>
    </row>
    <row r="4775" spans="1:14" x14ac:dyDescent="0.25">
      <c r="A4775">
        <v>60671002</v>
      </c>
      <c r="B4775" t="s">
        <v>2975</v>
      </c>
      <c r="C4775" t="s">
        <v>10565</v>
      </c>
      <c r="D4775" t="s">
        <v>10566</v>
      </c>
      <c r="E4775">
        <v>2109662757</v>
      </c>
      <c r="F4775" t="s">
        <v>551</v>
      </c>
      <c r="G4775" t="s">
        <v>552</v>
      </c>
      <c r="I4775" t="s">
        <v>42</v>
      </c>
      <c r="J4775" s="13">
        <v>46071</v>
      </c>
      <c r="K4775" s="13">
        <v>46082</v>
      </c>
      <c r="L4775" t="s">
        <v>444</v>
      </c>
      <c r="M4775" t="s">
        <v>419</v>
      </c>
      <c r="N4775">
        <v>74431547</v>
      </c>
    </row>
    <row r="4776" spans="1:14" x14ac:dyDescent="0.25">
      <c r="A4776">
        <v>60671534</v>
      </c>
      <c r="B4776" t="s">
        <v>4981</v>
      </c>
      <c r="C4776" t="s">
        <v>1220</v>
      </c>
      <c r="D4776" t="s">
        <v>10567</v>
      </c>
      <c r="E4776">
        <v>9047070186</v>
      </c>
      <c r="F4776" t="s">
        <v>1067</v>
      </c>
      <c r="G4776" t="s">
        <v>1068</v>
      </c>
      <c r="I4776" t="s">
        <v>35</v>
      </c>
      <c r="J4776" s="13">
        <v>46071</v>
      </c>
      <c r="K4776" s="13">
        <v>46082</v>
      </c>
      <c r="L4776" t="s">
        <v>497</v>
      </c>
      <c r="M4776" t="s">
        <v>61</v>
      </c>
      <c r="N4776">
        <v>74431917</v>
      </c>
    </row>
    <row r="4777" spans="1:14" x14ac:dyDescent="0.25">
      <c r="A4777">
        <v>60671627</v>
      </c>
      <c r="B4777" t="s">
        <v>8504</v>
      </c>
      <c r="C4777" t="s">
        <v>7179</v>
      </c>
      <c r="D4777" t="s">
        <v>10568</v>
      </c>
      <c r="E4777">
        <v>3052322322</v>
      </c>
      <c r="F4777" t="s">
        <v>10569</v>
      </c>
      <c r="G4777" t="s">
        <v>10570</v>
      </c>
      <c r="I4777" t="s">
        <v>29</v>
      </c>
      <c r="J4777" s="13">
        <v>46071</v>
      </c>
      <c r="K4777" s="13">
        <v>46082</v>
      </c>
      <c r="L4777" t="s">
        <v>497</v>
      </c>
      <c r="M4777" t="s">
        <v>60</v>
      </c>
      <c r="N4777">
        <v>74431983</v>
      </c>
    </row>
    <row r="4778" spans="1:14" x14ac:dyDescent="0.25">
      <c r="A4778">
        <v>60671825</v>
      </c>
      <c r="B4778" t="s">
        <v>2128</v>
      </c>
      <c r="C4778" t="s">
        <v>10571</v>
      </c>
      <c r="D4778" t="s">
        <v>10572</v>
      </c>
      <c r="E4778">
        <v>4807764919</v>
      </c>
      <c r="F4778" t="s">
        <v>807</v>
      </c>
      <c r="G4778" t="s">
        <v>808</v>
      </c>
      <c r="I4778" t="s">
        <v>33</v>
      </c>
      <c r="J4778" s="13">
        <v>46071</v>
      </c>
      <c r="K4778" s="13">
        <v>46082</v>
      </c>
      <c r="L4778" t="s">
        <v>1179</v>
      </c>
      <c r="M4778" t="s">
        <v>55</v>
      </c>
      <c r="N4778">
        <v>74432105</v>
      </c>
    </row>
    <row r="4779" spans="1:14" x14ac:dyDescent="0.25">
      <c r="A4779">
        <v>60672005</v>
      </c>
      <c r="B4779" t="s">
        <v>4334</v>
      </c>
      <c r="C4779" t="s">
        <v>2780</v>
      </c>
      <c r="D4779" t="s">
        <v>10573</v>
      </c>
      <c r="E4779">
        <v>6024862723</v>
      </c>
      <c r="F4779" t="s">
        <v>416</v>
      </c>
      <c r="G4779" t="s">
        <v>417</v>
      </c>
      <c r="I4779" t="s">
        <v>26</v>
      </c>
      <c r="J4779" s="13">
        <v>46071</v>
      </c>
      <c r="K4779" s="13">
        <v>46082</v>
      </c>
      <c r="L4779" t="s">
        <v>1179</v>
      </c>
      <c r="M4779" t="s">
        <v>56</v>
      </c>
      <c r="N4779">
        <v>74432215</v>
      </c>
    </row>
    <row r="4780" spans="1:14" x14ac:dyDescent="0.25">
      <c r="A4780">
        <v>60672046</v>
      </c>
      <c r="B4780" t="s">
        <v>2551</v>
      </c>
      <c r="C4780" t="s">
        <v>10574</v>
      </c>
      <c r="D4780" t="s">
        <v>10575</v>
      </c>
      <c r="E4780">
        <v>2055850916</v>
      </c>
      <c r="F4780" t="s">
        <v>574</v>
      </c>
      <c r="G4780" t="s">
        <v>575</v>
      </c>
      <c r="I4780" t="s">
        <v>14</v>
      </c>
      <c r="J4780" s="13">
        <v>46071</v>
      </c>
      <c r="K4780" s="13">
        <v>46082</v>
      </c>
      <c r="L4780" t="s">
        <v>450</v>
      </c>
      <c r="M4780" t="s">
        <v>56</v>
      </c>
      <c r="N4780">
        <v>74432268</v>
      </c>
    </row>
    <row r="4781" spans="1:14" x14ac:dyDescent="0.25">
      <c r="A4781">
        <v>60672434</v>
      </c>
      <c r="B4781" t="s">
        <v>10576</v>
      </c>
      <c r="C4781" t="s">
        <v>10577</v>
      </c>
      <c r="D4781" t="s">
        <v>10578</v>
      </c>
      <c r="E4781">
        <v>7088291290</v>
      </c>
      <c r="F4781" t="s">
        <v>790</v>
      </c>
      <c r="G4781" t="s">
        <v>791</v>
      </c>
      <c r="I4781" t="s">
        <v>119</v>
      </c>
      <c r="J4781" s="13">
        <v>46071</v>
      </c>
      <c r="K4781" s="13">
        <v>46082</v>
      </c>
      <c r="L4781" t="s">
        <v>470</v>
      </c>
      <c r="M4781" t="s">
        <v>56</v>
      </c>
      <c r="N4781">
        <v>74432553</v>
      </c>
    </row>
    <row r="4782" spans="1:14" x14ac:dyDescent="0.25">
      <c r="A4782">
        <v>60673069</v>
      </c>
      <c r="B4782" t="s">
        <v>3314</v>
      </c>
      <c r="C4782" t="s">
        <v>5694</v>
      </c>
      <c r="D4782" t="s">
        <v>10579</v>
      </c>
      <c r="E4782">
        <v>5205990241</v>
      </c>
      <c r="F4782" t="s">
        <v>770</v>
      </c>
      <c r="G4782" t="s">
        <v>771</v>
      </c>
      <c r="I4782" t="s">
        <v>25</v>
      </c>
      <c r="J4782" s="13">
        <v>46071</v>
      </c>
      <c r="K4782" s="13">
        <v>46082</v>
      </c>
      <c r="L4782" t="s">
        <v>1179</v>
      </c>
      <c r="M4782" t="s">
        <v>61</v>
      </c>
      <c r="N4782">
        <v>74433101</v>
      </c>
    </row>
    <row r="4783" spans="1:14" x14ac:dyDescent="0.25">
      <c r="A4783">
        <v>60674448</v>
      </c>
      <c r="B4783" t="s">
        <v>6575</v>
      </c>
      <c r="C4783" t="s">
        <v>10580</v>
      </c>
      <c r="D4783" t="s">
        <v>10581</v>
      </c>
      <c r="E4783">
        <v>2563989110</v>
      </c>
      <c r="F4783" t="s">
        <v>688</v>
      </c>
      <c r="G4783" t="s">
        <v>10291</v>
      </c>
      <c r="I4783" t="s">
        <v>48</v>
      </c>
      <c r="J4783" s="13">
        <v>46071</v>
      </c>
      <c r="K4783" s="13">
        <v>46082</v>
      </c>
      <c r="L4783" t="s">
        <v>450</v>
      </c>
      <c r="M4783" t="s">
        <v>59</v>
      </c>
      <c r="N4783">
        <v>74433942</v>
      </c>
    </row>
    <row r="4784" spans="1:14" x14ac:dyDescent="0.25">
      <c r="A4784">
        <v>60674870</v>
      </c>
      <c r="B4784" t="s">
        <v>3866</v>
      </c>
      <c r="C4784" t="s">
        <v>10582</v>
      </c>
      <c r="D4784" t="s">
        <v>10583</v>
      </c>
      <c r="E4784">
        <v>5618018924</v>
      </c>
      <c r="F4784" t="s">
        <v>1345</v>
      </c>
      <c r="G4784" t="s">
        <v>799</v>
      </c>
      <c r="I4784" t="s">
        <v>47</v>
      </c>
      <c r="J4784" s="13">
        <v>46071</v>
      </c>
      <c r="K4784" s="13">
        <v>46082</v>
      </c>
      <c r="L4784" t="s">
        <v>497</v>
      </c>
      <c r="M4784" t="s">
        <v>56</v>
      </c>
      <c r="N4784">
        <v>74434234</v>
      </c>
    </row>
    <row r="4785" spans="1:14" x14ac:dyDescent="0.25">
      <c r="A4785">
        <v>60675270</v>
      </c>
      <c r="B4785" t="s">
        <v>3319</v>
      </c>
      <c r="C4785" t="s">
        <v>10584</v>
      </c>
      <c r="D4785" t="s">
        <v>10585</v>
      </c>
      <c r="E4785">
        <v>9379357027</v>
      </c>
      <c r="F4785" t="s">
        <v>569</v>
      </c>
      <c r="G4785" t="s">
        <v>570</v>
      </c>
      <c r="I4785" t="s">
        <v>34</v>
      </c>
      <c r="J4785" s="13">
        <v>46071</v>
      </c>
      <c r="K4785" s="13">
        <v>46082</v>
      </c>
      <c r="L4785" t="s">
        <v>418</v>
      </c>
      <c r="M4785" t="s">
        <v>56</v>
      </c>
      <c r="N4785">
        <v>74434556</v>
      </c>
    </row>
    <row r="4786" spans="1:14" x14ac:dyDescent="0.25">
      <c r="A4786">
        <v>60675389</v>
      </c>
      <c r="B4786" t="s">
        <v>10586</v>
      </c>
      <c r="C4786" t="s">
        <v>10587</v>
      </c>
      <c r="D4786" t="s">
        <v>10588</v>
      </c>
      <c r="E4786">
        <v>6142071833</v>
      </c>
      <c r="F4786" t="s">
        <v>828</v>
      </c>
      <c r="G4786" t="s">
        <v>1148</v>
      </c>
      <c r="I4786" t="s">
        <v>17</v>
      </c>
      <c r="J4786" s="13">
        <v>46071</v>
      </c>
      <c r="K4786" s="13">
        <v>46071</v>
      </c>
      <c r="L4786" t="s">
        <v>418</v>
      </c>
      <c r="M4786" t="s">
        <v>59</v>
      </c>
      <c r="N4786">
        <v>74434656</v>
      </c>
    </row>
    <row r="4787" spans="1:14" x14ac:dyDescent="0.25">
      <c r="A4787">
        <v>60675682</v>
      </c>
      <c r="B4787" t="s">
        <v>2674</v>
      </c>
      <c r="C4787" t="s">
        <v>10589</v>
      </c>
      <c r="D4787" t="s">
        <v>10590</v>
      </c>
      <c r="E4787">
        <v>7794087021</v>
      </c>
      <c r="F4787" t="s">
        <v>10591</v>
      </c>
      <c r="G4787" t="s">
        <v>10215</v>
      </c>
      <c r="I4787" t="s">
        <v>32</v>
      </c>
      <c r="J4787" s="13">
        <v>46071</v>
      </c>
      <c r="K4787" s="13">
        <v>46082</v>
      </c>
      <c r="L4787" t="s">
        <v>470</v>
      </c>
      <c r="M4787" t="s">
        <v>59</v>
      </c>
      <c r="N4787">
        <v>74434786</v>
      </c>
    </row>
    <row r="4788" spans="1:14" x14ac:dyDescent="0.25">
      <c r="A4788">
        <v>60675868</v>
      </c>
      <c r="B4788" t="s">
        <v>7304</v>
      </c>
      <c r="C4788" t="s">
        <v>8616</v>
      </c>
      <c r="D4788" t="s">
        <v>10592</v>
      </c>
      <c r="E4788">
        <v>5203036582</v>
      </c>
      <c r="F4788" t="s">
        <v>775</v>
      </c>
      <c r="G4788" t="s">
        <v>776</v>
      </c>
      <c r="I4788" t="s">
        <v>22</v>
      </c>
      <c r="J4788" s="13">
        <v>46071</v>
      </c>
      <c r="K4788" s="13">
        <v>46082</v>
      </c>
      <c r="L4788" t="s">
        <v>1179</v>
      </c>
      <c r="M4788" t="s">
        <v>54</v>
      </c>
      <c r="N4788">
        <v>74434942</v>
      </c>
    </row>
    <row r="4789" spans="1:14" x14ac:dyDescent="0.25">
      <c r="A4789">
        <v>60675976</v>
      </c>
      <c r="B4789" t="s">
        <v>1242</v>
      </c>
      <c r="C4789" t="s">
        <v>3433</v>
      </c>
      <c r="D4789" t="s">
        <v>10593</v>
      </c>
      <c r="E4789">
        <v>3039319805</v>
      </c>
      <c r="F4789" t="s">
        <v>705</v>
      </c>
      <c r="G4789" t="s">
        <v>706</v>
      </c>
      <c r="I4789" t="s">
        <v>12</v>
      </c>
      <c r="J4789" s="13">
        <v>46071</v>
      </c>
      <c r="K4789" s="13">
        <v>46082</v>
      </c>
      <c r="L4789" t="s">
        <v>539</v>
      </c>
      <c r="M4789" t="s">
        <v>56</v>
      </c>
      <c r="N4789">
        <v>74435022</v>
      </c>
    </row>
    <row r="4790" spans="1:14" x14ac:dyDescent="0.25">
      <c r="A4790">
        <v>60676265</v>
      </c>
      <c r="B4790" t="s">
        <v>3979</v>
      </c>
      <c r="C4790" t="s">
        <v>10594</v>
      </c>
      <c r="D4790" t="s">
        <v>10595</v>
      </c>
      <c r="E4790">
        <v>7084310786</v>
      </c>
      <c r="F4790" t="s">
        <v>474</v>
      </c>
      <c r="G4790" t="s">
        <v>475</v>
      </c>
      <c r="I4790" t="s">
        <v>132</v>
      </c>
      <c r="J4790" s="13">
        <v>46071</v>
      </c>
      <c r="K4790" s="13">
        <v>46082</v>
      </c>
      <c r="L4790" t="s">
        <v>470</v>
      </c>
      <c r="M4790" t="s">
        <v>56</v>
      </c>
      <c r="N4790">
        <v>74435208</v>
      </c>
    </row>
    <row r="4791" spans="1:14" x14ac:dyDescent="0.25">
      <c r="A4791">
        <v>60676380</v>
      </c>
      <c r="B4791" t="s">
        <v>10596</v>
      </c>
      <c r="C4791" t="s">
        <v>10597</v>
      </c>
      <c r="D4791" t="s">
        <v>10598</v>
      </c>
      <c r="E4791">
        <v>9048651680</v>
      </c>
      <c r="F4791" t="s">
        <v>448</v>
      </c>
      <c r="G4791" t="s">
        <v>449</v>
      </c>
      <c r="I4791" t="s">
        <v>31</v>
      </c>
      <c r="J4791" s="13">
        <v>46071</v>
      </c>
      <c r="K4791" s="13">
        <v>46082</v>
      </c>
      <c r="L4791" t="s">
        <v>497</v>
      </c>
      <c r="M4791" t="s">
        <v>59</v>
      </c>
      <c r="N4791">
        <v>74435272</v>
      </c>
    </row>
    <row r="4792" spans="1:14" x14ac:dyDescent="0.25">
      <c r="A4792">
        <v>60677453</v>
      </c>
      <c r="B4792" t="s">
        <v>6185</v>
      </c>
      <c r="C4792" t="s">
        <v>10599</v>
      </c>
      <c r="D4792" t="s">
        <v>10600</v>
      </c>
      <c r="E4792">
        <v>2059130648</v>
      </c>
      <c r="F4792" t="s">
        <v>569</v>
      </c>
      <c r="G4792" t="s">
        <v>570</v>
      </c>
      <c r="I4792" t="s">
        <v>34</v>
      </c>
      <c r="J4792" s="13">
        <v>46071</v>
      </c>
      <c r="K4792" s="13">
        <v>46082</v>
      </c>
      <c r="L4792" t="s">
        <v>450</v>
      </c>
      <c r="M4792" t="s">
        <v>56</v>
      </c>
      <c r="N4792">
        <v>74436143</v>
      </c>
    </row>
    <row r="4793" spans="1:14" x14ac:dyDescent="0.25">
      <c r="A4793">
        <v>60677957</v>
      </c>
      <c r="B4793" t="s">
        <v>799</v>
      </c>
      <c r="C4793" t="s">
        <v>4536</v>
      </c>
      <c r="D4793" t="s">
        <v>10601</v>
      </c>
      <c r="E4793">
        <v>8034510632</v>
      </c>
      <c r="F4793" t="s">
        <v>551</v>
      </c>
      <c r="G4793" t="s">
        <v>552</v>
      </c>
      <c r="I4793" t="s">
        <v>42</v>
      </c>
      <c r="J4793" s="13">
        <v>46071</v>
      </c>
      <c r="K4793" s="13">
        <v>46082</v>
      </c>
      <c r="L4793" t="s">
        <v>533</v>
      </c>
      <c r="M4793" t="s">
        <v>58</v>
      </c>
      <c r="N4793">
        <v>74436523</v>
      </c>
    </row>
    <row r="4794" spans="1:14" x14ac:dyDescent="0.25">
      <c r="A4794">
        <v>60678283</v>
      </c>
      <c r="B4794" t="s">
        <v>867</v>
      </c>
      <c r="C4794" t="s">
        <v>10602</v>
      </c>
      <c r="D4794" t="s">
        <v>10603</v>
      </c>
      <c r="E4794">
        <v>7027049627</v>
      </c>
      <c r="F4794" t="s">
        <v>474</v>
      </c>
      <c r="G4794" t="s">
        <v>475</v>
      </c>
      <c r="I4794" t="s">
        <v>132</v>
      </c>
      <c r="J4794" s="13">
        <v>46071</v>
      </c>
      <c r="K4794" s="13">
        <v>46082</v>
      </c>
      <c r="L4794" t="s">
        <v>483</v>
      </c>
      <c r="M4794" t="s">
        <v>58</v>
      </c>
      <c r="N4794">
        <v>74436790</v>
      </c>
    </row>
    <row r="4795" spans="1:14" x14ac:dyDescent="0.25">
      <c r="A4795">
        <v>60678435</v>
      </c>
      <c r="B4795" t="s">
        <v>2490</v>
      </c>
      <c r="C4795" t="s">
        <v>10604</v>
      </c>
      <c r="D4795" t="s">
        <v>10605</v>
      </c>
      <c r="E4795">
        <v>8594538554</v>
      </c>
      <c r="F4795" t="s">
        <v>10435</v>
      </c>
      <c r="G4795" t="s">
        <v>2551</v>
      </c>
      <c r="I4795" t="s">
        <v>10436</v>
      </c>
      <c r="J4795" s="13">
        <v>46071</v>
      </c>
      <c r="K4795" s="13">
        <v>46082</v>
      </c>
      <c r="L4795" t="s">
        <v>490</v>
      </c>
      <c r="M4795" t="s">
        <v>59</v>
      </c>
      <c r="N4795">
        <v>74436892</v>
      </c>
    </row>
    <row r="4796" spans="1:14" x14ac:dyDescent="0.25">
      <c r="A4796">
        <v>60679592</v>
      </c>
      <c r="B4796" t="s">
        <v>10606</v>
      </c>
      <c r="C4796" t="s">
        <v>5428</v>
      </c>
      <c r="D4796" t="s">
        <v>10607</v>
      </c>
      <c r="E4796">
        <v>7085140868</v>
      </c>
      <c r="F4796" t="s">
        <v>569</v>
      </c>
      <c r="G4796" t="s">
        <v>570</v>
      </c>
      <c r="I4796" t="s">
        <v>34</v>
      </c>
      <c r="J4796" s="13">
        <v>46071</v>
      </c>
      <c r="K4796" s="13">
        <v>46082</v>
      </c>
      <c r="L4796" t="s">
        <v>454</v>
      </c>
      <c r="M4796" t="s">
        <v>56</v>
      </c>
      <c r="N4796">
        <v>74437849</v>
      </c>
    </row>
    <row r="4797" spans="1:14" x14ac:dyDescent="0.25">
      <c r="A4797">
        <v>60679660</v>
      </c>
      <c r="B4797" t="s">
        <v>2128</v>
      </c>
      <c r="C4797" t="s">
        <v>10608</v>
      </c>
      <c r="D4797" t="s">
        <v>10609</v>
      </c>
      <c r="E4797">
        <v>8433728736</v>
      </c>
      <c r="F4797" t="s">
        <v>775</v>
      </c>
      <c r="G4797" t="s">
        <v>776</v>
      </c>
      <c r="I4797" t="s">
        <v>22</v>
      </c>
      <c r="J4797" s="13">
        <v>46071</v>
      </c>
      <c r="K4797" s="13">
        <v>46082</v>
      </c>
      <c r="L4797" t="s">
        <v>444</v>
      </c>
      <c r="M4797" t="s">
        <v>56</v>
      </c>
      <c r="N4797">
        <v>74437916</v>
      </c>
    </row>
    <row r="4798" spans="1:14" x14ac:dyDescent="0.25">
      <c r="A4798">
        <v>60679686</v>
      </c>
      <c r="B4798" t="s">
        <v>1278</v>
      </c>
      <c r="C4798" t="s">
        <v>10610</v>
      </c>
      <c r="D4798" t="s">
        <v>10611</v>
      </c>
      <c r="E4798">
        <v>9045684329</v>
      </c>
      <c r="F4798" t="s">
        <v>780</v>
      </c>
      <c r="G4798" t="s">
        <v>781</v>
      </c>
      <c r="I4798" t="s">
        <v>20</v>
      </c>
      <c r="J4798" s="13">
        <v>46071</v>
      </c>
      <c r="K4798" s="13">
        <v>46082</v>
      </c>
      <c r="L4798" t="s">
        <v>497</v>
      </c>
      <c r="M4798" t="s">
        <v>54</v>
      </c>
      <c r="N4798">
        <v>74437937</v>
      </c>
    </row>
    <row r="4799" spans="1:14" x14ac:dyDescent="0.25">
      <c r="A4799">
        <v>60680692</v>
      </c>
      <c r="B4799" t="s">
        <v>1872</v>
      </c>
      <c r="C4799" t="s">
        <v>10612</v>
      </c>
      <c r="D4799" t="s">
        <v>10613</v>
      </c>
      <c r="E4799">
        <v>2073330480</v>
      </c>
      <c r="F4799" t="s">
        <v>649</v>
      </c>
      <c r="G4799" t="s">
        <v>650</v>
      </c>
      <c r="I4799" t="s">
        <v>28</v>
      </c>
      <c r="J4799" s="13">
        <v>46071</v>
      </c>
      <c r="K4799" s="13">
        <v>46082</v>
      </c>
      <c r="L4799" t="s">
        <v>941</v>
      </c>
      <c r="M4799" t="s">
        <v>56</v>
      </c>
      <c r="N4799">
        <v>74438168</v>
      </c>
    </row>
    <row r="4800" spans="1:14" x14ac:dyDescent="0.25">
      <c r="A4800">
        <v>60687231</v>
      </c>
      <c r="B4800" t="s">
        <v>1408</v>
      </c>
      <c r="C4800" t="s">
        <v>7029</v>
      </c>
      <c r="D4800" t="s">
        <v>10614</v>
      </c>
      <c r="E4800">
        <v>2512881579</v>
      </c>
      <c r="F4800" t="s">
        <v>423</v>
      </c>
      <c r="G4800" t="s">
        <v>424</v>
      </c>
      <c r="I4800" t="s">
        <v>46</v>
      </c>
      <c r="J4800" s="13">
        <v>46072</v>
      </c>
      <c r="K4800" s="13">
        <v>46082</v>
      </c>
      <c r="L4800" t="s">
        <v>450</v>
      </c>
      <c r="M4800" t="s">
        <v>56</v>
      </c>
      <c r="N4800">
        <v>74442965</v>
      </c>
    </row>
    <row r="4801" spans="1:14" x14ac:dyDescent="0.25">
      <c r="A4801">
        <v>60687029</v>
      </c>
      <c r="B4801" t="s">
        <v>501</v>
      </c>
      <c r="C4801" t="s">
        <v>10615</v>
      </c>
      <c r="D4801" t="s">
        <v>10616</v>
      </c>
      <c r="E4801">
        <v>7192855456</v>
      </c>
      <c r="F4801" t="s">
        <v>649</v>
      </c>
      <c r="G4801" t="s">
        <v>650</v>
      </c>
      <c r="I4801" t="s">
        <v>28</v>
      </c>
      <c r="J4801" s="13">
        <v>46072</v>
      </c>
      <c r="K4801" s="13">
        <v>46082</v>
      </c>
      <c r="L4801" t="s">
        <v>539</v>
      </c>
      <c r="M4801" t="s">
        <v>56</v>
      </c>
      <c r="N4801">
        <v>74443193</v>
      </c>
    </row>
    <row r="4802" spans="1:14" x14ac:dyDescent="0.25">
      <c r="A4802">
        <v>60687067</v>
      </c>
      <c r="B4802" t="s">
        <v>439</v>
      </c>
      <c r="C4802" t="s">
        <v>10617</v>
      </c>
      <c r="D4802" t="s">
        <v>10618</v>
      </c>
      <c r="E4802">
        <v>7759348936</v>
      </c>
      <c r="F4802" t="s">
        <v>574</v>
      </c>
      <c r="G4802" t="s">
        <v>575</v>
      </c>
      <c r="I4802" t="s">
        <v>14</v>
      </c>
      <c r="J4802" s="13">
        <v>46072</v>
      </c>
      <c r="K4802" s="13">
        <v>46082</v>
      </c>
      <c r="L4802" t="s">
        <v>612</v>
      </c>
      <c r="M4802" t="s">
        <v>56</v>
      </c>
      <c r="N4802">
        <v>74443221</v>
      </c>
    </row>
    <row r="4803" spans="1:14" x14ac:dyDescent="0.25">
      <c r="A4803">
        <v>60690117</v>
      </c>
      <c r="B4803" t="s">
        <v>1699</v>
      </c>
      <c r="C4803" t="s">
        <v>10619</v>
      </c>
      <c r="D4803" t="s">
        <v>10620</v>
      </c>
      <c r="E4803">
        <v>7208396688</v>
      </c>
      <c r="F4803" t="s">
        <v>1067</v>
      </c>
      <c r="G4803" t="s">
        <v>1068</v>
      </c>
      <c r="I4803" t="s">
        <v>35</v>
      </c>
      <c r="J4803" s="13">
        <v>46072</v>
      </c>
      <c r="K4803" s="13">
        <v>46082</v>
      </c>
      <c r="L4803" t="s">
        <v>539</v>
      </c>
      <c r="M4803" t="s">
        <v>59</v>
      </c>
      <c r="N4803">
        <v>74446006</v>
      </c>
    </row>
    <row r="4804" spans="1:14" x14ac:dyDescent="0.25">
      <c r="A4804">
        <v>60690698</v>
      </c>
      <c r="B4804" t="s">
        <v>4480</v>
      </c>
      <c r="C4804" t="s">
        <v>6664</v>
      </c>
      <c r="D4804" t="s">
        <v>10621</v>
      </c>
      <c r="E4804">
        <v>6023970232</v>
      </c>
      <c r="F4804" t="s">
        <v>1013</v>
      </c>
      <c r="G4804" t="s">
        <v>1014</v>
      </c>
      <c r="I4804" t="s">
        <v>43</v>
      </c>
      <c r="J4804" s="13">
        <v>46072</v>
      </c>
      <c r="K4804" s="13">
        <v>46082</v>
      </c>
      <c r="L4804" t="s">
        <v>1179</v>
      </c>
      <c r="M4804" t="s">
        <v>54</v>
      </c>
      <c r="N4804">
        <v>74446550</v>
      </c>
    </row>
    <row r="4805" spans="1:14" x14ac:dyDescent="0.25">
      <c r="A4805">
        <v>62138732</v>
      </c>
      <c r="B4805" t="s">
        <v>4387</v>
      </c>
      <c r="C4805" t="s">
        <v>10622</v>
      </c>
      <c r="D4805" t="s">
        <v>10623</v>
      </c>
      <c r="E4805">
        <v>3144418309</v>
      </c>
      <c r="F4805" t="s">
        <v>551</v>
      </c>
      <c r="G4805" t="s">
        <v>552</v>
      </c>
      <c r="I4805" t="s">
        <v>42</v>
      </c>
      <c r="J4805" s="13">
        <v>46104</v>
      </c>
      <c r="K4805" s="13">
        <v>46113</v>
      </c>
      <c r="L4805" t="s">
        <v>434</v>
      </c>
      <c r="M4805" t="s">
        <v>56</v>
      </c>
      <c r="N4805">
        <v>74447088</v>
      </c>
    </row>
    <row r="4806" spans="1:14" x14ac:dyDescent="0.25">
      <c r="A4806">
        <v>60691998</v>
      </c>
      <c r="B4806" t="s">
        <v>5027</v>
      </c>
      <c r="C4806" t="s">
        <v>10624</v>
      </c>
      <c r="D4806" t="s">
        <v>10625</v>
      </c>
      <c r="E4806">
        <v>5083710691</v>
      </c>
      <c r="F4806" t="s">
        <v>775</v>
      </c>
      <c r="G4806" t="s">
        <v>776</v>
      </c>
      <c r="I4806" t="s">
        <v>22</v>
      </c>
      <c r="J4806" s="13">
        <v>46072</v>
      </c>
      <c r="K4806" s="13">
        <v>46082</v>
      </c>
      <c r="L4806" t="s">
        <v>533</v>
      </c>
      <c r="M4806" t="s">
        <v>56</v>
      </c>
      <c r="N4806">
        <v>74448520</v>
      </c>
    </row>
    <row r="4807" spans="1:14" x14ac:dyDescent="0.25">
      <c r="A4807">
        <v>60691836</v>
      </c>
      <c r="B4807" t="s">
        <v>2387</v>
      </c>
      <c r="C4807" t="s">
        <v>831</v>
      </c>
      <c r="D4807" t="s">
        <v>10626</v>
      </c>
      <c r="E4807">
        <v>9049948142</v>
      </c>
      <c r="F4807" t="s">
        <v>780</v>
      </c>
      <c r="G4807" t="s">
        <v>781</v>
      </c>
      <c r="I4807" t="s">
        <v>20</v>
      </c>
      <c r="J4807" s="13">
        <v>46072</v>
      </c>
      <c r="K4807" s="13">
        <v>46082</v>
      </c>
      <c r="L4807" t="s">
        <v>497</v>
      </c>
      <c r="M4807" t="s">
        <v>54</v>
      </c>
      <c r="N4807">
        <v>74449206</v>
      </c>
    </row>
    <row r="4808" spans="1:14" x14ac:dyDescent="0.25">
      <c r="A4808">
        <v>60692406</v>
      </c>
      <c r="B4808" t="s">
        <v>10627</v>
      </c>
      <c r="C4808" t="s">
        <v>10628</v>
      </c>
      <c r="D4808" t="s">
        <v>10629</v>
      </c>
      <c r="E4808">
        <v>9043037011</v>
      </c>
      <c r="F4808" t="s">
        <v>416</v>
      </c>
      <c r="G4808" t="s">
        <v>417</v>
      </c>
      <c r="I4808" t="s">
        <v>26</v>
      </c>
      <c r="J4808" s="13">
        <v>46072</v>
      </c>
      <c r="K4808" s="13">
        <v>46082</v>
      </c>
      <c r="L4808" t="s">
        <v>497</v>
      </c>
      <c r="M4808" t="s">
        <v>54</v>
      </c>
      <c r="N4808">
        <v>74450654</v>
      </c>
    </row>
    <row r="4809" spans="1:14" x14ac:dyDescent="0.25">
      <c r="A4809">
        <v>60692558</v>
      </c>
      <c r="B4809" t="s">
        <v>10630</v>
      </c>
      <c r="C4809" t="s">
        <v>10631</v>
      </c>
      <c r="D4809" t="s">
        <v>10632</v>
      </c>
      <c r="E4809">
        <v>4803839014</v>
      </c>
      <c r="F4809" t="s">
        <v>10569</v>
      </c>
      <c r="G4809" t="s">
        <v>10570</v>
      </c>
      <c r="I4809" t="s">
        <v>29</v>
      </c>
      <c r="J4809" s="13">
        <v>46072</v>
      </c>
      <c r="K4809" s="13">
        <v>46082</v>
      </c>
      <c r="L4809" t="s">
        <v>1179</v>
      </c>
      <c r="M4809" t="s">
        <v>59</v>
      </c>
      <c r="N4809">
        <v>74450758</v>
      </c>
    </row>
    <row r="4810" spans="1:14" x14ac:dyDescent="0.25">
      <c r="A4810">
        <v>60692610</v>
      </c>
      <c r="B4810" t="s">
        <v>10633</v>
      </c>
      <c r="C4810" t="s">
        <v>1813</v>
      </c>
      <c r="D4810" t="s">
        <v>10634</v>
      </c>
      <c r="E4810">
        <v>7705882792</v>
      </c>
      <c r="F4810" t="s">
        <v>828</v>
      </c>
      <c r="G4810" t="s">
        <v>1148</v>
      </c>
      <c r="I4810" t="s">
        <v>17</v>
      </c>
      <c r="J4810" s="13">
        <v>46072</v>
      </c>
      <c r="K4810" s="13">
        <v>46082</v>
      </c>
      <c r="L4810" t="s">
        <v>621</v>
      </c>
      <c r="M4810" t="s">
        <v>58</v>
      </c>
      <c r="N4810">
        <v>74450799</v>
      </c>
    </row>
    <row r="4811" spans="1:14" x14ac:dyDescent="0.25">
      <c r="A4811">
        <v>60692612</v>
      </c>
      <c r="B4811" t="s">
        <v>6753</v>
      </c>
      <c r="C4811" t="s">
        <v>10635</v>
      </c>
      <c r="D4811" t="s">
        <v>10636</v>
      </c>
      <c r="E4811">
        <v>4408901272</v>
      </c>
      <c r="F4811" t="s">
        <v>10460</v>
      </c>
      <c r="G4811" t="s">
        <v>6663</v>
      </c>
      <c r="I4811" t="s">
        <v>40</v>
      </c>
      <c r="J4811" s="13">
        <v>46072</v>
      </c>
      <c r="K4811" s="13">
        <v>46082</v>
      </c>
      <c r="L4811" t="s">
        <v>418</v>
      </c>
      <c r="M4811" t="s">
        <v>59</v>
      </c>
      <c r="N4811">
        <v>74450803</v>
      </c>
    </row>
    <row r="4812" spans="1:14" x14ac:dyDescent="0.25">
      <c r="A4812">
        <v>60694776</v>
      </c>
      <c r="B4812" t="s">
        <v>994</v>
      </c>
      <c r="C4812" t="s">
        <v>10637</v>
      </c>
      <c r="D4812" t="s">
        <v>10638</v>
      </c>
      <c r="E4812">
        <v>4804159965</v>
      </c>
      <c r="F4812" t="s">
        <v>1013</v>
      </c>
      <c r="G4812" t="s">
        <v>1014</v>
      </c>
      <c r="I4812" t="s">
        <v>43</v>
      </c>
      <c r="J4812" s="13">
        <v>46072</v>
      </c>
      <c r="K4812" s="13">
        <v>46082</v>
      </c>
      <c r="L4812" t="s">
        <v>1179</v>
      </c>
      <c r="M4812" t="s">
        <v>56</v>
      </c>
      <c r="N4812">
        <v>74451984</v>
      </c>
    </row>
    <row r="4813" spans="1:14" x14ac:dyDescent="0.25">
      <c r="A4813">
        <v>60694788</v>
      </c>
      <c r="B4813" t="s">
        <v>1024</v>
      </c>
      <c r="C4813" t="s">
        <v>10639</v>
      </c>
      <c r="D4813" t="s">
        <v>10640</v>
      </c>
      <c r="E4813">
        <v>5202666106</v>
      </c>
      <c r="F4813" t="s">
        <v>569</v>
      </c>
      <c r="G4813" t="s">
        <v>570</v>
      </c>
      <c r="I4813" t="s">
        <v>34</v>
      </c>
      <c r="J4813" s="13">
        <v>46072</v>
      </c>
      <c r="K4813" s="13">
        <v>46082</v>
      </c>
      <c r="L4813" t="s">
        <v>1179</v>
      </c>
      <c r="M4813" t="s">
        <v>56</v>
      </c>
      <c r="N4813">
        <v>74451998</v>
      </c>
    </row>
    <row r="4814" spans="1:14" x14ac:dyDescent="0.25">
      <c r="A4814">
        <v>60695785</v>
      </c>
      <c r="B4814" t="s">
        <v>6238</v>
      </c>
      <c r="C4814" t="s">
        <v>564</v>
      </c>
      <c r="D4814" t="s">
        <v>10641</v>
      </c>
      <c r="E4814">
        <v>2175206113</v>
      </c>
      <c r="F4814" t="s">
        <v>10642</v>
      </c>
      <c r="G4814" t="s">
        <v>10643</v>
      </c>
      <c r="I4814" t="s">
        <v>45</v>
      </c>
      <c r="J4814" s="13">
        <v>46072</v>
      </c>
      <c r="K4814" s="13">
        <v>46082</v>
      </c>
      <c r="L4814" t="s">
        <v>470</v>
      </c>
      <c r="M4814" t="s">
        <v>60</v>
      </c>
      <c r="N4814">
        <v>74452695</v>
      </c>
    </row>
    <row r="4815" spans="1:14" x14ac:dyDescent="0.25">
      <c r="A4815">
        <v>60696530</v>
      </c>
      <c r="B4815" t="s">
        <v>4607</v>
      </c>
      <c r="C4815" t="s">
        <v>10622</v>
      </c>
      <c r="D4815" t="s">
        <v>10644</v>
      </c>
      <c r="E4815" t="s">
        <v>10645</v>
      </c>
      <c r="F4815" t="s">
        <v>551</v>
      </c>
      <c r="G4815" t="s">
        <v>552</v>
      </c>
      <c r="I4815" t="s">
        <v>42</v>
      </c>
      <c r="J4815" s="13">
        <v>46072</v>
      </c>
      <c r="K4815" s="13">
        <v>46082</v>
      </c>
      <c r="L4815" t="s">
        <v>434</v>
      </c>
      <c r="M4815" t="s">
        <v>56</v>
      </c>
      <c r="N4815">
        <v>74453127</v>
      </c>
    </row>
    <row r="4816" spans="1:14" x14ac:dyDescent="0.25">
      <c r="A4816">
        <v>63344851</v>
      </c>
      <c r="B4816" t="s">
        <v>1797</v>
      </c>
      <c r="C4816" t="s">
        <v>10646</v>
      </c>
      <c r="D4816" t="s">
        <v>10647</v>
      </c>
      <c r="E4816" t="s">
        <v>10648</v>
      </c>
      <c r="F4816" t="s">
        <v>807</v>
      </c>
      <c r="G4816" t="s">
        <v>808</v>
      </c>
      <c r="I4816" t="s">
        <v>33</v>
      </c>
      <c r="J4816" s="13">
        <v>46134</v>
      </c>
      <c r="K4816" s="13">
        <v>46143</v>
      </c>
      <c r="L4816" t="s">
        <v>1179</v>
      </c>
      <c r="M4816" t="s">
        <v>58</v>
      </c>
      <c r="N4816">
        <v>74453897</v>
      </c>
    </row>
    <row r="4817" spans="1:14" x14ac:dyDescent="0.25">
      <c r="A4817">
        <v>60697752</v>
      </c>
      <c r="B4817" t="s">
        <v>2405</v>
      </c>
      <c r="C4817" t="s">
        <v>10649</v>
      </c>
      <c r="D4817" t="s">
        <v>10650</v>
      </c>
      <c r="E4817">
        <v>5204053252</v>
      </c>
      <c r="F4817" t="s">
        <v>10569</v>
      </c>
      <c r="G4817" t="s">
        <v>10570</v>
      </c>
      <c r="I4817" t="s">
        <v>29</v>
      </c>
      <c r="J4817" s="13">
        <v>46072</v>
      </c>
      <c r="K4817" s="13">
        <v>46082</v>
      </c>
      <c r="L4817" t="s">
        <v>1179</v>
      </c>
      <c r="M4817" t="s">
        <v>61</v>
      </c>
      <c r="N4817">
        <v>74454079</v>
      </c>
    </row>
    <row r="4818" spans="1:14" x14ac:dyDescent="0.25">
      <c r="A4818">
        <v>60697791</v>
      </c>
      <c r="B4818" t="s">
        <v>1518</v>
      </c>
      <c r="C4818" t="s">
        <v>10651</v>
      </c>
      <c r="D4818" t="s">
        <v>10652</v>
      </c>
      <c r="E4818">
        <v>8702271355</v>
      </c>
      <c r="F4818" t="s">
        <v>474</v>
      </c>
      <c r="G4818" t="s">
        <v>475</v>
      </c>
      <c r="I4818" t="s">
        <v>132</v>
      </c>
      <c r="J4818" s="13">
        <v>46072</v>
      </c>
      <c r="K4818" s="13">
        <v>46082</v>
      </c>
      <c r="L4818" t="s">
        <v>553</v>
      </c>
      <c r="M4818" t="s">
        <v>58</v>
      </c>
      <c r="N4818">
        <v>74454114</v>
      </c>
    </row>
    <row r="4819" spans="1:14" x14ac:dyDescent="0.25">
      <c r="A4819">
        <v>60698878</v>
      </c>
      <c r="B4819" t="s">
        <v>597</v>
      </c>
      <c r="C4819" t="s">
        <v>10653</v>
      </c>
      <c r="D4819" t="s">
        <v>10654</v>
      </c>
      <c r="E4819">
        <v>2173775348</v>
      </c>
      <c r="F4819" t="s">
        <v>775</v>
      </c>
      <c r="G4819" t="s">
        <v>776</v>
      </c>
      <c r="I4819" t="s">
        <v>22</v>
      </c>
      <c r="J4819" s="13">
        <v>46072</v>
      </c>
      <c r="K4819" s="13">
        <v>46082</v>
      </c>
      <c r="L4819" t="s">
        <v>470</v>
      </c>
      <c r="M4819" t="s">
        <v>56</v>
      </c>
      <c r="N4819">
        <v>74454663</v>
      </c>
    </row>
    <row r="4820" spans="1:14" x14ac:dyDescent="0.25">
      <c r="A4820">
        <v>60703734</v>
      </c>
      <c r="B4820" t="s">
        <v>10655</v>
      </c>
      <c r="C4820" t="s">
        <v>10656</v>
      </c>
      <c r="D4820" t="s">
        <v>10657</v>
      </c>
      <c r="E4820">
        <v>8704761795</v>
      </c>
      <c r="F4820" t="s">
        <v>574</v>
      </c>
      <c r="G4820" t="s">
        <v>575</v>
      </c>
      <c r="I4820" t="s">
        <v>14</v>
      </c>
      <c r="J4820" s="13">
        <v>46072</v>
      </c>
      <c r="K4820" s="13">
        <v>46082</v>
      </c>
      <c r="L4820" t="s">
        <v>553</v>
      </c>
      <c r="M4820" t="s">
        <v>56</v>
      </c>
      <c r="N4820">
        <v>74455933</v>
      </c>
    </row>
    <row r="4821" spans="1:14" x14ac:dyDescent="0.25">
      <c r="A4821">
        <v>60706572</v>
      </c>
      <c r="B4821" t="s">
        <v>867</v>
      </c>
      <c r="C4821" t="s">
        <v>10658</v>
      </c>
      <c r="D4821" t="s">
        <v>10659</v>
      </c>
      <c r="E4821">
        <v>6234182153</v>
      </c>
      <c r="F4821" t="s">
        <v>1345</v>
      </c>
      <c r="G4821" t="s">
        <v>799</v>
      </c>
      <c r="I4821" t="s">
        <v>47</v>
      </c>
      <c r="J4821" s="13">
        <v>46072</v>
      </c>
      <c r="K4821" s="13">
        <v>46082</v>
      </c>
      <c r="L4821" t="s">
        <v>1179</v>
      </c>
      <c r="M4821" t="s">
        <v>56</v>
      </c>
      <c r="N4821">
        <v>74457513</v>
      </c>
    </row>
    <row r="4822" spans="1:14" x14ac:dyDescent="0.25">
      <c r="A4822">
        <v>60707060</v>
      </c>
      <c r="B4822" t="s">
        <v>5643</v>
      </c>
      <c r="C4822" t="s">
        <v>10660</v>
      </c>
      <c r="D4822" t="s">
        <v>10661</v>
      </c>
      <c r="E4822">
        <v>4806952725</v>
      </c>
      <c r="F4822" t="s">
        <v>416</v>
      </c>
      <c r="G4822" t="s">
        <v>417</v>
      </c>
      <c r="I4822" t="s">
        <v>26</v>
      </c>
      <c r="J4822" s="13">
        <v>46072</v>
      </c>
      <c r="K4822" s="13">
        <v>46082</v>
      </c>
      <c r="L4822" t="s">
        <v>1179</v>
      </c>
      <c r="M4822" t="s">
        <v>56</v>
      </c>
      <c r="N4822">
        <v>74457885</v>
      </c>
    </row>
    <row r="4823" spans="1:14" x14ac:dyDescent="0.25">
      <c r="A4823">
        <v>60707539</v>
      </c>
      <c r="B4823" t="s">
        <v>1232</v>
      </c>
      <c r="C4823" t="s">
        <v>10662</v>
      </c>
      <c r="D4823" t="s">
        <v>10663</v>
      </c>
      <c r="E4823">
        <v>8038403543</v>
      </c>
      <c r="F4823" t="s">
        <v>628</v>
      </c>
      <c r="G4823" t="s">
        <v>629</v>
      </c>
      <c r="I4823" t="s">
        <v>24</v>
      </c>
      <c r="J4823" s="13">
        <v>46072</v>
      </c>
      <c r="K4823" s="13">
        <v>46082</v>
      </c>
      <c r="L4823" t="s">
        <v>533</v>
      </c>
      <c r="M4823" t="s">
        <v>56</v>
      </c>
      <c r="N4823">
        <v>74458297</v>
      </c>
    </row>
    <row r="4824" spans="1:14" x14ac:dyDescent="0.25">
      <c r="A4824">
        <v>60707800</v>
      </c>
      <c r="B4824" t="s">
        <v>6141</v>
      </c>
      <c r="C4824" t="s">
        <v>10664</v>
      </c>
      <c r="D4824" t="s">
        <v>10665</v>
      </c>
      <c r="E4824">
        <v>5406314676</v>
      </c>
      <c r="F4824" t="s">
        <v>828</v>
      </c>
      <c r="G4824" t="s">
        <v>1148</v>
      </c>
      <c r="I4824" t="s">
        <v>17</v>
      </c>
      <c r="J4824" s="13">
        <v>46072</v>
      </c>
      <c r="K4824" s="13">
        <v>46082</v>
      </c>
      <c r="L4824" t="s">
        <v>454</v>
      </c>
      <c r="M4824" t="s">
        <v>56</v>
      </c>
      <c r="N4824">
        <v>74458488</v>
      </c>
    </row>
    <row r="4825" spans="1:14" x14ac:dyDescent="0.25">
      <c r="A4825">
        <v>60708790</v>
      </c>
      <c r="B4825" t="s">
        <v>10666</v>
      </c>
      <c r="C4825" t="s">
        <v>10667</v>
      </c>
      <c r="D4825" t="s">
        <v>10668</v>
      </c>
      <c r="E4825">
        <v>8135000513</v>
      </c>
      <c r="F4825" t="s">
        <v>775</v>
      </c>
      <c r="G4825" t="s">
        <v>776</v>
      </c>
      <c r="I4825" t="s">
        <v>22</v>
      </c>
      <c r="J4825" s="13">
        <v>46072</v>
      </c>
      <c r="K4825" s="13">
        <v>46082</v>
      </c>
      <c r="L4825" t="s">
        <v>497</v>
      </c>
      <c r="M4825" t="s">
        <v>56</v>
      </c>
      <c r="N4825">
        <v>74461971</v>
      </c>
    </row>
    <row r="4826" spans="1:14" x14ac:dyDescent="0.25">
      <c r="A4826">
        <v>60713265</v>
      </c>
      <c r="B4826" t="s">
        <v>10669</v>
      </c>
      <c r="C4826" t="s">
        <v>10670</v>
      </c>
      <c r="D4826" t="s">
        <v>10671</v>
      </c>
      <c r="E4826">
        <v>5853536719</v>
      </c>
      <c r="F4826" t="s">
        <v>551</v>
      </c>
      <c r="G4826" t="s">
        <v>552</v>
      </c>
      <c r="I4826" t="s">
        <v>42</v>
      </c>
      <c r="J4826" s="13">
        <v>46072</v>
      </c>
      <c r="K4826" s="13">
        <v>46082</v>
      </c>
      <c r="L4826" t="s">
        <v>621</v>
      </c>
      <c r="M4826" t="s">
        <v>58</v>
      </c>
      <c r="N4826">
        <v>74462839</v>
      </c>
    </row>
    <row r="4827" spans="1:14" x14ac:dyDescent="0.25">
      <c r="A4827">
        <v>60713701</v>
      </c>
      <c r="B4827" t="s">
        <v>10672</v>
      </c>
      <c r="C4827" t="s">
        <v>3175</v>
      </c>
      <c r="D4827" t="s">
        <v>10673</v>
      </c>
      <c r="E4827">
        <v>7192912393</v>
      </c>
      <c r="F4827" t="s">
        <v>649</v>
      </c>
      <c r="G4827" t="s">
        <v>650</v>
      </c>
      <c r="I4827" t="s">
        <v>28</v>
      </c>
      <c r="J4827" s="13">
        <v>46072</v>
      </c>
      <c r="K4827" s="13">
        <v>46082</v>
      </c>
      <c r="L4827" t="s">
        <v>539</v>
      </c>
      <c r="M4827" t="s">
        <v>60</v>
      </c>
      <c r="N4827">
        <v>74463218</v>
      </c>
    </row>
    <row r="4828" spans="1:14" x14ac:dyDescent="0.25">
      <c r="A4828">
        <v>60713800</v>
      </c>
      <c r="B4828" t="s">
        <v>10674</v>
      </c>
      <c r="C4828" t="s">
        <v>1435</v>
      </c>
      <c r="D4828" t="s">
        <v>10675</v>
      </c>
      <c r="E4828">
        <v>4808626961</v>
      </c>
      <c r="F4828" t="s">
        <v>1013</v>
      </c>
      <c r="G4828" t="s">
        <v>1014</v>
      </c>
      <c r="I4828" t="s">
        <v>43</v>
      </c>
      <c r="J4828" s="13">
        <v>46072</v>
      </c>
      <c r="K4828" s="13">
        <v>46082</v>
      </c>
      <c r="L4828" t="s">
        <v>1179</v>
      </c>
      <c r="M4828" t="s">
        <v>56</v>
      </c>
      <c r="N4828">
        <v>74463290</v>
      </c>
    </row>
    <row r="4829" spans="1:14" x14ac:dyDescent="0.25">
      <c r="A4829">
        <v>60714005</v>
      </c>
      <c r="B4829" t="s">
        <v>5795</v>
      </c>
      <c r="C4829" t="s">
        <v>10676</v>
      </c>
      <c r="D4829" t="s">
        <v>10677</v>
      </c>
      <c r="E4829">
        <v>7273366535</v>
      </c>
      <c r="F4829" t="s">
        <v>10569</v>
      </c>
      <c r="G4829" t="s">
        <v>10570</v>
      </c>
      <c r="I4829" t="s">
        <v>29</v>
      </c>
      <c r="J4829" s="13">
        <v>46072</v>
      </c>
      <c r="K4829" s="13">
        <v>46082</v>
      </c>
      <c r="L4829" t="s">
        <v>497</v>
      </c>
      <c r="M4829" t="s">
        <v>54</v>
      </c>
      <c r="N4829">
        <v>74463433</v>
      </c>
    </row>
    <row r="4830" spans="1:14" x14ac:dyDescent="0.25">
      <c r="A4830">
        <v>60714417</v>
      </c>
      <c r="B4830" t="s">
        <v>501</v>
      </c>
      <c r="C4830" t="s">
        <v>957</v>
      </c>
      <c r="D4830" t="s">
        <v>10678</v>
      </c>
      <c r="E4830">
        <v>5203904552</v>
      </c>
      <c r="F4830" t="s">
        <v>807</v>
      </c>
      <c r="G4830" t="s">
        <v>808</v>
      </c>
      <c r="I4830" t="s">
        <v>33</v>
      </c>
      <c r="J4830" s="13">
        <v>46072</v>
      </c>
      <c r="K4830" s="13">
        <v>46082</v>
      </c>
      <c r="L4830" t="s">
        <v>1179</v>
      </c>
      <c r="M4830" t="s">
        <v>59</v>
      </c>
      <c r="N4830">
        <v>74463732</v>
      </c>
    </row>
    <row r="4831" spans="1:14" x14ac:dyDescent="0.25">
      <c r="A4831">
        <v>60714423</v>
      </c>
      <c r="B4831" t="s">
        <v>10679</v>
      </c>
      <c r="C4831" t="s">
        <v>10680</v>
      </c>
      <c r="D4831" t="s">
        <v>10681</v>
      </c>
      <c r="E4831">
        <v>3182645675</v>
      </c>
      <c r="F4831" t="s">
        <v>790</v>
      </c>
      <c r="G4831" t="s">
        <v>791</v>
      </c>
      <c r="I4831" t="s">
        <v>119</v>
      </c>
      <c r="J4831" s="13">
        <v>46072</v>
      </c>
      <c r="K4831" s="13">
        <v>46082</v>
      </c>
      <c r="L4831" t="s">
        <v>612</v>
      </c>
      <c r="M4831" t="s">
        <v>56</v>
      </c>
      <c r="N4831">
        <v>74463734</v>
      </c>
    </row>
    <row r="4832" spans="1:14" x14ac:dyDescent="0.25">
      <c r="A4832">
        <v>60714561</v>
      </c>
      <c r="B4832" t="s">
        <v>772</v>
      </c>
      <c r="C4832" t="s">
        <v>1258</v>
      </c>
      <c r="D4832" t="s">
        <v>10682</v>
      </c>
      <c r="E4832">
        <v>5204720478</v>
      </c>
      <c r="F4832" t="s">
        <v>780</v>
      </c>
      <c r="G4832" t="s">
        <v>781</v>
      </c>
      <c r="I4832" t="s">
        <v>20</v>
      </c>
      <c r="J4832" s="13">
        <v>46072</v>
      </c>
      <c r="K4832" s="13">
        <v>46082</v>
      </c>
      <c r="L4832" t="s">
        <v>1179</v>
      </c>
      <c r="M4832" t="s">
        <v>59</v>
      </c>
      <c r="N4832">
        <v>74463850</v>
      </c>
    </row>
    <row r="4833" spans="1:14" x14ac:dyDescent="0.25">
      <c r="A4833">
        <v>60715876</v>
      </c>
      <c r="B4833" t="s">
        <v>4570</v>
      </c>
      <c r="C4833" t="s">
        <v>10683</v>
      </c>
      <c r="D4833" t="s">
        <v>10684</v>
      </c>
      <c r="E4833">
        <v>5204295073</v>
      </c>
      <c r="F4833" t="s">
        <v>688</v>
      </c>
      <c r="G4833" t="s">
        <v>10291</v>
      </c>
      <c r="I4833" t="s">
        <v>48</v>
      </c>
      <c r="J4833" s="13">
        <v>46072</v>
      </c>
      <c r="K4833" s="13">
        <v>46082</v>
      </c>
      <c r="L4833" t="s">
        <v>1179</v>
      </c>
      <c r="M4833" t="s">
        <v>54</v>
      </c>
      <c r="N4833">
        <v>74464791</v>
      </c>
    </row>
    <row r="4834" spans="1:14" x14ac:dyDescent="0.25">
      <c r="A4834">
        <v>60716439</v>
      </c>
      <c r="B4834" t="s">
        <v>784</v>
      </c>
      <c r="C4834" t="s">
        <v>8778</v>
      </c>
      <c r="D4834" t="s">
        <v>10685</v>
      </c>
      <c r="E4834">
        <v>6027969342</v>
      </c>
      <c r="F4834" t="s">
        <v>1345</v>
      </c>
      <c r="G4834" t="s">
        <v>799</v>
      </c>
      <c r="I4834" t="s">
        <v>47</v>
      </c>
      <c r="J4834" s="13">
        <v>46072</v>
      </c>
      <c r="K4834" s="13">
        <v>46082</v>
      </c>
      <c r="L4834" t="s">
        <v>1179</v>
      </c>
      <c r="M4834" t="s">
        <v>54</v>
      </c>
      <c r="N4834">
        <v>74465281</v>
      </c>
    </row>
    <row r="4835" spans="1:14" x14ac:dyDescent="0.25">
      <c r="A4835">
        <v>60723118</v>
      </c>
      <c r="B4835" t="s">
        <v>6138</v>
      </c>
      <c r="C4835" t="s">
        <v>6545</v>
      </c>
      <c r="D4835" t="s">
        <v>10686</v>
      </c>
      <c r="E4835">
        <v>4012074138</v>
      </c>
      <c r="F4835" t="s">
        <v>474</v>
      </c>
      <c r="G4835" t="s">
        <v>475</v>
      </c>
      <c r="I4835" t="s">
        <v>132</v>
      </c>
      <c r="J4835" s="13">
        <v>46073</v>
      </c>
      <c r="K4835" s="13">
        <v>46082</v>
      </c>
      <c r="L4835" t="s">
        <v>497</v>
      </c>
      <c r="M4835" t="s">
        <v>56</v>
      </c>
      <c r="N4835">
        <v>74471514</v>
      </c>
    </row>
    <row r="4836" spans="1:14" x14ac:dyDescent="0.25">
      <c r="A4836">
        <v>60723904</v>
      </c>
      <c r="B4836" t="s">
        <v>10687</v>
      </c>
      <c r="C4836" t="s">
        <v>6576</v>
      </c>
      <c r="D4836" t="s">
        <v>10688</v>
      </c>
      <c r="E4836">
        <v>6124171799</v>
      </c>
      <c r="F4836" t="s">
        <v>649</v>
      </c>
      <c r="G4836" t="s">
        <v>650</v>
      </c>
      <c r="I4836" t="s">
        <v>28</v>
      </c>
      <c r="J4836" s="13">
        <v>46073</v>
      </c>
      <c r="K4836" s="13">
        <v>46082</v>
      </c>
      <c r="L4836" t="s">
        <v>675</v>
      </c>
      <c r="M4836" t="s">
        <v>56</v>
      </c>
      <c r="N4836">
        <v>74472165</v>
      </c>
    </row>
    <row r="4837" spans="1:14" x14ac:dyDescent="0.25">
      <c r="A4837">
        <v>60724954</v>
      </c>
      <c r="B4837" t="s">
        <v>4735</v>
      </c>
      <c r="C4837" t="s">
        <v>10689</v>
      </c>
      <c r="D4837" t="s">
        <v>10690</v>
      </c>
      <c r="E4837">
        <v>5413256700</v>
      </c>
      <c r="F4837" t="s">
        <v>1013</v>
      </c>
      <c r="G4837" t="s">
        <v>1014</v>
      </c>
      <c r="I4837" t="s">
        <v>43</v>
      </c>
      <c r="J4837" s="13">
        <v>46073</v>
      </c>
      <c r="K4837" s="13">
        <v>46082</v>
      </c>
      <c r="L4837" t="s">
        <v>1179</v>
      </c>
      <c r="M4837" t="s">
        <v>54</v>
      </c>
      <c r="N4837">
        <v>74472827</v>
      </c>
    </row>
    <row r="4838" spans="1:14" x14ac:dyDescent="0.25">
      <c r="A4838">
        <v>60724972</v>
      </c>
      <c r="B4838" t="s">
        <v>1123</v>
      </c>
      <c r="C4838" t="s">
        <v>10689</v>
      </c>
      <c r="D4838" t="s">
        <v>10691</v>
      </c>
      <c r="E4838">
        <v>5413256700</v>
      </c>
      <c r="F4838" t="s">
        <v>1013</v>
      </c>
      <c r="G4838" t="s">
        <v>1014</v>
      </c>
      <c r="I4838" t="s">
        <v>43</v>
      </c>
      <c r="J4838" s="13">
        <v>46073</v>
      </c>
      <c r="K4838" s="13">
        <v>46082</v>
      </c>
      <c r="L4838" t="s">
        <v>1179</v>
      </c>
      <c r="M4838" t="s">
        <v>54</v>
      </c>
      <c r="N4838">
        <v>74472838</v>
      </c>
    </row>
    <row r="4839" spans="1:14" x14ac:dyDescent="0.25">
      <c r="A4839">
        <v>60728226</v>
      </c>
      <c r="B4839" t="s">
        <v>2469</v>
      </c>
      <c r="C4839" t="s">
        <v>2087</v>
      </c>
      <c r="D4839" t="s">
        <v>10692</v>
      </c>
      <c r="E4839">
        <v>7277687413</v>
      </c>
      <c r="F4839" t="s">
        <v>928</v>
      </c>
      <c r="G4839" t="s">
        <v>929</v>
      </c>
      <c r="I4839" t="s">
        <v>30</v>
      </c>
      <c r="J4839" s="13">
        <v>46073</v>
      </c>
      <c r="K4839" s="13">
        <v>46082</v>
      </c>
      <c r="L4839" t="s">
        <v>497</v>
      </c>
      <c r="M4839" t="s">
        <v>58</v>
      </c>
      <c r="N4839">
        <v>74484934</v>
      </c>
    </row>
    <row r="4840" spans="1:14" x14ac:dyDescent="0.25">
      <c r="A4840">
        <v>60730373</v>
      </c>
      <c r="B4840" t="s">
        <v>1747</v>
      </c>
      <c r="C4840" t="s">
        <v>564</v>
      </c>
      <c r="D4840" t="s">
        <v>10693</v>
      </c>
      <c r="E4840">
        <v>7576045498</v>
      </c>
      <c r="F4840" t="s">
        <v>705</v>
      </c>
      <c r="G4840" t="s">
        <v>706</v>
      </c>
      <c r="I4840" t="s">
        <v>12</v>
      </c>
      <c r="J4840" s="13">
        <v>46073</v>
      </c>
      <c r="K4840" s="13">
        <v>46082</v>
      </c>
      <c r="L4840" t="s">
        <v>454</v>
      </c>
      <c r="M4840" t="s">
        <v>58</v>
      </c>
      <c r="N4840">
        <v>74490229</v>
      </c>
    </row>
    <row r="4841" spans="1:14" x14ac:dyDescent="0.25">
      <c r="A4841">
        <v>60730676</v>
      </c>
      <c r="B4841" t="s">
        <v>9107</v>
      </c>
      <c r="C4841" t="s">
        <v>10694</v>
      </c>
      <c r="D4841" t="s">
        <v>10695</v>
      </c>
      <c r="E4841">
        <v>2019489918</v>
      </c>
      <c r="F4841" t="s">
        <v>828</v>
      </c>
      <c r="G4841" t="s">
        <v>1148</v>
      </c>
      <c r="I4841" t="s">
        <v>17</v>
      </c>
      <c r="J4841" s="13">
        <v>46073</v>
      </c>
      <c r="K4841" s="13">
        <v>46082</v>
      </c>
      <c r="L4841" t="s">
        <v>497</v>
      </c>
      <c r="M4841" t="s">
        <v>419</v>
      </c>
      <c r="N4841">
        <v>74494459</v>
      </c>
    </row>
    <row r="4842" spans="1:14" x14ac:dyDescent="0.25">
      <c r="A4842">
        <v>60730828</v>
      </c>
      <c r="B4842" t="s">
        <v>1228</v>
      </c>
      <c r="C4842" t="s">
        <v>10696</v>
      </c>
      <c r="D4842" t="s">
        <v>10697</v>
      </c>
      <c r="E4842">
        <v>7273034456</v>
      </c>
      <c r="F4842" t="s">
        <v>780</v>
      </c>
      <c r="G4842" t="s">
        <v>781</v>
      </c>
      <c r="I4842" t="s">
        <v>20</v>
      </c>
      <c r="J4842" s="13">
        <v>46073</v>
      </c>
      <c r="K4842" s="13">
        <v>46082</v>
      </c>
      <c r="L4842" t="s">
        <v>497</v>
      </c>
      <c r="M4842" t="s">
        <v>56</v>
      </c>
      <c r="N4842">
        <v>74497421</v>
      </c>
    </row>
    <row r="4843" spans="1:14" x14ac:dyDescent="0.25">
      <c r="A4843">
        <v>60732127</v>
      </c>
      <c r="B4843" t="s">
        <v>10698</v>
      </c>
      <c r="C4843" t="s">
        <v>10699</v>
      </c>
      <c r="D4843" t="s">
        <v>10700</v>
      </c>
      <c r="E4843">
        <v>2012648396</v>
      </c>
      <c r="F4843" t="s">
        <v>770</v>
      </c>
      <c r="G4843" t="s">
        <v>771</v>
      </c>
      <c r="I4843" t="s">
        <v>25</v>
      </c>
      <c r="J4843" s="13">
        <v>46073</v>
      </c>
      <c r="K4843" s="13">
        <v>46082</v>
      </c>
      <c r="L4843" t="s">
        <v>497</v>
      </c>
      <c r="M4843" t="s">
        <v>56</v>
      </c>
      <c r="N4843">
        <v>74508768</v>
      </c>
    </row>
    <row r="4844" spans="1:14" x14ac:dyDescent="0.25">
      <c r="A4844">
        <v>60732161</v>
      </c>
      <c r="B4844" t="s">
        <v>905</v>
      </c>
      <c r="C4844" t="s">
        <v>10701</v>
      </c>
      <c r="D4844" t="s">
        <v>10702</v>
      </c>
      <c r="E4844">
        <v>5012851187</v>
      </c>
      <c r="F4844" t="s">
        <v>2544</v>
      </c>
      <c r="G4844" t="s">
        <v>4833</v>
      </c>
      <c r="I4844" t="s">
        <v>18</v>
      </c>
      <c r="J4844" s="13">
        <v>46073</v>
      </c>
      <c r="K4844" s="13">
        <v>46082</v>
      </c>
      <c r="L4844" t="s">
        <v>553</v>
      </c>
      <c r="M4844" t="s">
        <v>59</v>
      </c>
      <c r="N4844">
        <v>74509677</v>
      </c>
    </row>
    <row r="4845" spans="1:14" x14ac:dyDescent="0.25">
      <c r="A4845">
        <v>60732201</v>
      </c>
      <c r="B4845" t="s">
        <v>8975</v>
      </c>
      <c r="C4845" t="s">
        <v>7607</v>
      </c>
      <c r="D4845" t="s">
        <v>10703</v>
      </c>
      <c r="E4845">
        <v>4804906549</v>
      </c>
      <c r="F4845" t="s">
        <v>1345</v>
      </c>
      <c r="G4845" t="s">
        <v>799</v>
      </c>
      <c r="I4845" t="s">
        <v>47</v>
      </c>
      <c r="J4845" s="13">
        <v>46073</v>
      </c>
      <c r="K4845" s="13">
        <v>46082</v>
      </c>
      <c r="L4845" t="s">
        <v>1179</v>
      </c>
      <c r="M4845" t="s">
        <v>54</v>
      </c>
      <c r="N4845">
        <v>74510535</v>
      </c>
    </row>
    <row r="4846" spans="1:14" x14ac:dyDescent="0.25">
      <c r="A4846">
        <v>60737938</v>
      </c>
      <c r="B4846" t="s">
        <v>5552</v>
      </c>
      <c r="C4846" t="s">
        <v>6773</v>
      </c>
      <c r="D4846" t="s">
        <v>10704</v>
      </c>
      <c r="E4846">
        <v>7372471854</v>
      </c>
      <c r="F4846" t="s">
        <v>705</v>
      </c>
      <c r="G4846" t="s">
        <v>706</v>
      </c>
      <c r="I4846" t="s">
        <v>12</v>
      </c>
      <c r="J4846" s="13">
        <v>46073</v>
      </c>
      <c r="K4846" s="13">
        <v>46082</v>
      </c>
      <c r="L4846" t="s">
        <v>444</v>
      </c>
      <c r="M4846" t="s">
        <v>59</v>
      </c>
      <c r="N4846">
        <v>74537779</v>
      </c>
    </row>
    <row r="4847" spans="1:14" x14ac:dyDescent="0.25">
      <c r="A4847">
        <v>60740341</v>
      </c>
      <c r="B4847" t="s">
        <v>480</v>
      </c>
      <c r="C4847" t="s">
        <v>923</v>
      </c>
      <c r="D4847" t="s">
        <v>10705</v>
      </c>
      <c r="E4847">
        <v>5173197046</v>
      </c>
      <c r="F4847" t="s">
        <v>569</v>
      </c>
      <c r="G4847" t="s">
        <v>570</v>
      </c>
      <c r="I4847" t="s">
        <v>34</v>
      </c>
      <c r="J4847" s="13">
        <v>46073</v>
      </c>
      <c r="K4847" s="13">
        <v>46082</v>
      </c>
      <c r="L4847" t="s">
        <v>8329</v>
      </c>
      <c r="M4847" t="s">
        <v>56</v>
      </c>
      <c r="N4847">
        <v>74546209</v>
      </c>
    </row>
    <row r="4848" spans="1:14" x14ac:dyDescent="0.25">
      <c r="A4848">
        <v>60740755</v>
      </c>
      <c r="B4848" t="s">
        <v>6451</v>
      </c>
      <c r="C4848" t="s">
        <v>1795</v>
      </c>
      <c r="D4848" t="s">
        <v>10706</v>
      </c>
      <c r="E4848">
        <v>3049321886</v>
      </c>
      <c r="F4848" t="s">
        <v>10253</v>
      </c>
      <c r="G4848" t="s">
        <v>781</v>
      </c>
      <c r="I4848" t="s">
        <v>36</v>
      </c>
      <c r="J4848" s="13">
        <v>46073</v>
      </c>
      <c r="K4848" s="13">
        <v>46082</v>
      </c>
      <c r="L4848" t="s">
        <v>1188</v>
      </c>
      <c r="M4848" t="s">
        <v>419</v>
      </c>
      <c r="N4848">
        <v>74547691</v>
      </c>
    </row>
    <row r="4849" spans="1:14" x14ac:dyDescent="0.25">
      <c r="A4849">
        <v>60816606</v>
      </c>
      <c r="B4849" t="s">
        <v>5527</v>
      </c>
      <c r="C4849" t="s">
        <v>8215</v>
      </c>
      <c r="D4849" t="s">
        <v>10707</v>
      </c>
      <c r="E4849">
        <v>7082039577</v>
      </c>
      <c r="F4849" t="s">
        <v>10642</v>
      </c>
      <c r="G4849" t="s">
        <v>10643</v>
      </c>
      <c r="I4849" t="s">
        <v>45</v>
      </c>
      <c r="J4849" s="13">
        <v>46076</v>
      </c>
      <c r="K4849" s="13">
        <v>46082</v>
      </c>
      <c r="L4849" t="s">
        <v>470</v>
      </c>
      <c r="M4849" t="s">
        <v>58</v>
      </c>
      <c r="N4849">
        <v>74551966</v>
      </c>
    </row>
    <row r="4850" spans="1:14" x14ac:dyDescent="0.25">
      <c r="A4850">
        <v>60753836</v>
      </c>
      <c r="B4850" t="s">
        <v>10708</v>
      </c>
      <c r="C4850" t="s">
        <v>3088</v>
      </c>
      <c r="D4850" t="s">
        <v>10709</v>
      </c>
      <c r="E4850">
        <v>2165305805</v>
      </c>
      <c r="F4850" t="s">
        <v>705</v>
      </c>
      <c r="G4850" t="s">
        <v>706</v>
      </c>
      <c r="I4850" t="s">
        <v>12</v>
      </c>
      <c r="J4850" s="13">
        <v>46073</v>
      </c>
      <c r="K4850" s="13">
        <v>46082</v>
      </c>
      <c r="L4850" t="s">
        <v>418</v>
      </c>
      <c r="M4850" t="s">
        <v>59</v>
      </c>
      <c r="N4850">
        <v>74556993</v>
      </c>
    </row>
    <row r="4851" spans="1:14" x14ac:dyDescent="0.25">
      <c r="A4851">
        <v>60756628</v>
      </c>
      <c r="B4851" t="s">
        <v>2459</v>
      </c>
      <c r="C4851" t="s">
        <v>10710</v>
      </c>
      <c r="D4851" t="s">
        <v>10711</v>
      </c>
      <c r="E4851">
        <v>6023948244</v>
      </c>
      <c r="F4851" t="s">
        <v>1345</v>
      </c>
      <c r="G4851" t="s">
        <v>799</v>
      </c>
      <c r="I4851" t="s">
        <v>47</v>
      </c>
      <c r="J4851" s="13">
        <v>46073</v>
      </c>
      <c r="K4851" s="13">
        <v>46082</v>
      </c>
      <c r="L4851" t="s">
        <v>1179</v>
      </c>
      <c r="M4851" t="s">
        <v>59</v>
      </c>
      <c r="N4851">
        <v>74558344</v>
      </c>
    </row>
    <row r="4852" spans="1:14" x14ac:dyDescent="0.25">
      <c r="A4852">
        <v>60757691</v>
      </c>
      <c r="B4852" t="s">
        <v>1167</v>
      </c>
      <c r="C4852" t="s">
        <v>8853</v>
      </c>
      <c r="D4852" t="s">
        <v>10712</v>
      </c>
      <c r="E4852">
        <v>9047962118</v>
      </c>
      <c r="F4852" t="s">
        <v>780</v>
      </c>
      <c r="G4852" t="s">
        <v>781</v>
      </c>
      <c r="I4852" t="s">
        <v>20</v>
      </c>
      <c r="J4852" s="13">
        <v>46073</v>
      </c>
      <c r="K4852" s="13">
        <v>46082</v>
      </c>
      <c r="L4852" t="s">
        <v>497</v>
      </c>
      <c r="M4852" t="s">
        <v>56</v>
      </c>
      <c r="N4852">
        <v>74558934</v>
      </c>
    </row>
    <row r="4853" spans="1:14" x14ac:dyDescent="0.25">
      <c r="A4853">
        <v>60757727</v>
      </c>
      <c r="B4853" t="s">
        <v>1934</v>
      </c>
      <c r="C4853" t="s">
        <v>10713</v>
      </c>
      <c r="D4853" t="s">
        <v>10714</v>
      </c>
      <c r="E4853">
        <v>8705050524</v>
      </c>
      <c r="F4853" t="s">
        <v>474</v>
      </c>
      <c r="G4853" t="s">
        <v>475</v>
      </c>
      <c r="I4853" t="s">
        <v>132</v>
      </c>
      <c r="J4853" s="13">
        <v>46073</v>
      </c>
      <c r="K4853" s="13">
        <v>46082</v>
      </c>
      <c r="L4853" t="s">
        <v>553</v>
      </c>
      <c r="M4853" t="s">
        <v>56</v>
      </c>
      <c r="N4853">
        <v>74558974</v>
      </c>
    </row>
    <row r="4854" spans="1:14" x14ac:dyDescent="0.25">
      <c r="A4854">
        <v>60758193</v>
      </c>
      <c r="B4854" t="s">
        <v>10715</v>
      </c>
      <c r="C4854" t="s">
        <v>5075</v>
      </c>
      <c r="D4854" t="s">
        <v>10716</v>
      </c>
      <c r="E4854">
        <v>8166022183</v>
      </c>
      <c r="F4854" t="s">
        <v>1147</v>
      </c>
      <c r="G4854" t="s">
        <v>1148</v>
      </c>
      <c r="I4854" t="s">
        <v>41</v>
      </c>
      <c r="J4854" s="13">
        <v>46073</v>
      </c>
      <c r="K4854" s="13">
        <v>46082</v>
      </c>
      <c r="L4854" t="s">
        <v>434</v>
      </c>
      <c r="M4854" t="s">
        <v>59</v>
      </c>
      <c r="N4854">
        <v>74559210</v>
      </c>
    </row>
    <row r="4855" spans="1:14" x14ac:dyDescent="0.25">
      <c r="A4855">
        <v>60758631</v>
      </c>
      <c r="B4855" t="s">
        <v>3193</v>
      </c>
      <c r="C4855" t="s">
        <v>10717</v>
      </c>
      <c r="D4855" t="s">
        <v>10718</v>
      </c>
      <c r="E4855">
        <v>8632438526</v>
      </c>
      <c r="F4855" t="s">
        <v>928</v>
      </c>
      <c r="G4855" t="s">
        <v>929</v>
      </c>
      <c r="I4855" t="s">
        <v>30</v>
      </c>
      <c r="J4855" s="13">
        <v>46073</v>
      </c>
      <c r="K4855" s="13">
        <v>46082</v>
      </c>
      <c r="L4855" t="s">
        <v>497</v>
      </c>
      <c r="M4855" t="s">
        <v>59</v>
      </c>
      <c r="N4855">
        <v>74559572</v>
      </c>
    </row>
    <row r="4856" spans="1:14" x14ac:dyDescent="0.25">
      <c r="A4856">
        <v>60759369</v>
      </c>
      <c r="B4856" t="s">
        <v>10719</v>
      </c>
      <c r="C4856" t="s">
        <v>2175</v>
      </c>
      <c r="D4856" t="s">
        <v>10720</v>
      </c>
      <c r="E4856">
        <v>5027123356</v>
      </c>
      <c r="F4856" t="s">
        <v>790</v>
      </c>
      <c r="G4856" t="s">
        <v>791</v>
      </c>
      <c r="I4856" t="s">
        <v>119</v>
      </c>
      <c r="J4856" s="13">
        <v>46073</v>
      </c>
      <c r="K4856" s="13">
        <v>46082</v>
      </c>
      <c r="L4856" t="s">
        <v>490</v>
      </c>
      <c r="M4856" t="s">
        <v>56</v>
      </c>
      <c r="N4856">
        <v>74560104</v>
      </c>
    </row>
    <row r="4857" spans="1:14" x14ac:dyDescent="0.25">
      <c r="A4857">
        <v>60762530</v>
      </c>
      <c r="B4857" t="s">
        <v>3561</v>
      </c>
      <c r="C4857" t="s">
        <v>10721</v>
      </c>
      <c r="D4857" t="s">
        <v>10722</v>
      </c>
      <c r="E4857">
        <v>6464108892</v>
      </c>
      <c r="F4857" t="s">
        <v>775</v>
      </c>
      <c r="G4857" t="s">
        <v>776</v>
      </c>
      <c r="I4857" t="s">
        <v>22</v>
      </c>
      <c r="J4857" s="13">
        <v>46073</v>
      </c>
      <c r="K4857" s="13">
        <v>46082</v>
      </c>
      <c r="L4857" t="s">
        <v>497</v>
      </c>
      <c r="M4857" t="s">
        <v>56</v>
      </c>
      <c r="N4857">
        <v>74562474</v>
      </c>
    </row>
    <row r="4858" spans="1:14" x14ac:dyDescent="0.25">
      <c r="A4858">
        <v>60762597</v>
      </c>
      <c r="B4858" t="s">
        <v>1160</v>
      </c>
      <c r="C4858" t="s">
        <v>10723</v>
      </c>
      <c r="D4858" t="s">
        <v>10724</v>
      </c>
      <c r="E4858">
        <v>4809953682</v>
      </c>
      <c r="F4858" t="s">
        <v>10591</v>
      </c>
      <c r="G4858" t="s">
        <v>10215</v>
      </c>
      <c r="I4858" t="s">
        <v>32</v>
      </c>
      <c r="J4858" s="13">
        <v>46073</v>
      </c>
      <c r="K4858" s="13">
        <v>46082</v>
      </c>
      <c r="L4858" t="s">
        <v>1179</v>
      </c>
      <c r="M4858" t="s">
        <v>55</v>
      </c>
      <c r="N4858">
        <v>74562519</v>
      </c>
    </row>
    <row r="4859" spans="1:14" x14ac:dyDescent="0.25">
      <c r="A4859">
        <v>60764078</v>
      </c>
      <c r="B4859" t="s">
        <v>1340</v>
      </c>
      <c r="C4859" t="s">
        <v>10725</v>
      </c>
      <c r="D4859" t="s">
        <v>10726</v>
      </c>
      <c r="E4859">
        <v>4803658993</v>
      </c>
      <c r="F4859" t="s">
        <v>775</v>
      </c>
      <c r="G4859" t="s">
        <v>776</v>
      </c>
      <c r="I4859" t="s">
        <v>22</v>
      </c>
      <c r="J4859" s="13">
        <v>46073</v>
      </c>
      <c r="K4859" s="13">
        <v>46082</v>
      </c>
      <c r="L4859" t="s">
        <v>1179</v>
      </c>
      <c r="M4859" t="s">
        <v>58</v>
      </c>
      <c r="N4859">
        <v>74563031</v>
      </c>
    </row>
    <row r="4860" spans="1:14" x14ac:dyDescent="0.25">
      <c r="A4860">
        <v>60767883</v>
      </c>
      <c r="B4860" t="s">
        <v>10727</v>
      </c>
      <c r="C4860" t="s">
        <v>5897</v>
      </c>
      <c r="D4860" t="s">
        <v>10728</v>
      </c>
      <c r="E4860" t="s">
        <v>10729</v>
      </c>
      <c r="F4860" t="s">
        <v>649</v>
      </c>
      <c r="G4860" t="s">
        <v>650</v>
      </c>
      <c r="I4860" t="s">
        <v>28</v>
      </c>
      <c r="J4860" s="13">
        <v>46073</v>
      </c>
      <c r="K4860" s="13">
        <v>46082</v>
      </c>
      <c r="L4860" t="s">
        <v>418</v>
      </c>
      <c r="M4860" t="s">
        <v>59</v>
      </c>
      <c r="N4860">
        <v>74564932</v>
      </c>
    </row>
    <row r="4861" spans="1:14" x14ac:dyDescent="0.25">
      <c r="A4861">
        <v>60775125</v>
      </c>
      <c r="B4861" t="s">
        <v>10730</v>
      </c>
      <c r="C4861" t="s">
        <v>10731</v>
      </c>
      <c r="D4861" t="s">
        <v>10732</v>
      </c>
      <c r="E4861">
        <v>4808481755</v>
      </c>
      <c r="F4861" t="s">
        <v>780</v>
      </c>
      <c r="G4861" t="s">
        <v>781</v>
      </c>
      <c r="I4861" t="s">
        <v>20</v>
      </c>
      <c r="J4861" s="13">
        <v>46073</v>
      </c>
      <c r="K4861" s="13">
        <v>46082</v>
      </c>
      <c r="L4861" t="s">
        <v>1179</v>
      </c>
      <c r="M4861" t="s">
        <v>54</v>
      </c>
      <c r="N4861">
        <v>74566051</v>
      </c>
    </row>
    <row r="4862" spans="1:14" x14ac:dyDescent="0.25">
      <c r="A4862">
        <v>60800076</v>
      </c>
      <c r="B4862" t="s">
        <v>3191</v>
      </c>
      <c r="C4862" t="s">
        <v>9241</v>
      </c>
      <c r="D4862" t="s">
        <v>10733</v>
      </c>
      <c r="E4862">
        <v>9412282724</v>
      </c>
      <c r="F4862" t="s">
        <v>474</v>
      </c>
      <c r="G4862" t="s">
        <v>475</v>
      </c>
      <c r="I4862" t="s">
        <v>132</v>
      </c>
      <c r="J4862" s="13">
        <v>46076</v>
      </c>
      <c r="K4862" s="13">
        <v>46082</v>
      </c>
      <c r="L4862" t="s">
        <v>497</v>
      </c>
      <c r="M4862" t="s">
        <v>58</v>
      </c>
      <c r="N4862">
        <v>74582681</v>
      </c>
    </row>
    <row r="4863" spans="1:14" x14ac:dyDescent="0.25">
      <c r="A4863">
        <v>60802006</v>
      </c>
      <c r="B4863" t="s">
        <v>1784</v>
      </c>
      <c r="C4863" t="s">
        <v>10734</v>
      </c>
      <c r="D4863" t="s">
        <v>10735</v>
      </c>
      <c r="E4863">
        <v>9048623739</v>
      </c>
      <c r="F4863" t="s">
        <v>1013</v>
      </c>
      <c r="G4863" t="s">
        <v>1014</v>
      </c>
      <c r="I4863" t="s">
        <v>43</v>
      </c>
      <c r="J4863" s="13">
        <v>46076</v>
      </c>
      <c r="K4863" s="13">
        <v>46082</v>
      </c>
      <c r="L4863" t="s">
        <v>497</v>
      </c>
      <c r="M4863" t="s">
        <v>58</v>
      </c>
      <c r="N4863">
        <v>74583984</v>
      </c>
    </row>
    <row r="4864" spans="1:14" x14ac:dyDescent="0.25">
      <c r="A4864">
        <v>60802277</v>
      </c>
      <c r="B4864" t="s">
        <v>3737</v>
      </c>
      <c r="C4864" t="s">
        <v>10736</v>
      </c>
      <c r="D4864" t="s">
        <v>10737</v>
      </c>
      <c r="E4864">
        <v>4143565330</v>
      </c>
      <c r="F4864" t="s">
        <v>928</v>
      </c>
      <c r="G4864" t="s">
        <v>929</v>
      </c>
      <c r="I4864" t="s">
        <v>30</v>
      </c>
      <c r="J4864" s="13">
        <v>46076</v>
      </c>
      <c r="K4864" s="13">
        <v>46082</v>
      </c>
      <c r="L4864" t="s">
        <v>675</v>
      </c>
      <c r="M4864" t="s">
        <v>56</v>
      </c>
      <c r="N4864">
        <v>74584244</v>
      </c>
    </row>
    <row r="4865" spans="1:14" x14ac:dyDescent="0.25">
      <c r="A4865">
        <v>60802627</v>
      </c>
      <c r="B4865" t="s">
        <v>3228</v>
      </c>
      <c r="C4865" t="s">
        <v>10738</v>
      </c>
      <c r="D4865" t="s">
        <v>10739</v>
      </c>
      <c r="E4865">
        <v>5612016817</v>
      </c>
      <c r="F4865" t="s">
        <v>551</v>
      </c>
      <c r="G4865" t="s">
        <v>552</v>
      </c>
      <c r="I4865" t="s">
        <v>42</v>
      </c>
      <c r="J4865" s="13">
        <v>46076</v>
      </c>
      <c r="K4865" s="13">
        <v>46082</v>
      </c>
      <c r="L4865" t="s">
        <v>497</v>
      </c>
      <c r="M4865" t="s">
        <v>56</v>
      </c>
      <c r="N4865">
        <v>74585403</v>
      </c>
    </row>
    <row r="4866" spans="1:14" x14ac:dyDescent="0.25">
      <c r="A4866">
        <v>60803080</v>
      </c>
      <c r="B4866" t="s">
        <v>6440</v>
      </c>
      <c r="C4866" t="s">
        <v>1770</v>
      </c>
      <c r="D4866" t="s">
        <v>10740</v>
      </c>
      <c r="E4866">
        <v>8135162730</v>
      </c>
      <c r="F4866" t="s">
        <v>780</v>
      </c>
      <c r="G4866" t="s">
        <v>781</v>
      </c>
      <c r="I4866" t="s">
        <v>20</v>
      </c>
      <c r="J4866" s="13">
        <v>46076</v>
      </c>
      <c r="K4866" s="13">
        <v>46082</v>
      </c>
      <c r="L4866" t="s">
        <v>497</v>
      </c>
      <c r="M4866" t="s">
        <v>56</v>
      </c>
      <c r="N4866">
        <v>74585794</v>
      </c>
    </row>
    <row r="4867" spans="1:14" x14ac:dyDescent="0.25">
      <c r="A4867">
        <v>60803513</v>
      </c>
      <c r="B4867" t="s">
        <v>495</v>
      </c>
      <c r="C4867" t="s">
        <v>8646</v>
      </c>
      <c r="D4867" t="s">
        <v>10741</v>
      </c>
      <c r="E4867">
        <v>9145657872</v>
      </c>
      <c r="F4867" t="s">
        <v>574</v>
      </c>
      <c r="G4867" t="s">
        <v>575</v>
      </c>
      <c r="I4867" t="s">
        <v>14</v>
      </c>
      <c r="J4867" s="13">
        <v>46076</v>
      </c>
      <c r="K4867" s="13">
        <v>46082</v>
      </c>
      <c r="L4867" t="s">
        <v>450</v>
      </c>
      <c r="M4867" t="s">
        <v>56</v>
      </c>
      <c r="N4867">
        <v>74586210</v>
      </c>
    </row>
    <row r="4868" spans="1:14" x14ac:dyDescent="0.25">
      <c r="A4868">
        <v>60803646</v>
      </c>
      <c r="B4868" t="s">
        <v>552</v>
      </c>
      <c r="C4868" t="s">
        <v>10742</v>
      </c>
      <c r="D4868" t="s">
        <v>10743</v>
      </c>
      <c r="E4868">
        <v>2079524287</v>
      </c>
      <c r="F4868" t="s">
        <v>828</v>
      </c>
      <c r="G4868" t="s">
        <v>1148</v>
      </c>
      <c r="I4868" t="s">
        <v>17</v>
      </c>
      <c r="J4868" s="13">
        <v>46076</v>
      </c>
      <c r="K4868" s="13">
        <v>46082</v>
      </c>
      <c r="L4868" t="s">
        <v>941</v>
      </c>
      <c r="M4868" t="s">
        <v>56</v>
      </c>
      <c r="N4868">
        <v>74586324</v>
      </c>
    </row>
    <row r="4869" spans="1:14" x14ac:dyDescent="0.25">
      <c r="A4869">
        <v>60803979</v>
      </c>
      <c r="B4869" t="s">
        <v>548</v>
      </c>
      <c r="C4869" t="s">
        <v>10744</v>
      </c>
      <c r="D4869" t="s">
        <v>10745</v>
      </c>
      <c r="E4869">
        <v>3092994967</v>
      </c>
      <c r="F4869" t="s">
        <v>775</v>
      </c>
      <c r="G4869" t="s">
        <v>776</v>
      </c>
      <c r="I4869" t="s">
        <v>22</v>
      </c>
      <c r="J4869" s="13">
        <v>46076</v>
      </c>
      <c r="K4869" s="13">
        <v>46082</v>
      </c>
      <c r="L4869" t="s">
        <v>470</v>
      </c>
      <c r="M4869" t="s">
        <v>61</v>
      </c>
      <c r="N4869">
        <v>74586968</v>
      </c>
    </row>
    <row r="4870" spans="1:14" x14ac:dyDescent="0.25">
      <c r="A4870">
        <v>60803999</v>
      </c>
      <c r="B4870" t="s">
        <v>5267</v>
      </c>
      <c r="C4870" t="s">
        <v>10746</v>
      </c>
      <c r="D4870" t="s">
        <v>10747</v>
      </c>
      <c r="E4870">
        <v>8165341961</v>
      </c>
      <c r="F4870" t="s">
        <v>569</v>
      </c>
      <c r="G4870" t="s">
        <v>570</v>
      </c>
      <c r="I4870" t="s">
        <v>34</v>
      </c>
      <c r="J4870" s="13">
        <v>46076</v>
      </c>
      <c r="K4870" s="13">
        <v>46082</v>
      </c>
      <c r="L4870" t="s">
        <v>434</v>
      </c>
      <c r="M4870" t="s">
        <v>56</v>
      </c>
      <c r="N4870">
        <v>74587241</v>
      </c>
    </row>
    <row r="4871" spans="1:14" x14ac:dyDescent="0.25">
      <c r="A4871">
        <v>60804236</v>
      </c>
      <c r="B4871" t="s">
        <v>3702</v>
      </c>
      <c r="C4871" t="s">
        <v>10748</v>
      </c>
      <c r="D4871" t="s">
        <v>10749</v>
      </c>
      <c r="E4871">
        <v>9417577584</v>
      </c>
      <c r="F4871" t="s">
        <v>770</v>
      </c>
      <c r="G4871" t="s">
        <v>771</v>
      </c>
      <c r="I4871" t="s">
        <v>25</v>
      </c>
      <c r="J4871" s="13">
        <v>46076</v>
      </c>
      <c r="K4871" s="13">
        <v>46082</v>
      </c>
      <c r="L4871" t="s">
        <v>497</v>
      </c>
      <c r="M4871" t="s">
        <v>54</v>
      </c>
      <c r="N4871">
        <v>74590877</v>
      </c>
    </row>
    <row r="4872" spans="1:14" x14ac:dyDescent="0.25">
      <c r="A4872">
        <v>60805220</v>
      </c>
      <c r="B4872" t="s">
        <v>10750</v>
      </c>
      <c r="C4872" t="s">
        <v>10751</v>
      </c>
      <c r="D4872" t="s">
        <v>10752</v>
      </c>
      <c r="E4872">
        <v>7543669618</v>
      </c>
      <c r="F4872" t="s">
        <v>416</v>
      </c>
      <c r="G4872" t="s">
        <v>417</v>
      </c>
      <c r="I4872" t="s">
        <v>26</v>
      </c>
      <c r="J4872" s="13">
        <v>46076</v>
      </c>
      <c r="K4872" s="13">
        <v>46082</v>
      </c>
      <c r="L4872" t="s">
        <v>497</v>
      </c>
      <c r="M4872" t="s">
        <v>56</v>
      </c>
      <c r="N4872">
        <v>74594274</v>
      </c>
    </row>
    <row r="4873" spans="1:14" x14ac:dyDescent="0.25">
      <c r="A4873">
        <v>60808357</v>
      </c>
      <c r="B4873" t="s">
        <v>10753</v>
      </c>
      <c r="C4873" t="s">
        <v>10754</v>
      </c>
      <c r="D4873" t="s">
        <v>10755</v>
      </c>
      <c r="E4873">
        <v>9543177865</v>
      </c>
      <c r="F4873" t="s">
        <v>815</v>
      </c>
      <c r="G4873" t="s">
        <v>816</v>
      </c>
      <c r="I4873" t="s">
        <v>23</v>
      </c>
      <c r="J4873" s="13">
        <v>46076</v>
      </c>
      <c r="K4873" s="13">
        <v>46082</v>
      </c>
      <c r="L4873" t="s">
        <v>497</v>
      </c>
      <c r="M4873" t="s">
        <v>56</v>
      </c>
      <c r="N4873">
        <v>74613149</v>
      </c>
    </row>
    <row r="4874" spans="1:14" x14ac:dyDescent="0.25">
      <c r="A4874">
        <v>60808381</v>
      </c>
      <c r="B4874" t="s">
        <v>10756</v>
      </c>
      <c r="C4874" t="s">
        <v>867</v>
      </c>
      <c r="D4874" t="s">
        <v>10757</v>
      </c>
      <c r="E4874">
        <v>2518022987</v>
      </c>
      <c r="F4874" t="s">
        <v>2544</v>
      </c>
      <c r="G4874" t="s">
        <v>4833</v>
      </c>
      <c r="I4874" t="s">
        <v>18</v>
      </c>
      <c r="J4874" s="13">
        <v>46076</v>
      </c>
      <c r="K4874" s="13">
        <v>46082</v>
      </c>
      <c r="L4874" t="s">
        <v>450</v>
      </c>
      <c r="M4874" t="s">
        <v>59</v>
      </c>
      <c r="N4874">
        <v>74613722</v>
      </c>
    </row>
    <row r="4875" spans="1:14" x14ac:dyDescent="0.25">
      <c r="A4875">
        <v>60808388</v>
      </c>
      <c r="B4875" t="s">
        <v>501</v>
      </c>
      <c r="C4875" t="s">
        <v>10758</v>
      </c>
      <c r="D4875" t="s">
        <v>10759</v>
      </c>
      <c r="E4875">
        <v>7726348843</v>
      </c>
      <c r="F4875" t="s">
        <v>448</v>
      </c>
      <c r="G4875" t="s">
        <v>449</v>
      </c>
      <c r="I4875" t="s">
        <v>31</v>
      </c>
      <c r="J4875" s="13">
        <v>46076</v>
      </c>
      <c r="K4875" s="13">
        <v>46082</v>
      </c>
      <c r="L4875" t="s">
        <v>497</v>
      </c>
      <c r="M4875" t="s">
        <v>56</v>
      </c>
      <c r="N4875">
        <v>74613817</v>
      </c>
    </row>
    <row r="4876" spans="1:14" x14ac:dyDescent="0.25">
      <c r="A4876">
        <v>60808519</v>
      </c>
      <c r="B4876" t="s">
        <v>7304</v>
      </c>
      <c r="C4876" t="s">
        <v>10760</v>
      </c>
      <c r="D4876" t="s">
        <v>10761</v>
      </c>
      <c r="E4876">
        <v>6024221672</v>
      </c>
      <c r="F4876" t="s">
        <v>807</v>
      </c>
      <c r="G4876" t="s">
        <v>808</v>
      </c>
      <c r="I4876" t="s">
        <v>33</v>
      </c>
      <c r="J4876" s="13">
        <v>46076</v>
      </c>
      <c r="K4876" s="13">
        <v>46082</v>
      </c>
      <c r="L4876" t="s">
        <v>1179</v>
      </c>
      <c r="M4876" t="s">
        <v>56</v>
      </c>
      <c r="N4876">
        <v>74615603</v>
      </c>
    </row>
    <row r="4877" spans="1:14" x14ac:dyDescent="0.25">
      <c r="A4877">
        <v>60808560</v>
      </c>
      <c r="B4877" t="s">
        <v>867</v>
      </c>
      <c r="C4877" t="s">
        <v>10762</v>
      </c>
      <c r="D4877" t="s">
        <v>10763</v>
      </c>
      <c r="E4877">
        <v>8459782124</v>
      </c>
      <c r="F4877" t="s">
        <v>574</v>
      </c>
      <c r="G4877" t="s">
        <v>575</v>
      </c>
      <c r="I4877" t="s">
        <v>14</v>
      </c>
      <c r="J4877" s="13">
        <v>46076</v>
      </c>
      <c r="K4877" s="13">
        <v>46082</v>
      </c>
      <c r="L4877" t="s">
        <v>479</v>
      </c>
      <c r="M4877" t="s">
        <v>58</v>
      </c>
      <c r="N4877">
        <v>74616107</v>
      </c>
    </row>
    <row r="4878" spans="1:14" x14ac:dyDescent="0.25">
      <c r="A4878">
        <v>60808611</v>
      </c>
      <c r="B4878" t="s">
        <v>552</v>
      </c>
      <c r="C4878" t="s">
        <v>6723</v>
      </c>
      <c r="D4878" t="s">
        <v>10764</v>
      </c>
      <c r="E4878">
        <v>9018647636</v>
      </c>
      <c r="F4878" t="s">
        <v>649</v>
      </c>
      <c r="G4878" t="s">
        <v>650</v>
      </c>
      <c r="I4878" t="s">
        <v>28</v>
      </c>
      <c r="J4878" s="13">
        <v>46076</v>
      </c>
      <c r="K4878" s="13">
        <v>46082</v>
      </c>
      <c r="L4878" t="s">
        <v>553</v>
      </c>
      <c r="M4878" t="s">
        <v>59</v>
      </c>
      <c r="N4878">
        <v>74616994</v>
      </c>
    </row>
    <row r="4879" spans="1:14" x14ac:dyDescent="0.25">
      <c r="A4879">
        <v>60808974</v>
      </c>
      <c r="B4879" t="s">
        <v>609</v>
      </c>
      <c r="C4879" t="s">
        <v>10765</v>
      </c>
      <c r="D4879" t="s">
        <v>10766</v>
      </c>
      <c r="E4879" t="s">
        <v>10767</v>
      </c>
      <c r="F4879" t="s">
        <v>1013</v>
      </c>
      <c r="G4879" t="s">
        <v>1014</v>
      </c>
      <c r="I4879" t="s">
        <v>43</v>
      </c>
      <c r="J4879" s="13">
        <v>46076</v>
      </c>
      <c r="K4879" s="13">
        <v>46082</v>
      </c>
      <c r="L4879" t="s">
        <v>1179</v>
      </c>
      <c r="M4879" t="s">
        <v>54</v>
      </c>
      <c r="N4879">
        <v>74622643</v>
      </c>
    </row>
    <row r="4880" spans="1:14" x14ac:dyDescent="0.25">
      <c r="A4880">
        <v>60809132</v>
      </c>
      <c r="B4880" t="s">
        <v>10768</v>
      </c>
      <c r="C4880" t="s">
        <v>10769</v>
      </c>
      <c r="D4880" t="s">
        <v>10770</v>
      </c>
      <c r="E4880">
        <v>6892981004</v>
      </c>
      <c r="F4880" t="s">
        <v>10642</v>
      </c>
      <c r="G4880" t="s">
        <v>10643</v>
      </c>
      <c r="I4880" t="s">
        <v>45</v>
      </c>
      <c r="J4880" s="13">
        <v>46076</v>
      </c>
      <c r="K4880" s="13">
        <v>46082</v>
      </c>
      <c r="L4880" t="s">
        <v>621</v>
      </c>
      <c r="M4880" t="s">
        <v>58</v>
      </c>
      <c r="N4880">
        <v>74624959</v>
      </c>
    </row>
    <row r="4881" spans="1:14" x14ac:dyDescent="0.25">
      <c r="A4881">
        <v>60809493</v>
      </c>
      <c r="B4881" t="s">
        <v>10771</v>
      </c>
      <c r="C4881" t="s">
        <v>10772</v>
      </c>
      <c r="D4881" t="s">
        <v>10773</v>
      </c>
      <c r="E4881">
        <v>5203807347</v>
      </c>
      <c r="F4881" t="s">
        <v>1013</v>
      </c>
      <c r="G4881" t="s">
        <v>1014</v>
      </c>
      <c r="I4881" t="s">
        <v>43</v>
      </c>
      <c r="J4881" s="13">
        <v>46076</v>
      </c>
      <c r="K4881" s="13">
        <v>46082</v>
      </c>
      <c r="L4881" t="s">
        <v>1179</v>
      </c>
      <c r="M4881" t="s">
        <v>59</v>
      </c>
      <c r="N4881">
        <v>74628276</v>
      </c>
    </row>
    <row r="4882" spans="1:14" x14ac:dyDescent="0.25">
      <c r="A4882">
        <v>60812113</v>
      </c>
      <c r="B4882" t="s">
        <v>420</v>
      </c>
      <c r="C4882" t="s">
        <v>10774</v>
      </c>
      <c r="D4882" t="s">
        <v>10775</v>
      </c>
      <c r="E4882">
        <v>4805489403</v>
      </c>
      <c r="F4882" t="s">
        <v>416</v>
      </c>
      <c r="G4882" t="s">
        <v>417</v>
      </c>
      <c r="I4882" t="s">
        <v>26</v>
      </c>
      <c r="J4882" s="13">
        <v>46076</v>
      </c>
      <c r="K4882" s="13">
        <v>46082</v>
      </c>
      <c r="L4882" t="s">
        <v>1179</v>
      </c>
      <c r="M4882" t="s">
        <v>54</v>
      </c>
      <c r="N4882">
        <v>74647432</v>
      </c>
    </row>
    <row r="4883" spans="1:14" x14ac:dyDescent="0.25">
      <c r="A4883">
        <v>60813405</v>
      </c>
      <c r="B4883" t="s">
        <v>10316</v>
      </c>
      <c r="C4883" t="s">
        <v>10776</v>
      </c>
      <c r="D4883" t="s">
        <v>10777</v>
      </c>
      <c r="E4883">
        <v>2178480208</v>
      </c>
      <c r="F4883" t="s">
        <v>474</v>
      </c>
      <c r="G4883" t="s">
        <v>475</v>
      </c>
      <c r="I4883" t="s">
        <v>132</v>
      </c>
      <c r="J4883" s="13">
        <v>46076</v>
      </c>
      <c r="K4883" s="13">
        <v>46082</v>
      </c>
      <c r="L4883" t="s">
        <v>470</v>
      </c>
      <c r="M4883" t="s">
        <v>61</v>
      </c>
      <c r="N4883">
        <v>74653331</v>
      </c>
    </row>
    <row r="4884" spans="1:14" x14ac:dyDescent="0.25">
      <c r="A4884">
        <v>60817469</v>
      </c>
      <c r="B4884" t="s">
        <v>1106</v>
      </c>
      <c r="C4884" t="s">
        <v>10778</v>
      </c>
      <c r="D4884" t="s">
        <v>10779</v>
      </c>
      <c r="E4884">
        <v>5208081564</v>
      </c>
      <c r="F4884" t="s">
        <v>770</v>
      </c>
      <c r="G4884" t="s">
        <v>771</v>
      </c>
      <c r="I4884" t="s">
        <v>25</v>
      </c>
      <c r="J4884" s="13">
        <v>46076</v>
      </c>
      <c r="K4884" s="13">
        <v>46082</v>
      </c>
      <c r="L4884" t="s">
        <v>1179</v>
      </c>
      <c r="M4884" t="s">
        <v>54</v>
      </c>
      <c r="N4884">
        <v>74676697</v>
      </c>
    </row>
    <row r="4885" spans="1:14" x14ac:dyDescent="0.25">
      <c r="A4885">
        <v>60817504</v>
      </c>
      <c r="B4885" t="s">
        <v>2791</v>
      </c>
      <c r="C4885" t="s">
        <v>10780</v>
      </c>
      <c r="D4885" t="s">
        <v>10781</v>
      </c>
      <c r="E4885">
        <v>7272908630</v>
      </c>
      <c r="F4885" t="s">
        <v>416</v>
      </c>
      <c r="G4885" t="s">
        <v>417</v>
      </c>
      <c r="I4885" t="s">
        <v>26</v>
      </c>
      <c r="J4885" s="13">
        <v>46076</v>
      </c>
      <c r="K4885" s="13">
        <v>46082</v>
      </c>
      <c r="L4885" t="s">
        <v>497</v>
      </c>
      <c r="M4885" t="s">
        <v>56</v>
      </c>
      <c r="N4885">
        <v>74676712</v>
      </c>
    </row>
    <row r="4886" spans="1:14" x14ac:dyDescent="0.25">
      <c r="A4886">
        <v>60817776</v>
      </c>
      <c r="B4886" t="s">
        <v>3686</v>
      </c>
      <c r="C4886" t="s">
        <v>10782</v>
      </c>
      <c r="D4886" t="s">
        <v>10783</v>
      </c>
      <c r="E4886">
        <v>6236334264</v>
      </c>
      <c r="F4886" t="s">
        <v>775</v>
      </c>
      <c r="G4886" t="s">
        <v>776</v>
      </c>
      <c r="I4886" t="s">
        <v>22</v>
      </c>
      <c r="J4886" s="13">
        <v>46076</v>
      </c>
      <c r="K4886" s="13">
        <v>46082</v>
      </c>
      <c r="L4886" t="s">
        <v>1179</v>
      </c>
      <c r="M4886" t="s">
        <v>56</v>
      </c>
      <c r="N4886">
        <v>74677542</v>
      </c>
    </row>
    <row r="4887" spans="1:14" x14ac:dyDescent="0.25">
      <c r="A4887">
        <v>60820595</v>
      </c>
      <c r="B4887" t="s">
        <v>1934</v>
      </c>
      <c r="C4887" t="s">
        <v>546</v>
      </c>
      <c r="D4887" t="s">
        <v>10784</v>
      </c>
      <c r="E4887">
        <v>4805437995</v>
      </c>
      <c r="F4887" t="s">
        <v>448</v>
      </c>
      <c r="G4887" t="s">
        <v>449</v>
      </c>
      <c r="I4887" t="s">
        <v>31</v>
      </c>
      <c r="J4887" s="13">
        <v>46076</v>
      </c>
      <c r="K4887" s="13">
        <v>46082</v>
      </c>
      <c r="L4887" t="s">
        <v>1179</v>
      </c>
      <c r="M4887" t="s">
        <v>55</v>
      </c>
      <c r="N4887">
        <v>74682371</v>
      </c>
    </row>
    <row r="4888" spans="1:14" x14ac:dyDescent="0.25">
      <c r="A4888">
        <v>60821060</v>
      </c>
      <c r="B4888" t="s">
        <v>6760</v>
      </c>
      <c r="C4888" t="s">
        <v>10785</v>
      </c>
      <c r="D4888" t="s">
        <v>10786</v>
      </c>
      <c r="E4888">
        <v>6364637181</v>
      </c>
      <c r="F4888" t="s">
        <v>474</v>
      </c>
      <c r="G4888" t="s">
        <v>475</v>
      </c>
      <c r="I4888" t="s">
        <v>132</v>
      </c>
      <c r="J4888" s="13">
        <v>46076</v>
      </c>
      <c r="K4888" s="13">
        <v>46082</v>
      </c>
      <c r="L4888" t="s">
        <v>434</v>
      </c>
      <c r="M4888" t="s">
        <v>55</v>
      </c>
      <c r="N4888">
        <v>74682496</v>
      </c>
    </row>
    <row r="4889" spans="1:14" x14ac:dyDescent="0.25">
      <c r="A4889">
        <v>60822044</v>
      </c>
      <c r="B4889" t="s">
        <v>10787</v>
      </c>
      <c r="C4889" t="s">
        <v>2678</v>
      </c>
      <c r="D4889" t="s">
        <v>10788</v>
      </c>
      <c r="E4889">
        <v>3347079945</v>
      </c>
      <c r="F4889" t="s">
        <v>790</v>
      </c>
      <c r="G4889" t="s">
        <v>791</v>
      </c>
      <c r="I4889" t="s">
        <v>119</v>
      </c>
      <c r="J4889" s="13">
        <v>46076</v>
      </c>
      <c r="K4889" s="13">
        <v>46082</v>
      </c>
      <c r="L4889" t="s">
        <v>450</v>
      </c>
      <c r="M4889" t="s">
        <v>58</v>
      </c>
      <c r="N4889">
        <v>74682774</v>
      </c>
    </row>
    <row r="4890" spans="1:14" x14ac:dyDescent="0.25">
      <c r="A4890">
        <v>60823792</v>
      </c>
      <c r="B4890" t="s">
        <v>1149</v>
      </c>
      <c r="C4890" t="s">
        <v>1211</v>
      </c>
      <c r="D4890" t="s">
        <v>10789</v>
      </c>
      <c r="E4890">
        <v>9203919318</v>
      </c>
      <c r="F4890" t="s">
        <v>10253</v>
      </c>
      <c r="G4890" t="s">
        <v>781</v>
      </c>
      <c r="I4890" t="s">
        <v>36</v>
      </c>
      <c r="J4890" s="13">
        <v>46076</v>
      </c>
      <c r="K4890" s="13">
        <v>46082</v>
      </c>
      <c r="L4890" t="s">
        <v>675</v>
      </c>
      <c r="M4890" t="s">
        <v>58</v>
      </c>
      <c r="N4890">
        <v>74683136</v>
      </c>
    </row>
    <row r="4891" spans="1:14" x14ac:dyDescent="0.25">
      <c r="A4891">
        <v>60826099</v>
      </c>
      <c r="B4891" t="s">
        <v>3435</v>
      </c>
      <c r="C4891" t="s">
        <v>10790</v>
      </c>
      <c r="D4891" t="s">
        <v>10791</v>
      </c>
      <c r="E4891">
        <v>5096193007</v>
      </c>
      <c r="F4891" t="s">
        <v>569</v>
      </c>
      <c r="G4891" t="s">
        <v>570</v>
      </c>
      <c r="I4891" t="s">
        <v>34</v>
      </c>
      <c r="J4891" s="13">
        <v>46076</v>
      </c>
      <c r="K4891" s="13">
        <v>46082</v>
      </c>
      <c r="L4891" t="s">
        <v>497</v>
      </c>
      <c r="M4891" t="s">
        <v>56</v>
      </c>
      <c r="N4891">
        <v>74683690</v>
      </c>
    </row>
    <row r="4892" spans="1:14" x14ac:dyDescent="0.25">
      <c r="A4892">
        <v>60828507</v>
      </c>
      <c r="B4892" t="s">
        <v>8309</v>
      </c>
      <c r="C4892" t="s">
        <v>3440</v>
      </c>
      <c r="D4892" t="s">
        <v>10792</v>
      </c>
      <c r="E4892">
        <v>3143684579</v>
      </c>
      <c r="F4892" t="s">
        <v>628</v>
      </c>
      <c r="G4892" t="s">
        <v>629</v>
      </c>
      <c r="I4892" t="s">
        <v>24</v>
      </c>
      <c r="J4892" s="13">
        <v>46076</v>
      </c>
      <c r="K4892" s="13">
        <v>46082</v>
      </c>
      <c r="L4892" t="s">
        <v>470</v>
      </c>
      <c r="M4892" t="s">
        <v>59</v>
      </c>
      <c r="N4892">
        <v>74684571</v>
      </c>
    </row>
    <row r="4893" spans="1:14" x14ac:dyDescent="0.25">
      <c r="A4893">
        <v>60831357</v>
      </c>
      <c r="B4893" t="s">
        <v>8732</v>
      </c>
      <c r="C4893" t="s">
        <v>10793</v>
      </c>
      <c r="D4893" t="s">
        <v>10794</v>
      </c>
      <c r="E4893">
        <v>5012702123</v>
      </c>
      <c r="F4893" t="s">
        <v>649</v>
      </c>
      <c r="G4893" t="s">
        <v>650</v>
      </c>
      <c r="I4893" t="s">
        <v>28</v>
      </c>
      <c r="J4893" s="13">
        <v>46076</v>
      </c>
      <c r="K4893" s="13">
        <v>46082</v>
      </c>
      <c r="L4893" t="s">
        <v>553</v>
      </c>
      <c r="M4893" t="s">
        <v>58</v>
      </c>
      <c r="N4893">
        <v>74685782</v>
      </c>
    </row>
    <row r="4894" spans="1:14" x14ac:dyDescent="0.25">
      <c r="A4894">
        <v>60831502</v>
      </c>
      <c r="B4894" t="s">
        <v>9462</v>
      </c>
      <c r="C4894" t="s">
        <v>10795</v>
      </c>
      <c r="D4894" t="s">
        <v>10796</v>
      </c>
      <c r="E4894">
        <v>5736319537</v>
      </c>
      <c r="F4894" t="s">
        <v>10253</v>
      </c>
      <c r="G4894" t="s">
        <v>781</v>
      </c>
      <c r="I4894" t="s">
        <v>36</v>
      </c>
      <c r="J4894" s="13">
        <v>46076</v>
      </c>
      <c r="K4894" s="13">
        <v>46082</v>
      </c>
      <c r="L4894" t="s">
        <v>434</v>
      </c>
      <c r="M4894" t="s">
        <v>58</v>
      </c>
      <c r="N4894">
        <v>74685875</v>
      </c>
    </row>
    <row r="4895" spans="1:14" x14ac:dyDescent="0.25">
      <c r="A4895">
        <v>60832668</v>
      </c>
      <c r="B4895" t="s">
        <v>8191</v>
      </c>
      <c r="C4895" t="s">
        <v>10797</v>
      </c>
      <c r="D4895" t="s">
        <v>10798</v>
      </c>
      <c r="E4895">
        <v>9283221275</v>
      </c>
      <c r="F4895" t="s">
        <v>416</v>
      </c>
      <c r="G4895" t="s">
        <v>417</v>
      </c>
      <c r="I4895" t="s">
        <v>26</v>
      </c>
      <c r="J4895" s="13">
        <v>46076</v>
      </c>
      <c r="K4895" s="13">
        <v>46082</v>
      </c>
      <c r="L4895" t="s">
        <v>1179</v>
      </c>
      <c r="M4895" t="s">
        <v>54</v>
      </c>
      <c r="N4895">
        <v>74686199</v>
      </c>
    </row>
    <row r="4896" spans="1:14" x14ac:dyDescent="0.25">
      <c r="A4896">
        <v>60833129</v>
      </c>
      <c r="B4896" t="s">
        <v>1675</v>
      </c>
      <c r="C4896" t="s">
        <v>10799</v>
      </c>
      <c r="D4896" t="s">
        <v>10800</v>
      </c>
      <c r="E4896">
        <v>6234510683</v>
      </c>
      <c r="F4896" t="s">
        <v>1345</v>
      </c>
      <c r="G4896" t="s">
        <v>799</v>
      </c>
      <c r="I4896" t="s">
        <v>47</v>
      </c>
      <c r="J4896" s="13">
        <v>46076</v>
      </c>
      <c r="K4896" s="13">
        <v>46082</v>
      </c>
      <c r="L4896" t="s">
        <v>1179</v>
      </c>
      <c r="M4896" t="s">
        <v>56</v>
      </c>
      <c r="N4896">
        <v>74686626</v>
      </c>
    </row>
    <row r="4897" spans="1:14" x14ac:dyDescent="0.25">
      <c r="A4897">
        <v>60834316</v>
      </c>
      <c r="B4897" t="s">
        <v>1029</v>
      </c>
      <c r="C4897" t="s">
        <v>1211</v>
      </c>
      <c r="D4897" t="s">
        <v>10801</v>
      </c>
      <c r="E4897">
        <v>5209400821</v>
      </c>
      <c r="F4897" t="s">
        <v>1013</v>
      </c>
      <c r="G4897" t="s">
        <v>1014</v>
      </c>
      <c r="I4897" t="s">
        <v>43</v>
      </c>
      <c r="J4897" s="13">
        <v>46076</v>
      </c>
      <c r="K4897" s="13">
        <v>46082</v>
      </c>
      <c r="L4897" t="s">
        <v>1179</v>
      </c>
      <c r="M4897" t="s">
        <v>54</v>
      </c>
      <c r="N4897">
        <v>74687083</v>
      </c>
    </row>
    <row r="4898" spans="1:14" x14ac:dyDescent="0.25">
      <c r="A4898">
        <v>60834385</v>
      </c>
      <c r="B4898" t="s">
        <v>5971</v>
      </c>
      <c r="C4898" t="s">
        <v>10574</v>
      </c>
      <c r="D4898" t="s">
        <v>10802</v>
      </c>
      <c r="E4898" t="s">
        <v>10803</v>
      </c>
      <c r="F4898" t="s">
        <v>2544</v>
      </c>
      <c r="G4898" t="s">
        <v>4833</v>
      </c>
      <c r="I4898" t="s">
        <v>18</v>
      </c>
      <c r="J4898" s="13">
        <v>46076</v>
      </c>
      <c r="K4898" s="13">
        <v>46082</v>
      </c>
      <c r="L4898" t="s">
        <v>612</v>
      </c>
      <c r="M4898" t="s">
        <v>58</v>
      </c>
      <c r="N4898">
        <v>74687100</v>
      </c>
    </row>
    <row r="4899" spans="1:14" x14ac:dyDescent="0.25">
      <c r="A4899">
        <v>60837455</v>
      </c>
      <c r="B4899" t="s">
        <v>3360</v>
      </c>
      <c r="C4899" t="s">
        <v>2488</v>
      </c>
      <c r="D4899" t="s">
        <v>10804</v>
      </c>
      <c r="E4899">
        <v>9043191896</v>
      </c>
      <c r="F4899" t="s">
        <v>780</v>
      </c>
      <c r="G4899" t="s">
        <v>781</v>
      </c>
      <c r="I4899" t="s">
        <v>20</v>
      </c>
      <c r="J4899" s="13">
        <v>46076</v>
      </c>
      <c r="K4899" s="13">
        <v>46082</v>
      </c>
      <c r="L4899" t="s">
        <v>497</v>
      </c>
      <c r="M4899" t="s">
        <v>59</v>
      </c>
      <c r="N4899">
        <v>74687921</v>
      </c>
    </row>
    <row r="4900" spans="1:14" x14ac:dyDescent="0.25">
      <c r="A4900">
        <v>60838966</v>
      </c>
      <c r="B4900" t="s">
        <v>501</v>
      </c>
      <c r="C4900" t="s">
        <v>10805</v>
      </c>
      <c r="D4900" t="s">
        <v>10806</v>
      </c>
      <c r="E4900" t="s">
        <v>10807</v>
      </c>
      <c r="F4900" t="s">
        <v>649</v>
      </c>
      <c r="G4900" t="s">
        <v>650</v>
      </c>
      <c r="I4900" t="s">
        <v>28</v>
      </c>
      <c r="J4900" s="13">
        <v>46076</v>
      </c>
      <c r="K4900" s="13">
        <v>46082</v>
      </c>
      <c r="L4900" t="s">
        <v>539</v>
      </c>
      <c r="M4900" t="s">
        <v>56</v>
      </c>
      <c r="N4900">
        <v>74689801</v>
      </c>
    </row>
    <row r="4901" spans="1:14" x14ac:dyDescent="0.25">
      <c r="A4901">
        <v>60849558</v>
      </c>
      <c r="B4901" t="s">
        <v>10808</v>
      </c>
      <c r="C4901" t="s">
        <v>10809</v>
      </c>
      <c r="D4901" t="s">
        <v>10810</v>
      </c>
      <c r="E4901" t="s">
        <v>10811</v>
      </c>
      <c r="F4901" t="s">
        <v>705</v>
      </c>
      <c r="G4901" t="s">
        <v>706</v>
      </c>
      <c r="I4901" t="s">
        <v>12</v>
      </c>
      <c r="J4901" s="13">
        <v>46077</v>
      </c>
      <c r="K4901" s="13">
        <v>46082</v>
      </c>
      <c r="L4901" t="s">
        <v>553</v>
      </c>
      <c r="M4901" t="s">
        <v>59</v>
      </c>
      <c r="N4901">
        <v>74696811</v>
      </c>
    </row>
    <row r="4902" spans="1:14" x14ac:dyDescent="0.25">
      <c r="A4902">
        <v>60849952</v>
      </c>
      <c r="B4902" t="s">
        <v>10812</v>
      </c>
      <c r="C4902" t="s">
        <v>5897</v>
      </c>
      <c r="D4902" t="s">
        <v>10813</v>
      </c>
      <c r="E4902">
        <v>8504974219</v>
      </c>
      <c r="F4902" t="s">
        <v>474</v>
      </c>
      <c r="G4902" t="s">
        <v>475</v>
      </c>
      <c r="I4902" t="s">
        <v>132</v>
      </c>
      <c r="J4902" s="13">
        <v>46077</v>
      </c>
      <c r="K4902" s="13">
        <v>46082</v>
      </c>
      <c r="L4902" t="s">
        <v>497</v>
      </c>
      <c r="M4902" t="s">
        <v>56</v>
      </c>
      <c r="N4902">
        <v>74697089</v>
      </c>
    </row>
    <row r="4903" spans="1:14" x14ac:dyDescent="0.25">
      <c r="A4903">
        <v>60850732</v>
      </c>
      <c r="B4903" t="s">
        <v>2600</v>
      </c>
      <c r="C4903" t="s">
        <v>10814</v>
      </c>
      <c r="D4903" t="s">
        <v>10815</v>
      </c>
      <c r="E4903">
        <v>9414470571</v>
      </c>
      <c r="F4903" t="s">
        <v>1067</v>
      </c>
      <c r="G4903" t="s">
        <v>1068</v>
      </c>
      <c r="I4903" t="s">
        <v>35</v>
      </c>
      <c r="J4903" s="13">
        <v>46077</v>
      </c>
      <c r="K4903" s="13">
        <v>46082</v>
      </c>
      <c r="L4903" t="s">
        <v>497</v>
      </c>
      <c r="M4903" t="s">
        <v>58</v>
      </c>
      <c r="N4903">
        <v>74697626</v>
      </c>
    </row>
    <row r="4904" spans="1:14" x14ac:dyDescent="0.25">
      <c r="A4904">
        <v>60851085</v>
      </c>
      <c r="B4904" t="s">
        <v>10816</v>
      </c>
      <c r="C4904" t="s">
        <v>1068</v>
      </c>
      <c r="D4904" t="s">
        <v>10817</v>
      </c>
      <c r="E4904">
        <v>7405165561</v>
      </c>
      <c r="F4904" t="s">
        <v>828</v>
      </c>
      <c r="G4904" t="s">
        <v>1148</v>
      </c>
      <c r="I4904" t="s">
        <v>17</v>
      </c>
      <c r="J4904" s="13">
        <v>46077</v>
      </c>
      <c r="K4904" s="13">
        <v>46082</v>
      </c>
      <c r="L4904" t="s">
        <v>418</v>
      </c>
      <c r="M4904" t="s">
        <v>60</v>
      </c>
      <c r="N4904">
        <v>74697907</v>
      </c>
    </row>
    <row r="4905" spans="1:14" x14ac:dyDescent="0.25">
      <c r="A4905">
        <v>60851263</v>
      </c>
      <c r="B4905" t="s">
        <v>2972</v>
      </c>
      <c r="C4905" t="s">
        <v>10818</v>
      </c>
      <c r="D4905" t="s">
        <v>10819</v>
      </c>
      <c r="E4905">
        <v>7407443335</v>
      </c>
      <c r="F4905" t="s">
        <v>574</v>
      </c>
      <c r="G4905" t="s">
        <v>575</v>
      </c>
      <c r="I4905" t="s">
        <v>14</v>
      </c>
      <c r="J4905" s="13">
        <v>46077</v>
      </c>
      <c r="K4905" s="13">
        <v>46082</v>
      </c>
      <c r="L4905" t="s">
        <v>418</v>
      </c>
      <c r="M4905" t="s">
        <v>56</v>
      </c>
      <c r="N4905">
        <v>74698056</v>
      </c>
    </row>
    <row r="4906" spans="1:14" x14ac:dyDescent="0.25">
      <c r="A4906">
        <v>60851798</v>
      </c>
      <c r="B4906" t="s">
        <v>5994</v>
      </c>
      <c r="C4906" t="s">
        <v>10820</v>
      </c>
      <c r="D4906" t="s">
        <v>10821</v>
      </c>
      <c r="E4906">
        <v>5202085970</v>
      </c>
      <c r="F4906" t="s">
        <v>807</v>
      </c>
      <c r="G4906" t="s">
        <v>808</v>
      </c>
      <c r="I4906" t="s">
        <v>33</v>
      </c>
      <c r="J4906" s="13">
        <v>46077</v>
      </c>
      <c r="K4906" s="13">
        <v>46082</v>
      </c>
      <c r="L4906" t="s">
        <v>1179</v>
      </c>
      <c r="M4906" t="s">
        <v>61</v>
      </c>
      <c r="N4906">
        <v>74698501</v>
      </c>
    </row>
    <row r="4907" spans="1:14" x14ac:dyDescent="0.25">
      <c r="A4907">
        <v>60851931</v>
      </c>
      <c r="B4907" t="s">
        <v>1167</v>
      </c>
      <c r="C4907" t="s">
        <v>10822</v>
      </c>
      <c r="D4907" t="s">
        <v>10823</v>
      </c>
      <c r="E4907">
        <v>8137489107</v>
      </c>
      <c r="F4907" t="s">
        <v>10642</v>
      </c>
      <c r="G4907" t="s">
        <v>10643</v>
      </c>
      <c r="I4907" t="s">
        <v>45</v>
      </c>
      <c r="J4907" s="13">
        <v>46077</v>
      </c>
      <c r="K4907" s="13">
        <v>46082</v>
      </c>
      <c r="L4907" t="s">
        <v>497</v>
      </c>
      <c r="M4907" t="s">
        <v>59</v>
      </c>
      <c r="N4907">
        <v>74698587</v>
      </c>
    </row>
    <row r="4908" spans="1:14" x14ac:dyDescent="0.25">
      <c r="A4908">
        <v>60852015</v>
      </c>
      <c r="B4908" t="s">
        <v>954</v>
      </c>
      <c r="C4908" t="s">
        <v>10824</v>
      </c>
      <c r="D4908" t="s">
        <v>10825</v>
      </c>
      <c r="E4908">
        <v>9046249462</v>
      </c>
      <c r="F4908" t="s">
        <v>2544</v>
      </c>
      <c r="G4908" t="s">
        <v>4833</v>
      </c>
      <c r="I4908" t="s">
        <v>18</v>
      </c>
      <c r="J4908" s="13">
        <v>46077</v>
      </c>
      <c r="K4908" s="13">
        <v>46082</v>
      </c>
      <c r="L4908" t="s">
        <v>497</v>
      </c>
      <c r="M4908" t="s">
        <v>59</v>
      </c>
      <c r="N4908">
        <v>74698617</v>
      </c>
    </row>
    <row r="4909" spans="1:14" x14ac:dyDescent="0.25">
      <c r="A4909">
        <v>60852446</v>
      </c>
      <c r="B4909" t="s">
        <v>4371</v>
      </c>
      <c r="C4909" t="s">
        <v>10826</v>
      </c>
      <c r="D4909" t="s">
        <v>10827</v>
      </c>
      <c r="E4909">
        <v>5203541071</v>
      </c>
      <c r="F4909" t="s">
        <v>770</v>
      </c>
      <c r="G4909" t="s">
        <v>771</v>
      </c>
      <c r="I4909" t="s">
        <v>25</v>
      </c>
      <c r="J4909" s="13">
        <v>46077</v>
      </c>
      <c r="K4909" s="13">
        <v>46082</v>
      </c>
      <c r="L4909" t="s">
        <v>1179</v>
      </c>
      <c r="M4909" t="s">
        <v>61</v>
      </c>
      <c r="N4909">
        <v>74699107</v>
      </c>
    </row>
    <row r="4910" spans="1:14" x14ac:dyDescent="0.25">
      <c r="A4910">
        <v>60853922</v>
      </c>
      <c r="B4910" t="s">
        <v>604</v>
      </c>
      <c r="C4910" t="s">
        <v>10828</v>
      </c>
      <c r="D4910" t="s">
        <v>10829</v>
      </c>
      <c r="E4910">
        <v>6892191440</v>
      </c>
      <c r="F4910" t="s">
        <v>628</v>
      </c>
      <c r="G4910" t="s">
        <v>629</v>
      </c>
      <c r="I4910" t="s">
        <v>24</v>
      </c>
      <c r="J4910" s="13">
        <v>46077</v>
      </c>
      <c r="K4910" s="13">
        <v>46082</v>
      </c>
      <c r="L4910" t="s">
        <v>497</v>
      </c>
      <c r="M4910" t="s">
        <v>59</v>
      </c>
      <c r="N4910">
        <v>74700034</v>
      </c>
    </row>
    <row r="4911" spans="1:14" x14ac:dyDescent="0.25">
      <c r="A4911">
        <v>60854313</v>
      </c>
      <c r="B4911" t="s">
        <v>10830</v>
      </c>
      <c r="C4911" t="s">
        <v>10831</v>
      </c>
      <c r="D4911" t="s">
        <v>10832</v>
      </c>
      <c r="E4911">
        <v>5612013381</v>
      </c>
      <c r="F4911" t="s">
        <v>1345</v>
      </c>
      <c r="G4911" t="s">
        <v>799</v>
      </c>
      <c r="I4911" t="s">
        <v>47</v>
      </c>
      <c r="J4911" s="13">
        <v>46077</v>
      </c>
      <c r="K4911" s="13">
        <v>46082</v>
      </c>
      <c r="L4911" t="s">
        <v>497</v>
      </c>
      <c r="M4911" t="s">
        <v>54</v>
      </c>
      <c r="N4911">
        <v>74700169</v>
      </c>
    </row>
    <row r="4912" spans="1:14" x14ac:dyDescent="0.25">
      <c r="A4912">
        <v>60855654</v>
      </c>
      <c r="B4912" t="s">
        <v>10833</v>
      </c>
      <c r="C4912" t="s">
        <v>10834</v>
      </c>
      <c r="D4912" t="s">
        <v>10835</v>
      </c>
      <c r="E4912">
        <v>6318890097</v>
      </c>
      <c r="F4912" t="s">
        <v>705</v>
      </c>
      <c r="G4912" t="s">
        <v>706</v>
      </c>
      <c r="I4912" t="s">
        <v>12</v>
      </c>
      <c r="J4912" s="13">
        <v>46077</v>
      </c>
      <c r="K4912" s="13">
        <v>46082</v>
      </c>
      <c r="L4912" t="s">
        <v>483</v>
      </c>
      <c r="M4912" t="s">
        <v>56</v>
      </c>
      <c r="N4912">
        <v>74703493</v>
      </c>
    </row>
    <row r="4913" spans="1:14" x14ac:dyDescent="0.25">
      <c r="A4913">
        <v>60858109</v>
      </c>
      <c r="B4913" t="s">
        <v>1053</v>
      </c>
      <c r="C4913" t="s">
        <v>10760</v>
      </c>
      <c r="D4913" t="s">
        <v>10836</v>
      </c>
      <c r="E4913">
        <v>6238005424</v>
      </c>
      <c r="F4913" t="s">
        <v>1013</v>
      </c>
      <c r="G4913" t="s">
        <v>1014</v>
      </c>
      <c r="I4913" t="s">
        <v>43</v>
      </c>
      <c r="J4913" s="13">
        <v>46077</v>
      </c>
      <c r="K4913" s="13">
        <v>46082</v>
      </c>
      <c r="L4913" t="s">
        <v>1179</v>
      </c>
      <c r="M4913" t="s">
        <v>59</v>
      </c>
      <c r="N4913">
        <v>74705118</v>
      </c>
    </row>
    <row r="4914" spans="1:14" x14ac:dyDescent="0.25">
      <c r="A4914">
        <v>60858358</v>
      </c>
      <c r="B4914" t="s">
        <v>4405</v>
      </c>
      <c r="C4914" t="s">
        <v>2544</v>
      </c>
      <c r="D4914" t="s">
        <v>10837</v>
      </c>
      <c r="E4914">
        <v>4343479636</v>
      </c>
      <c r="F4914" t="s">
        <v>828</v>
      </c>
      <c r="G4914" t="s">
        <v>1148</v>
      </c>
      <c r="I4914" t="s">
        <v>17</v>
      </c>
      <c r="J4914" s="13">
        <v>46077</v>
      </c>
      <c r="K4914" s="13">
        <v>46082</v>
      </c>
      <c r="L4914" t="s">
        <v>454</v>
      </c>
      <c r="M4914" t="s">
        <v>419</v>
      </c>
      <c r="N4914">
        <v>74705296</v>
      </c>
    </row>
    <row r="4915" spans="1:14" x14ac:dyDescent="0.25">
      <c r="A4915">
        <v>60858371</v>
      </c>
      <c r="B4915" t="s">
        <v>1869</v>
      </c>
      <c r="C4915" t="s">
        <v>2712</v>
      </c>
      <c r="D4915" t="s">
        <v>10838</v>
      </c>
      <c r="E4915">
        <v>5204094051</v>
      </c>
      <c r="F4915" t="s">
        <v>770</v>
      </c>
      <c r="G4915" t="s">
        <v>771</v>
      </c>
      <c r="I4915" t="s">
        <v>25</v>
      </c>
      <c r="J4915" s="13">
        <v>46077</v>
      </c>
      <c r="K4915" s="13">
        <v>46082</v>
      </c>
      <c r="L4915" t="s">
        <v>1179</v>
      </c>
      <c r="M4915" t="s">
        <v>54</v>
      </c>
      <c r="N4915">
        <v>74705307</v>
      </c>
    </row>
    <row r="4916" spans="1:14" x14ac:dyDescent="0.25">
      <c r="A4916">
        <v>60858605</v>
      </c>
      <c r="B4916" t="s">
        <v>10839</v>
      </c>
      <c r="C4916" t="s">
        <v>10840</v>
      </c>
      <c r="D4916" t="s">
        <v>10841</v>
      </c>
      <c r="E4916">
        <v>6234766556</v>
      </c>
      <c r="F4916" t="s">
        <v>569</v>
      </c>
      <c r="G4916" t="s">
        <v>570</v>
      </c>
      <c r="I4916" t="s">
        <v>34</v>
      </c>
      <c r="J4916" s="13">
        <v>46077</v>
      </c>
      <c r="K4916" s="13">
        <v>46082</v>
      </c>
      <c r="L4916" t="s">
        <v>1179</v>
      </c>
      <c r="M4916" t="s">
        <v>54</v>
      </c>
      <c r="N4916">
        <v>74705452</v>
      </c>
    </row>
    <row r="4917" spans="1:14" x14ac:dyDescent="0.25">
      <c r="A4917">
        <v>60858997</v>
      </c>
      <c r="B4917" t="s">
        <v>10842</v>
      </c>
      <c r="C4917" t="s">
        <v>10843</v>
      </c>
      <c r="D4917" t="s">
        <v>10844</v>
      </c>
      <c r="F4917" t="s">
        <v>448</v>
      </c>
      <c r="G4917" t="s">
        <v>449</v>
      </c>
      <c r="I4917" t="s">
        <v>31</v>
      </c>
      <c r="J4917" s="13">
        <v>46077</v>
      </c>
      <c r="K4917" s="13">
        <v>46082</v>
      </c>
      <c r="L4917" t="s">
        <v>497</v>
      </c>
      <c r="M4917" t="s">
        <v>56</v>
      </c>
      <c r="N4917">
        <v>74705774</v>
      </c>
    </row>
    <row r="4918" spans="1:14" x14ac:dyDescent="0.25">
      <c r="A4918">
        <v>60859851</v>
      </c>
      <c r="B4918" t="s">
        <v>10845</v>
      </c>
      <c r="C4918" t="s">
        <v>10846</v>
      </c>
      <c r="D4918" t="s">
        <v>10847</v>
      </c>
      <c r="E4918">
        <v>7194667464</v>
      </c>
      <c r="F4918" t="s">
        <v>790</v>
      </c>
      <c r="G4918" t="s">
        <v>791</v>
      </c>
      <c r="I4918" t="s">
        <v>119</v>
      </c>
      <c r="J4918" s="13">
        <v>46077</v>
      </c>
      <c r="K4918" s="13">
        <v>46082</v>
      </c>
      <c r="L4918" t="s">
        <v>612</v>
      </c>
      <c r="M4918" t="s">
        <v>58</v>
      </c>
      <c r="N4918">
        <v>74706334</v>
      </c>
    </row>
    <row r="4919" spans="1:14" x14ac:dyDescent="0.25">
      <c r="A4919">
        <v>60859804</v>
      </c>
      <c r="B4919" t="s">
        <v>3686</v>
      </c>
      <c r="C4919" t="s">
        <v>10848</v>
      </c>
      <c r="D4919" t="s">
        <v>10849</v>
      </c>
      <c r="E4919">
        <v>3093680500</v>
      </c>
      <c r="F4919" t="s">
        <v>574</v>
      </c>
      <c r="G4919" t="s">
        <v>575</v>
      </c>
      <c r="I4919" t="s">
        <v>14</v>
      </c>
      <c r="J4919" s="13">
        <v>46077</v>
      </c>
      <c r="K4919" s="13">
        <v>46082</v>
      </c>
      <c r="L4919" t="s">
        <v>470</v>
      </c>
      <c r="M4919" t="s">
        <v>56</v>
      </c>
      <c r="N4919">
        <v>74706356</v>
      </c>
    </row>
    <row r="4920" spans="1:14" x14ac:dyDescent="0.25">
      <c r="A4920">
        <v>60860627</v>
      </c>
      <c r="B4920" t="s">
        <v>517</v>
      </c>
      <c r="C4920" t="s">
        <v>10850</v>
      </c>
      <c r="D4920" t="s">
        <v>10851</v>
      </c>
      <c r="E4920">
        <v>6023218496</v>
      </c>
      <c r="F4920" t="s">
        <v>815</v>
      </c>
      <c r="G4920" t="s">
        <v>816</v>
      </c>
      <c r="I4920" t="s">
        <v>23</v>
      </c>
      <c r="J4920" s="13">
        <v>46077</v>
      </c>
      <c r="K4920" s="13">
        <v>46082</v>
      </c>
      <c r="L4920" t="s">
        <v>1179</v>
      </c>
      <c r="M4920" t="s">
        <v>54</v>
      </c>
      <c r="N4920">
        <v>74707172</v>
      </c>
    </row>
    <row r="4921" spans="1:14" x14ac:dyDescent="0.25">
      <c r="A4921">
        <v>60862215</v>
      </c>
      <c r="B4921" t="s">
        <v>10852</v>
      </c>
      <c r="C4921" t="s">
        <v>3226</v>
      </c>
      <c r="D4921" t="s">
        <v>10853</v>
      </c>
      <c r="E4921">
        <v>7272725966</v>
      </c>
      <c r="F4921" t="s">
        <v>1067</v>
      </c>
      <c r="G4921" t="s">
        <v>1068</v>
      </c>
      <c r="I4921" t="s">
        <v>35</v>
      </c>
      <c r="J4921" s="13">
        <v>46077</v>
      </c>
      <c r="K4921" s="13">
        <v>46082</v>
      </c>
      <c r="L4921" t="s">
        <v>497</v>
      </c>
      <c r="M4921" t="s">
        <v>58</v>
      </c>
      <c r="N4921">
        <v>74708529</v>
      </c>
    </row>
    <row r="4922" spans="1:14" x14ac:dyDescent="0.25">
      <c r="A4922">
        <v>60864359</v>
      </c>
      <c r="B4922" t="s">
        <v>10854</v>
      </c>
      <c r="C4922" t="s">
        <v>10855</v>
      </c>
      <c r="D4922" t="s">
        <v>10856</v>
      </c>
      <c r="E4922">
        <v>4808766711</v>
      </c>
      <c r="F4922" t="s">
        <v>1013</v>
      </c>
      <c r="G4922" t="s">
        <v>1014</v>
      </c>
      <c r="I4922" t="s">
        <v>43</v>
      </c>
      <c r="J4922" s="13">
        <v>46077</v>
      </c>
      <c r="K4922" s="13">
        <v>46082</v>
      </c>
      <c r="L4922" t="s">
        <v>1179</v>
      </c>
      <c r="M4922" t="s">
        <v>59</v>
      </c>
      <c r="N4922">
        <v>74709112</v>
      </c>
    </row>
    <row r="4923" spans="1:14" x14ac:dyDescent="0.25">
      <c r="A4923">
        <v>60866139</v>
      </c>
      <c r="B4923" t="s">
        <v>867</v>
      </c>
      <c r="C4923" t="s">
        <v>788</v>
      </c>
      <c r="D4923" t="s">
        <v>10857</v>
      </c>
      <c r="E4923">
        <v>4796512653</v>
      </c>
      <c r="F4923" t="s">
        <v>474</v>
      </c>
      <c r="G4923" t="s">
        <v>475</v>
      </c>
      <c r="I4923" t="s">
        <v>132</v>
      </c>
      <c r="J4923" s="13">
        <v>46077</v>
      </c>
      <c r="K4923" s="13">
        <v>46082</v>
      </c>
      <c r="L4923" t="s">
        <v>553</v>
      </c>
      <c r="M4923" t="s">
        <v>58</v>
      </c>
      <c r="N4923">
        <v>74709347</v>
      </c>
    </row>
    <row r="4924" spans="1:14" x14ac:dyDescent="0.25">
      <c r="A4924">
        <v>60912485</v>
      </c>
      <c r="B4924" t="s">
        <v>10858</v>
      </c>
      <c r="C4924" t="s">
        <v>643</v>
      </c>
      <c r="D4924" t="s">
        <v>10859</v>
      </c>
      <c r="E4924">
        <v>5613866263</v>
      </c>
      <c r="F4924" t="s">
        <v>10642</v>
      </c>
      <c r="G4924" t="s">
        <v>10643</v>
      </c>
      <c r="I4924" t="s">
        <v>45</v>
      </c>
      <c r="J4924" s="13">
        <v>46078</v>
      </c>
      <c r="K4924" s="13">
        <v>46082</v>
      </c>
      <c r="L4924" t="s">
        <v>497</v>
      </c>
      <c r="M4924" t="s">
        <v>60</v>
      </c>
      <c r="N4924">
        <v>74709377</v>
      </c>
    </row>
    <row r="4925" spans="1:14" x14ac:dyDescent="0.25">
      <c r="A4925">
        <v>60867205</v>
      </c>
      <c r="B4925" t="s">
        <v>10860</v>
      </c>
      <c r="C4925" t="s">
        <v>10448</v>
      </c>
      <c r="D4925" t="s">
        <v>10861</v>
      </c>
      <c r="E4925" t="s">
        <v>10862</v>
      </c>
      <c r="F4925" t="s">
        <v>448</v>
      </c>
      <c r="G4925" t="s">
        <v>449</v>
      </c>
      <c r="I4925" t="s">
        <v>31</v>
      </c>
      <c r="J4925" s="13">
        <v>46077</v>
      </c>
      <c r="K4925" s="13">
        <v>46082</v>
      </c>
      <c r="L4925" t="s">
        <v>483</v>
      </c>
      <c r="M4925" t="s">
        <v>56</v>
      </c>
      <c r="N4925">
        <v>74709601</v>
      </c>
    </row>
    <row r="4926" spans="1:14" x14ac:dyDescent="0.25">
      <c r="A4926">
        <v>60868315</v>
      </c>
      <c r="B4926" t="s">
        <v>10863</v>
      </c>
      <c r="C4926" t="s">
        <v>10864</v>
      </c>
      <c r="D4926" t="s">
        <v>10865</v>
      </c>
      <c r="E4926">
        <v>4694753257</v>
      </c>
      <c r="F4926" t="s">
        <v>790</v>
      </c>
      <c r="G4926" t="s">
        <v>791</v>
      </c>
      <c r="I4926" t="s">
        <v>119</v>
      </c>
      <c r="J4926" s="13">
        <v>46077</v>
      </c>
      <c r="K4926" s="13">
        <v>46082</v>
      </c>
      <c r="L4926" t="s">
        <v>444</v>
      </c>
      <c r="M4926" t="s">
        <v>58</v>
      </c>
      <c r="N4926">
        <v>74710361</v>
      </c>
    </row>
    <row r="4927" spans="1:14" x14ac:dyDescent="0.25">
      <c r="A4927">
        <v>60868329</v>
      </c>
      <c r="B4927" t="s">
        <v>672</v>
      </c>
      <c r="C4927" t="s">
        <v>10866</v>
      </c>
      <c r="D4927" t="s">
        <v>10867</v>
      </c>
      <c r="E4927">
        <v>3144127309</v>
      </c>
      <c r="F4927" t="s">
        <v>574</v>
      </c>
      <c r="G4927" t="s">
        <v>575</v>
      </c>
      <c r="I4927" t="s">
        <v>14</v>
      </c>
      <c r="J4927" s="13">
        <v>46077</v>
      </c>
      <c r="K4927" s="13">
        <v>46082</v>
      </c>
      <c r="L4927" t="s">
        <v>434</v>
      </c>
      <c r="M4927" t="s">
        <v>55</v>
      </c>
      <c r="N4927">
        <v>74710386</v>
      </c>
    </row>
    <row r="4928" spans="1:14" x14ac:dyDescent="0.25">
      <c r="A4928">
        <v>60868698</v>
      </c>
      <c r="B4928" t="s">
        <v>1784</v>
      </c>
      <c r="C4928" t="s">
        <v>10868</v>
      </c>
      <c r="D4928" t="s">
        <v>10869</v>
      </c>
      <c r="E4928">
        <v>6027917984</v>
      </c>
      <c r="F4928" t="s">
        <v>770</v>
      </c>
      <c r="G4928" t="s">
        <v>771</v>
      </c>
      <c r="I4928" t="s">
        <v>25</v>
      </c>
      <c r="J4928" s="13">
        <v>46077</v>
      </c>
      <c r="K4928" s="13">
        <v>46082</v>
      </c>
      <c r="L4928" t="s">
        <v>1179</v>
      </c>
      <c r="M4928" t="s">
        <v>54</v>
      </c>
      <c r="N4928">
        <v>74710652</v>
      </c>
    </row>
    <row r="4929" spans="1:14" x14ac:dyDescent="0.25">
      <c r="A4929">
        <v>60870836</v>
      </c>
      <c r="B4929" t="s">
        <v>2896</v>
      </c>
      <c r="C4929" t="s">
        <v>1078</v>
      </c>
      <c r="E4929">
        <v>5202809076</v>
      </c>
      <c r="F4929" t="s">
        <v>10460</v>
      </c>
      <c r="G4929" t="s">
        <v>6663</v>
      </c>
      <c r="I4929" t="s">
        <v>40</v>
      </c>
      <c r="J4929" s="13">
        <v>46077</v>
      </c>
      <c r="K4929" s="13">
        <v>46082</v>
      </c>
      <c r="L4929" t="s">
        <v>1179</v>
      </c>
      <c r="M4929" t="s">
        <v>58</v>
      </c>
      <c r="N4929">
        <v>74711855</v>
      </c>
    </row>
    <row r="4930" spans="1:14" x14ac:dyDescent="0.25">
      <c r="A4930">
        <v>60871660</v>
      </c>
      <c r="B4930" t="s">
        <v>3947</v>
      </c>
      <c r="C4930" t="s">
        <v>10870</v>
      </c>
      <c r="D4930" t="s">
        <v>10871</v>
      </c>
      <c r="E4930">
        <v>7272168077</v>
      </c>
      <c r="F4930" t="s">
        <v>10591</v>
      </c>
      <c r="G4930" t="s">
        <v>10215</v>
      </c>
      <c r="I4930" t="s">
        <v>32</v>
      </c>
      <c r="J4930" s="13">
        <v>46077</v>
      </c>
      <c r="K4930" s="13">
        <v>46082</v>
      </c>
      <c r="L4930" t="s">
        <v>497</v>
      </c>
      <c r="M4930" t="s">
        <v>54</v>
      </c>
      <c r="N4930">
        <v>74712433</v>
      </c>
    </row>
    <row r="4931" spans="1:14" x14ac:dyDescent="0.25">
      <c r="A4931">
        <v>60871855</v>
      </c>
      <c r="B4931" t="s">
        <v>1167</v>
      </c>
      <c r="C4931" t="s">
        <v>10872</v>
      </c>
      <c r="D4931" t="s">
        <v>10873</v>
      </c>
      <c r="E4931">
        <v>5025456121</v>
      </c>
      <c r="F4931" t="s">
        <v>705</v>
      </c>
      <c r="G4931" t="s">
        <v>706</v>
      </c>
      <c r="I4931" t="s">
        <v>12</v>
      </c>
      <c r="J4931" s="13">
        <v>46077</v>
      </c>
      <c r="K4931" s="13">
        <v>46082</v>
      </c>
      <c r="L4931" t="s">
        <v>490</v>
      </c>
      <c r="M4931" t="s">
        <v>59</v>
      </c>
      <c r="N4931">
        <v>74712597</v>
      </c>
    </row>
    <row r="4932" spans="1:14" x14ac:dyDescent="0.25">
      <c r="A4932">
        <v>60913413</v>
      </c>
      <c r="B4932" t="s">
        <v>5362</v>
      </c>
      <c r="C4932" t="s">
        <v>2900</v>
      </c>
      <c r="D4932" t="s">
        <v>10874</v>
      </c>
      <c r="E4932">
        <v>9042270505</v>
      </c>
      <c r="F4932" t="s">
        <v>775</v>
      </c>
      <c r="G4932" t="s">
        <v>776</v>
      </c>
      <c r="I4932" t="s">
        <v>22</v>
      </c>
      <c r="J4932" s="13">
        <v>46078</v>
      </c>
      <c r="K4932" s="13">
        <v>46082</v>
      </c>
      <c r="L4932" t="s">
        <v>497</v>
      </c>
      <c r="M4932" t="s">
        <v>60</v>
      </c>
      <c r="N4932">
        <v>74713269</v>
      </c>
    </row>
    <row r="4933" spans="1:14" x14ac:dyDescent="0.25">
      <c r="A4933">
        <v>60875185</v>
      </c>
      <c r="B4933" t="s">
        <v>1527</v>
      </c>
      <c r="C4933" t="s">
        <v>522</v>
      </c>
      <c r="D4933" t="s">
        <v>10875</v>
      </c>
      <c r="E4933">
        <v>2563286308</v>
      </c>
      <c r="F4933" t="s">
        <v>815</v>
      </c>
      <c r="G4933" t="s">
        <v>816</v>
      </c>
      <c r="I4933" t="s">
        <v>23</v>
      </c>
      <c r="J4933" s="13">
        <v>46077</v>
      </c>
      <c r="K4933" s="13">
        <v>46082</v>
      </c>
      <c r="L4933" t="s">
        <v>450</v>
      </c>
      <c r="M4933" t="s">
        <v>59</v>
      </c>
      <c r="N4933">
        <v>74714347</v>
      </c>
    </row>
    <row r="4934" spans="1:14" x14ac:dyDescent="0.25">
      <c r="A4934">
        <v>60878505</v>
      </c>
      <c r="B4934" t="s">
        <v>10876</v>
      </c>
      <c r="C4934" t="s">
        <v>10877</v>
      </c>
      <c r="D4934" t="s">
        <v>10878</v>
      </c>
      <c r="E4934">
        <v>2699998603</v>
      </c>
      <c r="F4934" t="s">
        <v>10642</v>
      </c>
      <c r="G4934" t="s">
        <v>10643</v>
      </c>
      <c r="I4934" t="s">
        <v>45</v>
      </c>
      <c r="J4934" s="13">
        <v>46077</v>
      </c>
      <c r="K4934" s="13">
        <v>46082</v>
      </c>
      <c r="L4934" t="s">
        <v>8329</v>
      </c>
      <c r="M4934" t="s">
        <v>58</v>
      </c>
      <c r="N4934">
        <v>74715568</v>
      </c>
    </row>
    <row r="4935" spans="1:14" x14ac:dyDescent="0.25">
      <c r="A4935">
        <v>60879013</v>
      </c>
      <c r="B4935" t="s">
        <v>10879</v>
      </c>
      <c r="C4935" t="s">
        <v>10880</v>
      </c>
      <c r="D4935" t="s">
        <v>10881</v>
      </c>
      <c r="E4935">
        <v>5203679652</v>
      </c>
      <c r="F4935" t="s">
        <v>416</v>
      </c>
      <c r="G4935" t="s">
        <v>417</v>
      </c>
      <c r="I4935" t="s">
        <v>26</v>
      </c>
      <c r="J4935" s="13">
        <v>46077</v>
      </c>
      <c r="K4935" s="13">
        <v>46082</v>
      </c>
      <c r="L4935" t="s">
        <v>1179</v>
      </c>
      <c r="M4935" t="s">
        <v>54</v>
      </c>
      <c r="N4935">
        <v>74715846</v>
      </c>
    </row>
    <row r="4936" spans="1:14" x14ac:dyDescent="0.25">
      <c r="A4936">
        <v>60879209</v>
      </c>
      <c r="B4936" t="s">
        <v>10882</v>
      </c>
      <c r="C4936" t="s">
        <v>10883</v>
      </c>
      <c r="D4936" t="s">
        <v>10884</v>
      </c>
      <c r="E4936">
        <v>6028978977</v>
      </c>
      <c r="F4936" t="s">
        <v>1345</v>
      </c>
      <c r="G4936" t="s">
        <v>799</v>
      </c>
      <c r="I4936" t="s">
        <v>47</v>
      </c>
      <c r="J4936" s="13">
        <v>46077</v>
      </c>
      <c r="K4936" s="13">
        <v>46082</v>
      </c>
      <c r="L4936" t="s">
        <v>1179</v>
      </c>
      <c r="M4936" t="s">
        <v>56</v>
      </c>
      <c r="N4936">
        <v>74716012</v>
      </c>
    </row>
    <row r="4937" spans="1:14" x14ac:dyDescent="0.25">
      <c r="A4937">
        <v>60879261</v>
      </c>
      <c r="B4937" t="s">
        <v>1408</v>
      </c>
      <c r="C4937" t="s">
        <v>10885</v>
      </c>
      <c r="D4937" t="s">
        <v>10886</v>
      </c>
      <c r="E4937">
        <v>7027677796</v>
      </c>
      <c r="F4937" t="s">
        <v>569</v>
      </c>
      <c r="G4937" t="s">
        <v>570</v>
      </c>
      <c r="I4937" t="s">
        <v>34</v>
      </c>
      <c r="J4937" s="13">
        <v>46077</v>
      </c>
      <c r="K4937" s="13">
        <v>46082</v>
      </c>
      <c r="L4937" t="s">
        <v>483</v>
      </c>
      <c r="M4937" t="s">
        <v>56</v>
      </c>
      <c r="N4937">
        <v>74716048</v>
      </c>
    </row>
    <row r="4938" spans="1:14" x14ac:dyDescent="0.25">
      <c r="A4938">
        <v>60879579</v>
      </c>
      <c r="B4938" t="s">
        <v>2752</v>
      </c>
      <c r="C4938" t="s">
        <v>10887</v>
      </c>
      <c r="D4938" t="s">
        <v>10888</v>
      </c>
      <c r="E4938">
        <v>2812172387</v>
      </c>
      <c r="F4938" t="s">
        <v>448</v>
      </c>
      <c r="G4938" t="s">
        <v>449</v>
      </c>
      <c r="I4938" t="s">
        <v>31</v>
      </c>
      <c r="J4938" s="13">
        <v>46077</v>
      </c>
      <c r="K4938" s="13">
        <v>46082</v>
      </c>
      <c r="L4938" t="s">
        <v>444</v>
      </c>
      <c r="M4938" t="s">
        <v>55</v>
      </c>
      <c r="N4938">
        <v>74716485</v>
      </c>
    </row>
    <row r="4939" spans="1:14" x14ac:dyDescent="0.25">
      <c r="A4939">
        <v>60881426</v>
      </c>
      <c r="B4939" t="s">
        <v>609</v>
      </c>
      <c r="C4939" t="s">
        <v>10889</v>
      </c>
      <c r="D4939" t="s">
        <v>10890</v>
      </c>
      <c r="E4939">
        <v>4802384133</v>
      </c>
      <c r="F4939" t="s">
        <v>780</v>
      </c>
      <c r="G4939" t="s">
        <v>781</v>
      </c>
      <c r="I4939" t="s">
        <v>20</v>
      </c>
      <c r="J4939" s="13">
        <v>46077</v>
      </c>
      <c r="K4939" s="13">
        <v>46082</v>
      </c>
      <c r="L4939" t="s">
        <v>1179</v>
      </c>
      <c r="M4939" t="s">
        <v>54</v>
      </c>
      <c r="N4939">
        <v>74718256</v>
      </c>
    </row>
    <row r="4940" spans="1:14" x14ac:dyDescent="0.25">
      <c r="A4940">
        <v>60892273</v>
      </c>
      <c r="B4940" t="s">
        <v>2972</v>
      </c>
      <c r="C4940" t="s">
        <v>7266</v>
      </c>
      <c r="D4940" t="s">
        <v>10891</v>
      </c>
      <c r="E4940">
        <v>6184914993</v>
      </c>
      <c r="F4940" t="s">
        <v>649</v>
      </c>
      <c r="G4940" t="s">
        <v>650</v>
      </c>
      <c r="I4940" t="s">
        <v>28</v>
      </c>
      <c r="J4940" s="13">
        <v>46078</v>
      </c>
      <c r="K4940" s="13">
        <v>46082</v>
      </c>
      <c r="L4940" t="s">
        <v>470</v>
      </c>
      <c r="M4940" t="s">
        <v>58</v>
      </c>
      <c r="N4940">
        <v>74727265</v>
      </c>
    </row>
    <row r="4941" spans="1:14" x14ac:dyDescent="0.25">
      <c r="A4941">
        <v>60893109</v>
      </c>
      <c r="B4941" t="s">
        <v>1427</v>
      </c>
      <c r="C4941" t="s">
        <v>10892</v>
      </c>
      <c r="D4941" t="s">
        <v>10893</v>
      </c>
      <c r="E4941">
        <v>5133198159</v>
      </c>
      <c r="F4941" t="s">
        <v>474</v>
      </c>
      <c r="G4941" t="s">
        <v>475</v>
      </c>
      <c r="I4941" t="s">
        <v>132</v>
      </c>
      <c r="J4941" s="13">
        <v>46078</v>
      </c>
      <c r="K4941" s="13">
        <v>46082</v>
      </c>
      <c r="L4941" t="s">
        <v>418</v>
      </c>
      <c r="M4941" t="s">
        <v>58</v>
      </c>
      <c r="N4941">
        <v>74728053</v>
      </c>
    </row>
    <row r="4942" spans="1:14" x14ac:dyDescent="0.25">
      <c r="A4942">
        <v>61133833</v>
      </c>
      <c r="B4942" t="s">
        <v>1500</v>
      </c>
      <c r="C4942" t="s">
        <v>10894</v>
      </c>
      <c r="D4942" t="s">
        <v>10895</v>
      </c>
      <c r="E4942">
        <v>6067653553</v>
      </c>
      <c r="F4942" t="s">
        <v>705</v>
      </c>
      <c r="G4942" t="s">
        <v>706</v>
      </c>
      <c r="I4942" t="s">
        <v>12</v>
      </c>
      <c r="J4942" s="13">
        <v>46085</v>
      </c>
      <c r="K4942" s="13">
        <v>46113</v>
      </c>
      <c r="L4942" t="s">
        <v>490</v>
      </c>
      <c r="M4942" t="s">
        <v>58</v>
      </c>
      <c r="N4942">
        <v>74729560</v>
      </c>
    </row>
    <row r="4943" spans="1:14" x14ac:dyDescent="0.25">
      <c r="A4943">
        <v>60895921</v>
      </c>
      <c r="B4943" t="s">
        <v>1784</v>
      </c>
      <c r="C4943" t="s">
        <v>10896</v>
      </c>
      <c r="D4943" t="s">
        <v>10897</v>
      </c>
      <c r="E4943">
        <v>6028567931</v>
      </c>
      <c r="F4943" t="s">
        <v>807</v>
      </c>
      <c r="G4943" t="s">
        <v>808</v>
      </c>
      <c r="I4943" t="s">
        <v>33</v>
      </c>
      <c r="J4943" s="13">
        <v>46078</v>
      </c>
      <c r="K4943" s="13">
        <v>46082</v>
      </c>
      <c r="L4943" t="s">
        <v>1179</v>
      </c>
      <c r="M4943" t="s">
        <v>54</v>
      </c>
      <c r="N4943">
        <v>74730590</v>
      </c>
    </row>
    <row r="4944" spans="1:14" x14ac:dyDescent="0.25">
      <c r="A4944">
        <v>60896112</v>
      </c>
      <c r="B4944" t="s">
        <v>10898</v>
      </c>
      <c r="C4944" t="s">
        <v>688</v>
      </c>
      <c r="D4944" t="s">
        <v>10899</v>
      </c>
      <c r="E4944">
        <v>2052453843</v>
      </c>
      <c r="F4944" t="s">
        <v>628</v>
      </c>
      <c r="G4944" t="s">
        <v>629</v>
      </c>
      <c r="I4944" t="s">
        <v>24</v>
      </c>
      <c r="J4944" s="13">
        <v>46078</v>
      </c>
      <c r="K4944" s="13">
        <v>46082</v>
      </c>
      <c r="L4944" t="s">
        <v>450</v>
      </c>
      <c r="M4944" t="s">
        <v>55</v>
      </c>
      <c r="N4944">
        <v>74730756</v>
      </c>
    </row>
    <row r="4945" spans="1:14" x14ac:dyDescent="0.25">
      <c r="A4945">
        <v>60896951</v>
      </c>
      <c r="B4945" t="s">
        <v>517</v>
      </c>
      <c r="C4945" t="s">
        <v>10900</v>
      </c>
      <c r="D4945" t="s">
        <v>10901</v>
      </c>
      <c r="E4945">
        <v>3187547715</v>
      </c>
      <c r="F4945" t="s">
        <v>790</v>
      </c>
      <c r="G4945" t="s">
        <v>791</v>
      </c>
      <c r="I4945" t="s">
        <v>119</v>
      </c>
      <c r="J4945" s="13">
        <v>46078</v>
      </c>
      <c r="K4945" s="13">
        <v>46082</v>
      </c>
      <c r="L4945" t="s">
        <v>612</v>
      </c>
      <c r="M4945" t="s">
        <v>58</v>
      </c>
      <c r="N4945">
        <v>74731539</v>
      </c>
    </row>
    <row r="4946" spans="1:14" x14ac:dyDescent="0.25">
      <c r="A4946">
        <v>60898889</v>
      </c>
      <c r="B4946" t="s">
        <v>791</v>
      </c>
      <c r="C4946" t="s">
        <v>10902</v>
      </c>
      <c r="D4946" t="s">
        <v>10903</v>
      </c>
      <c r="E4946">
        <v>9545299554</v>
      </c>
      <c r="F4946" t="s">
        <v>770</v>
      </c>
      <c r="G4946" t="s">
        <v>771</v>
      </c>
      <c r="I4946" t="s">
        <v>25</v>
      </c>
      <c r="J4946" s="13">
        <v>46078</v>
      </c>
      <c r="K4946" s="13">
        <v>46082</v>
      </c>
      <c r="L4946" t="s">
        <v>497</v>
      </c>
      <c r="M4946" t="s">
        <v>59</v>
      </c>
      <c r="N4946">
        <v>74736308</v>
      </c>
    </row>
    <row r="4947" spans="1:14" x14ac:dyDescent="0.25">
      <c r="A4947">
        <v>60899177</v>
      </c>
      <c r="B4947" t="s">
        <v>10904</v>
      </c>
      <c r="C4947" t="s">
        <v>4147</v>
      </c>
      <c r="D4947" t="s">
        <v>10905</v>
      </c>
      <c r="E4947">
        <v>6192740628</v>
      </c>
      <c r="F4947" t="s">
        <v>1345</v>
      </c>
      <c r="G4947" t="s">
        <v>799</v>
      </c>
      <c r="I4947" t="s">
        <v>47</v>
      </c>
      <c r="J4947" s="13">
        <v>46078</v>
      </c>
      <c r="K4947" s="13">
        <v>46082</v>
      </c>
      <c r="L4947" t="s">
        <v>1179</v>
      </c>
      <c r="M4947" t="s">
        <v>54</v>
      </c>
      <c r="N4947">
        <v>74738470</v>
      </c>
    </row>
    <row r="4948" spans="1:14" x14ac:dyDescent="0.25">
      <c r="A4948">
        <v>60900257</v>
      </c>
      <c r="B4948" t="s">
        <v>521</v>
      </c>
      <c r="C4948" t="s">
        <v>2143</v>
      </c>
      <c r="D4948" t="s">
        <v>10906</v>
      </c>
      <c r="E4948">
        <v>7405299362</v>
      </c>
      <c r="F4948" t="s">
        <v>574</v>
      </c>
      <c r="G4948" t="s">
        <v>575</v>
      </c>
      <c r="I4948" t="s">
        <v>14</v>
      </c>
      <c r="J4948" s="13">
        <v>46078</v>
      </c>
      <c r="K4948" s="13">
        <v>46082</v>
      </c>
      <c r="L4948" t="s">
        <v>418</v>
      </c>
      <c r="M4948" t="s">
        <v>56</v>
      </c>
      <c r="N4948">
        <v>74739249</v>
      </c>
    </row>
    <row r="4949" spans="1:14" x14ac:dyDescent="0.25">
      <c r="A4949">
        <v>60900570</v>
      </c>
      <c r="B4949" t="s">
        <v>4789</v>
      </c>
      <c r="C4949" t="s">
        <v>1697</v>
      </c>
      <c r="D4949" t="s">
        <v>10907</v>
      </c>
      <c r="E4949">
        <v>6023947013</v>
      </c>
      <c r="F4949" t="s">
        <v>780</v>
      </c>
      <c r="G4949" t="s">
        <v>781</v>
      </c>
      <c r="I4949" t="s">
        <v>20</v>
      </c>
      <c r="J4949" s="13">
        <v>46078</v>
      </c>
      <c r="K4949" s="13">
        <v>46082</v>
      </c>
      <c r="L4949" t="s">
        <v>1179</v>
      </c>
      <c r="M4949" t="s">
        <v>59</v>
      </c>
      <c r="N4949">
        <v>74739362</v>
      </c>
    </row>
    <row r="4950" spans="1:14" x14ac:dyDescent="0.25">
      <c r="A4950">
        <v>60904011</v>
      </c>
      <c r="B4950" t="s">
        <v>10908</v>
      </c>
      <c r="C4950" t="s">
        <v>10909</v>
      </c>
      <c r="D4950" t="s">
        <v>10910</v>
      </c>
      <c r="E4950" t="s">
        <v>10911</v>
      </c>
      <c r="F4950" t="s">
        <v>416</v>
      </c>
      <c r="G4950" t="s">
        <v>417</v>
      </c>
      <c r="I4950" t="s">
        <v>26</v>
      </c>
      <c r="J4950" s="13">
        <v>46078</v>
      </c>
      <c r="K4950" s="13">
        <v>46082</v>
      </c>
      <c r="L4950" t="s">
        <v>497</v>
      </c>
      <c r="M4950" t="s">
        <v>56</v>
      </c>
      <c r="N4950">
        <v>74739642</v>
      </c>
    </row>
    <row r="4951" spans="1:14" x14ac:dyDescent="0.25">
      <c r="A4951">
        <v>60903892</v>
      </c>
      <c r="B4951" t="s">
        <v>10912</v>
      </c>
      <c r="C4951" t="s">
        <v>10913</v>
      </c>
      <c r="D4951" t="s">
        <v>10914</v>
      </c>
      <c r="E4951">
        <v>5616729631</v>
      </c>
      <c r="F4951" t="s">
        <v>448</v>
      </c>
      <c r="G4951" t="s">
        <v>449</v>
      </c>
      <c r="I4951" t="s">
        <v>31</v>
      </c>
      <c r="J4951" s="13">
        <v>46078</v>
      </c>
      <c r="K4951" s="13">
        <v>46082</v>
      </c>
      <c r="L4951" t="s">
        <v>497</v>
      </c>
      <c r="M4951" t="s">
        <v>56</v>
      </c>
      <c r="N4951">
        <v>74739706</v>
      </c>
    </row>
    <row r="4952" spans="1:14" x14ac:dyDescent="0.25">
      <c r="A4952">
        <v>60906229</v>
      </c>
      <c r="B4952" t="s">
        <v>836</v>
      </c>
      <c r="C4952" t="s">
        <v>10915</v>
      </c>
      <c r="D4952" t="s">
        <v>10916</v>
      </c>
      <c r="E4952">
        <v>9376796539</v>
      </c>
      <c r="F4952" t="s">
        <v>790</v>
      </c>
      <c r="G4952" t="s">
        <v>791</v>
      </c>
      <c r="I4952" t="s">
        <v>119</v>
      </c>
      <c r="J4952" s="13">
        <v>46078</v>
      </c>
      <c r="K4952" s="13">
        <v>46082</v>
      </c>
      <c r="L4952" t="s">
        <v>418</v>
      </c>
      <c r="M4952" t="s">
        <v>58</v>
      </c>
      <c r="N4952">
        <v>74740016</v>
      </c>
    </row>
    <row r="4953" spans="1:14" x14ac:dyDescent="0.25">
      <c r="A4953">
        <v>60908308</v>
      </c>
      <c r="B4953" t="s">
        <v>2614</v>
      </c>
      <c r="C4953" t="s">
        <v>10917</v>
      </c>
      <c r="D4953" t="s">
        <v>10918</v>
      </c>
      <c r="E4953">
        <v>4696615169</v>
      </c>
      <c r="F4953" t="s">
        <v>815</v>
      </c>
      <c r="G4953" t="s">
        <v>816</v>
      </c>
      <c r="I4953" t="s">
        <v>23</v>
      </c>
      <c r="J4953" s="13">
        <v>46078</v>
      </c>
      <c r="K4953" s="13">
        <v>46082</v>
      </c>
      <c r="L4953" t="s">
        <v>444</v>
      </c>
      <c r="M4953" t="s">
        <v>56</v>
      </c>
      <c r="N4953">
        <v>74740639</v>
      </c>
    </row>
    <row r="4954" spans="1:14" x14ac:dyDescent="0.25">
      <c r="A4954">
        <v>60910672</v>
      </c>
      <c r="B4954" t="s">
        <v>420</v>
      </c>
      <c r="C4954" t="s">
        <v>6175</v>
      </c>
      <c r="D4954" t="s">
        <v>10919</v>
      </c>
      <c r="E4954">
        <v>2702725918</v>
      </c>
      <c r="F4954" t="s">
        <v>551</v>
      </c>
      <c r="G4954" t="s">
        <v>552</v>
      </c>
      <c r="I4954" t="s">
        <v>42</v>
      </c>
      <c r="J4954" s="13">
        <v>46078</v>
      </c>
      <c r="K4954" s="13">
        <v>46082</v>
      </c>
      <c r="L4954" t="s">
        <v>490</v>
      </c>
      <c r="M4954" t="s">
        <v>56</v>
      </c>
      <c r="N4954">
        <v>74741422</v>
      </c>
    </row>
    <row r="4955" spans="1:14" x14ac:dyDescent="0.25">
      <c r="A4955">
        <v>60910564</v>
      </c>
      <c r="B4955" t="s">
        <v>10920</v>
      </c>
      <c r="C4955" t="s">
        <v>1129</v>
      </c>
      <c r="D4955" t="s">
        <v>10921</v>
      </c>
      <c r="E4955">
        <v>7047635587</v>
      </c>
      <c r="F4955" t="s">
        <v>775</v>
      </c>
      <c r="G4955" t="s">
        <v>776</v>
      </c>
      <c r="I4955" t="s">
        <v>22</v>
      </c>
      <c r="J4955" s="13">
        <v>46078</v>
      </c>
      <c r="K4955" s="13">
        <v>46082</v>
      </c>
      <c r="L4955" t="s">
        <v>454</v>
      </c>
      <c r="M4955" t="s">
        <v>56</v>
      </c>
      <c r="N4955">
        <v>74741499</v>
      </c>
    </row>
    <row r="4956" spans="1:14" x14ac:dyDescent="0.25">
      <c r="A4956">
        <v>60910621</v>
      </c>
      <c r="B4956" t="s">
        <v>10922</v>
      </c>
      <c r="C4956" t="s">
        <v>10923</v>
      </c>
      <c r="D4956" t="s">
        <v>10924</v>
      </c>
      <c r="E4956">
        <v>5206274537</v>
      </c>
      <c r="F4956" t="s">
        <v>569</v>
      </c>
      <c r="G4956" t="s">
        <v>570</v>
      </c>
      <c r="I4956" t="s">
        <v>34</v>
      </c>
      <c r="J4956" s="13">
        <v>46078</v>
      </c>
      <c r="K4956" s="13">
        <v>46082</v>
      </c>
      <c r="L4956" t="s">
        <v>1179</v>
      </c>
      <c r="M4956" t="s">
        <v>54</v>
      </c>
      <c r="N4956">
        <v>74741757</v>
      </c>
    </row>
    <row r="4957" spans="1:14" x14ac:dyDescent="0.25">
      <c r="A4957">
        <v>60910676</v>
      </c>
      <c r="B4957" t="s">
        <v>748</v>
      </c>
      <c r="C4957" t="s">
        <v>515</v>
      </c>
      <c r="D4957" t="s">
        <v>10925</v>
      </c>
      <c r="E4957">
        <v>3048465207</v>
      </c>
      <c r="F4957" t="s">
        <v>1067</v>
      </c>
      <c r="G4957" t="s">
        <v>1068</v>
      </c>
      <c r="I4957" t="s">
        <v>35</v>
      </c>
      <c r="J4957" s="13">
        <v>46078</v>
      </c>
      <c r="K4957" s="13">
        <v>46082</v>
      </c>
      <c r="L4957" t="s">
        <v>1188</v>
      </c>
      <c r="M4957" t="s">
        <v>58</v>
      </c>
      <c r="N4957">
        <v>74742089</v>
      </c>
    </row>
    <row r="4958" spans="1:14" x14ac:dyDescent="0.25">
      <c r="A4958">
        <v>60910862</v>
      </c>
      <c r="B4958" t="s">
        <v>10926</v>
      </c>
      <c r="C4958" t="s">
        <v>10927</v>
      </c>
      <c r="D4958" t="s">
        <v>10928</v>
      </c>
      <c r="E4958">
        <v>8723010551</v>
      </c>
      <c r="F4958" t="s">
        <v>474</v>
      </c>
      <c r="G4958" t="s">
        <v>475</v>
      </c>
      <c r="I4958" t="s">
        <v>132</v>
      </c>
      <c r="J4958" s="13">
        <v>46078</v>
      </c>
      <c r="K4958" s="13">
        <v>46082</v>
      </c>
      <c r="L4958" t="s">
        <v>470</v>
      </c>
      <c r="M4958" t="s">
        <v>62</v>
      </c>
      <c r="N4958">
        <v>74742681</v>
      </c>
    </row>
    <row r="4959" spans="1:14" x14ac:dyDescent="0.25">
      <c r="A4959">
        <v>60911558</v>
      </c>
      <c r="B4959" t="s">
        <v>10929</v>
      </c>
      <c r="C4959" t="s">
        <v>10930</v>
      </c>
      <c r="D4959" t="s">
        <v>10931</v>
      </c>
      <c r="E4959">
        <v>5205858496</v>
      </c>
      <c r="F4959" t="s">
        <v>574</v>
      </c>
      <c r="G4959" t="s">
        <v>575</v>
      </c>
      <c r="I4959" t="s">
        <v>14</v>
      </c>
      <c r="J4959" s="13">
        <v>46078</v>
      </c>
      <c r="K4959" s="13">
        <v>46082</v>
      </c>
      <c r="L4959" t="s">
        <v>1179</v>
      </c>
      <c r="M4959" t="s">
        <v>55</v>
      </c>
      <c r="N4959">
        <v>74742833</v>
      </c>
    </row>
    <row r="4960" spans="1:14" x14ac:dyDescent="0.25">
      <c r="A4960">
        <v>63475669</v>
      </c>
      <c r="B4960" t="s">
        <v>2657</v>
      </c>
      <c r="C4960" t="s">
        <v>1129</v>
      </c>
      <c r="D4960" t="s">
        <v>10932</v>
      </c>
      <c r="E4960">
        <v>7047635587</v>
      </c>
      <c r="F4960" t="s">
        <v>775</v>
      </c>
      <c r="G4960" t="s">
        <v>776</v>
      </c>
      <c r="I4960" t="s">
        <v>22</v>
      </c>
      <c r="J4960" s="13">
        <v>46141</v>
      </c>
      <c r="K4960" s="13">
        <v>46143</v>
      </c>
      <c r="L4960" t="s">
        <v>454</v>
      </c>
      <c r="M4960" t="s">
        <v>56</v>
      </c>
      <c r="N4960">
        <v>74743329</v>
      </c>
    </row>
    <row r="4961" spans="1:14" x14ac:dyDescent="0.25">
      <c r="A4961">
        <v>60913169</v>
      </c>
      <c r="B4961" t="s">
        <v>8044</v>
      </c>
      <c r="C4961" t="s">
        <v>10933</v>
      </c>
      <c r="D4961" t="s">
        <v>10934</v>
      </c>
      <c r="E4961">
        <v>9707831367</v>
      </c>
      <c r="F4961" t="s">
        <v>569</v>
      </c>
      <c r="G4961" t="s">
        <v>570</v>
      </c>
      <c r="I4961" t="s">
        <v>34</v>
      </c>
      <c r="J4961" s="13">
        <v>46078</v>
      </c>
      <c r="K4961" s="13">
        <v>46082</v>
      </c>
      <c r="L4961" t="s">
        <v>539</v>
      </c>
      <c r="M4961" t="s">
        <v>56</v>
      </c>
      <c r="N4961">
        <v>74744090</v>
      </c>
    </row>
    <row r="4962" spans="1:14" x14ac:dyDescent="0.25">
      <c r="A4962">
        <v>60913301</v>
      </c>
      <c r="B4962" t="s">
        <v>4141</v>
      </c>
      <c r="C4962" t="s">
        <v>4609</v>
      </c>
      <c r="D4962" t="s">
        <v>10935</v>
      </c>
      <c r="E4962">
        <v>6025659282</v>
      </c>
      <c r="F4962" t="s">
        <v>1345</v>
      </c>
      <c r="G4962" t="s">
        <v>799</v>
      </c>
      <c r="I4962" t="s">
        <v>47</v>
      </c>
      <c r="J4962" s="13">
        <v>46078</v>
      </c>
      <c r="K4962" s="13">
        <v>46082</v>
      </c>
      <c r="L4962" t="s">
        <v>1179</v>
      </c>
      <c r="M4962" t="s">
        <v>56</v>
      </c>
      <c r="N4962">
        <v>74744177</v>
      </c>
    </row>
    <row r="4963" spans="1:14" x14ac:dyDescent="0.25">
      <c r="A4963">
        <v>60914078</v>
      </c>
      <c r="B4963" t="s">
        <v>7798</v>
      </c>
      <c r="C4963" t="s">
        <v>10936</v>
      </c>
      <c r="D4963" t="s">
        <v>10937</v>
      </c>
      <c r="E4963">
        <v>4809729793</v>
      </c>
      <c r="F4963" t="s">
        <v>10569</v>
      </c>
      <c r="G4963" t="s">
        <v>10570</v>
      </c>
      <c r="I4963" t="s">
        <v>29</v>
      </c>
      <c r="J4963" s="13">
        <v>46078</v>
      </c>
      <c r="K4963" s="13">
        <v>46082</v>
      </c>
      <c r="L4963" t="s">
        <v>1179</v>
      </c>
      <c r="M4963" t="s">
        <v>61</v>
      </c>
      <c r="N4963">
        <v>74744879</v>
      </c>
    </row>
    <row r="4964" spans="1:14" x14ac:dyDescent="0.25">
      <c r="A4964">
        <v>60914603</v>
      </c>
      <c r="B4964" t="s">
        <v>5503</v>
      </c>
      <c r="C4964" t="s">
        <v>10938</v>
      </c>
      <c r="D4964" t="s">
        <v>10939</v>
      </c>
      <c r="E4964">
        <v>9042361632</v>
      </c>
      <c r="F4964" t="s">
        <v>416</v>
      </c>
      <c r="G4964" t="s">
        <v>417</v>
      </c>
      <c r="I4964" t="s">
        <v>26</v>
      </c>
      <c r="J4964" s="13">
        <v>46078</v>
      </c>
      <c r="K4964" s="13">
        <v>46082</v>
      </c>
      <c r="L4964" t="s">
        <v>497</v>
      </c>
      <c r="M4964" t="s">
        <v>56</v>
      </c>
      <c r="N4964">
        <v>74745304</v>
      </c>
    </row>
    <row r="4965" spans="1:14" x14ac:dyDescent="0.25">
      <c r="A4965">
        <v>60915339</v>
      </c>
      <c r="B4965" t="s">
        <v>10940</v>
      </c>
      <c r="C4965" t="s">
        <v>1016</v>
      </c>
      <c r="D4965" t="s">
        <v>10941</v>
      </c>
      <c r="E4965">
        <v>9548516693</v>
      </c>
      <c r="F4965" t="s">
        <v>574</v>
      </c>
      <c r="G4965" t="s">
        <v>575</v>
      </c>
      <c r="I4965" t="s">
        <v>14</v>
      </c>
      <c r="J4965" s="13">
        <v>46078</v>
      </c>
      <c r="K4965" s="13">
        <v>46082</v>
      </c>
      <c r="L4965" t="s">
        <v>497</v>
      </c>
      <c r="M4965" t="s">
        <v>61</v>
      </c>
      <c r="N4965">
        <v>74745888</v>
      </c>
    </row>
    <row r="4966" spans="1:14" x14ac:dyDescent="0.25">
      <c r="A4966">
        <v>60916197</v>
      </c>
      <c r="B4966" t="s">
        <v>10904</v>
      </c>
      <c r="C4966" t="s">
        <v>10942</v>
      </c>
      <c r="D4966" t="s">
        <v>10943</v>
      </c>
      <c r="E4966">
        <v>5209101932</v>
      </c>
      <c r="F4966" t="s">
        <v>448</v>
      </c>
      <c r="G4966" t="s">
        <v>449</v>
      </c>
      <c r="I4966" t="s">
        <v>31</v>
      </c>
      <c r="J4966" s="13">
        <v>46078</v>
      </c>
      <c r="K4966" s="13">
        <v>46082</v>
      </c>
      <c r="L4966" t="s">
        <v>1179</v>
      </c>
      <c r="M4966" t="s">
        <v>54</v>
      </c>
      <c r="N4966">
        <v>74746588</v>
      </c>
    </row>
    <row r="4967" spans="1:14" x14ac:dyDescent="0.25">
      <c r="A4967">
        <v>60916563</v>
      </c>
      <c r="B4967" t="s">
        <v>888</v>
      </c>
      <c r="C4967" t="s">
        <v>1036</v>
      </c>
      <c r="D4967" t="s">
        <v>10944</v>
      </c>
      <c r="E4967">
        <v>5013139695</v>
      </c>
      <c r="F4967" t="s">
        <v>1067</v>
      </c>
      <c r="G4967" t="s">
        <v>1068</v>
      </c>
      <c r="I4967" t="s">
        <v>35</v>
      </c>
      <c r="J4967" s="13">
        <v>46078</v>
      </c>
      <c r="K4967" s="13">
        <v>46082</v>
      </c>
      <c r="L4967" t="s">
        <v>553</v>
      </c>
      <c r="M4967" t="s">
        <v>56</v>
      </c>
      <c r="N4967">
        <v>74746842</v>
      </c>
    </row>
    <row r="4968" spans="1:14" x14ac:dyDescent="0.25">
      <c r="A4968">
        <v>60916676</v>
      </c>
      <c r="B4968" t="s">
        <v>8394</v>
      </c>
      <c r="C4968" t="s">
        <v>2188</v>
      </c>
      <c r="D4968" t="s">
        <v>10945</v>
      </c>
      <c r="E4968">
        <v>9702174898</v>
      </c>
      <c r="F4968" t="s">
        <v>688</v>
      </c>
      <c r="G4968" t="s">
        <v>10291</v>
      </c>
      <c r="I4968" t="s">
        <v>48</v>
      </c>
      <c r="J4968" s="13">
        <v>46078</v>
      </c>
      <c r="K4968" s="13">
        <v>46082</v>
      </c>
      <c r="L4968" t="s">
        <v>539</v>
      </c>
      <c r="M4968" t="s">
        <v>59</v>
      </c>
      <c r="N4968">
        <v>74746926</v>
      </c>
    </row>
    <row r="4969" spans="1:14" x14ac:dyDescent="0.25">
      <c r="A4969">
        <v>60917316</v>
      </c>
      <c r="B4969" t="s">
        <v>10946</v>
      </c>
      <c r="C4969" t="s">
        <v>10947</v>
      </c>
      <c r="D4969" t="s">
        <v>10948</v>
      </c>
      <c r="E4969">
        <v>4802772335</v>
      </c>
      <c r="F4969" t="s">
        <v>1013</v>
      </c>
      <c r="G4969" t="s">
        <v>1014</v>
      </c>
      <c r="I4969" t="s">
        <v>43</v>
      </c>
      <c r="J4969" s="13">
        <v>46078</v>
      </c>
      <c r="K4969" s="13">
        <v>46082</v>
      </c>
      <c r="L4969" t="s">
        <v>1179</v>
      </c>
      <c r="M4969" t="s">
        <v>56</v>
      </c>
      <c r="N4969">
        <v>74747405</v>
      </c>
    </row>
    <row r="4970" spans="1:14" x14ac:dyDescent="0.25">
      <c r="A4970">
        <v>60917441</v>
      </c>
      <c r="B4970" t="s">
        <v>5283</v>
      </c>
      <c r="C4970" t="s">
        <v>515</v>
      </c>
      <c r="D4970" t="s">
        <v>10949</v>
      </c>
      <c r="E4970">
        <v>5209078419</v>
      </c>
      <c r="F4970" t="s">
        <v>770</v>
      </c>
      <c r="G4970" t="s">
        <v>771</v>
      </c>
      <c r="I4970" t="s">
        <v>25</v>
      </c>
      <c r="J4970" s="13">
        <v>46078</v>
      </c>
      <c r="K4970" s="13">
        <v>46082</v>
      </c>
      <c r="L4970" t="s">
        <v>1179</v>
      </c>
      <c r="M4970" t="s">
        <v>54</v>
      </c>
      <c r="N4970">
        <v>74747504</v>
      </c>
    </row>
    <row r="4971" spans="1:14" x14ac:dyDescent="0.25">
      <c r="A4971">
        <v>60918277</v>
      </c>
      <c r="B4971" t="s">
        <v>10950</v>
      </c>
      <c r="C4971" t="s">
        <v>6638</v>
      </c>
      <c r="D4971" t="s">
        <v>10951</v>
      </c>
      <c r="E4971">
        <v>9547068597</v>
      </c>
      <c r="F4971" t="s">
        <v>551</v>
      </c>
      <c r="G4971" t="s">
        <v>552</v>
      </c>
      <c r="I4971" t="s">
        <v>42</v>
      </c>
      <c r="J4971" s="13">
        <v>46078</v>
      </c>
      <c r="K4971" s="13">
        <v>46082</v>
      </c>
      <c r="L4971" t="s">
        <v>497</v>
      </c>
      <c r="M4971" t="s">
        <v>56</v>
      </c>
      <c r="N4971">
        <v>74748240</v>
      </c>
    </row>
    <row r="4972" spans="1:14" x14ac:dyDescent="0.25">
      <c r="A4972">
        <v>60918493</v>
      </c>
      <c r="B4972" t="s">
        <v>1167</v>
      </c>
      <c r="C4972" t="s">
        <v>10952</v>
      </c>
      <c r="D4972" t="s">
        <v>10953</v>
      </c>
      <c r="E4972">
        <v>6063088881</v>
      </c>
      <c r="F4972" t="s">
        <v>828</v>
      </c>
      <c r="G4972" t="s">
        <v>1148</v>
      </c>
      <c r="I4972" t="s">
        <v>17</v>
      </c>
      <c r="J4972" s="13">
        <v>46078</v>
      </c>
      <c r="K4972" s="13">
        <v>46082</v>
      </c>
      <c r="L4972" t="s">
        <v>490</v>
      </c>
      <c r="M4972" t="s">
        <v>56</v>
      </c>
      <c r="N4972">
        <v>74748444</v>
      </c>
    </row>
    <row r="4973" spans="1:14" x14ac:dyDescent="0.25">
      <c r="A4973">
        <v>60919125</v>
      </c>
      <c r="B4973" t="s">
        <v>730</v>
      </c>
      <c r="C4973" t="s">
        <v>10954</v>
      </c>
      <c r="D4973" t="s">
        <v>10955</v>
      </c>
      <c r="E4973" t="s">
        <v>10956</v>
      </c>
      <c r="F4973" t="s">
        <v>2544</v>
      </c>
      <c r="G4973" t="s">
        <v>4833</v>
      </c>
      <c r="I4973" t="s">
        <v>18</v>
      </c>
      <c r="J4973" s="13">
        <v>46078</v>
      </c>
      <c r="K4973" s="13">
        <v>46082</v>
      </c>
      <c r="L4973" t="s">
        <v>497</v>
      </c>
      <c r="M4973" t="s">
        <v>54</v>
      </c>
      <c r="N4973">
        <v>74749051</v>
      </c>
    </row>
    <row r="4974" spans="1:14" x14ac:dyDescent="0.25">
      <c r="A4974">
        <v>60919296</v>
      </c>
      <c r="B4974" t="s">
        <v>10957</v>
      </c>
      <c r="C4974" t="s">
        <v>2544</v>
      </c>
      <c r="D4974" t="s">
        <v>10958</v>
      </c>
      <c r="E4974">
        <v>4806674230</v>
      </c>
      <c r="F4974" t="s">
        <v>474</v>
      </c>
      <c r="G4974" t="s">
        <v>475</v>
      </c>
      <c r="I4974" t="s">
        <v>132</v>
      </c>
      <c r="J4974" s="13">
        <v>46078</v>
      </c>
      <c r="K4974" s="13">
        <v>46082</v>
      </c>
      <c r="L4974" t="s">
        <v>1179</v>
      </c>
      <c r="M4974" t="s">
        <v>59</v>
      </c>
      <c r="N4974">
        <v>74749190</v>
      </c>
    </row>
    <row r="4975" spans="1:14" x14ac:dyDescent="0.25">
      <c r="A4975">
        <v>63458519</v>
      </c>
      <c r="B4975" t="s">
        <v>10959</v>
      </c>
      <c r="C4975" t="s">
        <v>10960</v>
      </c>
      <c r="D4975" t="s">
        <v>10961</v>
      </c>
      <c r="E4975">
        <v>9048593086</v>
      </c>
      <c r="F4975" t="s">
        <v>775</v>
      </c>
      <c r="G4975" t="s">
        <v>776</v>
      </c>
      <c r="I4975" t="s">
        <v>22</v>
      </c>
      <c r="J4975" s="13">
        <v>46141</v>
      </c>
      <c r="K4975" s="13">
        <v>46143</v>
      </c>
      <c r="L4975" t="s">
        <v>497</v>
      </c>
      <c r="M4975" t="s">
        <v>60</v>
      </c>
      <c r="N4975">
        <v>74749626</v>
      </c>
    </row>
    <row r="4976" spans="1:14" x14ac:dyDescent="0.25">
      <c r="A4976">
        <v>60919858</v>
      </c>
      <c r="B4976" t="s">
        <v>10962</v>
      </c>
      <c r="C4976" t="s">
        <v>2544</v>
      </c>
      <c r="D4976" t="s">
        <v>10963</v>
      </c>
      <c r="E4976">
        <v>6183732320</v>
      </c>
      <c r="F4976" t="s">
        <v>628</v>
      </c>
      <c r="G4976" t="s">
        <v>629</v>
      </c>
      <c r="I4976" t="s">
        <v>24</v>
      </c>
      <c r="J4976" s="13">
        <v>46078</v>
      </c>
      <c r="K4976" s="13">
        <v>46082</v>
      </c>
      <c r="L4976" t="s">
        <v>470</v>
      </c>
      <c r="M4976" t="s">
        <v>62</v>
      </c>
      <c r="N4976">
        <v>74749645</v>
      </c>
    </row>
    <row r="4977" spans="1:14" x14ac:dyDescent="0.25">
      <c r="A4977">
        <v>60920399</v>
      </c>
      <c r="B4977" t="s">
        <v>10964</v>
      </c>
      <c r="C4977" t="s">
        <v>2482</v>
      </c>
      <c r="D4977" t="s">
        <v>10965</v>
      </c>
      <c r="E4977">
        <v>5305083444</v>
      </c>
      <c r="F4977" t="s">
        <v>790</v>
      </c>
      <c r="G4977" t="s">
        <v>791</v>
      </c>
      <c r="I4977" t="s">
        <v>119</v>
      </c>
      <c r="J4977" s="13">
        <v>46078</v>
      </c>
      <c r="K4977" s="13">
        <v>46082</v>
      </c>
      <c r="L4977" t="s">
        <v>470</v>
      </c>
      <c r="M4977" t="s">
        <v>56</v>
      </c>
      <c r="N4977">
        <v>74749996</v>
      </c>
    </row>
    <row r="4978" spans="1:14" x14ac:dyDescent="0.25">
      <c r="A4978">
        <v>60920470</v>
      </c>
      <c r="B4978" t="s">
        <v>3326</v>
      </c>
      <c r="C4978" t="s">
        <v>10904</v>
      </c>
      <c r="D4978" t="s">
        <v>10966</v>
      </c>
      <c r="E4978">
        <v>6025273585</v>
      </c>
      <c r="F4978" t="s">
        <v>10569</v>
      </c>
      <c r="G4978" t="s">
        <v>10570</v>
      </c>
      <c r="I4978" t="s">
        <v>29</v>
      </c>
      <c r="J4978" s="13">
        <v>46078</v>
      </c>
      <c r="K4978" s="13">
        <v>46082</v>
      </c>
      <c r="L4978" t="s">
        <v>1179</v>
      </c>
      <c r="M4978" t="s">
        <v>61</v>
      </c>
      <c r="N4978">
        <v>74750060</v>
      </c>
    </row>
    <row r="4979" spans="1:14" x14ac:dyDescent="0.25">
      <c r="A4979">
        <v>60922099</v>
      </c>
      <c r="B4979" t="s">
        <v>3435</v>
      </c>
      <c r="C4979" t="s">
        <v>10967</v>
      </c>
      <c r="D4979" t="s">
        <v>10968</v>
      </c>
      <c r="E4979">
        <v>9543096999</v>
      </c>
      <c r="F4979" t="s">
        <v>1345</v>
      </c>
      <c r="G4979" t="s">
        <v>799</v>
      </c>
      <c r="I4979" t="s">
        <v>47</v>
      </c>
      <c r="J4979" s="13">
        <v>46078</v>
      </c>
      <c r="K4979" s="13">
        <v>46082</v>
      </c>
      <c r="L4979" t="s">
        <v>497</v>
      </c>
      <c r="M4979" t="s">
        <v>56</v>
      </c>
      <c r="N4979">
        <v>74751430</v>
      </c>
    </row>
    <row r="4980" spans="1:14" x14ac:dyDescent="0.25">
      <c r="A4980">
        <v>60941556</v>
      </c>
      <c r="B4980" t="s">
        <v>10969</v>
      </c>
      <c r="C4980" t="s">
        <v>10970</v>
      </c>
      <c r="D4980" t="s">
        <v>10971</v>
      </c>
      <c r="E4980">
        <v>6023279202</v>
      </c>
      <c r="F4980" t="s">
        <v>1013</v>
      </c>
      <c r="G4980" t="s">
        <v>1014</v>
      </c>
      <c r="I4980" t="s">
        <v>43</v>
      </c>
      <c r="J4980" s="13">
        <v>46079</v>
      </c>
      <c r="K4980" s="13">
        <v>46082</v>
      </c>
      <c r="L4980" t="s">
        <v>1179</v>
      </c>
      <c r="M4980" t="s">
        <v>56</v>
      </c>
      <c r="N4980">
        <v>74766843</v>
      </c>
    </row>
    <row r="4981" spans="1:14" x14ac:dyDescent="0.25">
      <c r="A4981">
        <v>60941915</v>
      </c>
      <c r="B4981" t="s">
        <v>2681</v>
      </c>
      <c r="C4981" t="s">
        <v>2133</v>
      </c>
      <c r="D4981" t="s">
        <v>10972</v>
      </c>
      <c r="E4981">
        <v>4799030758</v>
      </c>
      <c r="F4981" t="s">
        <v>705</v>
      </c>
      <c r="G4981" t="s">
        <v>706</v>
      </c>
      <c r="I4981" t="s">
        <v>12</v>
      </c>
      <c r="J4981" s="13">
        <v>46079</v>
      </c>
      <c r="K4981" s="13">
        <v>46082</v>
      </c>
      <c r="L4981" t="s">
        <v>553</v>
      </c>
      <c r="M4981" t="s">
        <v>56</v>
      </c>
      <c r="N4981">
        <v>74767144</v>
      </c>
    </row>
    <row r="4982" spans="1:14" x14ac:dyDescent="0.25">
      <c r="A4982">
        <v>60944444</v>
      </c>
      <c r="B4982" t="s">
        <v>2771</v>
      </c>
      <c r="C4982" t="s">
        <v>10973</v>
      </c>
      <c r="D4982" t="s">
        <v>10974</v>
      </c>
      <c r="E4982">
        <v>3347149197</v>
      </c>
      <c r="F4982" t="s">
        <v>928</v>
      </c>
      <c r="G4982" t="s">
        <v>929</v>
      </c>
      <c r="I4982" t="s">
        <v>30</v>
      </c>
      <c r="J4982" s="13">
        <v>46079</v>
      </c>
      <c r="K4982" s="13">
        <v>46082</v>
      </c>
      <c r="L4982" t="s">
        <v>450</v>
      </c>
      <c r="M4982" t="s">
        <v>56</v>
      </c>
      <c r="N4982">
        <v>74769141</v>
      </c>
    </row>
    <row r="4983" spans="1:14" x14ac:dyDescent="0.25">
      <c r="A4983">
        <v>60944838</v>
      </c>
      <c r="B4983" t="s">
        <v>1148</v>
      </c>
      <c r="C4983" t="s">
        <v>10975</v>
      </c>
      <c r="D4983" t="s">
        <v>10976</v>
      </c>
      <c r="E4983">
        <v>8394651050</v>
      </c>
      <c r="F4983" t="s">
        <v>551</v>
      </c>
      <c r="G4983" t="s">
        <v>552</v>
      </c>
      <c r="I4983" t="s">
        <v>42</v>
      </c>
      <c r="J4983" s="13">
        <v>46079</v>
      </c>
      <c r="K4983" s="13">
        <v>46082</v>
      </c>
      <c r="L4983" t="s">
        <v>533</v>
      </c>
      <c r="M4983" t="s">
        <v>56</v>
      </c>
      <c r="N4983">
        <v>74769315</v>
      </c>
    </row>
    <row r="4984" spans="1:14" x14ac:dyDescent="0.25">
      <c r="A4984">
        <v>60945685</v>
      </c>
      <c r="B4984" t="s">
        <v>633</v>
      </c>
      <c r="C4984" t="s">
        <v>2239</v>
      </c>
      <c r="D4984" t="s">
        <v>10977</v>
      </c>
      <c r="E4984">
        <v>4805228068</v>
      </c>
      <c r="F4984" t="s">
        <v>1345</v>
      </c>
      <c r="G4984" t="s">
        <v>799</v>
      </c>
      <c r="I4984" t="s">
        <v>47</v>
      </c>
      <c r="J4984" s="13">
        <v>46079</v>
      </c>
      <c r="K4984" s="13">
        <v>46082</v>
      </c>
      <c r="L4984" t="s">
        <v>1179</v>
      </c>
      <c r="M4984" t="s">
        <v>56</v>
      </c>
      <c r="N4984">
        <v>74769970</v>
      </c>
    </row>
    <row r="4985" spans="1:14" x14ac:dyDescent="0.25">
      <c r="A4985">
        <v>60949003</v>
      </c>
      <c r="B4985" t="s">
        <v>431</v>
      </c>
      <c r="C4985" t="s">
        <v>10978</v>
      </c>
      <c r="D4985" t="s">
        <v>10979</v>
      </c>
      <c r="E4985">
        <v>5203910362</v>
      </c>
      <c r="F4985" t="s">
        <v>1013</v>
      </c>
      <c r="G4985" t="s">
        <v>1014</v>
      </c>
      <c r="I4985" t="s">
        <v>43</v>
      </c>
      <c r="J4985" s="13">
        <v>46079</v>
      </c>
      <c r="K4985" s="13">
        <v>46082</v>
      </c>
      <c r="L4985" t="s">
        <v>1179</v>
      </c>
      <c r="M4985" t="s">
        <v>59</v>
      </c>
      <c r="N4985">
        <v>74771963</v>
      </c>
    </row>
    <row r="4986" spans="1:14" x14ac:dyDescent="0.25">
      <c r="A4986">
        <v>60950045</v>
      </c>
      <c r="B4986" t="s">
        <v>517</v>
      </c>
      <c r="C4986" t="s">
        <v>10980</v>
      </c>
      <c r="D4986" t="s">
        <v>10981</v>
      </c>
      <c r="E4986" t="s">
        <v>10982</v>
      </c>
      <c r="F4986" t="s">
        <v>448</v>
      </c>
      <c r="G4986" t="s">
        <v>449</v>
      </c>
      <c r="I4986" t="s">
        <v>31</v>
      </c>
      <c r="J4986" s="13">
        <v>46079</v>
      </c>
      <c r="K4986" s="13">
        <v>46082</v>
      </c>
      <c r="L4986" t="s">
        <v>1179</v>
      </c>
      <c r="M4986" t="s">
        <v>58</v>
      </c>
      <c r="N4986">
        <v>74772629</v>
      </c>
    </row>
    <row r="4987" spans="1:14" x14ac:dyDescent="0.25">
      <c r="A4987">
        <v>60950279</v>
      </c>
      <c r="B4987" t="s">
        <v>2387</v>
      </c>
      <c r="C4987" t="s">
        <v>10983</v>
      </c>
      <c r="D4987" t="s">
        <v>10984</v>
      </c>
      <c r="E4987">
        <v>2517695190</v>
      </c>
      <c r="F4987" t="s">
        <v>574</v>
      </c>
      <c r="G4987" t="s">
        <v>575</v>
      </c>
      <c r="I4987" t="s">
        <v>14</v>
      </c>
      <c r="J4987" s="13">
        <v>46079</v>
      </c>
      <c r="K4987" s="13">
        <v>46082</v>
      </c>
      <c r="L4987" t="s">
        <v>450</v>
      </c>
      <c r="M4987" t="s">
        <v>56</v>
      </c>
      <c r="N4987">
        <v>74772791</v>
      </c>
    </row>
    <row r="4988" spans="1:14" x14ac:dyDescent="0.25">
      <c r="A4988">
        <v>60950451</v>
      </c>
      <c r="B4988" t="s">
        <v>10985</v>
      </c>
      <c r="C4988" t="s">
        <v>10983</v>
      </c>
      <c r="D4988" t="s">
        <v>10986</v>
      </c>
      <c r="E4988">
        <v>2517695190</v>
      </c>
      <c r="F4988" t="s">
        <v>574</v>
      </c>
      <c r="G4988" t="s">
        <v>575</v>
      </c>
      <c r="I4988" t="s">
        <v>14</v>
      </c>
      <c r="J4988" s="13">
        <v>46079</v>
      </c>
      <c r="K4988" s="13">
        <v>46082</v>
      </c>
      <c r="L4988" t="s">
        <v>450</v>
      </c>
      <c r="M4988" t="s">
        <v>56</v>
      </c>
      <c r="N4988">
        <v>74772900</v>
      </c>
    </row>
    <row r="4989" spans="1:14" x14ac:dyDescent="0.25">
      <c r="A4989">
        <v>60950886</v>
      </c>
      <c r="B4989" t="s">
        <v>1888</v>
      </c>
      <c r="C4989" t="s">
        <v>2335</v>
      </c>
      <c r="D4989" t="s">
        <v>10987</v>
      </c>
      <c r="E4989">
        <v>2075427589</v>
      </c>
      <c r="F4989" t="s">
        <v>705</v>
      </c>
      <c r="G4989" t="s">
        <v>706</v>
      </c>
      <c r="I4989" t="s">
        <v>12</v>
      </c>
      <c r="J4989" s="13">
        <v>46079</v>
      </c>
      <c r="K4989" s="13">
        <v>46082</v>
      </c>
      <c r="L4989" t="s">
        <v>941</v>
      </c>
      <c r="M4989" t="s">
        <v>56</v>
      </c>
      <c r="N4989">
        <v>74773198</v>
      </c>
    </row>
    <row r="4990" spans="1:14" x14ac:dyDescent="0.25">
      <c r="A4990">
        <v>60951169</v>
      </c>
      <c r="B4990" t="s">
        <v>4861</v>
      </c>
      <c r="C4990" t="s">
        <v>10988</v>
      </c>
      <c r="D4990" t="s">
        <v>10989</v>
      </c>
      <c r="E4990">
        <v>7576303331</v>
      </c>
      <c r="F4990" t="s">
        <v>569</v>
      </c>
      <c r="G4990" t="s">
        <v>570</v>
      </c>
      <c r="I4990" t="s">
        <v>34</v>
      </c>
      <c r="J4990" s="13">
        <v>46079</v>
      </c>
      <c r="K4990" s="13">
        <v>46082</v>
      </c>
      <c r="L4990" t="s">
        <v>454</v>
      </c>
      <c r="M4990" t="s">
        <v>58</v>
      </c>
      <c r="N4990">
        <v>74773364</v>
      </c>
    </row>
    <row r="4991" spans="1:14" x14ac:dyDescent="0.25">
      <c r="A4991">
        <v>60952900</v>
      </c>
      <c r="B4991" t="s">
        <v>1408</v>
      </c>
      <c r="C4991" t="s">
        <v>10144</v>
      </c>
      <c r="D4991" t="s">
        <v>10990</v>
      </c>
      <c r="E4991">
        <v>7023735813</v>
      </c>
      <c r="F4991" t="s">
        <v>474</v>
      </c>
      <c r="G4991" t="s">
        <v>475</v>
      </c>
      <c r="I4991" t="s">
        <v>132</v>
      </c>
      <c r="J4991" s="13">
        <v>46079</v>
      </c>
      <c r="K4991" s="13">
        <v>46082</v>
      </c>
      <c r="L4991" t="s">
        <v>497</v>
      </c>
      <c r="M4991" t="s">
        <v>56</v>
      </c>
      <c r="N4991">
        <v>74774364</v>
      </c>
    </row>
    <row r="4992" spans="1:14" x14ac:dyDescent="0.25">
      <c r="A4992">
        <v>60953996</v>
      </c>
      <c r="B4992" t="s">
        <v>5225</v>
      </c>
      <c r="C4992" t="s">
        <v>10991</v>
      </c>
      <c r="D4992" t="s">
        <v>10992</v>
      </c>
      <c r="E4992">
        <v>6233402425</v>
      </c>
      <c r="F4992" t="s">
        <v>770</v>
      </c>
      <c r="G4992" t="s">
        <v>771</v>
      </c>
      <c r="I4992" t="s">
        <v>25</v>
      </c>
      <c r="J4992" s="13">
        <v>46079</v>
      </c>
      <c r="K4992" s="13">
        <v>46082</v>
      </c>
      <c r="L4992" t="s">
        <v>1179</v>
      </c>
      <c r="M4992" t="s">
        <v>54</v>
      </c>
      <c r="N4992">
        <v>74775102</v>
      </c>
    </row>
    <row r="4993" spans="1:14" x14ac:dyDescent="0.25">
      <c r="A4993">
        <v>60954493</v>
      </c>
      <c r="B4993" t="s">
        <v>10993</v>
      </c>
      <c r="C4993" t="s">
        <v>10994</v>
      </c>
      <c r="D4993" t="s">
        <v>10995</v>
      </c>
      <c r="E4993">
        <v>7209851842</v>
      </c>
      <c r="F4993" t="s">
        <v>649</v>
      </c>
      <c r="G4993" t="s">
        <v>650</v>
      </c>
      <c r="I4993" t="s">
        <v>28</v>
      </c>
      <c r="J4993" s="13">
        <v>46079</v>
      </c>
      <c r="K4993" s="13">
        <v>46082</v>
      </c>
      <c r="L4993" t="s">
        <v>539</v>
      </c>
      <c r="M4993" t="s">
        <v>56</v>
      </c>
      <c r="N4993">
        <v>74775399</v>
      </c>
    </row>
    <row r="4994" spans="1:14" x14ac:dyDescent="0.25">
      <c r="A4994">
        <v>60954832</v>
      </c>
      <c r="B4994" t="s">
        <v>2418</v>
      </c>
      <c r="C4994" t="s">
        <v>10996</v>
      </c>
      <c r="D4994" t="s">
        <v>10997</v>
      </c>
      <c r="E4994">
        <v>6029089058</v>
      </c>
      <c r="F4994" t="s">
        <v>10569</v>
      </c>
      <c r="G4994" t="s">
        <v>10570</v>
      </c>
      <c r="I4994" t="s">
        <v>29</v>
      </c>
      <c r="J4994" s="13">
        <v>46079</v>
      </c>
      <c r="K4994" s="13">
        <v>46082</v>
      </c>
      <c r="L4994" t="s">
        <v>1179</v>
      </c>
      <c r="M4994" t="s">
        <v>54</v>
      </c>
      <c r="N4994">
        <v>74775657</v>
      </c>
    </row>
    <row r="4995" spans="1:14" x14ac:dyDescent="0.25">
      <c r="A4995">
        <v>60955205</v>
      </c>
      <c r="B4995" t="s">
        <v>4852</v>
      </c>
      <c r="C4995" t="s">
        <v>10998</v>
      </c>
      <c r="D4995" t="s">
        <v>10999</v>
      </c>
      <c r="E4995">
        <v>6232354649</v>
      </c>
      <c r="F4995" t="s">
        <v>815</v>
      </c>
      <c r="G4995" t="s">
        <v>816</v>
      </c>
      <c r="I4995" t="s">
        <v>23</v>
      </c>
      <c r="J4995" s="13">
        <v>46079</v>
      </c>
      <c r="K4995" s="13">
        <v>46082</v>
      </c>
      <c r="L4995" t="s">
        <v>1179</v>
      </c>
      <c r="M4995" t="s">
        <v>54</v>
      </c>
      <c r="N4995">
        <v>74775903</v>
      </c>
    </row>
    <row r="4996" spans="1:14" x14ac:dyDescent="0.25">
      <c r="A4996">
        <v>60955226</v>
      </c>
      <c r="B4996" t="s">
        <v>11000</v>
      </c>
      <c r="C4996" t="s">
        <v>11001</v>
      </c>
      <c r="D4996" t="s">
        <v>11002</v>
      </c>
      <c r="E4996">
        <v>6145969915</v>
      </c>
      <c r="F4996" t="s">
        <v>1013</v>
      </c>
      <c r="G4996" t="s">
        <v>1014</v>
      </c>
      <c r="I4996" t="s">
        <v>43</v>
      </c>
      <c r="J4996" s="13">
        <v>46079</v>
      </c>
      <c r="K4996" s="13">
        <v>46082</v>
      </c>
      <c r="L4996" t="s">
        <v>497</v>
      </c>
      <c r="M4996" t="s">
        <v>56</v>
      </c>
      <c r="N4996">
        <v>74775917</v>
      </c>
    </row>
    <row r="4997" spans="1:14" x14ac:dyDescent="0.25">
      <c r="A4997">
        <v>60955385</v>
      </c>
      <c r="B4997" t="s">
        <v>2272</v>
      </c>
      <c r="C4997" t="s">
        <v>515</v>
      </c>
      <c r="D4997" t="s">
        <v>11003</v>
      </c>
      <c r="E4997">
        <v>4437908144</v>
      </c>
      <c r="F4997" t="s">
        <v>928</v>
      </c>
      <c r="G4997" t="s">
        <v>929</v>
      </c>
      <c r="I4997" t="s">
        <v>30</v>
      </c>
      <c r="J4997" s="13">
        <v>46079</v>
      </c>
      <c r="K4997" s="13">
        <v>46082</v>
      </c>
      <c r="L4997" t="s">
        <v>1188</v>
      </c>
      <c r="M4997" t="s">
        <v>56</v>
      </c>
      <c r="N4997">
        <v>74776026</v>
      </c>
    </row>
    <row r="4998" spans="1:14" x14ac:dyDescent="0.25">
      <c r="A4998">
        <v>60955432</v>
      </c>
      <c r="B4998" t="s">
        <v>522</v>
      </c>
      <c r="C4998" t="s">
        <v>1287</v>
      </c>
      <c r="D4998" t="s">
        <v>11004</v>
      </c>
      <c r="E4998">
        <v>8644924579</v>
      </c>
      <c r="F4998" t="s">
        <v>1067</v>
      </c>
      <c r="G4998" t="s">
        <v>1068</v>
      </c>
      <c r="I4998" t="s">
        <v>35</v>
      </c>
      <c r="J4998" s="13">
        <v>46079</v>
      </c>
      <c r="K4998" s="13">
        <v>46082</v>
      </c>
      <c r="L4998" t="s">
        <v>533</v>
      </c>
      <c r="M4998" t="s">
        <v>56</v>
      </c>
      <c r="N4998">
        <v>74776050</v>
      </c>
    </row>
    <row r="4999" spans="1:14" x14ac:dyDescent="0.25">
      <c r="A4999">
        <v>60956596</v>
      </c>
      <c r="B4999" t="s">
        <v>5817</v>
      </c>
      <c r="C4999" t="s">
        <v>1801</v>
      </c>
      <c r="D4999" t="s">
        <v>11005</v>
      </c>
      <c r="E4999">
        <v>6234561153</v>
      </c>
      <c r="F4999" t="s">
        <v>416</v>
      </c>
      <c r="G4999" t="s">
        <v>417</v>
      </c>
      <c r="I4999" t="s">
        <v>26</v>
      </c>
      <c r="J4999" s="13">
        <v>46079</v>
      </c>
      <c r="K4999" s="13">
        <v>46082</v>
      </c>
      <c r="L4999" t="s">
        <v>1179</v>
      </c>
      <c r="M4999" t="s">
        <v>56</v>
      </c>
      <c r="N4999">
        <v>74776881</v>
      </c>
    </row>
    <row r="5000" spans="1:14" x14ac:dyDescent="0.25">
      <c r="A5000">
        <v>60956766</v>
      </c>
      <c r="B5000" t="s">
        <v>1905</v>
      </c>
      <c r="C5000" t="s">
        <v>8676</v>
      </c>
      <c r="D5000" t="s">
        <v>9668</v>
      </c>
      <c r="E5000">
        <v>9145083327</v>
      </c>
      <c r="F5000" t="s">
        <v>628</v>
      </c>
      <c r="G5000" t="s">
        <v>629</v>
      </c>
      <c r="I5000" t="s">
        <v>24</v>
      </c>
      <c r="J5000" s="13">
        <v>46079</v>
      </c>
      <c r="K5000" s="13">
        <v>46082</v>
      </c>
      <c r="L5000" t="s">
        <v>603</v>
      </c>
      <c r="M5000" t="s">
        <v>60</v>
      </c>
      <c r="N5000">
        <v>74777008</v>
      </c>
    </row>
    <row r="5001" spans="1:14" x14ac:dyDescent="0.25">
      <c r="A5001">
        <v>60956953</v>
      </c>
      <c r="B5001" t="s">
        <v>6743</v>
      </c>
      <c r="C5001" t="s">
        <v>11006</v>
      </c>
      <c r="D5001" t="s">
        <v>11007</v>
      </c>
      <c r="E5001">
        <v>7733960292</v>
      </c>
      <c r="F5001" t="s">
        <v>416</v>
      </c>
      <c r="G5001" t="s">
        <v>417</v>
      </c>
      <c r="I5001" t="s">
        <v>26</v>
      </c>
      <c r="J5001" s="13">
        <v>46079</v>
      </c>
      <c r="K5001" s="13">
        <v>46082</v>
      </c>
      <c r="L5001" t="s">
        <v>1179</v>
      </c>
      <c r="M5001" t="s">
        <v>56</v>
      </c>
      <c r="N5001">
        <v>74777101</v>
      </c>
    </row>
    <row r="5002" spans="1:14" x14ac:dyDescent="0.25">
      <c r="A5002">
        <v>60957106</v>
      </c>
      <c r="B5002" t="s">
        <v>925</v>
      </c>
      <c r="C5002" t="s">
        <v>11008</v>
      </c>
      <c r="D5002" t="s">
        <v>11009</v>
      </c>
      <c r="E5002">
        <v>5205965698</v>
      </c>
      <c r="F5002" t="s">
        <v>416</v>
      </c>
      <c r="G5002" t="s">
        <v>417</v>
      </c>
      <c r="I5002" t="s">
        <v>26</v>
      </c>
      <c r="J5002" s="13">
        <v>46079</v>
      </c>
      <c r="K5002" s="13">
        <v>46082</v>
      </c>
      <c r="L5002" t="s">
        <v>1179</v>
      </c>
      <c r="M5002" t="s">
        <v>59</v>
      </c>
      <c r="N5002">
        <v>74777243</v>
      </c>
    </row>
    <row r="5003" spans="1:14" x14ac:dyDescent="0.25">
      <c r="A5003">
        <v>60957499</v>
      </c>
      <c r="B5003" t="s">
        <v>445</v>
      </c>
      <c r="C5003" t="s">
        <v>8891</v>
      </c>
      <c r="D5003" t="s">
        <v>11010</v>
      </c>
      <c r="E5003">
        <v>9035047164</v>
      </c>
      <c r="F5003" t="s">
        <v>574</v>
      </c>
      <c r="G5003" t="s">
        <v>575</v>
      </c>
      <c r="I5003" t="s">
        <v>14</v>
      </c>
      <c r="J5003" s="13">
        <v>46079</v>
      </c>
      <c r="K5003" s="13">
        <v>46082</v>
      </c>
      <c r="L5003" t="s">
        <v>444</v>
      </c>
      <c r="M5003" t="s">
        <v>56</v>
      </c>
      <c r="N5003">
        <v>74777530</v>
      </c>
    </row>
    <row r="5004" spans="1:14" x14ac:dyDescent="0.25">
      <c r="A5004">
        <v>61044604</v>
      </c>
      <c r="B5004" t="s">
        <v>501</v>
      </c>
      <c r="C5004" t="s">
        <v>11011</v>
      </c>
      <c r="D5004" t="s">
        <v>11012</v>
      </c>
      <c r="E5004" t="s">
        <v>11013</v>
      </c>
      <c r="F5004" t="s">
        <v>1345</v>
      </c>
      <c r="G5004" t="s">
        <v>799</v>
      </c>
      <c r="I5004" t="s">
        <v>47</v>
      </c>
      <c r="J5004" s="13">
        <v>46083</v>
      </c>
      <c r="K5004" s="13">
        <v>46113</v>
      </c>
      <c r="L5004" t="s">
        <v>1179</v>
      </c>
      <c r="M5004" t="s">
        <v>54</v>
      </c>
      <c r="N5004">
        <v>74777652</v>
      </c>
    </row>
    <row r="5005" spans="1:14" x14ac:dyDescent="0.25">
      <c r="A5005">
        <v>60957628</v>
      </c>
      <c r="B5005" t="s">
        <v>1527</v>
      </c>
      <c r="C5005" t="s">
        <v>11014</v>
      </c>
      <c r="D5005" t="s">
        <v>11015</v>
      </c>
      <c r="E5005">
        <v>7406033168</v>
      </c>
      <c r="F5005" t="s">
        <v>790</v>
      </c>
      <c r="G5005" t="s">
        <v>791</v>
      </c>
      <c r="I5005" t="s">
        <v>119</v>
      </c>
      <c r="J5005" s="13">
        <v>46079</v>
      </c>
      <c r="K5005" s="13">
        <v>46082</v>
      </c>
      <c r="L5005" t="s">
        <v>418</v>
      </c>
      <c r="M5005" t="s">
        <v>59</v>
      </c>
      <c r="N5005">
        <v>74777654</v>
      </c>
    </row>
    <row r="5006" spans="1:14" x14ac:dyDescent="0.25">
      <c r="A5006">
        <v>60957921</v>
      </c>
      <c r="B5006" t="s">
        <v>4833</v>
      </c>
      <c r="C5006" t="s">
        <v>11016</v>
      </c>
      <c r="D5006" t="s">
        <v>11017</v>
      </c>
      <c r="E5006">
        <v>4143049789</v>
      </c>
      <c r="F5006" t="s">
        <v>828</v>
      </c>
      <c r="G5006" t="s">
        <v>1148</v>
      </c>
      <c r="I5006" t="s">
        <v>17</v>
      </c>
      <c r="J5006" s="13">
        <v>46079</v>
      </c>
      <c r="K5006" s="13">
        <v>46082</v>
      </c>
      <c r="L5006" t="s">
        <v>675</v>
      </c>
      <c r="M5006" t="s">
        <v>58</v>
      </c>
      <c r="N5006">
        <v>74777877</v>
      </c>
    </row>
    <row r="5007" spans="1:14" x14ac:dyDescent="0.25">
      <c r="A5007">
        <v>60962349</v>
      </c>
      <c r="B5007" t="s">
        <v>760</v>
      </c>
      <c r="C5007" t="s">
        <v>4544</v>
      </c>
      <c r="D5007" t="s">
        <v>11018</v>
      </c>
      <c r="E5007">
        <v>3262026975</v>
      </c>
      <c r="F5007" t="s">
        <v>2544</v>
      </c>
      <c r="G5007" t="s">
        <v>4833</v>
      </c>
      <c r="I5007" t="s">
        <v>18</v>
      </c>
      <c r="J5007" s="13">
        <v>46079</v>
      </c>
      <c r="K5007" s="13">
        <v>46082</v>
      </c>
      <c r="L5007" t="s">
        <v>418</v>
      </c>
      <c r="M5007" t="s">
        <v>58</v>
      </c>
      <c r="N5007">
        <v>74781018</v>
      </c>
    </row>
    <row r="5008" spans="1:14" x14ac:dyDescent="0.25">
      <c r="A5008">
        <v>60963324</v>
      </c>
      <c r="B5008" t="s">
        <v>449</v>
      </c>
      <c r="C5008" t="s">
        <v>3895</v>
      </c>
      <c r="D5008" t="s">
        <v>11019</v>
      </c>
      <c r="E5008">
        <v>4807497803</v>
      </c>
      <c r="F5008" t="s">
        <v>705</v>
      </c>
      <c r="G5008" t="s">
        <v>706</v>
      </c>
      <c r="I5008" t="s">
        <v>12</v>
      </c>
      <c r="J5008" s="13">
        <v>46079</v>
      </c>
      <c r="K5008" s="13">
        <v>46082</v>
      </c>
      <c r="L5008" t="s">
        <v>1179</v>
      </c>
      <c r="M5008" t="s">
        <v>59</v>
      </c>
      <c r="N5008">
        <v>74781954</v>
      </c>
    </row>
    <row r="5009" spans="1:14" x14ac:dyDescent="0.25">
      <c r="A5009">
        <v>60964191</v>
      </c>
      <c r="B5009" t="s">
        <v>1905</v>
      </c>
      <c r="C5009" t="s">
        <v>11020</v>
      </c>
      <c r="D5009" t="s">
        <v>11021</v>
      </c>
      <c r="E5009">
        <v>6232277705</v>
      </c>
      <c r="F5009" t="s">
        <v>474</v>
      </c>
      <c r="G5009" t="s">
        <v>475</v>
      </c>
      <c r="I5009" t="s">
        <v>132</v>
      </c>
      <c r="J5009" s="13">
        <v>46079</v>
      </c>
      <c r="K5009" s="13">
        <v>46082</v>
      </c>
      <c r="L5009" t="s">
        <v>1179</v>
      </c>
      <c r="M5009" t="s">
        <v>56</v>
      </c>
      <c r="N5009">
        <v>74782619</v>
      </c>
    </row>
    <row r="5010" spans="1:14" x14ac:dyDescent="0.25">
      <c r="A5010">
        <v>60964260</v>
      </c>
      <c r="B5010" t="s">
        <v>501</v>
      </c>
      <c r="C5010" t="s">
        <v>11022</v>
      </c>
      <c r="D5010" t="s">
        <v>11023</v>
      </c>
      <c r="E5010">
        <v>5204736407</v>
      </c>
      <c r="F5010" t="s">
        <v>10569</v>
      </c>
      <c r="G5010" t="s">
        <v>10570</v>
      </c>
      <c r="I5010" t="s">
        <v>29</v>
      </c>
      <c r="J5010" s="13">
        <v>46079</v>
      </c>
      <c r="K5010" s="13">
        <v>46082</v>
      </c>
      <c r="L5010" t="s">
        <v>1179</v>
      </c>
      <c r="M5010" t="s">
        <v>54</v>
      </c>
      <c r="N5010">
        <v>74782669</v>
      </c>
    </row>
    <row r="5011" spans="1:14" x14ac:dyDescent="0.25">
      <c r="A5011">
        <v>60964307</v>
      </c>
      <c r="B5011" t="s">
        <v>1922</v>
      </c>
      <c r="C5011" t="s">
        <v>11024</v>
      </c>
      <c r="D5011" t="s">
        <v>11025</v>
      </c>
      <c r="E5011">
        <v>7408764049</v>
      </c>
      <c r="F5011" t="s">
        <v>688</v>
      </c>
      <c r="G5011" t="s">
        <v>10291</v>
      </c>
      <c r="I5011" t="s">
        <v>48</v>
      </c>
      <c r="J5011" s="13">
        <v>46079</v>
      </c>
      <c r="K5011" s="13">
        <v>46082</v>
      </c>
      <c r="L5011" t="s">
        <v>418</v>
      </c>
      <c r="M5011" t="s">
        <v>58</v>
      </c>
      <c r="N5011">
        <v>74782714</v>
      </c>
    </row>
    <row r="5012" spans="1:14" x14ac:dyDescent="0.25">
      <c r="A5012">
        <v>60965105</v>
      </c>
      <c r="B5012" t="s">
        <v>11026</v>
      </c>
      <c r="C5012" t="s">
        <v>11027</v>
      </c>
      <c r="D5012" t="s">
        <v>11028</v>
      </c>
      <c r="E5012">
        <v>7088297876</v>
      </c>
      <c r="F5012" t="s">
        <v>10642</v>
      </c>
      <c r="G5012" t="s">
        <v>10643</v>
      </c>
      <c r="I5012" t="s">
        <v>45</v>
      </c>
      <c r="J5012" s="13">
        <v>46079</v>
      </c>
      <c r="K5012" s="13">
        <v>46082</v>
      </c>
      <c r="L5012" t="s">
        <v>470</v>
      </c>
      <c r="M5012" t="s">
        <v>62</v>
      </c>
      <c r="N5012">
        <v>74783397</v>
      </c>
    </row>
    <row r="5013" spans="1:14" x14ac:dyDescent="0.25">
      <c r="A5013">
        <v>60966699</v>
      </c>
      <c r="B5013" t="s">
        <v>3032</v>
      </c>
      <c r="C5013" t="s">
        <v>11029</v>
      </c>
      <c r="D5013" t="s">
        <v>11030</v>
      </c>
      <c r="E5013">
        <v>4802724550</v>
      </c>
      <c r="F5013" t="s">
        <v>416</v>
      </c>
      <c r="G5013" t="s">
        <v>417</v>
      </c>
      <c r="I5013" t="s">
        <v>26</v>
      </c>
      <c r="J5013" s="13">
        <v>46079</v>
      </c>
      <c r="K5013" s="13">
        <v>46082</v>
      </c>
      <c r="L5013" t="s">
        <v>1179</v>
      </c>
      <c r="M5013" t="s">
        <v>54</v>
      </c>
      <c r="N5013">
        <v>74784448</v>
      </c>
    </row>
    <row r="5014" spans="1:14" x14ac:dyDescent="0.25">
      <c r="A5014">
        <v>60966679</v>
      </c>
      <c r="B5014" t="s">
        <v>4252</v>
      </c>
      <c r="C5014" t="s">
        <v>11031</v>
      </c>
      <c r="D5014" t="s">
        <v>11032</v>
      </c>
      <c r="E5014">
        <v>3346401899</v>
      </c>
      <c r="F5014" t="s">
        <v>10591</v>
      </c>
      <c r="G5014" t="s">
        <v>10215</v>
      </c>
      <c r="I5014" t="s">
        <v>32</v>
      </c>
      <c r="J5014" s="13">
        <v>46079</v>
      </c>
      <c r="K5014" s="13">
        <v>46082</v>
      </c>
      <c r="L5014" t="s">
        <v>450</v>
      </c>
      <c r="M5014" t="s">
        <v>59</v>
      </c>
      <c r="N5014">
        <v>74784449</v>
      </c>
    </row>
    <row r="5015" spans="1:14" x14ac:dyDescent="0.25">
      <c r="A5015">
        <v>60966814</v>
      </c>
      <c r="B5015" t="s">
        <v>524</v>
      </c>
      <c r="C5015" t="s">
        <v>1203</v>
      </c>
      <c r="D5015" t="s">
        <v>11033</v>
      </c>
      <c r="E5015">
        <v>2145436886</v>
      </c>
      <c r="F5015" t="s">
        <v>551</v>
      </c>
      <c r="G5015" t="s">
        <v>552</v>
      </c>
      <c r="I5015" t="s">
        <v>42</v>
      </c>
      <c r="J5015" s="13">
        <v>46079</v>
      </c>
      <c r="K5015" s="13">
        <v>46082</v>
      </c>
      <c r="L5015" t="s">
        <v>444</v>
      </c>
      <c r="M5015" t="s">
        <v>56</v>
      </c>
      <c r="N5015">
        <v>74784479</v>
      </c>
    </row>
    <row r="5016" spans="1:14" x14ac:dyDescent="0.25">
      <c r="A5016">
        <v>60966746</v>
      </c>
      <c r="B5016" t="s">
        <v>1167</v>
      </c>
      <c r="C5016" t="s">
        <v>11034</v>
      </c>
      <c r="D5016" t="s">
        <v>11035</v>
      </c>
      <c r="E5016">
        <v>3522428323</v>
      </c>
      <c r="F5016" t="s">
        <v>828</v>
      </c>
      <c r="G5016" t="s">
        <v>1148</v>
      </c>
      <c r="I5016" t="s">
        <v>17</v>
      </c>
      <c r="J5016" s="13">
        <v>46079</v>
      </c>
      <c r="K5016" s="13">
        <v>46082</v>
      </c>
      <c r="L5016" t="s">
        <v>497</v>
      </c>
      <c r="M5016" t="s">
        <v>56</v>
      </c>
      <c r="N5016">
        <v>74784480</v>
      </c>
    </row>
    <row r="5017" spans="1:14" x14ac:dyDescent="0.25">
      <c r="A5017">
        <v>60966980</v>
      </c>
      <c r="B5017" t="s">
        <v>11036</v>
      </c>
      <c r="C5017" t="s">
        <v>11037</v>
      </c>
      <c r="D5017" t="s">
        <v>11038</v>
      </c>
      <c r="E5017">
        <v>4805274833</v>
      </c>
      <c r="F5017" t="s">
        <v>770</v>
      </c>
      <c r="G5017" t="s">
        <v>771</v>
      </c>
      <c r="I5017" t="s">
        <v>25</v>
      </c>
      <c r="J5017" s="13">
        <v>46079</v>
      </c>
      <c r="K5017" s="13">
        <v>46082</v>
      </c>
      <c r="L5017" t="s">
        <v>1179</v>
      </c>
      <c r="M5017" t="s">
        <v>54</v>
      </c>
      <c r="N5017">
        <v>74784644</v>
      </c>
    </row>
    <row r="5018" spans="1:14" x14ac:dyDescent="0.25">
      <c r="A5018">
        <v>60966997</v>
      </c>
      <c r="B5018" t="s">
        <v>552</v>
      </c>
      <c r="C5018" t="s">
        <v>11039</v>
      </c>
      <c r="D5018" t="s">
        <v>11040</v>
      </c>
      <c r="E5018">
        <v>8707520024</v>
      </c>
      <c r="F5018" t="s">
        <v>775</v>
      </c>
      <c r="G5018" t="s">
        <v>776</v>
      </c>
      <c r="I5018" t="s">
        <v>22</v>
      </c>
      <c r="J5018" s="13">
        <v>46079</v>
      </c>
      <c r="K5018" s="13">
        <v>46082</v>
      </c>
      <c r="L5018" t="s">
        <v>553</v>
      </c>
      <c r="M5018" t="s">
        <v>56</v>
      </c>
      <c r="N5018">
        <v>74784649</v>
      </c>
    </row>
    <row r="5019" spans="1:14" x14ac:dyDescent="0.25">
      <c r="A5019">
        <v>60967231</v>
      </c>
      <c r="B5019" t="s">
        <v>11041</v>
      </c>
      <c r="C5019" t="s">
        <v>4115</v>
      </c>
      <c r="D5019" t="s">
        <v>11042</v>
      </c>
      <c r="E5019">
        <v>7572341806</v>
      </c>
      <c r="F5019" t="s">
        <v>649</v>
      </c>
      <c r="G5019" t="s">
        <v>650</v>
      </c>
      <c r="I5019" t="s">
        <v>28</v>
      </c>
      <c r="J5019" s="13">
        <v>46079</v>
      </c>
      <c r="K5019" s="13">
        <v>46082</v>
      </c>
      <c r="L5019" t="s">
        <v>454</v>
      </c>
      <c r="M5019" t="s">
        <v>58</v>
      </c>
      <c r="N5019">
        <v>74784866</v>
      </c>
    </row>
    <row r="5020" spans="1:14" x14ac:dyDescent="0.25">
      <c r="A5020">
        <v>60967416</v>
      </c>
      <c r="B5020" t="s">
        <v>3252</v>
      </c>
      <c r="C5020" t="s">
        <v>11043</v>
      </c>
      <c r="D5020" t="s">
        <v>11044</v>
      </c>
      <c r="E5020">
        <v>7196188682</v>
      </c>
      <c r="F5020" t="s">
        <v>705</v>
      </c>
      <c r="G5020" t="s">
        <v>706</v>
      </c>
      <c r="I5020" t="s">
        <v>12</v>
      </c>
      <c r="J5020" s="13">
        <v>46079</v>
      </c>
      <c r="K5020" s="13">
        <v>46082</v>
      </c>
      <c r="L5020" t="s">
        <v>539</v>
      </c>
      <c r="M5020" t="s">
        <v>59</v>
      </c>
      <c r="N5020">
        <v>74784996</v>
      </c>
    </row>
    <row r="5021" spans="1:14" x14ac:dyDescent="0.25">
      <c r="A5021">
        <v>60967594</v>
      </c>
      <c r="B5021" t="s">
        <v>600</v>
      </c>
      <c r="C5021" t="s">
        <v>8411</v>
      </c>
      <c r="D5021" t="s">
        <v>11045</v>
      </c>
      <c r="E5021" t="s">
        <v>11046</v>
      </c>
      <c r="F5021" t="s">
        <v>775</v>
      </c>
      <c r="G5021" t="s">
        <v>776</v>
      </c>
      <c r="I5021" t="s">
        <v>22</v>
      </c>
      <c r="J5021" s="13">
        <v>46079</v>
      </c>
      <c r="K5021" s="13">
        <v>46082</v>
      </c>
      <c r="L5021" t="s">
        <v>553</v>
      </c>
      <c r="M5021" t="s">
        <v>56</v>
      </c>
      <c r="N5021">
        <v>74785127</v>
      </c>
    </row>
    <row r="5022" spans="1:14" x14ac:dyDescent="0.25">
      <c r="A5022">
        <v>60972538</v>
      </c>
      <c r="B5022" t="s">
        <v>1148</v>
      </c>
      <c r="C5022" t="s">
        <v>5735</v>
      </c>
      <c r="D5022" t="s">
        <v>11047</v>
      </c>
      <c r="E5022">
        <v>4795868080</v>
      </c>
      <c r="F5022" t="s">
        <v>551</v>
      </c>
      <c r="G5022" t="s">
        <v>552</v>
      </c>
      <c r="I5022" t="s">
        <v>42</v>
      </c>
      <c r="J5022" s="13">
        <v>46080</v>
      </c>
      <c r="K5022" s="13">
        <v>46082</v>
      </c>
      <c r="L5022" t="s">
        <v>553</v>
      </c>
      <c r="M5022" t="s">
        <v>60</v>
      </c>
      <c r="N5022">
        <v>74790034</v>
      </c>
    </row>
    <row r="5023" spans="1:14" x14ac:dyDescent="0.25">
      <c r="A5023">
        <v>60973351</v>
      </c>
      <c r="B5023" t="s">
        <v>2254</v>
      </c>
      <c r="C5023" t="s">
        <v>2785</v>
      </c>
      <c r="D5023" t="s">
        <v>11048</v>
      </c>
      <c r="E5023">
        <v>3127589822</v>
      </c>
      <c r="F5023" t="s">
        <v>2544</v>
      </c>
      <c r="G5023" t="s">
        <v>4833</v>
      </c>
      <c r="I5023" t="s">
        <v>18</v>
      </c>
      <c r="J5023" s="13">
        <v>46080</v>
      </c>
      <c r="K5023" s="13">
        <v>46082</v>
      </c>
      <c r="L5023" t="s">
        <v>470</v>
      </c>
      <c r="M5023" t="s">
        <v>61</v>
      </c>
      <c r="N5023">
        <v>74790776</v>
      </c>
    </row>
    <row r="5024" spans="1:14" x14ac:dyDescent="0.25">
      <c r="A5024">
        <v>60973489</v>
      </c>
      <c r="B5024" t="s">
        <v>3335</v>
      </c>
      <c r="C5024" t="s">
        <v>11049</v>
      </c>
      <c r="D5024" t="s">
        <v>11050</v>
      </c>
      <c r="E5024" t="s">
        <v>11051</v>
      </c>
      <c r="F5024" t="s">
        <v>474</v>
      </c>
      <c r="G5024" t="s">
        <v>475</v>
      </c>
      <c r="I5024" t="s">
        <v>132</v>
      </c>
      <c r="J5024" s="13">
        <v>46080</v>
      </c>
      <c r="K5024" s="13">
        <v>46082</v>
      </c>
      <c r="L5024" t="s">
        <v>941</v>
      </c>
      <c r="M5024" t="s">
        <v>58</v>
      </c>
      <c r="N5024">
        <v>74790897</v>
      </c>
    </row>
    <row r="5025" spans="1:14" x14ac:dyDescent="0.25">
      <c r="A5025">
        <v>60973631</v>
      </c>
      <c r="B5025" t="s">
        <v>11052</v>
      </c>
      <c r="C5025" t="s">
        <v>11053</v>
      </c>
      <c r="D5025" t="s">
        <v>11054</v>
      </c>
      <c r="E5025">
        <v>2624530339</v>
      </c>
      <c r="F5025" t="s">
        <v>649</v>
      </c>
      <c r="G5025" t="s">
        <v>650</v>
      </c>
      <c r="I5025" t="s">
        <v>28</v>
      </c>
      <c r="J5025" s="13">
        <v>46080</v>
      </c>
      <c r="K5025" s="13">
        <v>46082</v>
      </c>
      <c r="L5025" t="s">
        <v>675</v>
      </c>
      <c r="M5025" t="s">
        <v>58</v>
      </c>
      <c r="N5025">
        <v>74791000</v>
      </c>
    </row>
    <row r="5026" spans="1:14" x14ac:dyDescent="0.25">
      <c r="A5026">
        <v>60974465</v>
      </c>
      <c r="B5026" t="s">
        <v>2607</v>
      </c>
      <c r="C5026" t="s">
        <v>11055</v>
      </c>
      <c r="D5026" t="s">
        <v>11056</v>
      </c>
      <c r="E5026">
        <v>4803566254</v>
      </c>
      <c r="F5026" t="s">
        <v>416</v>
      </c>
      <c r="G5026" t="s">
        <v>417</v>
      </c>
      <c r="I5026" t="s">
        <v>26</v>
      </c>
      <c r="J5026" s="13">
        <v>46080</v>
      </c>
      <c r="K5026" s="13">
        <v>46082</v>
      </c>
      <c r="L5026" t="s">
        <v>1179</v>
      </c>
      <c r="M5026" t="s">
        <v>58</v>
      </c>
      <c r="N5026">
        <v>74791575</v>
      </c>
    </row>
    <row r="5027" spans="1:14" x14ac:dyDescent="0.25">
      <c r="A5027">
        <v>60975409</v>
      </c>
      <c r="B5027" t="s">
        <v>8494</v>
      </c>
      <c r="C5027" t="s">
        <v>11057</v>
      </c>
      <c r="D5027" t="s">
        <v>11058</v>
      </c>
      <c r="E5027">
        <v>7069408934</v>
      </c>
      <c r="F5027" t="s">
        <v>928</v>
      </c>
      <c r="G5027" t="s">
        <v>929</v>
      </c>
      <c r="I5027" t="s">
        <v>30</v>
      </c>
      <c r="J5027" s="13">
        <v>46080</v>
      </c>
      <c r="K5027" s="13">
        <v>46082</v>
      </c>
      <c r="L5027" t="s">
        <v>621</v>
      </c>
      <c r="M5027" t="s">
        <v>56</v>
      </c>
      <c r="N5027">
        <v>74792296</v>
      </c>
    </row>
    <row r="5028" spans="1:14" x14ac:dyDescent="0.25">
      <c r="A5028">
        <v>60978675</v>
      </c>
      <c r="B5028" t="s">
        <v>11059</v>
      </c>
      <c r="C5028" t="s">
        <v>11060</v>
      </c>
      <c r="D5028" t="s">
        <v>11061</v>
      </c>
      <c r="E5028">
        <v>7194299626</v>
      </c>
      <c r="F5028" t="s">
        <v>569</v>
      </c>
      <c r="G5028" t="s">
        <v>570</v>
      </c>
      <c r="I5028" t="s">
        <v>34</v>
      </c>
      <c r="J5028" s="13">
        <v>46080</v>
      </c>
      <c r="K5028" s="13">
        <v>46082</v>
      </c>
      <c r="L5028" t="s">
        <v>539</v>
      </c>
      <c r="M5028" t="s">
        <v>56</v>
      </c>
      <c r="N5028">
        <v>74794756</v>
      </c>
    </row>
    <row r="5029" spans="1:14" x14ac:dyDescent="0.25">
      <c r="A5029">
        <v>60978833</v>
      </c>
      <c r="B5029" t="s">
        <v>1408</v>
      </c>
      <c r="C5029" t="s">
        <v>11062</v>
      </c>
      <c r="D5029" t="s">
        <v>11063</v>
      </c>
      <c r="E5029">
        <v>6027708970</v>
      </c>
      <c r="F5029" t="s">
        <v>1013</v>
      </c>
      <c r="G5029" t="s">
        <v>1014</v>
      </c>
      <c r="I5029" t="s">
        <v>43</v>
      </c>
      <c r="J5029" s="13">
        <v>46080</v>
      </c>
      <c r="K5029" s="13">
        <v>46082</v>
      </c>
      <c r="L5029" t="s">
        <v>1179</v>
      </c>
      <c r="M5029" t="s">
        <v>56</v>
      </c>
      <c r="N5029">
        <v>74794882</v>
      </c>
    </row>
    <row r="5030" spans="1:14" x14ac:dyDescent="0.25">
      <c r="A5030">
        <v>60995949</v>
      </c>
      <c r="B5030" t="s">
        <v>1715</v>
      </c>
      <c r="C5030" t="s">
        <v>11064</v>
      </c>
      <c r="D5030" t="s">
        <v>11065</v>
      </c>
      <c r="E5030">
        <v>4405545888</v>
      </c>
      <c r="F5030" t="s">
        <v>705</v>
      </c>
      <c r="G5030" t="s">
        <v>706</v>
      </c>
      <c r="I5030" t="s">
        <v>12</v>
      </c>
      <c r="J5030" s="13">
        <v>46080</v>
      </c>
      <c r="K5030" s="13">
        <v>46082</v>
      </c>
      <c r="L5030" t="s">
        <v>418</v>
      </c>
      <c r="M5030" t="s">
        <v>56</v>
      </c>
      <c r="N5030">
        <v>74794920</v>
      </c>
    </row>
    <row r="5031" spans="1:14" x14ac:dyDescent="0.25">
      <c r="A5031">
        <v>60979432</v>
      </c>
      <c r="B5031" t="s">
        <v>11066</v>
      </c>
      <c r="C5031" t="s">
        <v>11067</v>
      </c>
      <c r="D5031" t="s">
        <v>11068</v>
      </c>
      <c r="E5031">
        <v>2396282246</v>
      </c>
      <c r="F5031" t="s">
        <v>416</v>
      </c>
      <c r="G5031" t="s">
        <v>417</v>
      </c>
      <c r="I5031" t="s">
        <v>26</v>
      </c>
      <c r="J5031" s="13">
        <v>46080</v>
      </c>
      <c r="K5031" s="13">
        <v>46082</v>
      </c>
      <c r="L5031" t="s">
        <v>497</v>
      </c>
      <c r="M5031" t="s">
        <v>58</v>
      </c>
      <c r="N5031">
        <v>74795245</v>
      </c>
    </row>
    <row r="5032" spans="1:14" x14ac:dyDescent="0.25">
      <c r="A5032">
        <v>60980110</v>
      </c>
      <c r="B5032" t="s">
        <v>2214</v>
      </c>
      <c r="C5032" t="s">
        <v>11069</v>
      </c>
      <c r="D5032" t="s">
        <v>11070</v>
      </c>
      <c r="E5032">
        <v>4344830818</v>
      </c>
      <c r="F5032" t="s">
        <v>551</v>
      </c>
      <c r="G5032" t="s">
        <v>552</v>
      </c>
      <c r="I5032" t="s">
        <v>42</v>
      </c>
      <c r="J5032" s="13">
        <v>46080</v>
      </c>
      <c r="K5032" s="13">
        <v>46082</v>
      </c>
      <c r="L5032" t="s">
        <v>454</v>
      </c>
      <c r="M5032" t="s">
        <v>419</v>
      </c>
      <c r="N5032">
        <v>74795763</v>
      </c>
    </row>
    <row r="5033" spans="1:14" x14ac:dyDescent="0.25">
      <c r="A5033">
        <v>60981313</v>
      </c>
      <c r="B5033" t="s">
        <v>11071</v>
      </c>
      <c r="C5033" t="s">
        <v>11072</v>
      </c>
      <c r="D5033" t="s">
        <v>11073</v>
      </c>
      <c r="E5033">
        <v>3218909259</v>
      </c>
      <c r="F5033" t="s">
        <v>448</v>
      </c>
      <c r="G5033" t="s">
        <v>449</v>
      </c>
      <c r="I5033" t="s">
        <v>31</v>
      </c>
      <c r="J5033" s="13">
        <v>46080</v>
      </c>
      <c r="K5033" s="13">
        <v>46082</v>
      </c>
      <c r="L5033" t="s">
        <v>497</v>
      </c>
      <c r="M5033" t="s">
        <v>58</v>
      </c>
      <c r="N5033">
        <v>74796765</v>
      </c>
    </row>
    <row r="5034" spans="1:14" x14ac:dyDescent="0.25">
      <c r="A5034">
        <v>60982006</v>
      </c>
      <c r="B5034" t="s">
        <v>11074</v>
      </c>
      <c r="C5034" t="s">
        <v>11075</v>
      </c>
      <c r="D5034" t="s">
        <v>11076</v>
      </c>
      <c r="E5034">
        <v>3039951355</v>
      </c>
      <c r="F5034" t="s">
        <v>649</v>
      </c>
      <c r="G5034" t="s">
        <v>650</v>
      </c>
      <c r="I5034" t="s">
        <v>28</v>
      </c>
      <c r="J5034" s="13">
        <v>46080</v>
      </c>
      <c r="K5034" s="13">
        <v>46082</v>
      </c>
      <c r="L5034" t="s">
        <v>539</v>
      </c>
      <c r="M5034" t="s">
        <v>59</v>
      </c>
      <c r="N5034">
        <v>74797220</v>
      </c>
    </row>
    <row r="5035" spans="1:14" x14ac:dyDescent="0.25">
      <c r="A5035">
        <v>60982110</v>
      </c>
      <c r="B5035" t="s">
        <v>4789</v>
      </c>
      <c r="C5035" t="s">
        <v>11077</v>
      </c>
      <c r="D5035" t="s">
        <v>11078</v>
      </c>
      <c r="E5035">
        <v>9284882269</v>
      </c>
      <c r="F5035" t="s">
        <v>775</v>
      </c>
      <c r="G5035" t="s">
        <v>776</v>
      </c>
      <c r="I5035" t="s">
        <v>22</v>
      </c>
      <c r="J5035" s="13">
        <v>46080</v>
      </c>
      <c r="K5035" s="13">
        <v>46082</v>
      </c>
      <c r="L5035" t="s">
        <v>1179</v>
      </c>
      <c r="M5035" t="s">
        <v>56</v>
      </c>
      <c r="N5035">
        <v>74797244</v>
      </c>
    </row>
    <row r="5036" spans="1:14" x14ac:dyDescent="0.25">
      <c r="A5036">
        <v>60985815</v>
      </c>
      <c r="B5036" t="s">
        <v>11079</v>
      </c>
      <c r="C5036" t="s">
        <v>2915</v>
      </c>
      <c r="D5036" t="s">
        <v>11080</v>
      </c>
      <c r="E5036">
        <v>5204330974</v>
      </c>
      <c r="F5036" t="s">
        <v>416</v>
      </c>
      <c r="G5036" t="s">
        <v>417</v>
      </c>
      <c r="I5036" t="s">
        <v>26</v>
      </c>
      <c r="J5036" s="13">
        <v>46080</v>
      </c>
      <c r="K5036" s="13">
        <v>46082</v>
      </c>
      <c r="L5036" t="s">
        <v>1179</v>
      </c>
      <c r="M5036" t="s">
        <v>54</v>
      </c>
      <c r="N5036">
        <v>74799906</v>
      </c>
    </row>
    <row r="5037" spans="1:14" x14ac:dyDescent="0.25">
      <c r="A5037">
        <v>60986130</v>
      </c>
      <c r="B5037" t="s">
        <v>8732</v>
      </c>
      <c r="C5037" t="s">
        <v>11081</v>
      </c>
      <c r="D5037" t="s">
        <v>11082</v>
      </c>
      <c r="E5037">
        <v>4803658254</v>
      </c>
      <c r="F5037" t="s">
        <v>807</v>
      </c>
      <c r="G5037" t="s">
        <v>808</v>
      </c>
      <c r="I5037" t="s">
        <v>33</v>
      </c>
      <c r="J5037" s="13">
        <v>46080</v>
      </c>
      <c r="K5037" s="13">
        <v>46082</v>
      </c>
      <c r="L5037" t="s">
        <v>1179</v>
      </c>
      <c r="M5037" t="s">
        <v>61</v>
      </c>
      <c r="N5037">
        <v>74800156</v>
      </c>
    </row>
    <row r="5038" spans="1:14" x14ac:dyDescent="0.25">
      <c r="A5038">
        <v>60986343</v>
      </c>
      <c r="B5038" t="s">
        <v>11083</v>
      </c>
      <c r="C5038" t="s">
        <v>1685</v>
      </c>
      <c r="D5038" t="s">
        <v>11084</v>
      </c>
      <c r="E5038">
        <v>7202164336</v>
      </c>
      <c r="F5038" t="s">
        <v>790</v>
      </c>
      <c r="G5038" t="s">
        <v>791</v>
      </c>
      <c r="I5038" t="s">
        <v>119</v>
      </c>
      <c r="J5038" s="13">
        <v>46080</v>
      </c>
      <c r="K5038" s="13">
        <v>46082</v>
      </c>
      <c r="L5038" t="s">
        <v>539</v>
      </c>
      <c r="M5038" t="s">
        <v>56</v>
      </c>
      <c r="N5038">
        <v>74800317</v>
      </c>
    </row>
    <row r="5039" spans="1:14" x14ac:dyDescent="0.25">
      <c r="A5039">
        <v>60986429</v>
      </c>
      <c r="B5039" t="s">
        <v>11085</v>
      </c>
      <c r="C5039" t="s">
        <v>564</v>
      </c>
      <c r="D5039" t="s">
        <v>11086</v>
      </c>
      <c r="E5039">
        <v>4805488043</v>
      </c>
      <c r="F5039" t="s">
        <v>780</v>
      </c>
      <c r="G5039" t="s">
        <v>781</v>
      </c>
      <c r="I5039" t="s">
        <v>20</v>
      </c>
      <c r="J5039" s="13">
        <v>46080</v>
      </c>
      <c r="K5039" s="13">
        <v>46082</v>
      </c>
      <c r="L5039" t="s">
        <v>1179</v>
      </c>
      <c r="M5039" t="s">
        <v>56</v>
      </c>
      <c r="N5039">
        <v>74800417</v>
      </c>
    </row>
    <row r="5040" spans="1:14" x14ac:dyDescent="0.25">
      <c r="A5040">
        <v>60986798</v>
      </c>
      <c r="B5040" t="s">
        <v>501</v>
      </c>
      <c r="C5040" t="s">
        <v>11087</v>
      </c>
      <c r="D5040" t="s">
        <v>11088</v>
      </c>
      <c r="E5040">
        <v>8153553689</v>
      </c>
      <c r="F5040" t="s">
        <v>474</v>
      </c>
      <c r="G5040" t="s">
        <v>475</v>
      </c>
      <c r="I5040" t="s">
        <v>132</v>
      </c>
      <c r="J5040" s="13">
        <v>46080</v>
      </c>
      <c r="K5040" s="13">
        <v>46082</v>
      </c>
      <c r="L5040" t="s">
        <v>470</v>
      </c>
      <c r="M5040" t="s">
        <v>55</v>
      </c>
      <c r="N5040">
        <v>74800730</v>
      </c>
    </row>
    <row r="5041" spans="1:14" x14ac:dyDescent="0.25">
      <c r="A5041">
        <v>60987314</v>
      </c>
      <c r="B5041" t="s">
        <v>11089</v>
      </c>
      <c r="C5041" t="s">
        <v>2908</v>
      </c>
      <c r="D5041" t="s">
        <v>11090</v>
      </c>
      <c r="E5041">
        <v>8436800408</v>
      </c>
      <c r="F5041" t="s">
        <v>1067</v>
      </c>
      <c r="G5041" t="s">
        <v>1068</v>
      </c>
      <c r="I5041" t="s">
        <v>35</v>
      </c>
      <c r="J5041" s="13">
        <v>46080</v>
      </c>
      <c r="K5041" s="13">
        <v>46082</v>
      </c>
      <c r="L5041" t="s">
        <v>533</v>
      </c>
      <c r="M5041" t="s">
        <v>56</v>
      </c>
      <c r="N5041">
        <v>74801510</v>
      </c>
    </row>
    <row r="5042" spans="1:14" x14ac:dyDescent="0.25">
      <c r="A5042">
        <v>60987529</v>
      </c>
      <c r="B5042" t="s">
        <v>11091</v>
      </c>
      <c r="C5042" t="s">
        <v>2467</v>
      </c>
      <c r="D5042" t="s">
        <v>11092</v>
      </c>
      <c r="F5042" t="s">
        <v>448</v>
      </c>
      <c r="G5042" t="s">
        <v>449</v>
      </c>
      <c r="I5042" t="s">
        <v>31</v>
      </c>
      <c r="J5042" s="13">
        <v>46080</v>
      </c>
      <c r="K5042" s="13">
        <v>46082</v>
      </c>
      <c r="L5042" t="s">
        <v>1179</v>
      </c>
      <c r="M5042" t="s">
        <v>54</v>
      </c>
      <c r="N5042">
        <v>74801660</v>
      </c>
    </row>
    <row r="5043" spans="1:14" x14ac:dyDescent="0.25">
      <c r="A5043">
        <v>60987695</v>
      </c>
      <c r="B5043" t="s">
        <v>11093</v>
      </c>
      <c r="C5043" t="s">
        <v>11094</v>
      </c>
      <c r="D5043" t="s">
        <v>11095</v>
      </c>
      <c r="E5043">
        <v>7189308333</v>
      </c>
      <c r="F5043" t="s">
        <v>416</v>
      </c>
      <c r="G5043" t="s">
        <v>417</v>
      </c>
      <c r="I5043" t="s">
        <v>26</v>
      </c>
      <c r="J5043" s="13">
        <v>46080</v>
      </c>
      <c r="K5043" s="13">
        <v>46082</v>
      </c>
      <c r="L5043" t="s">
        <v>497</v>
      </c>
      <c r="M5043" t="s">
        <v>56</v>
      </c>
      <c r="N5043">
        <v>74801743</v>
      </c>
    </row>
    <row r="5044" spans="1:14" x14ac:dyDescent="0.25">
      <c r="A5044">
        <v>60987734</v>
      </c>
      <c r="B5044" t="s">
        <v>600</v>
      </c>
      <c r="C5044" t="s">
        <v>11096</v>
      </c>
      <c r="D5044" t="s">
        <v>11097</v>
      </c>
      <c r="E5044">
        <v>8645151414</v>
      </c>
      <c r="F5044" t="s">
        <v>628</v>
      </c>
      <c r="G5044" t="s">
        <v>629</v>
      </c>
      <c r="I5044" t="s">
        <v>24</v>
      </c>
      <c r="J5044" s="13">
        <v>46080</v>
      </c>
      <c r="K5044" s="13">
        <v>46082</v>
      </c>
      <c r="L5044" t="s">
        <v>533</v>
      </c>
      <c r="M5044" t="s">
        <v>58</v>
      </c>
      <c r="N5044">
        <v>74801783</v>
      </c>
    </row>
    <row r="5045" spans="1:14" x14ac:dyDescent="0.25">
      <c r="A5045">
        <v>62962604</v>
      </c>
      <c r="B5045" t="s">
        <v>2771</v>
      </c>
      <c r="C5045" t="s">
        <v>649</v>
      </c>
      <c r="D5045" t="s">
        <v>11098</v>
      </c>
      <c r="E5045">
        <v>5203043021</v>
      </c>
      <c r="F5045" t="s">
        <v>1345</v>
      </c>
      <c r="G5045" t="s">
        <v>799</v>
      </c>
      <c r="I5045" t="s">
        <v>47</v>
      </c>
      <c r="J5045" s="13">
        <v>46126</v>
      </c>
      <c r="K5045" s="13">
        <v>46143</v>
      </c>
      <c r="L5045" t="s">
        <v>1179</v>
      </c>
      <c r="M5045" t="s">
        <v>54</v>
      </c>
      <c r="N5045">
        <v>74801969</v>
      </c>
    </row>
    <row r="5046" spans="1:14" x14ac:dyDescent="0.25">
      <c r="A5046">
        <v>60988083</v>
      </c>
      <c r="B5046" t="s">
        <v>1408</v>
      </c>
      <c r="C5046" t="s">
        <v>761</v>
      </c>
      <c r="D5046" t="s">
        <v>11099</v>
      </c>
      <c r="E5046">
        <v>7017933520</v>
      </c>
      <c r="F5046" t="s">
        <v>1013</v>
      </c>
      <c r="G5046" t="s">
        <v>1014</v>
      </c>
      <c r="I5046" t="s">
        <v>43</v>
      </c>
      <c r="J5046" s="13">
        <v>46080</v>
      </c>
      <c r="K5046" s="13">
        <v>46082</v>
      </c>
      <c r="L5046" t="s">
        <v>1179</v>
      </c>
      <c r="M5046" t="s">
        <v>59</v>
      </c>
      <c r="N5046">
        <v>74802053</v>
      </c>
    </row>
    <row r="5047" spans="1:14" x14ac:dyDescent="0.25">
      <c r="A5047">
        <v>60988125</v>
      </c>
      <c r="B5047" t="s">
        <v>3585</v>
      </c>
      <c r="C5047" t="s">
        <v>10762</v>
      </c>
      <c r="D5047" t="s">
        <v>11100</v>
      </c>
      <c r="E5047">
        <v>5202892362</v>
      </c>
      <c r="F5047" t="s">
        <v>10569</v>
      </c>
      <c r="G5047" t="s">
        <v>10570</v>
      </c>
      <c r="I5047" t="s">
        <v>29</v>
      </c>
      <c r="J5047" s="13">
        <v>46080</v>
      </c>
      <c r="K5047" s="13">
        <v>46082</v>
      </c>
      <c r="L5047" t="s">
        <v>1179</v>
      </c>
      <c r="M5047" t="s">
        <v>59</v>
      </c>
      <c r="N5047">
        <v>74802082</v>
      </c>
    </row>
    <row r="5048" spans="1:14" x14ac:dyDescent="0.25">
      <c r="A5048">
        <v>60989216</v>
      </c>
      <c r="B5048" t="s">
        <v>467</v>
      </c>
      <c r="C5048" t="s">
        <v>3953</v>
      </c>
      <c r="D5048" t="s">
        <v>11101</v>
      </c>
      <c r="E5048">
        <v>6026411217</v>
      </c>
      <c r="F5048" t="s">
        <v>705</v>
      </c>
      <c r="G5048" t="s">
        <v>706</v>
      </c>
      <c r="I5048" t="s">
        <v>12</v>
      </c>
      <c r="J5048" s="13">
        <v>46080</v>
      </c>
      <c r="K5048" s="13">
        <v>46082</v>
      </c>
      <c r="L5048" t="s">
        <v>1179</v>
      </c>
      <c r="M5048" t="s">
        <v>55</v>
      </c>
      <c r="N5048">
        <v>74802568</v>
      </c>
    </row>
    <row r="5049" spans="1:14" x14ac:dyDescent="0.25">
      <c r="A5049">
        <v>60992175</v>
      </c>
      <c r="B5049" t="s">
        <v>1035</v>
      </c>
      <c r="C5049" t="s">
        <v>11102</v>
      </c>
      <c r="D5049" t="s">
        <v>11103</v>
      </c>
      <c r="E5049">
        <v>2247250934</v>
      </c>
      <c r="F5049" t="s">
        <v>474</v>
      </c>
      <c r="G5049" t="s">
        <v>475</v>
      </c>
      <c r="I5049" t="s">
        <v>132</v>
      </c>
      <c r="J5049" s="13">
        <v>46080</v>
      </c>
      <c r="K5049" s="13">
        <v>46082</v>
      </c>
      <c r="L5049" t="s">
        <v>470</v>
      </c>
      <c r="M5049" t="s">
        <v>59</v>
      </c>
      <c r="N5049">
        <v>74804901</v>
      </c>
    </row>
    <row r="5050" spans="1:14" x14ac:dyDescent="0.25">
      <c r="A5050">
        <v>60993715</v>
      </c>
      <c r="B5050" t="s">
        <v>1041</v>
      </c>
      <c r="C5050" t="s">
        <v>11104</v>
      </c>
      <c r="D5050" t="s">
        <v>11105</v>
      </c>
      <c r="E5050">
        <v>5203591491</v>
      </c>
      <c r="F5050" t="s">
        <v>780</v>
      </c>
      <c r="G5050" t="s">
        <v>781</v>
      </c>
      <c r="I5050" t="s">
        <v>20</v>
      </c>
      <c r="J5050" s="13">
        <v>46080</v>
      </c>
      <c r="K5050" s="13">
        <v>46082</v>
      </c>
      <c r="L5050" t="s">
        <v>1179</v>
      </c>
      <c r="M5050" t="s">
        <v>54</v>
      </c>
      <c r="N5050">
        <v>74806084</v>
      </c>
    </row>
    <row r="5051" spans="1:14" x14ac:dyDescent="0.25">
      <c r="A5051">
        <v>60994682</v>
      </c>
      <c r="B5051" t="s">
        <v>1442</v>
      </c>
      <c r="C5051" t="s">
        <v>5897</v>
      </c>
      <c r="D5051" t="s">
        <v>11106</v>
      </c>
      <c r="E5051">
        <v>6066819108</v>
      </c>
      <c r="F5051" t="s">
        <v>828</v>
      </c>
      <c r="G5051" t="s">
        <v>1148</v>
      </c>
      <c r="I5051" t="s">
        <v>17</v>
      </c>
      <c r="J5051" s="13">
        <v>46080</v>
      </c>
      <c r="K5051" s="13">
        <v>46082</v>
      </c>
      <c r="L5051" t="s">
        <v>490</v>
      </c>
      <c r="M5051" t="s">
        <v>56</v>
      </c>
      <c r="N5051">
        <v>74806816</v>
      </c>
    </row>
    <row r="5052" spans="1:14" x14ac:dyDescent="0.25">
      <c r="A5052">
        <v>60994802</v>
      </c>
      <c r="B5052" t="s">
        <v>7214</v>
      </c>
      <c r="C5052" t="s">
        <v>4464</v>
      </c>
      <c r="D5052" t="s">
        <v>11107</v>
      </c>
      <c r="E5052">
        <v>5737522068</v>
      </c>
      <c r="F5052" t="s">
        <v>649</v>
      </c>
      <c r="G5052" t="s">
        <v>650</v>
      </c>
      <c r="I5052" t="s">
        <v>28</v>
      </c>
      <c r="J5052" s="13">
        <v>46080</v>
      </c>
      <c r="K5052" s="13">
        <v>46082</v>
      </c>
      <c r="L5052" t="s">
        <v>434</v>
      </c>
      <c r="M5052" t="s">
        <v>56</v>
      </c>
      <c r="N5052">
        <v>74806921</v>
      </c>
    </row>
    <row r="5053" spans="1:14" x14ac:dyDescent="0.25">
      <c r="A5053">
        <v>60998679</v>
      </c>
      <c r="B5053" t="s">
        <v>11108</v>
      </c>
      <c r="C5053" t="s">
        <v>11109</v>
      </c>
      <c r="D5053" t="s">
        <v>11110</v>
      </c>
      <c r="E5053" t="s">
        <v>11111</v>
      </c>
      <c r="F5053" t="s">
        <v>1345</v>
      </c>
      <c r="G5053" t="s">
        <v>799</v>
      </c>
      <c r="I5053" t="s">
        <v>47</v>
      </c>
      <c r="J5053" s="13">
        <v>46080</v>
      </c>
      <c r="K5053" s="13">
        <v>46082</v>
      </c>
      <c r="L5053" t="s">
        <v>497</v>
      </c>
      <c r="M5053" t="s">
        <v>54</v>
      </c>
      <c r="N5053">
        <v>74809888</v>
      </c>
    </row>
    <row r="5054" spans="1:14" x14ac:dyDescent="0.25">
      <c r="A5054">
        <v>61012156</v>
      </c>
      <c r="B5054" t="s">
        <v>6316</v>
      </c>
      <c r="C5054" t="s">
        <v>11112</v>
      </c>
      <c r="D5054" t="s">
        <v>11113</v>
      </c>
      <c r="E5054" t="s">
        <v>11114</v>
      </c>
      <c r="F5054" t="s">
        <v>10569</v>
      </c>
      <c r="G5054" t="s">
        <v>10570</v>
      </c>
      <c r="I5054" t="s">
        <v>29</v>
      </c>
      <c r="J5054" s="13">
        <v>46083</v>
      </c>
      <c r="K5054" s="13">
        <v>46113</v>
      </c>
      <c r="L5054" t="s">
        <v>539</v>
      </c>
      <c r="M5054" t="s">
        <v>59</v>
      </c>
      <c r="N5054">
        <v>74822606</v>
      </c>
    </row>
    <row r="5055" spans="1:14" x14ac:dyDescent="0.25">
      <c r="A5055">
        <v>61012464</v>
      </c>
      <c r="B5055" t="s">
        <v>11115</v>
      </c>
      <c r="C5055" t="s">
        <v>11116</v>
      </c>
      <c r="D5055" t="s">
        <v>11117</v>
      </c>
      <c r="E5055">
        <v>6063070242</v>
      </c>
      <c r="F5055" t="s">
        <v>448</v>
      </c>
      <c r="G5055" t="s">
        <v>449</v>
      </c>
      <c r="I5055" t="s">
        <v>31</v>
      </c>
      <c r="J5055" s="13">
        <v>46083</v>
      </c>
      <c r="K5055" s="13">
        <v>46113</v>
      </c>
      <c r="L5055" t="s">
        <v>490</v>
      </c>
      <c r="M5055" t="s">
        <v>56</v>
      </c>
      <c r="N5055">
        <v>74822842</v>
      </c>
    </row>
    <row r="5056" spans="1:14" x14ac:dyDescent="0.25">
      <c r="A5056">
        <v>61012542</v>
      </c>
      <c r="B5056" t="s">
        <v>1052</v>
      </c>
      <c r="C5056" t="s">
        <v>6940</v>
      </c>
      <c r="D5056" t="s">
        <v>11118</v>
      </c>
      <c r="E5056">
        <v>9042000617</v>
      </c>
      <c r="F5056" t="s">
        <v>828</v>
      </c>
      <c r="G5056" t="s">
        <v>1148</v>
      </c>
      <c r="I5056" t="s">
        <v>17</v>
      </c>
      <c r="J5056" s="13">
        <v>46083</v>
      </c>
      <c r="K5056" s="13">
        <v>46113</v>
      </c>
      <c r="L5056" t="s">
        <v>497</v>
      </c>
      <c r="M5056" t="s">
        <v>56</v>
      </c>
      <c r="N5056">
        <v>74822907</v>
      </c>
    </row>
    <row r="5057" spans="1:14" x14ac:dyDescent="0.25">
      <c r="A5057">
        <v>61012706</v>
      </c>
      <c r="B5057" t="s">
        <v>3335</v>
      </c>
      <c r="C5057" t="s">
        <v>11119</v>
      </c>
      <c r="D5057" t="s">
        <v>11120</v>
      </c>
      <c r="E5057">
        <v>5029100158</v>
      </c>
      <c r="F5057" t="s">
        <v>688</v>
      </c>
      <c r="G5057" t="s">
        <v>10291</v>
      </c>
      <c r="I5057" t="s">
        <v>48</v>
      </c>
      <c r="J5057" s="13">
        <v>46083</v>
      </c>
      <c r="K5057" s="13">
        <v>46113</v>
      </c>
      <c r="L5057" t="s">
        <v>490</v>
      </c>
      <c r="M5057" t="s">
        <v>61</v>
      </c>
      <c r="N5057">
        <v>74823043</v>
      </c>
    </row>
    <row r="5058" spans="1:14" x14ac:dyDescent="0.25">
      <c r="A5058">
        <v>61013057</v>
      </c>
      <c r="B5058" t="s">
        <v>11121</v>
      </c>
      <c r="C5058" t="s">
        <v>11122</v>
      </c>
      <c r="D5058" t="s">
        <v>11123</v>
      </c>
      <c r="E5058">
        <v>5209906379</v>
      </c>
      <c r="F5058" t="s">
        <v>649</v>
      </c>
      <c r="G5058" t="s">
        <v>650</v>
      </c>
      <c r="I5058" t="s">
        <v>28</v>
      </c>
      <c r="J5058" s="13">
        <v>46083</v>
      </c>
      <c r="K5058" s="13">
        <v>46113</v>
      </c>
      <c r="L5058" t="s">
        <v>1179</v>
      </c>
      <c r="M5058" t="s">
        <v>55</v>
      </c>
      <c r="N5058">
        <v>74823317</v>
      </c>
    </row>
    <row r="5059" spans="1:14" x14ac:dyDescent="0.25">
      <c r="A5059">
        <v>61013821</v>
      </c>
      <c r="B5059" t="s">
        <v>4789</v>
      </c>
      <c r="C5059" t="s">
        <v>11124</v>
      </c>
      <c r="D5059" t="s">
        <v>11125</v>
      </c>
      <c r="E5059">
        <v>4804381077</v>
      </c>
      <c r="F5059" t="s">
        <v>416</v>
      </c>
      <c r="G5059" t="s">
        <v>417</v>
      </c>
      <c r="I5059" t="s">
        <v>26</v>
      </c>
      <c r="J5059" s="13">
        <v>46083</v>
      </c>
      <c r="K5059" s="13">
        <v>46113</v>
      </c>
      <c r="L5059" t="s">
        <v>1179</v>
      </c>
      <c r="M5059" t="s">
        <v>54</v>
      </c>
      <c r="N5059">
        <v>74823934</v>
      </c>
    </row>
    <row r="5060" spans="1:14" x14ac:dyDescent="0.25">
      <c r="A5060">
        <v>61013926</v>
      </c>
      <c r="B5060" t="s">
        <v>4799</v>
      </c>
      <c r="C5060" t="s">
        <v>449</v>
      </c>
      <c r="D5060" t="s">
        <v>11126</v>
      </c>
      <c r="E5060" t="s">
        <v>11127</v>
      </c>
      <c r="F5060" t="s">
        <v>569</v>
      </c>
      <c r="G5060" t="s">
        <v>570</v>
      </c>
      <c r="I5060" t="s">
        <v>34</v>
      </c>
      <c r="J5060" s="13">
        <v>46083</v>
      </c>
      <c r="K5060" s="13">
        <v>46174</v>
      </c>
      <c r="L5060" t="s">
        <v>539</v>
      </c>
      <c r="M5060" t="s">
        <v>56</v>
      </c>
      <c r="N5060">
        <v>74824056</v>
      </c>
    </row>
    <row r="5061" spans="1:14" x14ac:dyDescent="0.25">
      <c r="A5061">
        <v>61015314</v>
      </c>
      <c r="B5061" t="s">
        <v>6141</v>
      </c>
      <c r="C5061" t="s">
        <v>5171</v>
      </c>
      <c r="D5061" t="s">
        <v>11128</v>
      </c>
      <c r="E5061">
        <v>3136950340</v>
      </c>
      <c r="F5061" t="s">
        <v>928</v>
      </c>
      <c r="G5061" t="s">
        <v>929</v>
      </c>
      <c r="I5061" t="s">
        <v>30</v>
      </c>
      <c r="J5061" s="13">
        <v>46083</v>
      </c>
      <c r="K5061" s="13">
        <v>46113</v>
      </c>
      <c r="L5061" t="s">
        <v>621</v>
      </c>
      <c r="M5061" t="s">
        <v>59</v>
      </c>
      <c r="N5061">
        <v>74825311</v>
      </c>
    </row>
    <row r="5062" spans="1:14" x14ac:dyDescent="0.25">
      <c r="A5062">
        <v>61016509</v>
      </c>
      <c r="B5062" t="s">
        <v>11129</v>
      </c>
      <c r="C5062" t="s">
        <v>11130</v>
      </c>
      <c r="D5062" t="s">
        <v>11131</v>
      </c>
      <c r="E5062">
        <v>8174432281</v>
      </c>
      <c r="F5062" t="s">
        <v>10591</v>
      </c>
      <c r="G5062" t="s">
        <v>10215</v>
      </c>
      <c r="I5062" t="s">
        <v>32</v>
      </c>
      <c r="J5062" s="13">
        <v>46083</v>
      </c>
      <c r="K5062" s="13">
        <v>46113</v>
      </c>
      <c r="L5062" t="s">
        <v>444</v>
      </c>
      <c r="M5062" t="s">
        <v>419</v>
      </c>
      <c r="N5062">
        <v>74827169</v>
      </c>
    </row>
    <row r="5063" spans="1:14" x14ac:dyDescent="0.25">
      <c r="A5063">
        <v>61016681</v>
      </c>
      <c r="B5063" t="s">
        <v>2154</v>
      </c>
      <c r="C5063" t="s">
        <v>11132</v>
      </c>
      <c r="D5063" t="s">
        <v>11133</v>
      </c>
      <c r="E5063">
        <v>8504972261</v>
      </c>
      <c r="F5063" t="s">
        <v>1013</v>
      </c>
      <c r="G5063" t="s">
        <v>1014</v>
      </c>
      <c r="I5063" t="s">
        <v>43</v>
      </c>
      <c r="J5063" s="13">
        <v>46083</v>
      </c>
      <c r="K5063" s="13">
        <v>46113</v>
      </c>
      <c r="L5063" t="s">
        <v>497</v>
      </c>
      <c r="M5063" t="s">
        <v>56</v>
      </c>
      <c r="N5063">
        <v>74827314</v>
      </c>
    </row>
    <row r="5064" spans="1:14" x14ac:dyDescent="0.25">
      <c r="A5064">
        <v>61016705</v>
      </c>
      <c r="B5064" t="s">
        <v>1900</v>
      </c>
      <c r="C5064" t="s">
        <v>2532</v>
      </c>
      <c r="D5064" t="s">
        <v>11134</v>
      </c>
      <c r="E5064">
        <v>6027628660</v>
      </c>
      <c r="F5064" t="s">
        <v>474</v>
      </c>
      <c r="G5064" t="s">
        <v>475</v>
      </c>
      <c r="I5064" t="s">
        <v>132</v>
      </c>
      <c r="J5064" s="13">
        <v>46083</v>
      </c>
      <c r="K5064" s="13">
        <v>46113</v>
      </c>
      <c r="L5064" t="s">
        <v>1179</v>
      </c>
      <c r="M5064" t="s">
        <v>56</v>
      </c>
      <c r="N5064">
        <v>74827328</v>
      </c>
    </row>
    <row r="5065" spans="1:14" x14ac:dyDescent="0.25">
      <c r="A5065">
        <v>61018263</v>
      </c>
      <c r="B5065" t="s">
        <v>10185</v>
      </c>
      <c r="C5065" t="s">
        <v>2482</v>
      </c>
      <c r="D5065" t="s">
        <v>11135</v>
      </c>
      <c r="E5065">
        <v>3096489410</v>
      </c>
      <c r="F5065" t="s">
        <v>574</v>
      </c>
      <c r="G5065" t="s">
        <v>575</v>
      </c>
      <c r="I5065" t="s">
        <v>14</v>
      </c>
      <c r="J5065" s="13">
        <v>46083</v>
      </c>
      <c r="K5065" s="13">
        <v>46113</v>
      </c>
      <c r="L5065" t="s">
        <v>470</v>
      </c>
      <c r="M5065" t="s">
        <v>56</v>
      </c>
      <c r="N5065">
        <v>74829372</v>
      </c>
    </row>
    <row r="5066" spans="1:14" x14ac:dyDescent="0.25">
      <c r="A5066">
        <v>61019425</v>
      </c>
      <c r="B5066" t="s">
        <v>11136</v>
      </c>
      <c r="C5066" t="s">
        <v>11137</v>
      </c>
      <c r="D5066" t="s">
        <v>11138</v>
      </c>
      <c r="E5066">
        <v>4809327845</v>
      </c>
      <c r="F5066" t="s">
        <v>10569</v>
      </c>
      <c r="G5066" t="s">
        <v>10570</v>
      </c>
      <c r="I5066" t="s">
        <v>29</v>
      </c>
      <c r="J5066" s="13">
        <v>46083</v>
      </c>
      <c r="K5066" s="13">
        <v>46113</v>
      </c>
      <c r="L5066" t="s">
        <v>1179</v>
      </c>
      <c r="M5066" t="s">
        <v>61</v>
      </c>
      <c r="N5066">
        <v>74830102</v>
      </c>
    </row>
    <row r="5067" spans="1:14" x14ac:dyDescent="0.25">
      <c r="A5067">
        <v>61019565</v>
      </c>
      <c r="B5067" t="s">
        <v>9264</v>
      </c>
      <c r="C5067" t="s">
        <v>11139</v>
      </c>
      <c r="D5067" t="s">
        <v>11140</v>
      </c>
      <c r="E5067">
        <v>6026570042</v>
      </c>
      <c r="F5067" t="s">
        <v>1013</v>
      </c>
      <c r="G5067" t="s">
        <v>1014</v>
      </c>
      <c r="I5067" t="s">
        <v>43</v>
      </c>
      <c r="J5067" s="13">
        <v>46083</v>
      </c>
      <c r="K5067" s="13">
        <v>46113</v>
      </c>
      <c r="L5067" t="s">
        <v>1179</v>
      </c>
      <c r="M5067" t="s">
        <v>59</v>
      </c>
      <c r="N5067">
        <v>74830197</v>
      </c>
    </row>
    <row r="5068" spans="1:14" x14ac:dyDescent="0.25">
      <c r="A5068">
        <v>61019765</v>
      </c>
      <c r="B5068" t="s">
        <v>517</v>
      </c>
      <c r="C5068" t="s">
        <v>11141</v>
      </c>
      <c r="D5068" t="s">
        <v>11142</v>
      </c>
      <c r="E5068">
        <v>7206847879</v>
      </c>
      <c r="F5068" t="s">
        <v>688</v>
      </c>
      <c r="G5068" t="s">
        <v>10291</v>
      </c>
      <c r="I5068" t="s">
        <v>48</v>
      </c>
      <c r="J5068" s="13">
        <v>46083</v>
      </c>
      <c r="K5068" s="13">
        <v>46113</v>
      </c>
      <c r="L5068" t="s">
        <v>539</v>
      </c>
      <c r="M5068" t="s">
        <v>56</v>
      </c>
      <c r="N5068">
        <v>74830347</v>
      </c>
    </row>
    <row r="5069" spans="1:14" x14ac:dyDescent="0.25">
      <c r="A5069">
        <v>61019970</v>
      </c>
      <c r="B5069" t="s">
        <v>6544</v>
      </c>
      <c r="C5069" t="s">
        <v>4823</v>
      </c>
      <c r="D5069" t="s">
        <v>11143</v>
      </c>
      <c r="E5069">
        <v>8153911740</v>
      </c>
      <c r="F5069" t="s">
        <v>649</v>
      </c>
      <c r="G5069" t="s">
        <v>650</v>
      </c>
      <c r="I5069" t="s">
        <v>28</v>
      </c>
      <c r="J5069" s="13">
        <v>46083</v>
      </c>
      <c r="K5069" s="13">
        <v>46113</v>
      </c>
      <c r="L5069" t="s">
        <v>470</v>
      </c>
      <c r="M5069" t="s">
        <v>62</v>
      </c>
      <c r="N5069">
        <v>74830482</v>
      </c>
    </row>
    <row r="5070" spans="1:14" x14ac:dyDescent="0.25">
      <c r="A5070">
        <v>61024097</v>
      </c>
      <c r="B5070" t="s">
        <v>687</v>
      </c>
      <c r="C5070" t="s">
        <v>11144</v>
      </c>
      <c r="D5070" t="s">
        <v>11145</v>
      </c>
      <c r="E5070">
        <v>6089210772</v>
      </c>
      <c r="F5070" t="s">
        <v>928</v>
      </c>
      <c r="G5070" t="s">
        <v>929</v>
      </c>
      <c r="I5070" t="s">
        <v>30</v>
      </c>
      <c r="J5070" s="13">
        <v>46083</v>
      </c>
      <c r="K5070" s="13">
        <v>46113</v>
      </c>
      <c r="L5070" t="s">
        <v>675</v>
      </c>
      <c r="M5070" t="s">
        <v>58</v>
      </c>
      <c r="N5070">
        <v>74833826</v>
      </c>
    </row>
    <row r="5071" spans="1:14" x14ac:dyDescent="0.25">
      <c r="A5071">
        <v>61024326</v>
      </c>
      <c r="B5071" t="s">
        <v>1773</v>
      </c>
      <c r="C5071" t="s">
        <v>11146</v>
      </c>
      <c r="D5071" t="s">
        <v>11147</v>
      </c>
      <c r="E5071">
        <v>9049124746</v>
      </c>
      <c r="F5071" t="s">
        <v>775</v>
      </c>
      <c r="G5071" t="s">
        <v>776</v>
      </c>
      <c r="I5071" t="s">
        <v>22</v>
      </c>
      <c r="J5071" s="13">
        <v>46083</v>
      </c>
      <c r="K5071" s="13">
        <v>46113</v>
      </c>
      <c r="L5071" t="s">
        <v>497</v>
      </c>
      <c r="M5071" t="s">
        <v>56</v>
      </c>
      <c r="N5071">
        <v>74834128</v>
      </c>
    </row>
    <row r="5072" spans="1:14" x14ac:dyDescent="0.25">
      <c r="A5072">
        <v>61024558</v>
      </c>
      <c r="B5072" t="s">
        <v>1784</v>
      </c>
      <c r="C5072" t="s">
        <v>11148</v>
      </c>
      <c r="D5072" t="s">
        <v>11149</v>
      </c>
      <c r="E5072">
        <v>6024490071</v>
      </c>
      <c r="F5072" t="s">
        <v>416</v>
      </c>
      <c r="G5072" t="s">
        <v>417</v>
      </c>
      <c r="I5072" t="s">
        <v>26</v>
      </c>
      <c r="J5072" s="13">
        <v>46083</v>
      </c>
      <c r="K5072" s="13">
        <v>46113</v>
      </c>
      <c r="L5072" t="s">
        <v>1179</v>
      </c>
      <c r="M5072" t="s">
        <v>55</v>
      </c>
      <c r="N5072">
        <v>74834294</v>
      </c>
    </row>
    <row r="5073" spans="1:14" x14ac:dyDescent="0.25">
      <c r="A5073">
        <v>61024704</v>
      </c>
      <c r="B5073" t="s">
        <v>11150</v>
      </c>
      <c r="C5073" t="s">
        <v>9609</v>
      </c>
      <c r="D5073" t="s">
        <v>11151</v>
      </c>
      <c r="E5073">
        <v>5045100500</v>
      </c>
      <c r="F5073" t="s">
        <v>448</v>
      </c>
      <c r="G5073" t="s">
        <v>449</v>
      </c>
      <c r="I5073" t="s">
        <v>31</v>
      </c>
      <c r="J5073" s="13">
        <v>46083</v>
      </c>
      <c r="K5073" s="13">
        <v>46113</v>
      </c>
      <c r="L5073" t="s">
        <v>612</v>
      </c>
      <c r="M5073" t="s">
        <v>58</v>
      </c>
      <c r="N5073">
        <v>74834449</v>
      </c>
    </row>
    <row r="5074" spans="1:14" x14ac:dyDescent="0.25">
      <c r="A5074">
        <v>61030692</v>
      </c>
      <c r="B5074" t="s">
        <v>11152</v>
      </c>
      <c r="C5074" t="s">
        <v>11153</v>
      </c>
      <c r="D5074" t="s">
        <v>11154</v>
      </c>
      <c r="E5074">
        <v>9545319947</v>
      </c>
      <c r="F5074" t="s">
        <v>780</v>
      </c>
      <c r="G5074" t="s">
        <v>781</v>
      </c>
      <c r="I5074" t="s">
        <v>20</v>
      </c>
      <c r="J5074" s="13">
        <v>46083</v>
      </c>
      <c r="K5074" s="13">
        <v>46113</v>
      </c>
      <c r="L5074" t="s">
        <v>497</v>
      </c>
      <c r="M5074" t="s">
        <v>54</v>
      </c>
      <c r="N5074">
        <v>74840171</v>
      </c>
    </row>
    <row r="5075" spans="1:14" x14ac:dyDescent="0.25">
      <c r="A5075">
        <v>61031871</v>
      </c>
      <c r="B5075" t="s">
        <v>5644</v>
      </c>
      <c r="C5075" t="s">
        <v>6680</v>
      </c>
      <c r="D5075" t="s">
        <v>11155</v>
      </c>
      <c r="E5075">
        <v>9376027289</v>
      </c>
      <c r="F5075" t="s">
        <v>448</v>
      </c>
      <c r="G5075" t="s">
        <v>449</v>
      </c>
      <c r="I5075" t="s">
        <v>31</v>
      </c>
      <c r="J5075" s="13">
        <v>46083</v>
      </c>
      <c r="K5075" s="13">
        <v>46113</v>
      </c>
      <c r="L5075" t="s">
        <v>418</v>
      </c>
      <c r="M5075" t="s">
        <v>58</v>
      </c>
      <c r="N5075">
        <v>74841312</v>
      </c>
    </row>
    <row r="5076" spans="1:14" x14ac:dyDescent="0.25">
      <c r="A5076">
        <v>61034807</v>
      </c>
      <c r="B5076" t="s">
        <v>4735</v>
      </c>
      <c r="C5076" t="s">
        <v>11039</v>
      </c>
      <c r="D5076" t="s">
        <v>11156</v>
      </c>
      <c r="E5076">
        <v>9046312713</v>
      </c>
      <c r="F5076" t="s">
        <v>1013</v>
      </c>
      <c r="G5076" t="s">
        <v>1014</v>
      </c>
      <c r="I5076" t="s">
        <v>43</v>
      </c>
      <c r="J5076" s="13">
        <v>46083</v>
      </c>
      <c r="K5076" s="13">
        <v>46113</v>
      </c>
      <c r="L5076" t="s">
        <v>497</v>
      </c>
      <c r="M5076" t="s">
        <v>56</v>
      </c>
      <c r="N5076">
        <v>74844032</v>
      </c>
    </row>
    <row r="5077" spans="1:14" x14ac:dyDescent="0.25">
      <c r="A5077">
        <v>61039672</v>
      </c>
      <c r="B5077" t="s">
        <v>1900</v>
      </c>
      <c r="C5077" t="s">
        <v>2526</v>
      </c>
      <c r="D5077" t="s">
        <v>11157</v>
      </c>
      <c r="E5077">
        <v>8599164658</v>
      </c>
      <c r="F5077" t="s">
        <v>574</v>
      </c>
      <c r="G5077" t="s">
        <v>575</v>
      </c>
      <c r="I5077" t="s">
        <v>14</v>
      </c>
      <c r="J5077" s="13">
        <v>46083</v>
      </c>
      <c r="K5077" s="13">
        <v>46113</v>
      </c>
      <c r="L5077" t="s">
        <v>490</v>
      </c>
      <c r="M5077" t="s">
        <v>56</v>
      </c>
      <c r="N5077">
        <v>74848381</v>
      </c>
    </row>
    <row r="5078" spans="1:14" x14ac:dyDescent="0.25">
      <c r="A5078">
        <v>61042087</v>
      </c>
      <c r="B5078" t="s">
        <v>7615</v>
      </c>
      <c r="C5078" t="s">
        <v>11158</v>
      </c>
      <c r="D5078" t="s">
        <v>11159</v>
      </c>
      <c r="E5078">
        <v>5202516121</v>
      </c>
      <c r="F5078" t="s">
        <v>649</v>
      </c>
      <c r="G5078" t="s">
        <v>650</v>
      </c>
      <c r="I5078" t="s">
        <v>28</v>
      </c>
      <c r="J5078" s="13">
        <v>46083</v>
      </c>
      <c r="K5078" s="13">
        <v>46113</v>
      </c>
      <c r="L5078" t="s">
        <v>1179</v>
      </c>
      <c r="M5078" t="s">
        <v>59</v>
      </c>
      <c r="N5078">
        <v>74850503</v>
      </c>
    </row>
    <row r="5079" spans="1:14" x14ac:dyDescent="0.25">
      <c r="A5079">
        <v>61042237</v>
      </c>
      <c r="B5079" t="s">
        <v>1106</v>
      </c>
      <c r="C5079" t="s">
        <v>8945</v>
      </c>
      <c r="D5079" t="s">
        <v>11160</v>
      </c>
      <c r="E5079" t="s">
        <v>11161</v>
      </c>
      <c r="F5079" t="s">
        <v>928</v>
      </c>
      <c r="G5079" t="s">
        <v>929</v>
      </c>
      <c r="I5079" t="s">
        <v>30</v>
      </c>
      <c r="J5079" s="13">
        <v>46083</v>
      </c>
      <c r="K5079" s="13">
        <v>46113</v>
      </c>
      <c r="L5079" t="s">
        <v>675</v>
      </c>
      <c r="M5079" t="s">
        <v>58</v>
      </c>
      <c r="N5079">
        <v>74850643</v>
      </c>
    </row>
    <row r="5080" spans="1:14" x14ac:dyDescent="0.25">
      <c r="A5080">
        <v>61043682</v>
      </c>
      <c r="B5080" t="s">
        <v>445</v>
      </c>
      <c r="C5080" t="s">
        <v>11162</v>
      </c>
      <c r="D5080" t="s">
        <v>11163</v>
      </c>
      <c r="E5080">
        <v>5204882799</v>
      </c>
      <c r="F5080" t="s">
        <v>1013</v>
      </c>
      <c r="G5080" t="s">
        <v>1014</v>
      </c>
      <c r="I5080" t="s">
        <v>43</v>
      </c>
      <c r="J5080" s="13">
        <v>46083</v>
      </c>
      <c r="K5080" s="13">
        <v>46113</v>
      </c>
      <c r="M5080" t="s">
        <v>61</v>
      </c>
      <c r="N5080">
        <v>74851610</v>
      </c>
    </row>
    <row r="5081" spans="1:14" x14ac:dyDescent="0.25">
      <c r="A5081">
        <v>61043991</v>
      </c>
      <c r="B5081" t="s">
        <v>7467</v>
      </c>
      <c r="C5081" t="s">
        <v>11164</v>
      </c>
      <c r="D5081" t="s">
        <v>11165</v>
      </c>
      <c r="E5081">
        <v>4695834744</v>
      </c>
      <c r="F5081" t="s">
        <v>705</v>
      </c>
      <c r="G5081" t="s">
        <v>706</v>
      </c>
      <c r="I5081" t="s">
        <v>12</v>
      </c>
      <c r="J5081" s="13">
        <v>46083</v>
      </c>
      <c r="K5081" s="13">
        <v>46113</v>
      </c>
      <c r="L5081" t="s">
        <v>444</v>
      </c>
      <c r="M5081" t="s">
        <v>56</v>
      </c>
      <c r="N5081">
        <v>74851962</v>
      </c>
    </row>
    <row r="5082" spans="1:14" x14ac:dyDescent="0.25">
      <c r="A5082">
        <v>61044007</v>
      </c>
      <c r="B5082" t="s">
        <v>11166</v>
      </c>
      <c r="C5082" t="s">
        <v>8917</v>
      </c>
      <c r="D5082" t="s">
        <v>11167</v>
      </c>
      <c r="E5082">
        <v>6022174848</v>
      </c>
      <c r="F5082" t="s">
        <v>688</v>
      </c>
      <c r="G5082" t="s">
        <v>10291</v>
      </c>
      <c r="I5082" t="s">
        <v>48</v>
      </c>
      <c r="J5082" s="13">
        <v>46083</v>
      </c>
      <c r="K5082" s="13">
        <v>46113</v>
      </c>
      <c r="L5082" t="s">
        <v>1179</v>
      </c>
      <c r="M5082" t="s">
        <v>56</v>
      </c>
      <c r="N5082">
        <v>74851975</v>
      </c>
    </row>
    <row r="5083" spans="1:14" x14ac:dyDescent="0.25">
      <c r="A5083">
        <v>61044241</v>
      </c>
      <c r="B5083" t="s">
        <v>3561</v>
      </c>
      <c r="C5083" t="s">
        <v>1644</v>
      </c>
      <c r="D5083" t="s">
        <v>11168</v>
      </c>
      <c r="E5083">
        <v>7086855632</v>
      </c>
      <c r="F5083" t="s">
        <v>790</v>
      </c>
      <c r="G5083" t="s">
        <v>791</v>
      </c>
      <c r="I5083" t="s">
        <v>119</v>
      </c>
      <c r="J5083" s="13">
        <v>46083</v>
      </c>
      <c r="K5083" s="13">
        <v>46113</v>
      </c>
      <c r="L5083" t="s">
        <v>470</v>
      </c>
      <c r="M5083" t="s">
        <v>56</v>
      </c>
      <c r="N5083">
        <v>74852095</v>
      </c>
    </row>
    <row r="5084" spans="1:14" x14ac:dyDescent="0.25">
      <c r="A5084">
        <v>61044730</v>
      </c>
      <c r="B5084" t="s">
        <v>517</v>
      </c>
      <c r="C5084" t="s">
        <v>11169</v>
      </c>
      <c r="D5084" t="s">
        <v>11170</v>
      </c>
      <c r="E5084">
        <v>6234180265</v>
      </c>
      <c r="F5084" t="s">
        <v>416</v>
      </c>
      <c r="G5084" t="s">
        <v>417</v>
      </c>
      <c r="I5084" t="s">
        <v>26</v>
      </c>
      <c r="J5084" s="13">
        <v>46083</v>
      </c>
      <c r="K5084" s="13">
        <v>46113</v>
      </c>
      <c r="L5084" t="s">
        <v>1179</v>
      </c>
      <c r="M5084" t="s">
        <v>59</v>
      </c>
      <c r="N5084">
        <v>74852351</v>
      </c>
    </row>
    <row r="5085" spans="1:14" x14ac:dyDescent="0.25">
      <c r="A5085">
        <v>61044854</v>
      </c>
      <c r="B5085" t="s">
        <v>11171</v>
      </c>
      <c r="C5085" t="s">
        <v>11172</v>
      </c>
      <c r="D5085" t="s">
        <v>11173</v>
      </c>
      <c r="E5085">
        <v>6024195773</v>
      </c>
      <c r="F5085" t="s">
        <v>780</v>
      </c>
      <c r="G5085" t="s">
        <v>781</v>
      </c>
      <c r="I5085" t="s">
        <v>20</v>
      </c>
      <c r="J5085" s="13">
        <v>46083</v>
      </c>
      <c r="K5085" s="13">
        <v>46113</v>
      </c>
      <c r="L5085" t="s">
        <v>1179</v>
      </c>
      <c r="M5085" t="s">
        <v>54</v>
      </c>
      <c r="N5085">
        <v>74852429</v>
      </c>
    </row>
    <row r="5086" spans="1:14" x14ac:dyDescent="0.25">
      <c r="A5086">
        <v>61045344</v>
      </c>
      <c r="B5086" t="s">
        <v>11174</v>
      </c>
      <c r="C5086" t="s">
        <v>11175</v>
      </c>
      <c r="D5086" t="s">
        <v>11176</v>
      </c>
      <c r="E5086">
        <v>8169056784</v>
      </c>
      <c r="F5086" t="s">
        <v>574</v>
      </c>
      <c r="G5086" t="s">
        <v>575</v>
      </c>
      <c r="I5086" t="s">
        <v>14</v>
      </c>
      <c r="J5086" s="13">
        <v>46083</v>
      </c>
      <c r="K5086" s="13">
        <v>46113</v>
      </c>
      <c r="L5086" t="s">
        <v>434</v>
      </c>
      <c r="M5086" t="s">
        <v>59</v>
      </c>
      <c r="N5086">
        <v>74852697</v>
      </c>
    </row>
    <row r="5087" spans="1:14" x14ac:dyDescent="0.25">
      <c r="A5087">
        <v>61059047</v>
      </c>
      <c r="B5087" t="s">
        <v>3742</v>
      </c>
      <c r="C5087" t="s">
        <v>11177</v>
      </c>
      <c r="D5087" t="s">
        <v>11178</v>
      </c>
      <c r="E5087">
        <v>9375910410</v>
      </c>
      <c r="F5087" t="s">
        <v>448</v>
      </c>
      <c r="G5087" t="s">
        <v>449</v>
      </c>
      <c r="I5087" t="s">
        <v>31</v>
      </c>
      <c r="J5087" s="13">
        <v>46084</v>
      </c>
      <c r="K5087" s="13">
        <v>46113</v>
      </c>
      <c r="L5087" t="s">
        <v>418</v>
      </c>
      <c r="M5087" t="s">
        <v>59</v>
      </c>
      <c r="N5087">
        <v>74864411</v>
      </c>
    </row>
    <row r="5088" spans="1:14" x14ac:dyDescent="0.25">
      <c r="A5088">
        <v>61060642</v>
      </c>
      <c r="B5088" t="s">
        <v>8079</v>
      </c>
      <c r="C5088" t="s">
        <v>2215</v>
      </c>
      <c r="D5088" t="s">
        <v>11179</v>
      </c>
      <c r="E5088">
        <v>7705587800</v>
      </c>
      <c r="F5088" t="s">
        <v>775</v>
      </c>
      <c r="G5088" t="s">
        <v>776</v>
      </c>
      <c r="I5088" t="s">
        <v>22</v>
      </c>
      <c r="J5088" s="13">
        <v>46084</v>
      </c>
      <c r="K5088" s="13">
        <v>46113</v>
      </c>
      <c r="L5088" t="s">
        <v>621</v>
      </c>
      <c r="M5088" t="s">
        <v>56</v>
      </c>
      <c r="N5088">
        <v>74865768</v>
      </c>
    </row>
    <row r="5089" spans="1:14" x14ac:dyDescent="0.25">
      <c r="A5089">
        <v>61061030</v>
      </c>
      <c r="B5089" t="s">
        <v>737</v>
      </c>
      <c r="C5089" t="s">
        <v>546</v>
      </c>
      <c r="D5089" t="s">
        <v>11180</v>
      </c>
      <c r="E5089">
        <v>5025489173</v>
      </c>
      <c r="F5089" t="s">
        <v>790</v>
      </c>
      <c r="G5089" t="s">
        <v>791</v>
      </c>
      <c r="I5089" t="s">
        <v>119</v>
      </c>
      <c r="J5089" s="13">
        <v>46084</v>
      </c>
      <c r="K5089" s="13">
        <v>46113</v>
      </c>
      <c r="L5089" t="s">
        <v>490</v>
      </c>
      <c r="M5089" t="s">
        <v>58</v>
      </c>
      <c r="N5089">
        <v>74865778</v>
      </c>
    </row>
    <row r="5090" spans="1:14" x14ac:dyDescent="0.25">
      <c r="A5090">
        <v>61063621</v>
      </c>
      <c r="B5090" t="s">
        <v>1535</v>
      </c>
      <c r="C5090" t="s">
        <v>11181</v>
      </c>
      <c r="D5090" t="s">
        <v>11182</v>
      </c>
      <c r="E5090">
        <v>6239802450</v>
      </c>
      <c r="F5090" t="s">
        <v>628</v>
      </c>
      <c r="G5090" t="s">
        <v>629</v>
      </c>
      <c r="I5090" t="s">
        <v>24</v>
      </c>
      <c r="J5090" s="13">
        <v>46084</v>
      </c>
      <c r="K5090" s="13">
        <v>46113</v>
      </c>
      <c r="L5090" t="s">
        <v>1179</v>
      </c>
      <c r="M5090" t="s">
        <v>58</v>
      </c>
      <c r="N5090">
        <v>74867399</v>
      </c>
    </row>
    <row r="5091" spans="1:14" x14ac:dyDescent="0.25">
      <c r="A5091">
        <v>61063738</v>
      </c>
      <c r="B5091" t="s">
        <v>1941</v>
      </c>
      <c r="C5091" t="s">
        <v>11183</v>
      </c>
      <c r="D5091" t="s">
        <v>11184</v>
      </c>
      <c r="E5091">
        <v>6026160931</v>
      </c>
      <c r="F5091" t="s">
        <v>780</v>
      </c>
      <c r="G5091" t="s">
        <v>781</v>
      </c>
      <c r="I5091" t="s">
        <v>20</v>
      </c>
      <c r="J5091" s="13">
        <v>46084</v>
      </c>
      <c r="K5091" s="13">
        <v>46113</v>
      </c>
      <c r="L5091" t="s">
        <v>1179</v>
      </c>
      <c r="M5091" t="s">
        <v>54</v>
      </c>
      <c r="N5091">
        <v>74867484</v>
      </c>
    </row>
    <row r="5092" spans="1:14" x14ac:dyDescent="0.25">
      <c r="A5092">
        <v>61064869</v>
      </c>
      <c r="B5092" t="s">
        <v>2188</v>
      </c>
      <c r="C5092" t="s">
        <v>506</v>
      </c>
      <c r="D5092" t="s">
        <v>11185</v>
      </c>
      <c r="E5092">
        <v>3862400668</v>
      </c>
      <c r="F5092" t="s">
        <v>807</v>
      </c>
      <c r="G5092" t="s">
        <v>808</v>
      </c>
      <c r="I5092" t="s">
        <v>33</v>
      </c>
      <c r="J5092" s="13">
        <v>46084</v>
      </c>
      <c r="K5092" s="13">
        <v>46113</v>
      </c>
      <c r="L5092" t="s">
        <v>497</v>
      </c>
      <c r="M5092" t="s">
        <v>56</v>
      </c>
      <c r="N5092">
        <v>74867999</v>
      </c>
    </row>
    <row r="5093" spans="1:14" x14ac:dyDescent="0.25">
      <c r="A5093">
        <v>61065200</v>
      </c>
      <c r="B5093" t="s">
        <v>11186</v>
      </c>
      <c r="C5093" t="s">
        <v>11187</v>
      </c>
      <c r="D5093" t="s">
        <v>11188</v>
      </c>
      <c r="E5093">
        <v>5203587798</v>
      </c>
      <c r="F5093" t="s">
        <v>770</v>
      </c>
      <c r="G5093" t="s">
        <v>771</v>
      </c>
      <c r="I5093" t="s">
        <v>25</v>
      </c>
      <c r="J5093" s="13">
        <v>46084</v>
      </c>
      <c r="K5093" s="13">
        <v>46113</v>
      </c>
      <c r="L5093" t="s">
        <v>1179</v>
      </c>
      <c r="M5093" t="s">
        <v>61</v>
      </c>
      <c r="N5093">
        <v>74868106</v>
      </c>
    </row>
    <row r="5094" spans="1:14" x14ac:dyDescent="0.25">
      <c r="A5094">
        <v>61065243</v>
      </c>
      <c r="B5094" t="s">
        <v>676</v>
      </c>
      <c r="C5094" t="s">
        <v>5879</v>
      </c>
      <c r="D5094" t="s">
        <v>11189</v>
      </c>
      <c r="E5094">
        <v>9803473732</v>
      </c>
      <c r="F5094" t="s">
        <v>10569</v>
      </c>
      <c r="G5094" t="s">
        <v>10570</v>
      </c>
      <c r="I5094" t="s">
        <v>29</v>
      </c>
      <c r="J5094" s="13">
        <v>46084</v>
      </c>
      <c r="K5094" s="13">
        <v>46113</v>
      </c>
      <c r="L5094" t="s">
        <v>533</v>
      </c>
      <c r="M5094" t="s">
        <v>55</v>
      </c>
      <c r="N5094">
        <v>74868151</v>
      </c>
    </row>
    <row r="5095" spans="1:14" x14ac:dyDescent="0.25">
      <c r="A5095">
        <v>61066182</v>
      </c>
      <c r="B5095" t="s">
        <v>1408</v>
      </c>
      <c r="C5095" t="s">
        <v>1801</v>
      </c>
      <c r="D5095" t="s">
        <v>11190</v>
      </c>
      <c r="E5095">
        <v>4806865969</v>
      </c>
      <c r="F5095" t="s">
        <v>551</v>
      </c>
      <c r="G5095" t="s">
        <v>552</v>
      </c>
      <c r="I5095" t="s">
        <v>42</v>
      </c>
      <c r="J5095" s="13">
        <v>46084</v>
      </c>
      <c r="K5095" s="13">
        <v>46113</v>
      </c>
      <c r="L5095" t="s">
        <v>1179</v>
      </c>
      <c r="M5095" t="s">
        <v>61</v>
      </c>
      <c r="N5095">
        <v>74868645</v>
      </c>
    </row>
    <row r="5096" spans="1:14" x14ac:dyDescent="0.25">
      <c r="A5096">
        <v>61066801</v>
      </c>
      <c r="B5096" t="s">
        <v>11191</v>
      </c>
      <c r="C5096" t="s">
        <v>11192</v>
      </c>
      <c r="D5096" t="s">
        <v>11193</v>
      </c>
      <c r="E5096">
        <v>5202564253</v>
      </c>
      <c r="F5096" t="s">
        <v>416</v>
      </c>
      <c r="G5096" t="s">
        <v>417</v>
      </c>
      <c r="I5096" t="s">
        <v>26</v>
      </c>
      <c r="J5096" s="13">
        <v>46084</v>
      </c>
      <c r="K5096" s="13">
        <v>46113</v>
      </c>
      <c r="L5096" t="s">
        <v>1179</v>
      </c>
      <c r="M5096" t="s">
        <v>59</v>
      </c>
      <c r="N5096">
        <v>74868993</v>
      </c>
    </row>
    <row r="5097" spans="1:14" x14ac:dyDescent="0.25">
      <c r="A5097">
        <v>61067715</v>
      </c>
      <c r="B5097" t="s">
        <v>2523</v>
      </c>
      <c r="C5097" t="s">
        <v>11194</v>
      </c>
      <c r="D5097" t="s">
        <v>11195</v>
      </c>
      <c r="E5097">
        <v>5015198532</v>
      </c>
      <c r="F5097" t="s">
        <v>1067</v>
      </c>
      <c r="G5097" t="s">
        <v>1068</v>
      </c>
      <c r="I5097" t="s">
        <v>35</v>
      </c>
      <c r="J5097" s="13">
        <v>46084</v>
      </c>
      <c r="K5097" s="13">
        <v>46082</v>
      </c>
      <c r="L5097" t="s">
        <v>553</v>
      </c>
      <c r="M5097" t="s">
        <v>56</v>
      </c>
      <c r="N5097">
        <v>74869558</v>
      </c>
    </row>
    <row r="5098" spans="1:14" x14ac:dyDescent="0.25">
      <c r="A5098">
        <v>61070684</v>
      </c>
      <c r="B5098" t="s">
        <v>554</v>
      </c>
      <c r="C5098" t="s">
        <v>1965</v>
      </c>
      <c r="D5098" t="s">
        <v>11196</v>
      </c>
      <c r="E5098">
        <v>3098838145</v>
      </c>
      <c r="F5098" t="s">
        <v>448</v>
      </c>
      <c r="G5098" t="s">
        <v>449</v>
      </c>
      <c r="I5098" t="s">
        <v>31</v>
      </c>
      <c r="J5098" s="13">
        <v>46084</v>
      </c>
      <c r="K5098" s="13">
        <v>46113</v>
      </c>
      <c r="L5098" t="s">
        <v>470</v>
      </c>
      <c r="M5098" t="s">
        <v>60</v>
      </c>
      <c r="N5098">
        <v>74871817</v>
      </c>
    </row>
    <row r="5099" spans="1:14" x14ac:dyDescent="0.25">
      <c r="A5099">
        <v>61071257</v>
      </c>
      <c r="B5099" t="s">
        <v>695</v>
      </c>
      <c r="C5099" t="s">
        <v>564</v>
      </c>
      <c r="D5099" t="s">
        <v>11197</v>
      </c>
      <c r="E5099">
        <v>9286994069</v>
      </c>
      <c r="F5099" t="s">
        <v>649</v>
      </c>
      <c r="G5099" t="s">
        <v>650</v>
      </c>
      <c r="I5099" t="s">
        <v>28</v>
      </c>
      <c r="J5099" s="13">
        <v>46084</v>
      </c>
      <c r="K5099" s="13">
        <v>46113</v>
      </c>
      <c r="L5099" t="s">
        <v>1179</v>
      </c>
      <c r="M5099" t="s">
        <v>59</v>
      </c>
      <c r="N5099">
        <v>74872357</v>
      </c>
    </row>
    <row r="5100" spans="1:14" x14ac:dyDescent="0.25">
      <c r="A5100">
        <v>61072414</v>
      </c>
      <c r="B5100" t="s">
        <v>4475</v>
      </c>
      <c r="C5100" t="s">
        <v>11198</v>
      </c>
      <c r="D5100" t="s">
        <v>11199</v>
      </c>
      <c r="E5100">
        <v>9083381252</v>
      </c>
      <c r="F5100" t="s">
        <v>1013</v>
      </c>
      <c r="G5100" t="s">
        <v>1014</v>
      </c>
      <c r="I5100" t="s">
        <v>43</v>
      </c>
      <c r="J5100" s="13">
        <v>46084</v>
      </c>
      <c r="K5100" s="13">
        <v>46113</v>
      </c>
      <c r="L5100" t="s">
        <v>497</v>
      </c>
      <c r="M5100" t="s">
        <v>54</v>
      </c>
      <c r="N5100">
        <v>74873253</v>
      </c>
    </row>
    <row r="5101" spans="1:14" x14ac:dyDescent="0.25">
      <c r="A5101">
        <v>61072422</v>
      </c>
      <c r="B5101" t="s">
        <v>1535</v>
      </c>
      <c r="C5101" t="s">
        <v>11200</v>
      </c>
      <c r="D5101" t="s">
        <v>11201</v>
      </c>
      <c r="E5101">
        <v>7193717069</v>
      </c>
      <c r="F5101" t="s">
        <v>10460</v>
      </c>
      <c r="G5101" t="s">
        <v>6663</v>
      </c>
      <c r="I5101" t="s">
        <v>40</v>
      </c>
      <c r="J5101" s="13">
        <v>46084</v>
      </c>
      <c r="K5101" s="13">
        <v>46113</v>
      </c>
      <c r="L5101" t="s">
        <v>539</v>
      </c>
      <c r="M5101" t="s">
        <v>59</v>
      </c>
      <c r="N5101">
        <v>74873260</v>
      </c>
    </row>
    <row r="5102" spans="1:14" x14ac:dyDescent="0.25">
      <c r="A5102">
        <v>61072659</v>
      </c>
      <c r="B5102" t="s">
        <v>458</v>
      </c>
      <c r="C5102" t="s">
        <v>11202</v>
      </c>
      <c r="D5102" t="s">
        <v>11203</v>
      </c>
      <c r="E5102">
        <v>2055687714</v>
      </c>
      <c r="F5102" t="s">
        <v>815</v>
      </c>
      <c r="G5102" t="s">
        <v>816</v>
      </c>
      <c r="I5102" t="s">
        <v>23</v>
      </c>
      <c r="J5102" s="13">
        <v>46084</v>
      </c>
      <c r="K5102" s="13">
        <v>46113</v>
      </c>
      <c r="L5102" t="s">
        <v>450</v>
      </c>
      <c r="M5102" t="s">
        <v>59</v>
      </c>
      <c r="N5102">
        <v>74873429</v>
      </c>
    </row>
    <row r="5103" spans="1:14" x14ac:dyDescent="0.25">
      <c r="A5103">
        <v>61073024</v>
      </c>
      <c r="B5103" t="s">
        <v>6434</v>
      </c>
      <c r="C5103" t="s">
        <v>2143</v>
      </c>
      <c r="D5103" t="s">
        <v>11204</v>
      </c>
      <c r="E5103">
        <v>6085775322</v>
      </c>
      <c r="F5103" t="s">
        <v>474</v>
      </c>
      <c r="G5103" t="s">
        <v>475</v>
      </c>
      <c r="I5103" t="s">
        <v>132</v>
      </c>
      <c r="J5103" s="13">
        <v>46084</v>
      </c>
      <c r="K5103" s="13">
        <v>46113</v>
      </c>
      <c r="L5103" t="s">
        <v>675</v>
      </c>
      <c r="M5103" t="s">
        <v>61</v>
      </c>
      <c r="N5103">
        <v>74873851</v>
      </c>
    </row>
    <row r="5104" spans="1:14" x14ac:dyDescent="0.25">
      <c r="A5104">
        <v>61073839</v>
      </c>
      <c r="B5104" t="s">
        <v>5917</v>
      </c>
      <c r="C5104" t="s">
        <v>11205</v>
      </c>
      <c r="D5104" t="s">
        <v>11206</v>
      </c>
      <c r="E5104">
        <v>4802165908</v>
      </c>
      <c r="F5104" t="s">
        <v>10591</v>
      </c>
      <c r="G5104" t="s">
        <v>10215</v>
      </c>
      <c r="I5104" t="s">
        <v>32</v>
      </c>
      <c r="J5104" s="13">
        <v>46084</v>
      </c>
      <c r="K5104" s="13">
        <v>46113</v>
      </c>
      <c r="L5104" t="s">
        <v>1179</v>
      </c>
      <c r="M5104" t="s">
        <v>54</v>
      </c>
      <c r="N5104">
        <v>74874577</v>
      </c>
    </row>
    <row r="5105" spans="1:14" x14ac:dyDescent="0.25">
      <c r="A5105">
        <v>61073904</v>
      </c>
      <c r="B5105" t="s">
        <v>2774</v>
      </c>
      <c r="C5105" t="s">
        <v>6807</v>
      </c>
      <c r="D5105" t="s">
        <v>11207</v>
      </c>
      <c r="E5105">
        <v>6232183570</v>
      </c>
      <c r="F5105" t="s">
        <v>416</v>
      </c>
      <c r="G5105" t="s">
        <v>417</v>
      </c>
      <c r="I5105" t="s">
        <v>26</v>
      </c>
      <c r="J5105" s="13">
        <v>46084</v>
      </c>
      <c r="K5105" s="13">
        <v>46113</v>
      </c>
      <c r="L5105" t="s">
        <v>1179</v>
      </c>
      <c r="M5105" t="s">
        <v>59</v>
      </c>
      <c r="N5105">
        <v>74874598</v>
      </c>
    </row>
    <row r="5106" spans="1:14" x14ac:dyDescent="0.25">
      <c r="A5106">
        <v>61075362</v>
      </c>
      <c r="B5106" t="s">
        <v>2855</v>
      </c>
      <c r="C5106" t="s">
        <v>5636</v>
      </c>
      <c r="D5106" t="s">
        <v>11208</v>
      </c>
      <c r="E5106">
        <v>2566362813</v>
      </c>
      <c r="F5106" t="s">
        <v>790</v>
      </c>
      <c r="G5106" t="s">
        <v>791</v>
      </c>
      <c r="I5106" t="s">
        <v>119</v>
      </c>
      <c r="J5106" s="13">
        <v>46084</v>
      </c>
      <c r="K5106" s="13">
        <v>46113</v>
      </c>
      <c r="L5106" t="s">
        <v>450</v>
      </c>
      <c r="M5106" t="s">
        <v>58</v>
      </c>
      <c r="N5106">
        <v>74875441</v>
      </c>
    </row>
    <row r="5107" spans="1:14" x14ac:dyDescent="0.25">
      <c r="A5107">
        <v>61075183</v>
      </c>
      <c r="B5107" t="s">
        <v>2311</v>
      </c>
      <c r="C5107" t="s">
        <v>1865</v>
      </c>
      <c r="D5107" t="s">
        <v>11209</v>
      </c>
      <c r="E5107">
        <v>2702461127</v>
      </c>
      <c r="F5107" t="s">
        <v>688</v>
      </c>
      <c r="G5107" t="s">
        <v>10291</v>
      </c>
      <c r="I5107" t="s">
        <v>48</v>
      </c>
      <c r="J5107" s="13">
        <v>46084</v>
      </c>
      <c r="K5107" s="13">
        <v>46113</v>
      </c>
      <c r="L5107" t="s">
        <v>490</v>
      </c>
      <c r="M5107" t="s">
        <v>58</v>
      </c>
      <c r="N5107">
        <v>74875444</v>
      </c>
    </row>
    <row r="5108" spans="1:14" x14ac:dyDescent="0.25">
      <c r="A5108">
        <v>61076722</v>
      </c>
      <c r="B5108" t="s">
        <v>11210</v>
      </c>
      <c r="C5108" t="s">
        <v>11211</v>
      </c>
      <c r="D5108" t="s">
        <v>11212</v>
      </c>
      <c r="E5108">
        <v>5204192107</v>
      </c>
      <c r="F5108" t="s">
        <v>416</v>
      </c>
      <c r="G5108" t="s">
        <v>417</v>
      </c>
      <c r="I5108" t="s">
        <v>26</v>
      </c>
      <c r="J5108" s="13">
        <v>46084</v>
      </c>
      <c r="K5108" s="13">
        <v>46113</v>
      </c>
      <c r="L5108" t="s">
        <v>1179</v>
      </c>
      <c r="M5108" t="s">
        <v>54</v>
      </c>
      <c r="N5108">
        <v>74876455</v>
      </c>
    </row>
    <row r="5109" spans="1:14" x14ac:dyDescent="0.25">
      <c r="A5109">
        <v>61076892</v>
      </c>
      <c r="B5109" t="s">
        <v>11213</v>
      </c>
      <c r="C5109" t="s">
        <v>11214</v>
      </c>
      <c r="D5109" t="s">
        <v>11215</v>
      </c>
      <c r="E5109">
        <v>6238260562</v>
      </c>
      <c r="F5109" t="s">
        <v>705</v>
      </c>
      <c r="G5109" t="s">
        <v>706</v>
      </c>
      <c r="I5109" t="s">
        <v>12</v>
      </c>
      <c r="J5109" s="13">
        <v>46084</v>
      </c>
      <c r="K5109" s="13">
        <v>46113</v>
      </c>
      <c r="L5109" t="s">
        <v>1179</v>
      </c>
      <c r="M5109" t="s">
        <v>56</v>
      </c>
      <c r="N5109">
        <v>74876826</v>
      </c>
    </row>
    <row r="5110" spans="1:14" x14ac:dyDescent="0.25">
      <c r="A5110">
        <v>61079513</v>
      </c>
      <c r="B5110" t="s">
        <v>9425</v>
      </c>
      <c r="C5110" t="s">
        <v>1917</v>
      </c>
      <c r="D5110" t="s">
        <v>11216</v>
      </c>
      <c r="E5110">
        <v>9543019462</v>
      </c>
      <c r="F5110" t="s">
        <v>474</v>
      </c>
      <c r="G5110" t="s">
        <v>475</v>
      </c>
      <c r="I5110" t="s">
        <v>132</v>
      </c>
      <c r="J5110" s="13">
        <v>46084</v>
      </c>
      <c r="K5110" s="13">
        <v>46113</v>
      </c>
      <c r="L5110" t="s">
        <v>497</v>
      </c>
      <c r="M5110" t="s">
        <v>56</v>
      </c>
      <c r="N5110">
        <v>74878733</v>
      </c>
    </row>
    <row r="5111" spans="1:14" x14ac:dyDescent="0.25">
      <c r="A5111">
        <v>61080994</v>
      </c>
      <c r="B5111" t="s">
        <v>480</v>
      </c>
      <c r="C5111" t="s">
        <v>506</v>
      </c>
      <c r="D5111" t="s">
        <v>11217</v>
      </c>
      <c r="E5111">
        <v>9543832907</v>
      </c>
      <c r="F5111" t="s">
        <v>628</v>
      </c>
      <c r="G5111" t="s">
        <v>629</v>
      </c>
      <c r="I5111" t="s">
        <v>24</v>
      </c>
      <c r="J5111" s="13">
        <v>46084</v>
      </c>
      <c r="K5111" s="13">
        <v>46113</v>
      </c>
      <c r="L5111" t="s">
        <v>497</v>
      </c>
      <c r="M5111" t="s">
        <v>59</v>
      </c>
      <c r="N5111">
        <v>74879341</v>
      </c>
    </row>
    <row r="5112" spans="1:14" x14ac:dyDescent="0.25">
      <c r="A5112">
        <v>61081101</v>
      </c>
      <c r="B5112" t="s">
        <v>11218</v>
      </c>
      <c r="C5112" t="s">
        <v>11219</v>
      </c>
      <c r="D5112" t="s">
        <v>11220</v>
      </c>
      <c r="E5112" t="s">
        <v>11221</v>
      </c>
      <c r="F5112" t="s">
        <v>775</v>
      </c>
      <c r="G5112" t="s">
        <v>776</v>
      </c>
      <c r="I5112" t="s">
        <v>22</v>
      </c>
      <c r="J5112" s="13">
        <v>46084</v>
      </c>
      <c r="K5112" s="13">
        <v>46113</v>
      </c>
      <c r="L5112" t="s">
        <v>553</v>
      </c>
      <c r="M5112" t="s">
        <v>56</v>
      </c>
      <c r="N5112">
        <v>74879373</v>
      </c>
    </row>
    <row r="5113" spans="1:14" x14ac:dyDescent="0.25">
      <c r="A5113">
        <v>61081621</v>
      </c>
      <c r="B5113" t="s">
        <v>672</v>
      </c>
      <c r="C5113" t="s">
        <v>11222</v>
      </c>
      <c r="D5113" t="s">
        <v>11223</v>
      </c>
      <c r="E5113" t="s">
        <v>11221</v>
      </c>
      <c r="F5113" t="s">
        <v>775</v>
      </c>
      <c r="G5113" t="s">
        <v>776</v>
      </c>
      <c r="I5113" t="s">
        <v>22</v>
      </c>
      <c r="J5113" s="13">
        <v>46084</v>
      </c>
      <c r="K5113" s="13">
        <v>46113</v>
      </c>
      <c r="L5113" t="s">
        <v>553</v>
      </c>
      <c r="M5113" t="s">
        <v>56</v>
      </c>
      <c r="N5113">
        <v>74879400</v>
      </c>
    </row>
    <row r="5114" spans="1:14" x14ac:dyDescent="0.25">
      <c r="A5114">
        <v>61082043</v>
      </c>
      <c r="B5114" t="s">
        <v>4811</v>
      </c>
      <c r="C5114" t="s">
        <v>11224</v>
      </c>
      <c r="D5114" t="s">
        <v>11225</v>
      </c>
      <c r="E5114">
        <v>4174990496</v>
      </c>
      <c r="F5114" t="s">
        <v>10253</v>
      </c>
      <c r="G5114" t="s">
        <v>781</v>
      </c>
      <c r="I5114" t="s">
        <v>36</v>
      </c>
      <c r="J5114" s="13">
        <v>46084</v>
      </c>
      <c r="K5114" s="13">
        <v>46113</v>
      </c>
      <c r="L5114" t="s">
        <v>434</v>
      </c>
      <c r="M5114" t="s">
        <v>59</v>
      </c>
      <c r="N5114">
        <v>74879758</v>
      </c>
    </row>
    <row r="5115" spans="1:14" x14ac:dyDescent="0.25">
      <c r="A5115">
        <v>61083056</v>
      </c>
      <c r="B5115" t="s">
        <v>11226</v>
      </c>
      <c r="C5115" t="s">
        <v>1147</v>
      </c>
      <c r="D5115" t="s">
        <v>11227</v>
      </c>
      <c r="E5115">
        <v>8508605451</v>
      </c>
      <c r="F5115" t="s">
        <v>1345</v>
      </c>
      <c r="G5115" t="s">
        <v>799</v>
      </c>
      <c r="I5115" t="s">
        <v>47</v>
      </c>
      <c r="J5115" s="13">
        <v>46084</v>
      </c>
      <c r="K5115" s="13">
        <v>46113</v>
      </c>
      <c r="L5115" t="s">
        <v>497</v>
      </c>
      <c r="M5115" t="s">
        <v>58</v>
      </c>
      <c r="N5115">
        <v>74880084</v>
      </c>
    </row>
    <row r="5116" spans="1:14" x14ac:dyDescent="0.25">
      <c r="A5116">
        <v>61085042</v>
      </c>
      <c r="B5116" t="s">
        <v>521</v>
      </c>
      <c r="C5116" t="s">
        <v>11228</v>
      </c>
      <c r="D5116" t="s">
        <v>11229</v>
      </c>
      <c r="F5116" t="s">
        <v>770</v>
      </c>
      <c r="G5116" t="s">
        <v>771</v>
      </c>
      <c r="I5116" t="s">
        <v>25</v>
      </c>
      <c r="J5116" s="13">
        <v>46084</v>
      </c>
      <c r="K5116" s="13">
        <v>46113</v>
      </c>
      <c r="L5116" t="s">
        <v>1179</v>
      </c>
      <c r="M5116" t="s">
        <v>56</v>
      </c>
      <c r="N5116">
        <v>74881276</v>
      </c>
    </row>
    <row r="5117" spans="1:14" x14ac:dyDescent="0.25">
      <c r="A5117">
        <v>61085117</v>
      </c>
      <c r="B5117" t="s">
        <v>622</v>
      </c>
      <c r="C5117" t="s">
        <v>10828</v>
      </c>
      <c r="D5117" t="s">
        <v>11230</v>
      </c>
      <c r="E5117">
        <v>8507309377</v>
      </c>
      <c r="F5117" t="s">
        <v>1013</v>
      </c>
      <c r="G5117" t="s">
        <v>1014</v>
      </c>
      <c r="I5117" t="s">
        <v>43</v>
      </c>
      <c r="J5117" s="13">
        <v>46084</v>
      </c>
      <c r="K5117" s="13">
        <v>46113</v>
      </c>
      <c r="L5117" t="s">
        <v>497</v>
      </c>
      <c r="M5117" t="s">
        <v>56</v>
      </c>
      <c r="N5117">
        <v>74881327</v>
      </c>
    </row>
    <row r="5118" spans="1:14" x14ac:dyDescent="0.25">
      <c r="A5118">
        <v>61085941</v>
      </c>
      <c r="B5118" t="s">
        <v>11231</v>
      </c>
      <c r="C5118" t="s">
        <v>11232</v>
      </c>
      <c r="D5118" t="s">
        <v>11233</v>
      </c>
      <c r="E5118">
        <v>7862222232</v>
      </c>
      <c r="F5118" t="s">
        <v>775</v>
      </c>
      <c r="G5118" t="s">
        <v>776</v>
      </c>
      <c r="I5118" t="s">
        <v>22</v>
      </c>
      <c r="J5118" s="13">
        <v>46084</v>
      </c>
      <c r="K5118" s="13">
        <v>46113</v>
      </c>
      <c r="L5118" t="s">
        <v>497</v>
      </c>
      <c r="M5118" t="s">
        <v>56</v>
      </c>
      <c r="N5118">
        <v>74881946</v>
      </c>
    </row>
    <row r="5119" spans="1:14" x14ac:dyDescent="0.25">
      <c r="A5119">
        <v>61098883</v>
      </c>
      <c r="B5119" t="s">
        <v>11234</v>
      </c>
      <c r="C5119" t="s">
        <v>6867</v>
      </c>
      <c r="D5119" t="s">
        <v>11235</v>
      </c>
      <c r="E5119">
        <v>9044975592</v>
      </c>
      <c r="F5119" t="s">
        <v>574</v>
      </c>
      <c r="G5119" t="s">
        <v>575</v>
      </c>
      <c r="I5119" t="s">
        <v>14</v>
      </c>
      <c r="J5119" s="13">
        <v>46084</v>
      </c>
      <c r="K5119" s="13">
        <v>46113</v>
      </c>
      <c r="L5119" t="s">
        <v>497</v>
      </c>
      <c r="M5119" t="s">
        <v>56</v>
      </c>
      <c r="N5119">
        <v>74892333</v>
      </c>
    </row>
    <row r="5120" spans="1:14" x14ac:dyDescent="0.25">
      <c r="A5120">
        <v>61114988</v>
      </c>
      <c r="B5120" t="s">
        <v>3887</v>
      </c>
      <c r="C5120" t="s">
        <v>11236</v>
      </c>
      <c r="D5120" t="s">
        <v>11237</v>
      </c>
      <c r="E5120">
        <v>3184712270</v>
      </c>
      <c r="F5120" t="s">
        <v>574</v>
      </c>
      <c r="G5120" t="s">
        <v>575</v>
      </c>
      <c r="I5120" t="s">
        <v>14</v>
      </c>
      <c r="J5120" s="13">
        <v>46085</v>
      </c>
      <c r="K5120" s="13">
        <v>46113</v>
      </c>
      <c r="L5120" t="s">
        <v>612</v>
      </c>
      <c r="M5120" t="s">
        <v>419</v>
      </c>
      <c r="N5120">
        <v>74904378</v>
      </c>
    </row>
    <row r="5121" spans="1:14" x14ac:dyDescent="0.25">
      <c r="A5121">
        <v>61115137</v>
      </c>
      <c r="B5121" t="s">
        <v>2662</v>
      </c>
      <c r="C5121" t="s">
        <v>549</v>
      </c>
      <c r="D5121" t="s">
        <v>11238</v>
      </c>
      <c r="E5121">
        <v>8505676437</v>
      </c>
      <c r="F5121" t="s">
        <v>1013</v>
      </c>
      <c r="G5121" t="s">
        <v>1014</v>
      </c>
      <c r="I5121" t="s">
        <v>43</v>
      </c>
      <c r="J5121" s="13">
        <v>46085</v>
      </c>
      <c r="K5121" s="13">
        <v>46113</v>
      </c>
      <c r="L5121" t="s">
        <v>497</v>
      </c>
      <c r="M5121" t="s">
        <v>54</v>
      </c>
      <c r="N5121">
        <v>74904505</v>
      </c>
    </row>
    <row r="5122" spans="1:14" x14ac:dyDescent="0.25">
      <c r="A5122">
        <v>61116072</v>
      </c>
      <c r="B5122" t="s">
        <v>8905</v>
      </c>
      <c r="C5122" t="s">
        <v>11239</v>
      </c>
      <c r="D5122" t="s">
        <v>11240</v>
      </c>
      <c r="E5122">
        <v>4803751770</v>
      </c>
      <c r="F5122" t="s">
        <v>688</v>
      </c>
      <c r="G5122" t="s">
        <v>10291</v>
      </c>
      <c r="I5122" t="s">
        <v>48</v>
      </c>
      <c r="J5122" s="13">
        <v>46085</v>
      </c>
      <c r="K5122" s="13">
        <v>46113</v>
      </c>
      <c r="L5122" t="s">
        <v>1179</v>
      </c>
      <c r="M5122" t="s">
        <v>61</v>
      </c>
      <c r="N5122">
        <v>74905196</v>
      </c>
    </row>
    <row r="5123" spans="1:14" x14ac:dyDescent="0.25">
      <c r="A5123">
        <v>61116965</v>
      </c>
      <c r="B5123" t="s">
        <v>8906</v>
      </c>
      <c r="C5123" t="s">
        <v>11241</v>
      </c>
      <c r="D5123" t="s">
        <v>11242</v>
      </c>
      <c r="E5123">
        <v>8707396206</v>
      </c>
      <c r="F5123" t="s">
        <v>551</v>
      </c>
      <c r="G5123" t="s">
        <v>552</v>
      </c>
      <c r="I5123" t="s">
        <v>42</v>
      </c>
      <c r="J5123" s="13">
        <v>46085</v>
      </c>
      <c r="K5123" s="13">
        <v>46113</v>
      </c>
      <c r="L5123" t="s">
        <v>553</v>
      </c>
      <c r="M5123" t="s">
        <v>59</v>
      </c>
      <c r="N5123">
        <v>74905588</v>
      </c>
    </row>
    <row r="5124" spans="1:14" x14ac:dyDescent="0.25">
      <c r="A5124">
        <v>61118151</v>
      </c>
      <c r="B5124" t="s">
        <v>4287</v>
      </c>
      <c r="C5124" t="s">
        <v>4385</v>
      </c>
      <c r="D5124" t="s">
        <v>11243</v>
      </c>
      <c r="E5124">
        <v>7736068687</v>
      </c>
      <c r="F5124" t="s">
        <v>649</v>
      </c>
      <c r="G5124" t="s">
        <v>650</v>
      </c>
      <c r="I5124" t="s">
        <v>28</v>
      </c>
      <c r="J5124" s="13">
        <v>46085</v>
      </c>
      <c r="K5124" s="13">
        <v>46113</v>
      </c>
      <c r="L5124" t="s">
        <v>470</v>
      </c>
      <c r="M5124" t="s">
        <v>61</v>
      </c>
      <c r="N5124">
        <v>74910210</v>
      </c>
    </row>
    <row r="5125" spans="1:14" x14ac:dyDescent="0.25">
      <c r="A5125">
        <v>61120243</v>
      </c>
      <c r="B5125" t="s">
        <v>1643</v>
      </c>
      <c r="C5125" t="s">
        <v>1016</v>
      </c>
      <c r="D5125" t="s">
        <v>11244</v>
      </c>
      <c r="E5125" t="s">
        <v>11245</v>
      </c>
      <c r="F5125" t="s">
        <v>551</v>
      </c>
      <c r="G5125" t="s">
        <v>552</v>
      </c>
      <c r="I5125" t="s">
        <v>42</v>
      </c>
      <c r="J5125" s="13">
        <v>46085</v>
      </c>
      <c r="K5125" s="13">
        <v>46113</v>
      </c>
      <c r="L5125" t="s">
        <v>553</v>
      </c>
      <c r="M5125" t="s">
        <v>58</v>
      </c>
      <c r="N5125">
        <v>74910675</v>
      </c>
    </row>
    <row r="5126" spans="1:14" x14ac:dyDescent="0.25">
      <c r="A5126">
        <v>61120589</v>
      </c>
      <c r="B5126" t="s">
        <v>7922</v>
      </c>
      <c r="C5126" t="s">
        <v>11246</v>
      </c>
      <c r="D5126" t="s">
        <v>11247</v>
      </c>
      <c r="E5126">
        <v>7062234340</v>
      </c>
      <c r="F5126" t="s">
        <v>569</v>
      </c>
      <c r="G5126" t="s">
        <v>570</v>
      </c>
      <c r="I5126" t="s">
        <v>34</v>
      </c>
      <c r="J5126" s="13">
        <v>46085</v>
      </c>
      <c r="K5126" s="13">
        <v>46113</v>
      </c>
      <c r="L5126" t="s">
        <v>621</v>
      </c>
      <c r="M5126" t="s">
        <v>56</v>
      </c>
      <c r="N5126">
        <v>74910901</v>
      </c>
    </row>
    <row r="5127" spans="1:14" x14ac:dyDescent="0.25">
      <c r="A5127">
        <v>61121209</v>
      </c>
      <c r="B5127" t="s">
        <v>11248</v>
      </c>
      <c r="C5127" t="s">
        <v>1147</v>
      </c>
      <c r="D5127" t="s">
        <v>11249</v>
      </c>
      <c r="E5127">
        <v>7206214887</v>
      </c>
      <c r="F5127" t="s">
        <v>628</v>
      </c>
      <c r="G5127" t="s">
        <v>629</v>
      </c>
      <c r="I5127" t="s">
        <v>24</v>
      </c>
      <c r="J5127" s="13">
        <v>46085</v>
      </c>
      <c r="K5127" s="13">
        <v>46113</v>
      </c>
      <c r="L5127" t="s">
        <v>539</v>
      </c>
      <c r="M5127" t="s">
        <v>419</v>
      </c>
      <c r="N5127">
        <v>74911321</v>
      </c>
    </row>
    <row r="5128" spans="1:14" x14ac:dyDescent="0.25">
      <c r="A5128">
        <v>61121335</v>
      </c>
      <c r="B5128" t="s">
        <v>11250</v>
      </c>
      <c r="C5128" t="s">
        <v>2678</v>
      </c>
      <c r="D5128" t="s">
        <v>11251</v>
      </c>
      <c r="E5128">
        <v>6156485001</v>
      </c>
      <c r="F5128" t="s">
        <v>574</v>
      </c>
      <c r="G5128" t="s">
        <v>575</v>
      </c>
      <c r="I5128" t="s">
        <v>14</v>
      </c>
      <c r="J5128" s="13">
        <v>46085</v>
      </c>
      <c r="K5128" s="13">
        <v>46113</v>
      </c>
      <c r="L5128" t="s">
        <v>418</v>
      </c>
      <c r="M5128" t="s">
        <v>55</v>
      </c>
      <c r="N5128">
        <v>74911424</v>
      </c>
    </row>
    <row r="5129" spans="1:14" x14ac:dyDescent="0.25">
      <c r="A5129">
        <v>61121611</v>
      </c>
      <c r="B5129" t="s">
        <v>1675</v>
      </c>
      <c r="C5129" t="s">
        <v>11252</v>
      </c>
      <c r="D5129" t="s">
        <v>11253</v>
      </c>
      <c r="E5129">
        <v>5615962486</v>
      </c>
      <c r="F5129" t="s">
        <v>780</v>
      </c>
      <c r="G5129" t="s">
        <v>781</v>
      </c>
      <c r="I5129" t="s">
        <v>20</v>
      </c>
      <c r="J5129" s="13">
        <v>46085</v>
      </c>
      <c r="K5129" s="13">
        <v>46113</v>
      </c>
      <c r="L5129" t="s">
        <v>497</v>
      </c>
      <c r="M5129" t="s">
        <v>54</v>
      </c>
      <c r="N5129">
        <v>74911600</v>
      </c>
    </row>
    <row r="5130" spans="1:14" x14ac:dyDescent="0.25">
      <c r="A5130">
        <v>62218339</v>
      </c>
      <c r="B5130" t="s">
        <v>5075</v>
      </c>
      <c r="C5130" t="s">
        <v>3494</v>
      </c>
      <c r="D5130" t="s">
        <v>11254</v>
      </c>
      <c r="E5130">
        <v>8432270725</v>
      </c>
      <c r="F5130" t="s">
        <v>928</v>
      </c>
      <c r="G5130" t="s">
        <v>929</v>
      </c>
      <c r="I5130" t="s">
        <v>30</v>
      </c>
      <c r="J5130" s="13">
        <v>46105</v>
      </c>
      <c r="K5130" s="13">
        <v>46113</v>
      </c>
      <c r="L5130" t="s">
        <v>418</v>
      </c>
      <c r="M5130" t="s">
        <v>59</v>
      </c>
      <c r="N5130">
        <v>74911901</v>
      </c>
    </row>
    <row r="5131" spans="1:14" x14ac:dyDescent="0.25">
      <c r="A5131">
        <v>61122027</v>
      </c>
      <c r="B5131" t="s">
        <v>609</v>
      </c>
      <c r="C5131" t="s">
        <v>8104</v>
      </c>
      <c r="D5131" t="s">
        <v>11255</v>
      </c>
      <c r="E5131" t="s">
        <v>11256</v>
      </c>
      <c r="F5131" t="s">
        <v>770</v>
      </c>
      <c r="G5131" t="s">
        <v>771</v>
      </c>
      <c r="I5131" t="s">
        <v>25</v>
      </c>
      <c r="J5131" s="13">
        <v>46085</v>
      </c>
      <c r="K5131" s="13">
        <v>46113</v>
      </c>
      <c r="L5131" t="s">
        <v>1179</v>
      </c>
      <c r="M5131" t="s">
        <v>56</v>
      </c>
      <c r="N5131">
        <v>74911970</v>
      </c>
    </row>
    <row r="5132" spans="1:14" x14ac:dyDescent="0.25">
      <c r="A5132">
        <v>61123217</v>
      </c>
      <c r="B5132" t="s">
        <v>501</v>
      </c>
      <c r="C5132" t="s">
        <v>4419</v>
      </c>
      <c r="D5132" t="s">
        <v>11257</v>
      </c>
      <c r="E5132">
        <v>4802135839</v>
      </c>
      <c r="F5132" t="s">
        <v>807</v>
      </c>
      <c r="G5132" t="s">
        <v>808</v>
      </c>
      <c r="I5132" t="s">
        <v>33</v>
      </c>
      <c r="J5132" s="13">
        <v>46085</v>
      </c>
      <c r="K5132" s="13">
        <v>46113</v>
      </c>
      <c r="L5132" t="s">
        <v>1179</v>
      </c>
      <c r="M5132" t="s">
        <v>56</v>
      </c>
      <c r="N5132">
        <v>74914773</v>
      </c>
    </row>
    <row r="5133" spans="1:14" x14ac:dyDescent="0.25">
      <c r="A5133">
        <v>61124828</v>
      </c>
      <c r="B5133" t="s">
        <v>11258</v>
      </c>
      <c r="C5133" t="s">
        <v>11259</v>
      </c>
      <c r="D5133" t="s">
        <v>11260</v>
      </c>
      <c r="E5133">
        <v>7708736387</v>
      </c>
      <c r="F5133" t="s">
        <v>10591</v>
      </c>
      <c r="G5133" t="s">
        <v>10215</v>
      </c>
      <c r="I5133" t="s">
        <v>32</v>
      </c>
      <c r="J5133" s="13">
        <v>46085</v>
      </c>
      <c r="K5133" s="13">
        <v>46113</v>
      </c>
      <c r="L5133" t="s">
        <v>621</v>
      </c>
      <c r="M5133" t="s">
        <v>59</v>
      </c>
      <c r="N5133">
        <v>74919503</v>
      </c>
    </row>
    <row r="5134" spans="1:14" x14ac:dyDescent="0.25">
      <c r="A5134">
        <v>61126051</v>
      </c>
      <c r="B5134" t="s">
        <v>1408</v>
      </c>
      <c r="C5134" t="s">
        <v>4633</v>
      </c>
      <c r="D5134" t="s">
        <v>11261</v>
      </c>
      <c r="E5134">
        <v>6593040537</v>
      </c>
      <c r="F5134" t="s">
        <v>10460</v>
      </c>
      <c r="G5134" t="s">
        <v>6663</v>
      </c>
      <c r="I5134" t="s">
        <v>40</v>
      </c>
      <c r="J5134" s="13">
        <v>46085</v>
      </c>
      <c r="K5134" s="13">
        <v>46113</v>
      </c>
      <c r="L5134" t="s">
        <v>450</v>
      </c>
      <c r="M5134" t="s">
        <v>56</v>
      </c>
      <c r="N5134">
        <v>74924833</v>
      </c>
    </row>
    <row r="5135" spans="1:14" x14ac:dyDescent="0.25">
      <c r="A5135">
        <v>61126700</v>
      </c>
      <c r="B5135" t="s">
        <v>791</v>
      </c>
      <c r="C5135" t="s">
        <v>11262</v>
      </c>
      <c r="D5135" t="s">
        <v>11263</v>
      </c>
      <c r="E5135">
        <v>6205212515</v>
      </c>
      <c r="F5135" t="s">
        <v>569</v>
      </c>
      <c r="G5135" t="s">
        <v>570</v>
      </c>
      <c r="I5135" t="s">
        <v>34</v>
      </c>
      <c r="J5135" s="13">
        <v>46085</v>
      </c>
      <c r="K5135" s="13">
        <v>46113</v>
      </c>
      <c r="L5135" t="s">
        <v>1179</v>
      </c>
      <c r="M5135" t="s">
        <v>55</v>
      </c>
      <c r="N5135">
        <v>74926098</v>
      </c>
    </row>
    <row r="5136" spans="1:14" x14ac:dyDescent="0.25">
      <c r="A5136">
        <v>61127261</v>
      </c>
      <c r="B5136" t="s">
        <v>11264</v>
      </c>
      <c r="C5136" t="s">
        <v>11265</v>
      </c>
      <c r="D5136" t="s">
        <v>11266</v>
      </c>
      <c r="E5136">
        <v>9282553260</v>
      </c>
      <c r="F5136" t="s">
        <v>416</v>
      </c>
      <c r="G5136" t="s">
        <v>417</v>
      </c>
      <c r="I5136" t="s">
        <v>26</v>
      </c>
      <c r="J5136" s="13">
        <v>46085</v>
      </c>
      <c r="K5136" s="13">
        <v>46113</v>
      </c>
      <c r="L5136" t="s">
        <v>1179</v>
      </c>
      <c r="M5136" t="s">
        <v>54</v>
      </c>
      <c r="N5136">
        <v>74926519</v>
      </c>
    </row>
    <row r="5137" spans="1:14" x14ac:dyDescent="0.25">
      <c r="A5137">
        <v>61128323</v>
      </c>
      <c r="B5137" t="s">
        <v>11267</v>
      </c>
      <c r="C5137" t="s">
        <v>11268</v>
      </c>
      <c r="D5137" t="s">
        <v>11269</v>
      </c>
      <c r="E5137">
        <v>7086542814</v>
      </c>
      <c r="F5137" t="s">
        <v>628</v>
      </c>
      <c r="G5137" t="s">
        <v>629</v>
      </c>
      <c r="I5137" t="s">
        <v>24</v>
      </c>
      <c r="J5137" s="13">
        <v>46085</v>
      </c>
      <c r="K5137" s="13">
        <v>46113</v>
      </c>
      <c r="L5137" t="s">
        <v>470</v>
      </c>
      <c r="M5137" t="s">
        <v>60</v>
      </c>
      <c r="N5137">
        <v>74927182</v>
      </c>
    </row>
    <row r="5138" spans="1:14" x14ac:dyDescent="0.25">
      <c r="A5138">
        <v>61128432</v>
      </c>
      <c r="B5138" t="s">
        <v>11270</v>
      </c>
      <c r="C5138" t="s">
        <v>6576</v>
      </c>
      <c r="D5138" t="s">
        <v>11271</v>
      </c>
      <c r="E5138">
        <v>5204060457</v>
      </c>
      <c r="F5138" t="s">
        <v>1345</v>
      </c>
      <c r="G5138" t="s">
        <v>799</v>
      </c>
      <c r="I5138" t="s">
        <v>47</v>
      </c>
      <c r="J5138" s="13">
        <v>46085</v>
      </c>
      <c r="K5138" s="13">
        <v>46113</v>
      </c>
      <c r="L5138" t="s">
        <v>1179</v>
      </c>
      <c r="M5138" t="s">
        <v>54</v>
      </c>
      <c r="N5138">
        <v>74927292</v>
      </c>
    </row>
    <row r="5139" spans="1:14" x14ac:dyDescent="0.25">
      <c r="A5139">
        <v>61128850</v>
      </c>
      <c r="B5139" t="s">
        <v>11272</v>
      </c>
      <c r="C5139" t="s">
        <v>11273</v>
      </c>
      <c r="D5139" t="s">
        <v>11274</v>
      </c>
      <c r="E5139">
        <v>6234569213</v>
      </c>
      <c r="F5139" t="s">
        <v>688</v>
      </c>
      <c r="G5139" t="s">
        <v>10291</v>
      </c>
      <c r="I5139" t="s">
        <v>48</v>
      </c>
      <c r="J5139" s="13">
        <v>46085</v>
      </c>
      <c r="K5139" s="13">
        <v>46113</v>
      </c>
      <c r="L5139" t="s">
        <v>1179</v>
      </c>
      <c r="M5139" t="s">
        <v>59</v>
      </c>
      <c r="N5139">
        <v>74927658</v>
      </c>
    </row>
    <row r="5140" spans="1:14" x14ac:dyDescent="0.25">
      <c r="A5140">
        <v>62359579</v>
      </c>
      <c r="B5140" t="s">
        <v>1518</v>
      </c>
      <c r="C5140" t="s">
        <v>952</v>
      </c>
      <c r="D5140" t="s">
        <v>11275</v>
      </c>
      <c r="E5140">
        <v>7302555751</v>
      </c>
      <c r="F5140" t="s">
        <v>928</v>
      </c>
      <c r="G5140" t="s">
        <v>929</v>
      </c>
      <c r="I5140" t="s">
        <v>30</v>
      </c>
      <c r="J5140" s="13">
        <v>46111</v>
      </c>
      <c r="K5140" s="13">
        <v>46113</v>
      </c>
      <c r="L5140" t="s">
        <v>470</v>
      </c>
      <c r="M5140" t="s">
        <v>59</v>
      </c>
      <c r="N5140">
        <v>74927849</v>
      </c>
    </row>
    <row r="5141" spans="1:14" x14ac:dyDescent="0.25">
      <c r="A5141">
        <v>61131515</v>
      </c>
      <c r="B5141" t="s">
        <v>1715</v>
      </c>
      <c r="C5141" t="s">
        <v>11276</v>
      </c>
      <c r="D5141" t="s">
        <v>11277</v>
      </c>
      <c r="E5141">
        <v>9285952303</v>
      </c>
      <c r="F5141" t="s">
        <v>828</v>
      </c>
      <c r="G5141" t="s">
        <v>1148</v>
      </c>
      <c r="I5141" t="s">
        <v>17</v>
      </c>
      <c r="J5141" s="13">
        <v>46085</v>
      </c>
      <c r="K5141" s="13">
        <v>46113</v>
      </c>
      <c r="L5141" t="s">
        <v>1179</v>
      </c>
      <c r="M5141" t="s">
        <v>55</v>
      </c>
      <c r="N5141">
        <v>74930407</v>
      </c>
    </row>
    <row r="5142" spans="1:14" x14ac:dyDescent="0.25">
      <c r="A5142">
        <v>61132043</v>
      </c>
      <c r="B5142" t="s">
        <v>3914</v>
      </c>
      <c r="C5142" t="s">
        <v>688</v>
      </c>
      <c r="D5142" t="s">
        <v>11278</v>
      </c>
      <c r="E5142">
        <v>8323261865</v>
      </c>
      <c r="F5142" t="s">
        <v>649</v>
      </c>
      <c r="G5142" t="s">
        <v>650</v>
      </c>
      <c r="I5142" t="s">
        <v>28</v>
      </c>
      <c r="J5142" s="13">
        <v>46085</v>
      </c>
      <c r="K5142" s="13">
        <v>46113</v>
      </c>
      <c r="L5142" t="s">
        <v>444</v>
      </c>
      <c r="M5142" t="s">
        <v>56</v>
      </c>
      <c r="N5142">
        <v>74930788</v>
      </c>
    </row>
    <row r="5143" spans="1:14" x14ac:dyDescent="0.25">
      <c r="A5143">
        <v>61132554</v>
      </c>
      <c r="B5143" t="s">
        <v>6291</v>
      </c>
      <c r="C5143" t="s">
        <v>11279</v>
      </c>
      <c r="D5143" t="s">
        <v>11280</v>
      </c>
      <c r="E5143">
        <v>7206037739</v>
      </c>
      <c r="F5143" t="s">
        <v>10569</v>
      </c>
      <c r="G5143" t="s">
        <v>10570</v>
      </c>
      <c r="I5143" t="s">
        <v>29</v>
      </c>
      <c r="J5143" s="13">
        <v>46085</v>
      </c>
      <c r="K5143" s="13">
        <v>46113</v>
      </c>
      <c r="L5143" t="s">
        <v>539</v>
      </c>
      <c r="M5143" t="s">
        <v>59</v>
      </c>
      <c r="N5143">
        <v>74931277</v>
      </c>
    </row>
    <row r="5144" spans="1:14" x14ac:dyDescent="0.25">
      <c r="A5144">
        <v>61132599</v>
      </c>
      <c r="B5144" t="s">
        <v>6291</v>
      </c>
      <c r="C5144" t="s">
        <v>11281</v>
      </c>
      <c r="D5144" t="s">
        <v>11282</v>
      </c>
      <c r="E5144">
        <v>8134527375</v>
      </c>
      <c r="F5144" t="s">
        <v>10591</v>
      </c>
      <c r="G5144" t="s">
        <v>10215</v>
      </c>
      <c r="I5144" t="s">
        <v>32</v>
      </c>
      <c r="J5144" s="13">
        <v>46085</v>
      </c>
      <c r="K5144" s="13">
        <v>46143</v>
      </c>
      <c r="L5144" t="s">
        <v>497</v>
      </c>
      <c r="M5144" t="s">
        <v>54</v>
      </c>
      <c r="N5144">
        <v>74931310</v>
      </c>
    </row>
    <row r="5145" spans="1:14" x14ac:dyDescent="0.25">
      <c r="A5145">
        <v>61132749</v>
      </c>
      <c r="B5145" t="s">
        <v>11283</v>
      </c>
      <c r="C5145" t="s">
        <v>11284</v>
      </c>
      <c r="D5145" t="s">
        <v>11285</v>
      </c>
      <c r="E5145" t="s">
        <v>11286</v>
      </c>
      <c r="F5145" t="s">
        <v>448</v>
      </c>
      <c r="G5145" t="s">
        <v>449</v>
      </c>
      <c r="I5145" t="s">
        <v>31</v>
      </c>
      <c r="J5145" s="13">
        <v>46085</v>
      </c>
      <c r="K5145" s="13">
        <v>46113</v>
      </c>
      <c r="L5145" t="s">
        <v>497</v>
      </c>
      <c r="M5145" t="s">
        <v>60</v>
      </c>
      <c r="N5145">
        <v>74931408</v>
      </c>
    </row>
    <row r="5146" spans="1:14" x14ac:dyDescent="0.25">
      <c r="A5146">
        <v>61132918</v>
      </c>
      <c r="B5146" t="s">
        <v>791</v>
      </c>
      <c r="C5146" t="s">
        <v>11287</v>
      </c>
      <c r="D5146" t="s">
        <v>11288</v>
      </c>
      <c r="E5146">
        <v>7403600193</v>
      </c>
      <c r="F5146" t="s">
        <v>1013</v>
      </c>
      <c r="G5146" t="s">
        <v>1014</v>
      </c>
      <c r="I5146" t="s">
        <v>43</v>
      </c>
      <c r="J5146" s="13">
        <v>46085</v>
      </c>
      <c r="K5146" s="13">
        <v>46113</v>
      </c>
      <c r="L5146" t="s">
        <v>497</v>
      </c>
      <c r="M5146" t="s">
        <v>54</v>
      </c>
      <c r="N5146">
        <v>74931573</v>
      </c>
    </row>
    <row r="5147" spans="1:14" x14ac:dyDescent="0.25">
      <c r="A5147">
        <v>61132920</v>
      </c>
      <c r="B5147" t="s">
        <v>11289</v>
      </c>
      <c r="C5147" t="s">
        <v>11290</v>
      </c>
      <c r="D5147" t="s">
        <v>11291</v>
      </c>
      <c r="E5147">
        <v>9286066176</v>
      </c>
      <c r="F5147" t="s">
        <v>775</v>
      </c>
      <c r="G5147" t="s">
        <v>776</v>
      </c>
      <c r="I5147" t="s">
        <v>22</v>
      </c>
      <c r="J5147" s="13">
        <v>46085</v>
      </c>
      <c r="K5147" s="13">
        <v>46113</v>
      </c>
      <c r="L5147" t="s">
        <v>1179</v>
      </c>
      <c r="M5147" t="s">
        <v>54</v>
      </c>
      <c r="N5147">
        <v>74931575</v>
      </c>
    </row>
    <row r="5148" spans="1:14" x14ac:dyDescent="0.25">
      <c r="A5148">
        <v>61133038</v>
      </c>
      <c r="B5148" t="s">
        <v>1408</v>
      </c>
      <c r="C5148" t="s">
        <v>3002</v>
      </c>
      <c r="D5148" t="s">
        <v>11292</v>
      </c>
      <c r="E5148">
        <v>5207050693</v>
      </c>
      <c r="F5148" t="s">
        <v>416</v>
      </c>
      <c r="G5148" t="s">
        <v>417</v>
      </c>
      <c r="I5148" t="s">
        <v>26</v>
      </c>
      <c r="J5148" s="13">
        <v>46085</v>
      </c>
      <c r="K5148" s="13">
        <v>46113</v>
      </c>
      <c r="L5148" t="s">
        <v>1179</v>
      </c>
      <c r="M5148" t="s">
        <v>54</v>
      </c>
      <c r="N5148">
        <v>74931659</v>
      </c>
    </row>
    <row r="5149" spans="1:14" x14ac:dyDescent="0.25">
      <c r="A5149">
        <v>61133757</v>
      </c>
      <c r="B5149" t="s">
        <v>5123</v>
      </c>
      <c r="C5149" t="s">
        <v>11293</v>
      </c>
      <c r="D5149" t="s">
        <v>11294</v>
      </c>
      <c r="E5149">
        <v>2055206626</v>
      </c>
      <c r="F5149" t="s">
        <v>828</v>
      </c>
      <c r="G5149" t="s">
        <v>1148</v>
      </c>
      <c r="I5149" t="s">
        <v>17</v>
      </c>
      <c r="J5149" s="13">
        <v>46085</v>
      </c>
      <c r="K5149" s="13">
        <v>46113</v>
      </c>
      <c r="L5149" t="s">
        <v>450</v>
      </c>
      <c r="M5149" t="s">
        <v>55</v>
      </c>
      <c r="N5149">
        <v>74933651</v>
      </c>
    </row>
    <row r="5150" spans="1:14" x14ac:dyDescent="0.25">
      <c r="A5150">
        <v>61133996</v>
      </c>
      <c r="B5150" t="s">
        <v>1715</v>
      </c>
      <c r="C5150" t="s">
        <v>10317</v>
      </c>
      <c r="D5150" t="s">
        <v>11295</v>
      </c>
      <c r="E5150">
        <v>5015472336</v>
      </c>
      <c r="F5150" t="s">
        <v>1067</v>
      </c>
      <c r="G5150" t="s">
        <v>1068</v>
      </c>
      <c r="I5150" t="s">
        <v>35</v>
      </c>
      <c r="J5150" s="13">
        <v>46085</v>
      </c>
      <c r="K5150" s="13">
        <v>46082</v>
      </c>
      <c r="L5150" t="s">
        <v>553</v>
      </c>
      <c r="M5150" t="s">
        <v>56</v>
      </c>
      <c r="N5150">
        <v>74933829</v>
      </c>
    </row>
    <row r="5151" spans="1:14" x14ac:dyDescent="0.25">
      <c r="A5151">
        <v>61140630</v>
      </c>
      <c r="B5151" t="s">
        <v>511</v>
      </c>
      <c r="C5151" t="s">
        <v>11296</v>
      </c>
      <c r="D5151" t="s">
        <v>11297</v>
      </c>
      <c r="E5151">
        <v>6233987299</v>
      </c>
      <c r="F5151" t="s">
        <v>770</v>
      </c>
      <c r="G5151" t="s">
        <v>771</v>
      </c>
      <c r="I5151" t="s">
        <v>25</v>
      </c>
      <c r="J5151" s="13">
        <v>46085</v>
      </c>
      <c r="K5151" s="13">
        <v>46113</v>
      </c>
      <c r="L5151" t="s">
        <v>1179</v>
      </c>
      <c r="M5151" t="s">
        <v>54</v>
      </c>
      <c r="N5151">
        <v>74934253</v>
      </c>
    </row>
    <row r="5152" spans="1:14" x14ac:dyDescent="0.25">
      <c r="A5152">
        <v>61134627</v>
      </c>
      <c r="B5152" t="s">
        <v>791</v>
      </c>
      <c r="C5152" t="s">
        <v>11298</v>
      </c>
      <c r="D5152" t="s">
        <v>11299</v>
      </c>
      <c r="E5152" t="s">
        <v>11300</v>
      </c>
      <c r="F5152" t="s">
        <v>1013</v>
      </c>
      <c r="G5152" t="s">
        <v>1014</v>
      </c>
      <c r="I5152" t="s">
        <v>43</v>
      </c>
      <c r="J5152" s="13">
        <v>46085</v>
      </c>
      <c r="K5152" s="13">
        <v>46113</v>
      </c>
      <c r="L5152" t="s">
        <v>497</v>
      </c>
      <c r="M5152" t="s">
        <v>58</v>
      </c>
      <c r="N5152">
        <v>74934443</v>
      </c>
    </row>
    <row r="5153" spans="1:14" x14ac:dyDescent="0.25">
      <c r="A5153">
        <v>61136520</v>
      </c>
      <c r="B5153" t="s">
        <v>604</v>
      </c>
      <c r="C5153" t="s">
        <v>11301</v>
      </c>
      <c r="D5153" t="s">
        <v>11302</v>
      </c>
      <c r="E5153">
        <v>6025587228</v>
      </c>
      <c r="F5153" t="s">
        <v>815</v>
      </c>
      <c r="G5153" t="s">
        <v>816</v>
      </c>
      <c r="I5153" t="s">
        <v>23</v>
      </c>
      <c r="J5153" s="13">
        <v>46085</v>
      </c>
      <c r="K5153" s="13">
        <v>46113</v>
      </c>
      <c r="L5153" t="s">
        <v>1179</v>
      </c>
      <c r="M5153" t="s">
        <v>54</v>
      </c>
      <c r="N5153">
        <v>74936358</v>
      </c>
    </row>
    <row r="5154" spans="1:14" x14ac:dyDescent="0.25">
      <c r="A5154">
        <v>61136616</v>
      </c>
      <c r="B5154" t="s">
        <v>431</v>
      </c>
      <c r="C5154" t="s">
        <v>471</v>
      </c>
      <c r="D5154" t="s">
        <v>11303</v>
      </c>
      <c r="E5154">
        <v>7279001305</v>
      </c>
      <c r="F5154" t="s">
        <v>1345</v>
      </c>
      <c r="G5154" t="s">
        <v>799</v>
      </c>
      <c r="I5154" t="s">
        <v>47</v>
      </c>
      <c r="J5154" s="13">
        <v>46085</v>
      </c>
      <c r="K5154" s="13">
        <v>46113</v>
      </c>
      <c r="L5154" t="s">
        <v>497</v>
      </c>
      <c r="M5154" t="s">
        <v>54</v>
      </c>
      <c r="N5154">
        <v>74936456</v>
      </c>
    </row>
    <row r="5155" spans="1:14" x14ac:dyDescent="0.25">
      <c r="A5155">
        <v>61142358</v>
      </c>
      <c r="B5155" t="s">
        <v>6185</v>
      </c>
      <c r="C5155" t="s">
        <v>1448</v>
      </c>
      <c r="D5155" t="s">
        <v>11304</v>
      </c>
      <c r="E5155">
        <v>2516239305</v>
      </c>
      <c r="F5155" t="s">
        <v>448</v>
      </c>
      <c r="G5155" t="s">
        <v>449</v>
      </c>
      <c r="I5155" t="s">
        <v>31</v>
      </c>
      <c r="J5155" s="13">
        <v>46086</v>
      </c>
      <c r="K5155" s="13">
        <v>46174</v>
      </c>
      <c r="L5155" t="s">
        <v>450</v>
      </c>
      <c r="M5155" t="s">
        <v>59</v>
      </c>
      <c r="N5155">
        <v>74942594</v>
      </c>
    </row>
    <row r="5156" spans="1:14" x14ac:dyDescent="0.25">
      <c r="A5156">
        <v>61143585</v>
      </c>
      <c r="B5156" t="s">
        <v>1148</v>
      </c>
      <c r="C5156" t="s">
        <v>11305</v>
      </c>
      <c r="D5156" t="s">
        <v>11306</v>
      </c>
      <c r="E5156">
        <v>8508668658</v>
      </c>
      <c r="F5156" t="s">
        <v>10569</v>
      </c>
      <c r="G5156" t="s">
        <v>10570</v>
      </c>
      <c r="I5156" t="s">
        <v>29</v>
      </c>
      <c r="J5156" s="13">
        <v>46086</v>
      </c>
      <c r="K5156" s="13">
        <v>46113</v>
      </c>
      <c r="L5156" t="s">
        <v>497</v>
      </c>
      <c r="M5156" t="s">
        <v>58</v>
      </c>
      <c r="N5156">
        <v>74943974</v>
      </c>
    </row>
    <row r="5157" spans="1:14" x14ac:dyDescent="0.25">
      <c r="A5157">
        <v>61143622</v>
      </c>
      <c r="B5157" t="s">
        <v>636</v>
      </c>
      <c r="C5157" t="s">
        <v>11307</v>
      </c>
      <c r="D5157" t="s">
        <v>11308</v>
      </c>
      <c r="E5157" t="s">
        <v>11309</v>
      </c>
      <c r="F5157" t="s">
        <v>569</v>
      </c>
      <c r="G5157" t="s">
        <v>570</v>
      </c>
      <c r="I5157" t="s">
        <v>34</v>
      </c>
      <c r="J5157" s="13">
        <v>46086</v>
      </c>
      <c r="K5157" s="13">
        <v>46113</v>
      </c>
      <c r="L5157" t="s">
        <v>533</v>
      </c>
      <c r="M5157" t="s">
        <v>59</v>
      </c>
      <c r="N5157">
        <v>74943995</v>
      </c>
    </row>
    <row r="5158" spans="1:14" x14ac:dyDescent="0.25">
      <c r="A5158">
        <v>61143654</v>
      </c>
      <c r="B5158" t="s">
        <v>867</v>
      </c>
      <c r="C5158" t="s">
        <v>11310</v>
      </c>
      <c r="D5158" t="s">
        <v>11311</v>
      </c>
      <c r="E5158">
        <v>4049843791</v>
      </c>
      <c r="F5158" t="s">
        <v>815</v>
      </c>
      <c r="G5158" t="s">
        <v>816</v>
      </c>
      <c r="I5158" t="s">
        <v>23</v>
      </c>
      <c r="J5158" s="13">
        <v>46086</v>
      </c>
      <c r="K5158" s="13">
        <v>46113</v>
      </c>
      <c r="L5158" t="s">
        <v>621</v>
      </c>
      <c r="M5158" t="s">
        <v>60</v>
      </c>
      <c r="N5158">
        <v>74944029</v>
      </c>
    </row>
    <row r="5159" spans="1:14" x14ac:dyDescent="0.25">
      <c r="A5159">
        <v>61148833</v>
      </c>
      <c r="B5159" t="s">
        <v>9864</v>
      </c>
      <c r="C5159" t="s">
        <v>11312</v>
      </c>
      <c r="D5159" t="s">
        <v>11313</v>
      </c>
      <c r="E5159">
        <v>9286131809</v>
      </c>
      <c r="F5159" t="s">
        <v>780</v>
      </c>
      <c r="G5159" t="s">
        <v>781</v>
      </c>
      <c r="I5159" t="s">
        <v>20</v>
      </c>
      <c r="J5159" s="13">
        <v>46086</v>
      </c>
      <c r="K5159" s="13">
        <v>46113</v>
      </c>
      <c r="L5159" t="s">
        <v>1179</v>
      </c>
      <c r="M5159" t="s">
        <v>61</v>
      </c>
      <c r="N5159">
        <v>74946981</v>
      </c>
    </row>
    <row r="5160" spans="1:14" x14ac:dyDescent="0.25">
      <c r="A5160">
        <v>61149949</v>
      </c>
      <c r="B5160" t="s">
        <v>1226</v>
      </c>
      <c r="C5160" t="s">
        <v>11314</v>
      </c>
      <c r="D5160" t="s">
        <v>11315</v>
      </c>
      <c r="E5160">
        <v>6023192256</v>
      </c>
      <c r="F5160" t="s">
        <v>628</v>
      </c>
      <c r="G5160" t="s">
        <v>629</v>
      </c>
      <c r="I5160" t="s">
        <v>24</v>
      </c>
      <c r="J5160" s="13">
        <v>46086</v>
      </c>
      <c r="K5160" s="13">
        <v>46113</v>
      </c>
      <c r="L5160" t="s">
        <v>1179</v>
      </c>
      <c r="M5160" t="s">
        <v>55</v>
      </c>
      <c r="N5160">
        <v>74947367</v>
      </c>
    </row>
    <row r="5161" spans="1:14" x14ac:dyDescent="0.25">
      <c r="A5161">
        <v>61149991</v>
      </c>
      <c r="B5161" t="s">
        <v>11316</v>
      </c>
      <c r="C5161" t="s">
        <v>11317</v>
      </c>
      <c r="D5161" t="s">
        <v>11318</v>
      </c>
      <c r="E5161">
        <v>7579202405</v>
      </c>
      <c r="F5161" t="s">
        <v>569</v>
      </c>
      <c r="G5161" t="s">
        <v>570</v>
      </c>
      <c r="I5161" t="s">
        <v>34</v>
      </c>
      <c r="J5161" s="13">
        <v>46086</v>
      </c>
      <c r="K5161" s="13">
        <v>46113</v>
      </c>
      <c r="L5161" t="s">
        <v>454</v>
      </c>
      <c r="M5161" t="s">
        <v>58</v>
      </c>
      <c r="N5161">
        <v>74947407</v>
      </c>
    </row>
    <row r="5162" spans="1:14" x14ac:dyDescent="0.25">
      <c r="A5162">
        <v>61150487</v>
      </c>
      <c r="B5162" t="s">
        <v>888</v>
      </c>
      <c r="C5162" t="s">
        <v>4965</v>
      </c>
      <c r="D5162" t="s">
        <v>11319</v>
      </c>
      <c r="E5162">
        <v>5202402165</v>
      </c>
      <c r="F5162" t="s">
        <v>1345</v>
      </c>
      <c r="G5162" t="s">
        <v>799</v>
      </c>
      <c r="I5162" t="s">
        <v>47</v>
      </c>
      <c r="J5162" s="13">
        <v>46086</v>
      </c>
      <c r="K5162" s="13">
        <v>46113</v>
      </c>
      <c r="L5162" t="s">
        <v>1179</v>
      </c>
      <c r="M5162" t="s">
        <v>54</v>
      </c>
      <c r="N5162">
        <v>74947761</v>
      </c>
    </row>
    <row r="5163" spans="1:14" x14ac:dyDescent="0.25">
      <c r="A5163">
        <v>62614070</v>
      </c>
      <c r="B5163" t="s">
        <v>3947</v>
      </c>
      <c r="C5163" t="s">
        <v>11320</v>
      </c>
      <c r="D5163" t="s">
        <v>11321</v>
      </c>
      <c r="E5163" t="s">
        <v>11322</v>
      </c>
      <c r="F5163" t="s">
        <v>649</v>
      </c>
      <c r="G5163" t="s">
        <v>650</v>
      </c>
      <c r="I5163" t="s">
        <v>28</v>
      </c>
      <c r="J5163" s="13">
        <v>46122</v>
      </c>
      <c r="K5163" s="13">
        <v>46143</v>
      </c>
      <c r="L5163" t="s">
        <v>539</v>
      </c>
      <c r="M5163" t="s">
        <v>60</v>
      </c>
      <c r="N5163">
        <v>74948248</v>
      </c>
    </row>
    <row r="5164" spans="1:14" x14ac:dyDescent="0.25">
      <c r="A5164">
        <v>61151206</v>
      </c>
      <c r="B5164" t="s">
        <v>5687</v>
      </c>
      <c r="C5164" t="s">
        <v>11323</v>
      </c>
      <c r="D5164" t="s">
        <v>5304</v>
      </c>
      <c r="E5164">
        <v>4803874913</v>
      </c>
      <c r="F5164" t="s">
        <v>807</v>
      </c>
      <c r="G5164" t="s">
        <v>808</v>
      </c>
      <c r="I5164" t="s">
        <v>33</v>
      </c>
      <c r="J5164" s="13">
        <v>46086</v>
      </c>
      <c r="K5164" s="13">
        <v>46113</v>
      </c>
      <c r="L5164" t="s">
        <v>1179</v>
      </c>
      <c r="M5164" t="s">
        <v>54</v>
      </c>
      <c r="N5164">
        <v>74948289</v>
      </c>
    </row>
    <row r="5165" spans="1:14" x14ac:dyDescent="0.25">
      <c r="A5165">
        <v>61151640</v>
      </c>
      <c r="B5165" t="s">
        <v>11324</v>
      </c>
      <c r="C5165" t="s">
        <v>11325</v>
      </c>
      <c r="D5165" t="s">
        <v>11326</v>
      </c>
      <c r="E5165">
        <v>5612168835</v>
      </c>
      <c r="F5165" t="s">
        <v>416</v>
      </c>
      <c r="G5165" t="s">
        <v>417</v>
      </c>
      <c r="I5165" t="s">
        <v>26</v>
      </c>
      <c r="J5165" s="13">
        <v>46086</v>
      </c>
      <c r="K5165" s="13">
        <v>46113</v>
      </c>
      <c r="L5165" t="s">
        <v>497</v>
      </c>
      <c r="M5165" t="s">
        <v>56</v>
      </c>
      <c r="N5165">
        <v>74948352</v>
      </c>
    </row>
    <row r="5166" spans="1:14" x14ac:dyDescent="0.25">
      <c r="A5166">
        <v>61151638</v>
      </c>
      <c r="B5166" t="s">
        <v>672</v>
      </c>
      <c r="C5166" t="s">
        <v>5279</v>
      </c>
      <c r="D5166" t="s">
        <v>11327</v>
      </c>
      <c r="E5166">
        <v>9546078577</v>
      </c>
      <c r="F5166" t="s">
        <v>928</v>
      </c>
      <c r="G5166" t="s">
        <v>929</v>
      </c>
      <c r="I5166" t="s">
        <v>30</v>
      </c>
      <c r="J5166" s="13">
        <v>46086</v>
      </c>
      <c r="K5166" s="13">
        <v>46113</v>
      </c>
      <c r="L5166" t="s">
        <v>497</v>
      </c>
      <c r="M5166" t="s">
        <v>58</v>
      </c>
      <c r="N5166">
        <v>74948771</v>
      </c>
    </row>
    <row r="5167" spans="1:14" x14ac:dyDescent="0.25">
      <c r="A5167">
        <v>61153326</v>
      </c>
      <c r="B5167" t="s">
        <v>458</v>
      </c>
      <c r="C5167" t="s">
        <v>8917</v>
      </c>
      <c r="D5167" t="s">
        <v>11328</v>
      </c>
      <c r="E5167">
        <v>8645840681</v>
      </c>
      <c r="F5167" t="s">
        <v>551</v>
      </c>
      <c r="G5167" t="s">
        <v>552</v>
      </c>
      <c r="I5167" t="s">
        <v>42</v>
      </c>
      <c r="J5167" s="13">
        <v>46086</v>
      </c>
      <c r="K5167" s="13">
        <v>46113</v>
      </c>
      <c r="L5167" t="s">
        <v>533</v>
      </c>
      <c r="M5167" t="s">
        <v>60</v>
      </c>
      <c r="N5167">
        <v>74950063</v>
      </c>
    </row>
    <row r="5168" spans="1:14" x14ac:dyDescent="0.25">
      <c r="A5168">
        <v>61153245</v>
      </c>
      <c r="B5168" t="s">
        <v>11329</v>
      </c>
      <c r="C5168" t="s">
        <v>11330</v>
      </c>
      <c r="D5168" t="s">
        <v>11331</v>
      </c>
      <c r="E5168">
        <v>6023638533</v>
      </c>
      <c r="F5168" t="s">
        <v>688</v>
      </c>
      <c r="G5168" t="s">
        <v>10291</v>
      </c>
      <c r="I5168" t="s">
        <v>48</v>
      </c>
      <c r="J5168" s="13">
        <v>46086</v>
      </c>
      <c r="K5168" s="13">
        <v>46113</v>
      </c>
      <c r="L5168" t="s">
        <v>1179</v>
      </c>
      <c r="M5168" t="s">
        <v>55</v>
      </c>
      <c r="N5168">
        <v>74950078</v>
      </c>
    </row>
    <row r="5169" spans="1:14" x14ac:dyDescent="0.25">
      <c r="A5169">
        <v>61156619</v>
      </c>
      <c r="B5169" t="s">
        <v>1910</v>
      </c>
      <c r="C5169" t="s">
        <v>11332</v>
      </c>
      <c r="D5169" t="s">
        <v>11333</v>
      </c>
      <c r="E5169">
        <v>9032948368</v>
      </c>
      <c r="F5169" t="s">
        <v>1067</v>
      </c>
      <c r="G5169" t="s">
        <v>1068</v>
      </c>
      <c r="I5169" t="s">
        <v>35</v>
      </c>
      <c r="J5169" s="13">
        <v>46086</v>
      </c>
      <c r="K5169" s="13">
        <v>46113</v>
      </c>
      <c r="L5169" t="s">
        <v>444</v>
      </c>
      <c r="M5169" t="s">
        <v>58</v>
      </c>
      <c r="N5169">
        <v>74951214</v>
      </c>
    </row>
    <row r="5170" spans="1:14" x14ac:dyDescent="0.25">
      <c r="A5170">
        <v>61156711</v>
      </c>
      <c r="B5170" t="s">
        <v>3349</v>
      </c>
      <c r="C5170" t="s">
        <v>11334</v>
      </c>
      <c r="D5170" t="s">
        <v>11335</v>
      </c>
      <c r="E5170">
        <v>2107867005</v>
      </c>
      <c r="F5170" t="s">
        <v>448</v>
      </c>
      <c r="G5170" t="s">
        <v>449</v>
      </c>
      <c r="I5170" t="s">
        <v>31</v>
      </c>
      <c r="J5170" s="13">
        <v>46086</v>
      </c>
      <c r="K5170" s="13">
        <v>46113</v>
      </c>
      <c r="L5170" t="s">
        <v>444</v>
      </c>
      <c r="M5170" t="s">
        <v>60</v>
      </c>
      <c r="N5170">
        <v>74951271</v>
      </c>
    </row>
    <row r="5171" spans="1:14" x14ac:dyDescent="0.25">
      <c r="A5171">
        <v>61159045</v>
      </c>
      <c r="B5171" t="s">
        <v>11336</v>
      </c>
      <c r="C5171" t="s">
        <v>6576</v>
      </c>
      <c r="D5171" t="s">
        <v>11337</v>
      </c>
      <c r="E5171" t="s">
        <v>11338</v>
      </c>
      <c r="F5171" t="s">
        <v>448</v>
      </c>
      <c r="G5171" t="s">
        <v>449</v>
      </c>
      <c r="I5171" t="s">
        <v>31</v>
      </c>
      <c r="J5171" s="13">
        <v>46086</v>
      </c>
      <c r="K5171" s="13">
        <v>46113</v>
      </c>
      <c r="L5171" t="s">
        <v>450</v>
      </c>
      <c r="M5171" t="s">
        <v>55</v>
      </c>
      <c r="N5171">
        <v>74952649</v>
      </c>
    </row>
    <row r="5172" spans="1:14" x14ac:dyDescent="0.25">
      <c r="A5172">
        <v>61160463</v>
      </c>
      <c r="B5172" t="s">
        <v>1491</v>
      </c>
      <c r="C5172" t="s">
        <v>1886</v>
      </c>
      <c r="D5172" t="s">
        <v>11339</v>
      </c>
      <c r="E5172">
        <v>2768063668</v>
      </c>
      <c r="F5172" t="s">
        <v>815</v>
      </c>
      <c r="G5172" t="s">
        <v>816</v>
      </c>
      <c r="I5172" t="s">
        <v>23</v>
      </c>
      <c r="J5172" s="13">
        <v>46086</v>
      </c>
      <c r="K5172" s="13">
        <v>46113</v>
      </c>
      <c r="L5172" t="s">
        <v>454</v>
      </c>
      <c r="M5172" t="s">
        <v>59</v>
      </c>
      <c r="N5172">
        <v>74954503</v>
      </c>
    </row>
    <row r="5173" spans="1:14" x14ac:dyDescent="0.25">
      <c r="A5173">
        <v>61162209</v>
      </c>
      <c r="B5173" t="s">
        <v>11340</v>
      </c>
      <c r="C5173" t="s">
        <v>11341</v>
      </c>
      <c r="D5173" t="s">
        <v>11342</v>
      </c>
      <c r="E5173">
        <v>7542347114</v>
      </c>
      <c r="F5173" t="s">
        <v>10569</v>
      </c>
      <c r="G5173" t="s">
        <v>10570</v>
      </c>
      <c r="I5173" t="s">
        <v>29</v>
      </c>
      <c r="J5173" s="13">
        <v>46086</v>
      </c>
      <c r="K5173" s="13">
        <v>46113</v>
      </c>
      <c r="L5173" t="s">
        <v>497</v>
      </c>
      <c r="M5173" t="s">
        <v>54</v>
      </c>
      <c r="N5173">
        <v>74955774</v>
      </c>
    </row>
    <row r="5174" spans="1:14" x14ac:dyDescent="0.25">
      <c r="A5174">
        <v>61162384</v>
      </c>
      <c r="B5174" t="s">
        <v>925</v>
      </c>
      <c r="C5174" t="s">
        <v>11343</v>
      </c>
      <c r="D5174" t="s">
        <v>11344</v>
      </c>
      <c r="E5174">
        <v>8156319041</v>
      </c>
      <c r="F5174" t="s">
        <v>688</v>
      </c>
      <c r="G5174" t="s">
        <v>10291</v>
      </c>
      <c r="I5174" t="s">
        <v>48</v>
      </c>
      <c r="J5174" s="13">
        <v>46086</v>
      </c>
      <c r="K5174" s="13">
        <v>46113</v>
      </c>
      <c r="L5174" t="s">
        <v>470</v>
      </c>
      <c r="M5174" t="s">
        <v>56</v>
      </c>
      <c r="N5174">
        <v>74955918</v>
      </c>
    </row>
    <row r="5175" spans="1:14" x14ac:dyDescent="0.25">
      <c r="A5175">
        <v>61162655</v>
      </c>
      <c r="B5175" t="s">
        <v>4789</v>
      </c>
      <c r="C5175" t="s">
        <v>11345</v>
      </c>
      <c r="D5175" t="s">
        <v>11346</v>
      </c>
      <c r="E5175">
        <v>7274393733</v>
      </c>
      <c r="F5175" t="s">
        <v>474</v>
      </c>
      <c r="G5175" t="s">
        <v>475</v>
      </c>
      <c r="I5175" t="s">
        <v>132</v>
      </c>
      <c r="J5175" s="13">
        <v>46086</v>
      </c>
      <c r="K5175" s="13">
        <v>46113</v>
      </c>
      <c r="L5175" t="s">
        <v>497</v>
      </c>
      <c r="M5175" t="s">
        <v>58</v>
      </c>
      <c r="N5175">
        <v>74956106</v>
      </c>
    </row>
    <row r="5176" spans="1:14" x14ac:dyDescent="0.25">
      <c r="A5176">
        <v>61162755</v>
      </c>
      <c r="B5176" t="s">
        <v>11347</v>
      </c>
      <c r="C5176" t="s">
        <v>11348</v>
      </c>
      <c r="D5176" t="s">
        <v>11349</v>
      </c>
      <c r="E5176">
        <v>8168315853</v>
      </c>
      <c r="F5176" t="s">
        <v>775</v>
      </c>
      <c r="G5176" t="s">
        <v>776</v>
      </c>
      <c r="I5176" t="s">
        <v>22</v>
      </c>
      <c r="J5176" s="13">
        <v>46086</v>
      </c>
      <c r="K5176" s="13">
        <v>46113</v>
      </c>
      <c r="L5176" t="s">
        <v>434</v>
      </c>
      <c r="M5176" t="s">
        <v>59</v>
      </c>
      <c r="N5176">
        <v>74956169</v>
      </c>
    </row>
    <row r="5177" spans="1:14" x14ac:dyDescent="0.25">
      <c r="A5177">
        <v>61163666</v>
      </c>
      <c r="B5177" t="s">
        <v>2275</v>
      </c>
      <c r="C5177" t="s">
        <v>6312</v>
      </c>
      <c r="D5177" t="s">
        <v>11350</v>
      </c>
      <c r="E5177">
        <v>3344922837</v>
      </c>
      <c r="F5177" t="s">
        <v>828</v>
      </c>
      <c r="G5177" t="s">
        <v>1148</v>
      </c>
      <c r="I5177" t="s">
        <v>17</v>
      </c>
      <c r="J5177" s="13">
        <v>46086</v>
      </c>
      <c r="K5177" s="13">
        <v>46113</v>
      </c>
      <c r="L5177" t="s">
        <v>450</v>
      </c>
      <c r="M5177" t="s">
        <v>59</v>
      </c>
      <c r="N5177">
        <v>74956793</v>
      </c>
    </row>
    <row r="5178" spans="1:14" x14ac:dyDescent="0.25">
      <c r="A5178">
        <v>61163762</v>
      </c>
      <c r="B5178" t="s">
        <v>11351</v>
      </c>
      <c r="C5178" t="s">
        <v>11352</v>
      </c>
      <c r="D5178" t="s">
        <v>11353</v>
      </c>
      <c r="E5178">
        <v>6025792438</v>
      </c>
      <c r="F5178" t="s">
        <v>770</v>
      </c>
      <c r="G5178" t="s">
        <v>771</v>
      </c>
      <c r="I5178" t="s">
        <v>25</v>
      </c>
      <c r="J5178" s="13">
        <v>46086</v>
      </c>
      <c r="K5178" s="13">
        <v>46113</v>
      </c>
      <c r="L5178" t="s">
        <v>1179</v>
      </c>
      <c r="M5178" t="s">
        <v>54</v>
      </c>
      <c r="N5178">
        <v>74956881</v>
      </c>
    </row>
    <row r="5179" spans="1:14" x14ac:dyDescent="0.25">
      <c r="A5179">
        <v>61163815</v>
      </c>
      <c r="B5179" t="s">
        <v>11354</v>
      </c>
      <c r="C5179" t="s">
        <v>11355</v>
      </c>
      <c r="D5179" t="s">
        <v>11356</v>
      </c>
      <c r="E5179">
        <v>3038959933</v>
      </c>
      <c r="F5179" t="s">
        <v>10460</v>
      </c>
      <c r="G5179" t="s">
        <v>6663</v>
      </c>
      <c r="I5179" t="s">
        <v>40</v>
      </c>
      <c r="J5179" s="13">
        <v>46086</v>
      </c>
      <c r="K5179" s="13">
        <v>46113</v>
      </c>
      <c r="L5179" t="s">
        <v>539</v>
      </c>
      <c r="M5179" t="s">
        <v>56</v>
      </c>
      <c r="N5179">
        <v>74956916</v>
      </c>
    </row>
    <row r="5180" spans="1:14" x14ac:dyDescent="0.25">
      <c r="A5180">
        <v>61163900</v>
      </c>
      <c r="B5180" t="s">
        <v>1445</v>
      </c>
      <c r="C5180" t="s">
        <v>2371</v>
      </c>
      <c r="D5180" t="s">
        <v>11357</v>
      </c>
      <c r="E5180">
        <v>6024347113</v>
      </c>
      <c r="F5180" t="s">
        <v>10642</v>
      </c>
      <c r="G5180" t="s">
        <v>10643</v>
      </c>
      <c r="I5180" t="s">
        <v>45</v>
      </c>
      <c r="J5180" s="13">
        <v>46086</v>
      </c>
      <c r="K5180" s="13">
        <v>46113</v>
      </c>
      <c r="L5180" t="s">
        <v>1179</v>
      </c>
      <c r="M5180" t="s">
        <v>419</v>
      </c>
      <c r="N5180">
        <v>74956977</v>
      </c>
    </row>
    <row r="5181" spans="1:14" x14ac:dyDescent="0.25">
      <c r="A5181">
        <v>61164015</v>
      </c>
      <c r="B5181" t="s">
        <v>5666</v>
      </c>
      <c r="C5181" t="s">
        <v>11358</v>
      </c>
      <c r="D5181" t="s">
        <v>11359</v>
      </c>
      <c r="E5181">
        <v>5208381833</v>
      </c>
      <c r="F5181" t="s">
        <v>10591</v>
      </c>
      <c r="G5181" t="s">
        <v>10215</v>
      </c>
      <c r="I5181" t="s">
        <v>32</v>
      </c>
      <c r="J5181" s="13">
        <v>46086</v>
      </c>
      <c r="K5181" s="13">
        <v>46113</v>
      </c>
      <c r="L5181" t="s">
        <v>1179</v>
      </c>
      <c r="M5181" t="s">
        <v>59</v>
      </c>
      <c r="N5181">
        <v>74957060</v>
      </c>
    </row>
    <row r="5182" spans="1:14" x14ac:dyDescent="0.25">
      <c r="A5182">
        <v>61181929</v>
      </c>
      <c r="B5182" t="s">
        <v>11360</v>
      </c>
      <c r="C5182" t="s">
        <v>7005</v>
      </c>
      <c r="D5182" t="s">
        <v>11361</v>
      </c>
      <c r="E5182">
        <v>4806950181</v>
      </c>
      <c r="F5182" t="s">
        <v>770</v>
      </c>
      <c r="G5182" t="s">
        <v>771</v>
      </c>
      <c r="I5182" t="s">
        <v>25</v>
      </c>
      <c r="J5182" s="13">
        <v>46087</v>
      </c>
      <c r="K5182" s="13">
        <v>46113</v>
      </c>
      <c r="L5182" t="s">
        <v>1179</v>
      </c>
      <c r="M5182" t="s">
        <v>54</v>
      </c>
      <c r="N5182">
        <v>74970296</v>
      </c>
    </row>
    <row r="5183" spans="1:14" x14ac:dyDescent="0.25">
      <c r="A5183">
        <v>61182140</v>
      </c>
      <c r="B5183" t="s">
        <v>1699</v>
      </c>
      <c r="C5183" t="s">
        <v>11362</v>
      </c>
      <c r="D5183" t="s">
        <v>11363</v>
      </c>
      <c r="E5183">
        <v>5204847278</v>
      </c>
      <c r="F5183" t="s">
        <v>416</v>
      </c>
      <c r="G5183" t="s">
        <v>417</v>
      </c>
      <c r="I5183" t="s">
        <v>26</v>
      </c>
      <c r="J5183" s="13">
        <v>46087</v>
      </c>
      <c r="K5183" s="13">
        <v>46113</v>
      </c>
      <c r="L5183" t="s">
        <v>1179</v>
      </c>
      <c r="M5183" t="s">
        <v>59</v>
      </c>
      <c r="N5183">
        <v>74970533</v>
      </c>
    </row>
    <row r="5184" spans="1:14" x14ac:dyDescent="0.25">
      <c r="A5184">
        <v>61182369</v>
      </c>
      <c r="B5184" t="s">
        <v>521</v>
      </c>
      <c r="C5184" t="s">
        <v>3202</v>
      </c>
      <c r="D5184" t="s">
        <v>11364</v>
      </c>
      <c r="E5184">
        <v>8706597861</v>
      </c>
      <c r="F5184" t="s">
        <v>569</v>
      </c>
      <c r="G5184" t="s">
        <v>570</v>
      </c>
      <c r="I5184" t="s">
        <v>34</v>
      </c>
      <c r="J5184" s="13">
        <v>46087</v>
      </c>
      <c r="K5184" s="13">
        <v>46113</v>
      </c>
      <c r="L5184" t="s">
        <v>553</v>
      </c>
      <c r="M5184" t="s">
        <v>58</v>
      </c>
      <c r="N5184">
        <v>74970742</v>
      </c>
    </row>
    <row r="5185" spans="1:14" x14ac:dyDescent="0.25">
      <c r="A5185">
        <v>61182521</v>
      </c>
      <c r="B5185" t="s">
        <v>11365</v>
      </c>
      <c r="C5185" t="s">
        <v>11366</v>
      </c>
      <c r="D5185" t="s">
        <v>11367</v>
      </c>
      <c r="E5185">
        <v>8166123304</v>
      </c>
      <c r="F5185" t="s">
        <v>474</v>
      </c>
      <c r="G5185" t="s">
        <v>475</v>
      </c>
      <c r="I5185" t="s">
        <v>132</v>
      </c>
      <c r="J5185" s="13">
        <v>46087</v>
      </c>
      <c r="K5185" s="13">
        <v>46113</v>
      </c>
      <c r="L5185" t="s">
        <v>434</v>
      </c>
      <c r="M5185" t="s">
        <v>59</v>
      </c>
      <c r="N5185">
        <v>74970851</v>
      </c>
    </row>
    <row r="5186" spans="1:14" x14ac:dyDescent="0.25">
      <c r="A5186">
        <v>61183162</v>
      </c>
      <c r="B5186" t="s">
        <v>9852</v>
      </c>
      <c r="C5186" t="s">
        <v>11368</v>
      </c>
      <c r="D5186" t="s">
        <v>11369</v>
      </c>
      <c r="E5186">
        <v>9282509122</v>
      </c>
      <c r="F5186" t="s">
        <v>1345</v>
      </c>
      <c r="G5186" t="s">
        <v>799</v>
      </c>
      <c r="I5186" t="s">
        <v>47</v>
      </c>
      <c r="J5186" s="13">
        <v>46087</v>
      </c>
      <c r="K5186" s="13">
        <v>46113</v>
      </c>
      <c r="L5186" t="s">
        <v>1179</v>
      </c>
      <c r="M5186" t="s">
        <v>54</v>
      </c>
      <c r="N5186">
        <v>74971333</v>
      </c>
    </row>
    <row r="5187" spans="1:14" x14ac:dyDescent="0.25">
      <c r="A5187">
        <v>61183396</v>
      </c>
      <c r="B5187" t="s">
        <v>6451</v>
      </c>
      <c r="C5187" t="s">
        <v>11370</v>
      </c>
      <c r="D5187" t="s">
        <v>11371</v>
      </c>
      <c r="E5187">
        <v>4803497766</v>
      </c>
      <c r="F5187" t="s">
        <v>551</v>
      </c>
      <c r="G5187" t="s">
        <v>552</v>
      </c>
      <c r="I5187" t="s">
        <v>42</v>
      </c>
      <c r="J5187" s="13">
        <v>46087</v>
      </c>
      <c r="K5187" s="13">
        <v>46113</v>
      </c>
      <c r="L5187" t="s">
        <v>1179</v>
      </c>
      <c r="M5187" t="s">
        <v>58</v>
      </c>
      <c r="N5187">
        <v>74971444</v>
      </c>
    </row>
    <row r="5188" spans="1:14" x14ac:dyDescent="0.25">
      <c r="A5188">
        <v>61183354</v>
      </c>
      <c r="B5188" t="s">
        <v>1148</v>
      </c>
      <c r="C5188" t="s">
        <v>11372</v>
      </c>
      <c r="D5188" t="s">
        <v>11373</v>
      </c>
      <c r="E5188" t="s">
        <v>11374</v>
      </c>
      <c r="F5188" t="s">
        <v>649</v>
      </c>
      <c r="G5188" t="s">
        <v>650</v>
      </c>
      <c r="I5188" t="s">
        <v>28</v>
      </c>
      <c r="J5188" s="13">
        <v>46087</v>
      </c>
      <c r="K5188" s="13">
        <v>46113</v>
      </c>
      <c r="L5188" t="s">
        <v>470</v>
      </c>
      <c r="M5188" t="s">
        <v>60</v>
      </c>
      <c r="N5188">
        <v>74971456</v>
      </c>
    </row>
    <row r="5189" spans="1:14" x14ac:dyDescent="0.25">
      <c r="A5189">
        <v>61183390</v>
      </c>
      <c r="B5189" t="s">
        <v>517</v>
      </c>
      <c r="C5189" t="s">
        <v>5897</v>
      </c>
      <c r="D5189" t="s">
        <v>11375</v>
      </c>
      <c r="E5189">
        <v>5618226530</v>
      </c>
      <c r="F5189" t="s">
        <v>1013</v>
      </c>
      <c r="G5189" t="s">
        <v>1014</v>
      </c>
      <c r="I5189" t="s">
        <v>43</v>
      </c>
      <c r="J5189" s="13">
        <v>46087</v>
      </c>
      <c r="K5189" s="13">
        <v>46113</v>
      </c>
      <c r="L5189" t="s">
        <v>497</v>
      </c>
      <c r="M5189" t="s">
        <v>56</v>
      </c>
      <c r="N5189">
        <v>74971510</v>
      </c>
    </row>
    <row r="5190" spans="1:14" x14ac:dyDescent="0.25">
      <c r="A5190">
        <v>61184188</v>
      </c>
      <c r="B5190" t="s">
        <v>11376</v>
      </c>
      <c r="C5190" t="s">
        <v>11377</v>
      </c>
      <c r="D5190" t="s">
        <v>11378</v>
      </c>
      <c r="E5190">
        <v>8032371357</v>
      </c>
      <c r="F5190" t="s">
        <v>705</v>
      </c>
      <c r="G5190" t="s">
        <v>706</v>
      </c>
      <c r="I5190" t="s">
        <v>12</v>
      </c>
      <c r="J5190" s="13">
        <v>46087</v>
      </c>
      <c r="K5190" s="13">
        <v>46113</v>
      </c>
      <c r="L5190" t="s">
        <v>533</v>
      </c>
      <c r="M5190" t="s">
        <v>58</v>
      </c>
      <c r="N5190">
        <v>74972203</v>
      </c>
    </row>
    <row r="5191" spans="1:14" x14ac:dyDescent="0.25">
      <c r="A5191">
        <v>61184413</v>
      </c>
      <c r="B5191" t="s">
        <v>11379</v>
      </c>
      <c r="C5191" t="s">
        <v>11380</v>
      </c>
      <c r="D5191" t="s">
        <v>11381</v>
      </c>
      <c r="E5191">
        <v>7273662961</v>
      </c>
      <c r="F5191" t="s">
        <v>780</v>
      </c>
      <c r="G5191" t="s">
        <v>781</v>
      </c>
      <c r="I5191" t="s">
        <v>20</v>
      </c>
      <c r="J5191" s="13">
        <v>46087</v>
      </c>
      <c r="K5191" s="13">
        <v>46113</v>
      </c>
      <c r="L5191" t="s">
        <v>497</v>
      </c>
      <c r="M5191" t="s">
        <v>56</v>
      </c>
      <c r="N5191">
        <v>74972404</v>
      </c>
    </row>
    <row r="5192" spans="1:14" x14ac:dyDescent="0.25">
      <c r="A5192">
        <v>63635524</v>
      </c>
      <c r="B5192" t="s">
        <v>730</v>
      </c>
      <c r="C5192" t="s">
        <v>1068</v>
      </c>
      <c r="D5192" t="s">
        <v>11382</v>
      </c>
      <c r="E5192">
        <v>6027431818</v>
      </c>
      <c r="F5192" t="s">
        <v>10642</v>
      </c>
      <c r="G5192" t="s">
        <v>10643</v>
      </c>
      <c r="I5192" t="s">
        <v>45</v>
      </c>
      <c r="J5192" s="13">
        <v>46149</v>
      </c>
      <c r="K5192" s="13">
        <v>46174</v>
      </c>
      <c r="L5192" t="s">
        <v>1179</v>
      </c>
      <c r="M5192" t="s">
        <v>59</v>
      </c>
      <c r="N5192">
        <v>74972724</v>
      </c>
    </row>
    <row r="5193" spans="1:14" x14ac:dyDescent="0.25">
      <c r="A5193">
        <v>61184846</v>
      </c>
      <c r="B5193" t="s">
        <v>1482</v>
      </c>
      <c r="C5193" t="s">
        <v>1011</v>
      </c>
      <c r="D5193" t="s">
        <v>11383</v>
      </c>
      <c r="E5193">
        <v>9044836448</v>
      </c>
      <c r="F5193" t="s">
        <v>574</v>
      </c>
      <c r="G5193" t="s">
        <v>575</v>
      </c>
      <c r="I5193" t="s">
        <v>14</v>
      </c>
      <c r="J5193" s="13">
        <v>46087</v>
      </c>
      <c r="K5193" s="13">
        <v>46113</v>
      </c>
      <c r="L5193" t="s">
        <v>497</v>
      </c>
      <c r="M5193" t="s">
        <v>56</v>
      </c>
      <c r="N5193">
        <v>74972781</v>
      </c>
    </row>
    <row r="5194" spans="1:14" x14ac:dyDescent="0.25">
      <c r="A5194">
        <v>61185452</v>
      </c>
      <c r="B5194" t="s">
        <v>1089</v>
      </c>
      <c r="C5194" t="s">
        <v>1342</v>
      </c>
      <c r="D5194" t="s">
        <v>11384</v>
      </c>
      <c r="E5194">
        <v>8707035697</v>
      </c>
      <c r="F5194" t="s">
        <v>474</v>
      </c>
      <c r="G5194" t="s">
        <v>475</v>
      </c>
      <c r="I5194" t="s">
        <v>132</v>
      </c>
      <c r="J5194" s="13">
        <v>46087</v>
      </c>
      <c r="K5194" s="13">
        <v>46113</v>
      </c>
      <c r="L5194" t="s">
        <v>553</v>
      </c>
      <c r="M5194" t="s">
        <v>58</v>
      </c>
      <c r="N5194">
        <v>74973271</v>
      </c>
    </row>
    <row r="5195" spans="1:14" x14ac:dyDescent="0.25">
      <c r="A5195">
        <v>61186552</v>
      </c>
      <c r="B5195" t="s">
        <v>4263</v>
      </c>
      <c r="C5195" t="s">
        <v>11385</v>
      </c>
      <c r="D5195" t="s">
        <v>11386</v>
      </c>
      <c r="E5195">
        <v>2052036397</v>
      </c>
      <c r="F5195" t="s">
        <v>10460</v>
      </c>
      <c r="G5195" t="s">
        <v>6663</v>
      </c>
      <c r="I5195" t="s">
        <v>40</v>
      </c>
      <c r="J5195" s="13">
        <v>46087</v>
      </c>
      <c r="K5195" s="13">
        <v>46113</v>
      </c>
      <c r="L5195" t="s">
        <v>450</v>
      </c>
      <c r="M5195" t="s">
        <v>59</v>
      </c>
      <c r="N5195">
        <v>74974010</v>
      </c>
    </row>
    <row r="5196" spans="1:14" x14ac:dyDescent="0.25">
      <c r="A5196">
        <v>61188312</v>
      </c>
      <c r="B5196" t="s">
        <v>5329</v>
      </c>
      <c r="C5196" t="s">
        <v>790</v>
      </c>
      <c r="D5196" t="s">
        <v>11387</v>
      </c>
      <c r="E5196">
        <v>5208092238</v>
      </c>
      <c r="F5196" t="s">
        <v>1013</v>
      </c>
      <c r="G5196" t="s">
        <v>1014</v>
      </c>
      <c r="I5196" t="s">
        <v>43</v>
      </c>
      <c r="J5196" s="13">
        <v>46087</v>
      </c>
      <c r="K5196" s="13">
        <v>46113</v>
      </c>
      <c r="L5196" t="s">
        <v>1179</v>
      </c>
      <c r="M5196" t="s">
        <v>54</v>
      </c>
      <c r="N5196">
        <v>74974728</v>
      </c>
    </row>
    <row r="5197" spans="1:14" x14ac:dyDescent="0.25">
      <c r="A5197">
        <v>61189521</v>
      </c>
      <c r="B5197" t="s">
        <v>1448</v>
      </c>
      <c r="C5197" t="s">
        <v>11388</v>
      </c>
      <c r="D5197" t="s">
        <v>11389</v>
      </c>
      <c r="E5197">
        <v>4803217020</v>
      </c>
      <c r="F5197" t="s">
        <v>416</v>
      </c>
      <c r="G5197" t="s">
        <v>417</v>
      </c>
      <c r="I5197" t="s">
        <v>26</v>
      </c>
      <c r="J5197" s="13">
        <v>46087</v>
      </c>
      <c r="K5197" s="13">
        <v>46113</v>
      </c>
      <c r="L5197" t="s">
        <v>1179</v>
      </c>
      <c r="M5197" t="s">
        <v>54</v>
      </c>
      <c r="N5197">
        <v>74975366</v>
      </c>
    </row>
    <row r="5198" spans="1:14" x14ac:dyDescent="0.25">
      <c r="A5198">
        <v>61189801</v>
      </c>
      <c r="B5198" t="s">
        <v>11390</v>
      </c>
      <c r="C5198" t="s">
        <v>8906</v>
      </c>
      <c r="D5198" t="s">
        <v>11391</v>
      </c>
      <c r="E5198">
        <v>4809752580</v>
      </c>
      <c r="F5198" t="s">
        <v>628</v>
      </c>
      <c r="G5198" t="s">
        <v>629</v>
      </c>
      <c r="I5198" t="s">
        <v>24</v>
      </c>
      <c r="J5198" s="13">
        <v>46087</v>
      </c>
      <c r="K5198" s="13">
        <v>46113</v>
      </c>
      <c r="L5198" t="s">
        <v>1179</v>
      </c>
      <c r="M5198" t="s">
        <v>58</v>
      </c>
      <c r="N5198">
        <v>74975638</v>
      </c>
    </row>
    <row r="5199" spans="1:14" x14ac:dyDescent="0.25">
      <c r="A5199">
        <v>61190476</v>
      </c>
      <c r="B5199" t="s">
        <v>709</v>
      </c>
      <c r="C5199" t="s">
        <v>11392</v>
      </c>
      <c r="D5199" t="s">
        <v>11393</v>
      </c>
      <c r="E5199">
        <v>6025766016</v>
      </c>
      <c r="F5199" t="s">
        <v>1345</v>
      </c>
      <c r="G5199" t="s">
        <v>799</v>
      </c>
      <c r="I5199" t="s">
        <v>47</v>
      </c>
      <c r="J5199" s="13">
        <v>46087</v>
      </c>
      <c r="K5199" s="13">
        <v>46113</v>
      </c>
      <c r="L5199" t="s">
        <v>1179</v>
      </c>
      <c r="M5199" t="s">
        <v>58</v>
      </c>
      <c r="N5199">
        <v>74976100</v>
      </c>
    </row>
    <row r="5200" spans="1:14" x14ac:dyDescent="0.25">
      <c r="A5200">
        <v>61194820</v>
      </c>
      <c r="B5200" t="s">
        <v>8571</v>
      </c>
      <c r="C5200" t="s">
        <v>11394</v>
      </c>
      <c r="D5200" t="s">
        <v>11395</v>
      </c>
      <c r="E5200">
        <v>2562750130</v>
      </c>
      <c r="F5200" t="s">
        <v>705</v>
      </c>
      <c r="G5200" t="s">
        <v>706</v>
      </c>
      <c r="I5200" t="s">
        <v>12</v>
      </c>
      <c r="J5200" s="13">
        <v>46087</v>
      </c>
      <c r="K5200" s="13">
        <v>46113</v>
      </c>
      <c r="L5200" t="s">
        <v>450</v>
      </c>
      <c r="M5200" t="s">
        <v>56</v>
      </c>
      <c r="N5200">
        <v>74978559</v>
      </c>
    </row>
    <row r="5201" spans="1:14" x14ac:dyDescent="0.25">
      <c r="A5201">
        <v>61198063</v>
      </c>
      <c r="B5201" t="s">
        <v>501</v>
      </c>
      <c r="C5201" t="s">
        <v>11396</v>
      </c>
      <c r="D5201" t="s">
        <v>11397</v>
      </c>
      <c r="E5201">
        <v>2074967432</v>
      </c>
      <c r="F5201" t="s">
        <v>649</v>
      </c>
      <c r="G5201" t="s">
        <v>650</v>
      </c>
      <c r="I5201" t="s">
        <v>28</v>
      </c>
      <c r="J5201" s="13">
        <v>46087</v>
      </c>
      <c r="K5201" s="13">
        <v>46113</v>
      </c>
      <c r="L5201" t="s">
        <v>941</v>
      </c>
      <c r="M5201" t="s">
        <v>60</v>
      </c>
      <c r="N5201">
        <v>74980685</v>
      </c>
    </row>
    <row r="5202" spans="1:14" x14ac:dyDescent="0.25">
      <c r="A5202">
        <v>61198158</v>
      </c>
      <c r="B5202" t="s">
        <v>10113</v>
      </c>
      <c r="C5202" t="s">
        <v>11398</v>
      </c>
      <c r="D5202" t="s">
        <v>11399</v>
      </c>
      <c r="E5202">
        <v>7276376656</v>
      </c>
      <c r="F5202" t="s">
        <v>770</v>
      </c>
      <c r="G5202" t="s">
        <v>771</v>
      </c>
      <c r="I5202" t="s">
        <v>25</v>
      </c>
      <c r="J5202" s="13">
        <v>46087</v>
      </c>
      <c r="K5202" s="13">
        <v>46113</v>
      </c>
      <c r="L5202" t="s">
        <v>497</v>
      </c>
      <c r="M5202" t="s">
        <v>54</v>
      </c>
      <c r="N5202">
        <v>74980741</v>
      </c>
    </row>
    <row r="5203" spans="1:14" x14ac:dyDescent="0.25">
      <c r="A5203">
        <v>61198417</v>
      </c>
      <c r="B5203" t="s">
        <v>458</v>
      </c>
      <c r="C5203" t="s">
        <v>11400</v>
      </c>
      <c r="D5203" t="s">
        <v>11401</v>
      </c>
      <c r="E5203">
        <v>4175274228</v>
      </c>
      <c r="F5203" t="s">
        <v>474</v>
      </c>
      <c r="G5203" t="s">
        <v>475</v>
      </c>
      <c r="I5203" t="s">
        <v>132</v>
      </c>
      <c r="J5203" s="13">
        <v>46087</v>
      </c>
      <c r="K5203" s="13">
        <v>46113</v>
      </c>
      <c r="L5203" t="s">
        <v>434</v>
      </c>
      <c r="M5203" t="s">
        <v>59</v>
      </c>
      <c r="N5203">
        <v>74987141</v>
      </c>
    </row>
    <row r="5204" spans="1:14" x14ac:dyDescent="0.25">
      <c r="A5204">
        <v>61198627</v>
      </c>
      <c r="B5204" t="s">
        <v>1445</v>
      </c>
      <c r="C5204" t="s">
        <v>11402</v>
      </c>
      <c r="D5204" t="s">
        <v>11403</v>
      </c>
      <c r="E5204">
        <v>4805995719</v>
      </c>
      <c r="F5204" t="s">
        <v>1013</v>
      </c>
      <c r="G5204" t="s">
        <v>1014</v>
      </c>
      <c r="I5204" t="s">
        <v>43</v>
      </c>
      <c r="J5204" s="13">
        <v>46087</v>
      </c>
      <c r="K5204" s="13">
        <v>46113</v>
      </c>
      <c r="L5204" t="s">
        <v>1179</v>
      </c>
      <c r="M5204" t="s">
        <v>54</v>
      </c>
      <c r="N5204">
        <v>74994084</v>
      </c>
    </row>
    <row r="5205" spans="1:14" x14ac:dyDescent="0.25">
      <c r="A5205">
        <v>61198672</v>
      </c>
      <c r="B5205" t="s">
        <v>6170</v>
      </c>
      <c r="C5205" t="s">
        <v>11404</v>
      </c>
      <c r="D5205" t="s">
        <v>11405</v>
      </c>
      <c r="E5205">
        <v>4709980110</v>
      </c>
      <c r="F5205" t="s">
        <v>775</v>
      </c>
      <c r="G5205" t="s">
        <v>776</v>
      </c>
      <c r="I5205" t="s">
        <v>22</v>
      </c>
      <c r="J5205" s="13">
        <v>46087</v>
      </c>
      <c r="K5205" s="13">
        <v>46113</v>
      </c>
      <c r="L5205" t="s">
        <v>553</v>
      </c>
      <c r="M5205" t="s">
        <v>56</v>
      </c>
      <c r="N5205">
        <v>74996005</v>
      </c>
    </row>
    <row r="5206" spans="1:14" x14ac:dyDescent="0.25">
      <c r="A5206">
        <v>61198976</v>
      </c>
      <c r="B5206" t="s">
        <v>7822</v>
      </c>
      <c r="C5206" t="s">
        <v>4536</v>
      </c>
      <c r="D5206" t="s">
        <v>11406</v>
      </c>
      <c r="E5206">
        <v>9042347148</v>
      </c>
      <c r="F5206" t="s">
        <v>807</v>
      </c>
      <c r="G5206" t="s">
        <v>808</v>
      </c>
      <c r="I5206" t="s">
        <v>33</v>
      </c>
      <c r="J5206" s="13">
        <v>46087</v>
      </c>
      <c r="K5206" s="13">
        <v>46113</v>
      </c>
      <c r="L5206" t="s">
        <v>497</v>
      </c>
      <c r="M5206" t="s">
        <v>56</v>
      </c>
      <c r="N5206">
        <v>75006360</v>
      </c>
    </row>
    <row r="5207" spans="1:14" x14ac:dyDescent="0.25">
      <c r="A5207">
        <v>61199030</v>
      </c>
      <c r="B5207" t="s">
        <v>11407</v>
      </c>
      <c r="C5207" t="s">
        <v>11408</v>
      </c>
      <c r="D5207" t="s">
        <v>11409</v>
      </c>
      <c r="E5207">
        <v>2567862915</v>
      </c>
      <c r="F5207" t="s">
        <v>688</v>
      </c>
      <c r="G5207" t="s">
        <v>10291</v>
      </c>
      <c r="I5207" t="s">
        <v>48</v>
      </c>
      <c r="J5207" s="13">
        <v>46087</v>
      </c>
      <c r="K5207" s="13">
        <v>46113</v>
      </c>
      <c r="L5207" t="s">
        <v>450</v>
      </c>
      <c r="M5207" t="s">
        <v>59</v>
      </c>
      <c r="N5207">
        <v>75006413</v>
      </c>
    </row>
    <row r="5208" spans="1:14" x14ac:dyDescent="0.25">
      <c r="A5208">
        <v>61199159</v>
      </c>
      <c r="B5208" t="s">
        <v>7972</v>
      </c>
      <c r="C5208" t="s">
        <v>11410</v>
      </c>
      <c r="D5208" t="s">
        <v>11411</v>
      </c>
      <c r="E5208">
        <v>5205919078</v>
      </c>
      <c r="F5208" t="s">
        <v>780</v>
      </c>
      <c r="G5208" t="s">
        <v>781</v>
      </c>
      <c r="I5208" t="s">
        <v>20</v>
      </c>
      <c r="J5208" s="13">
        <v>46087</v>
      </c>
      <c r="K5208" s="13">
        <v>46113</v>
      </c>
      <c r="L5208" t="s">
        <v>1179</v>
      </c>
      <c r="M5208" t="s">
        <v>59</v>
      </c>
      <c r="N5208">
        <v>75011195</v>
      </c>
    </row>
    <row r="5209" spans="1:14" x14ac:dyDescent="0.25">
      <c r="A5209">
        <v>61199780</v>
      </c>
      <c r="B5209" t="s">
        <v>709</v>
      </c>
      <c r="C5209" t="s">
        <v>11412</v>
      </c>
      <c r="D5209" t="s">
        <v>11413</v>
      </c>
      <c r="E5209">
        <v>7727822767</v>
      </c>
      <c r="F5209" t="s">
        <v>416</v>
      </c>
      <c r="G5209" t="s">
        <v>417</v>
      </c>
      <c r="I5209" t="s">
        <v>26</v>
      </c>
      <c r="J5209" s="13">
        <v>46087</v>
      </c>
      <c r="K5209" s="13">
        <v>46113</v>
      </c>
      <c r="L5209" t="s">
        <v>497</v>
      </c>
      <c r="M5209" t="s">
        <v>58</v>
      </c>
      <c r="N5209">
        <v>75038237</v>
      </c>
    </row>
    <row r="5210" spans="1:14" x14ac:dyDescent="0.25">
      <c r="A5210">
        <v>61200087</v>
      </c>
      <c r="B5210" t="s">
        <v>2745</v>
      </c>
      <c r="C5210" t="s">
        <v>11414</v>
      </c>
      <c r="D5210" t="s">
        <v>11415</v>
      </c>
      <c r="E5210">
        <v>7198278259</v>
      </c>
      <c r="F5210" t="s">
        <v>10591</v>
      </c>
      <c r="G5210" t="s">
        <v>10215</v>
      </c>
      <c r="I5210" t="s">
        <v>32</v>
      </c>
      <c r="J5210" s="13">
        <v>46087</v>
      </c>
      <c r="K5210" s="13">
        <v>46113</v>
      </c>
      <c r="L5210" t="s">
        <v>539</v>
      </c>
      <c r="M5210" t="s">
        <v>59</v>
      </c>
      <c r="N5210">
        <v>75058062</v>
      </c>
    </row>
    <row r="5211" spans="1:14" x14ac:dyDescent="0.25">
      <c r="A5211">
        <v>62987960</v>
      </c>
      <c r="B5211" t="s">
        <v>1148</v>
      </c>
      <c r="C5211" t="s">
        <v>11416</v>
      </c>
      <c r="D5211" t="s">
        <v>11417</v>
      </c>
      <c r="E5211">
        <v>6022066079</v>
      </c>
      <c r="F5211" t="s">
        <v>1013</v>
      </c>
      <c r="G5211" t="s">
        <v>1014</v>
      </c>
      <c r="I5211" t="s">
        <v>43</v>
      </c>
      <c r="J5211" s="13">
        <v>46126</v>
      </c>
      <c r="K5211" s="13">
        <v>46143</v>
      </c>
      <c r="L5211" t="s">
        <v>1179</v>
      </c>
      <c r="M5211" t="s">
        <v>54</v>
      </c>
      <c r="N5211">
        <v>75258983</v>
      </c>
    </row>
    <row r="5212" spans="1:14" x14ac:dyDescent="0.25">
      <c r="A5212">
        <v>61277522</v>
      </c>
      <c r="B5212" t="s">
        <v>431</v>
      </c>
      <c r="C5212" t="s">
        <v>5882</v>
      </c>
      <c r="D5212" t="s">
        <v>11418</v>
      </c>
      <c r="F5212" t="s">
        <v>10569</v>
      </c>
      <c r="G5212" t="s">
        <v>10570</v>
      </c>
      <c r="I5212" t="s">
        <v>29</v>
      </c>
      <c r="J5212" s="13">
        <v>46092</v>
      </c>
      <c r="K5212" s="13">
        <v>46113</v>
      </c>
      <c r="L5212" t="s">
        <v>539</v>
      </c>
      <c r="M5212" t="s">
        <v>59</v>
      </c>
      <c r="N5212">
        <v>75259046</v>
      </c>
    </row>
    <row r="5213" spans="1:14" x14ac:dyDescent="0.25">
      <c r="A5213">
        <v>63109509</v>
      </c>
      <c r="B5213" t="s">
        <v>1482</v>
      </c>
      <c r="C5213" t="s">
        <v>416</v>
      </c>
      <c r="D5213" t="s">
        <v>11419</v>
      </c>
      <c r="E5213">
        <v>8723832786</v>
      </c>
      <c r="F5213" t="s">
        <v>2544</v>
      </c>
      <c r="G5213" t="s">
        <v>4833</v>
      </c>
      <c r="I5213" t="s">
        <v>18</v>
      </c>
      <c r="J5213" s="13">
        <v>46127</v>
      </c>
      <c r="K5213" s="13">
        <v>46143</v>
      </c>
      <c r="L5213" t="s">
        <v>470</v>
      </c>
      <c r="M5213" t="s">
        <v>59</v>
      </c>
      <c r="N5213">
        <v>75259157</v>
      </c>
    </row>
    <row r="5214" spans="1:14" x14ac:dyDescent="0.25">
      <c r="A5214">
        <v>61364920</v>
      </c>
      <c r="B5214" t="s">
        <v>7151</v>
      </c>
      <c r="C5214" t="s">
        <v>11420</v>
      </c>
      <c r="D5214" t="s">
        <v>11421</v>
      </c>
      <c r="E5214">
        <v>8708100719</v>
      </c>
      <c r="F5214" t="s">
        <v>705</v>
      </c>
      <c r="G5214" t="s">
        <v>706</v>
      </c>
      <c r="I5214" t="s">
        <v>12</v>
      </c>
      <c r="J5214" s="13">
        <v>46093</v>
      </c>
      <c r="K5214" s="13">
        <v>46113</v>
      </c>
      <c r="L5214" t="s">
        <v>553</v>
      </c>
      <c r="M5214" t="s">
        <v>56</v>
      </c>
      <c r="N5214">
        <v>75259460</v>
      </c>
    </row>
    <row r="5215" spans="1:14" x14ac:dyDescent="0.25">
      <c r="A5215">
        <v>63569473</v>
      </c>
      <c r="B5215" t="s">
        <v>11422</v>
      </c>
      <c r="C5215" t="s">
        <v>7029</v>
      </c>
      <c r="D5215" t="s">
        <v>11423</v>
      </c>
      <c r="E5215">
        <v>5126276241</v>
      </c>
      <c r="F5215" t="s">
        <v>1067</v>
      </c>
      <c r="G5215" t="s">
        <v>1068</v>
      </c>
      <c r="I5215" t="s">
        <v>35</v>
      </c>
      <c r="J5215" s="13">
        <v>46147</v>
      </c>
      <c r="K5215" s="13">
        <v>46174</v>
      </c>
      <c r="L5215" t="s">
        <v>444</v>
      </c>
      <c r="M5215" t="s">
        <v>59</v>
      </c>
      <c r="N5215">
        <v>75259470</v>
      </c>
    </row>
    <row r="5216" spans="1:14" x14ac:dyDescent="0.25">
      <c r="A5216">
        <v>62296074</v>
      </c>
      <c r="B5216" t="s">
        <v>11424</v>
      </c>
      <c r="C5216" t="s">
        <v>10349</v>
      </c>
      <c r="D5216" t="s">
        <v>11425</v>
      </c>
      <c r="E5216" t="s">
        <v>11426</v>
      </c>
      <c r="F5216" t="s">
        <v>10253</v>
      </c>
      <c r="G5216" t="s">
        <v>781</v>
      </c>
      <c r="I5216" t="s">
        <v>36</v>
      </c>
      <c r="J5216" s="13">
        <v>46106</v>
      </c>
      <c r="K5216" s="13">
        <v>46113</v>
      </c>
      <c r="L5216" t="s">
        <v>1179</v>
      </c>
      <c r="M5216" t="s">
        <v>54</v>
      </c>
      <c r="N5216">
        <v>75259537</v>
      </c>
    </row>
    <row r="5217" spans="1:14" x14ac:dyDescent="0.25">
      <c r="A5217">
        <v>63444352</v>
      </c>
      <c r="B5217" t="s">
        <v>11427</v>
      </c>
      <c r="C5217" t="s">
        <v>2245</v>
      </c>
      <c r="D5217" t="s">
        <v>11428</v>
      </c>
      <c r="E5217">
        <v>9282215537</v>
      </c>
      <c r="F5217" t="s">
        <v>780</v>
      </c>
      <c r="G5217" t="s">
        <v>781</v>
      </c>
      <c r="I5217" t="s">
        <v>20</v>
      </c>
      <c r="J5217" s="13">
        <v>46140</v>
      </c>
      <c r="K5217" s="13">
        <v>46143</v>
      </c>
      <c r="L5217" t="s">
        <v>1179</v>
      </c>
      <c r="M5217" t="s">
        <v>54</v>
      </c>
      <c r="N5217">
        <v>75259704</v>
      </c>
    </row>
    <row r="5218" spans="1:14" x14ac:dyDescent="0.25">
      <c r="A5218">
        <v>61239680</v>
      </c>
      <c r="B5218" t="s">
        <v>5687</v>
      </c>
      <c r="C5218" t="s">
        <v>11429</v>
      </c>
      <c r="D5218" t="s">
        <v>11430</v>
      </c>
      <c r="E5218">
        <v>7024615180</v>
      </c>
      <c r="F5218" t="s">
        <v>807</v>
      </c>
      <c r="G5218" t="s">
        <v>808</v>
      </c>
      <c r="I5218" t="s">
        <v>33</v>
      </c>
      <c r="J5218" s="13">
        <v>46090</v>
      </c>
      <c r="K5218" s="13">
        <v>46113</v>
      </c>
      <c r="L5218" t="s">
        <v>1179</v>
      </c>
      <c r="M5218" t="s">
        <v>54</v>
      </c>
      <c r="N5218">
        <v>75259979</v>
      </c>
    </row>
    <row r="5219" spans="1:14" x14ac:dyDescent="0.25">
      <c r="A5219">
        <v>61231806</v>
      </c>
      <c r="B5219" t="s">
        <v>2607</v>
      </c>
      <c r="C5219" t="s">
        <v>1258</v>
      </c>
      <c r="D5219" t="s">
        <v>11431</v>
      </c>
      <c r="E5219">
        <v>8434947884</v>
      </c>
      <c r="F5219" t="s">
        <v>649</v>
      </c>
      <c r="G5219" t="s">
        <v>650</v>
      </c>
      <c r="I5219" t="s">
        <v>28</v>
      </c>
      <c r="J5219" s="13">
        <v>46090</v>
      </c>
      <c r="K5219" s="13">
        <v>46113</v>
      </c>
      <c r="L5219" t="s">
        <v>533</v>
      </c>
      <c r="M5219" t="s">
        <v>56</v>
      </c>
      <c r="N5219">
        <v>75301547</v>
      </c>
    </row>
    <row r="5220" spans="1:14" x14ac:dyDescent="0.25">
      <c r="A5220">
        <v>61233840</v>
      </c>
      <c r="B5220" t="s">
        <v>622</v>
      </c>
      <c r="C5220" t="s">
        <v>11432</v>
      </c>
      <c r="D5220" t="s">
        <v>11433</v>
      </c>
      <c r="E5220">
        <v>2562982241</v>
      </c>
      <c r="F5220" t="s">
        <v>815</v>
      </c>
      <c r="G5220" t="s">
        <v>816</v>
      </c>
      <c r="I5220" t="s">
        <v>23</v>
      </c>
      <c r="J5220" s="13">
        <v>46090</v>
      </c>
      <c r="K5220" s="13">
        <v>46113</v>
      </c>
      <c r="L5220" t="s">
        <v>450</v>
      </c>
      <c r="M5220" t="s">
        <v>56</v>
      </c>
      <c r="N5220">
        <v>75316742</v>
      </c>
    </row>
    <row r="5221" spans="1:14" x14ac:dyDescent="0.25">
      <c r="A5221">
        <v>61234070</v>
      </c>
      <c r="B5221" t="s">
        <v>909</v>
      </c>
      <c r="C5221" t="s">
        <v>11434</v>
      </c>
      <c r="D5221" t="s">
        <v>11435</v>
      </c>
      <c r="E5221">
        <v>8597394596</v>
      </c>
      <c r="F5221" t="s">
        <v>828</v>
      </c>
      <c r="G5221" t="s">
        <v>1148</v>
      </c>
      <c r="I5221" t="s">
        <v>17</v>
      </c>
      <c r="J5221" s="13">
        <v>46090</v>
      </c>
      <c r="K5221" s="13">
        <v>46113</v>
      </c>
      <c r="L5221" t="s">
        <v>490</v>
      </c>
      <c r="M5221" t="s">
        <v>55</v>
      </c>
      <c r="N5221">
        <v>75317562</v>
      </c>
    </row>
    <row r="5222" spans="1:14" x14ac:dyDescent="0.25">
      <c r="A5222">
        <v>61234525</v>
      </c>
      <c r="B5222" t="s">
        <v>1408</v>
      </c>
      <c r="C5222" t="s">
        <v>11436</v>
      </c>
      <c r="D5222" t="s">
        <v>11437</v>
      </c>
      <c r="E5222">
        <v>5205432858</v>
      </c>
      <c r="F5222" t="s">
        <v>1013</v>
      </c>
      <c r="G5222" t="s">
        <v>1014</v>
      </c>
      <c r="I5222" t="s">
        <v>43</v>
      </c>
      <c r="J5222" s="13">
        <v>46090</v>
      </c>
      <c r="K5222" s="13">
        <v>46113</v>
      </c>
      <c r="L5222" t="s">
        <v>1179</v>
      </c>
      <c r="M5222" t="s">
        <v>59</v>
      </c>
      <c r="N5222">
        <v>75322661</v>
      </c>
    </row>
    <row r="5223" spans="1:14" x14ac:dyDescent="0.25">
      <c r="A5223">
        <v>61235326</v>
      </c>
      <c r="B5223" t="s">
        <v>11438</v>
      </c>
      <c r="C5223" t="s">
        <v>11439</v>
      </c>
      <c r="D5223" t="s">
        <v>11440</v>
      </c>
      <c r="E5223">
        <v>5207302315</v>
      </c>
      <c r="F5223" t="s">
        <v>688</v>
      </c>
      <c r="G5223" t="s">
        <v>10291</v>
      </c>
      <c r="I5223" t="s">
        <v>48</v>
      </c>
      <c r="J5223" s="13">
        <v>46090</v>
      </c>
      <c r="K5223" s="13">
        <v>46113</v>
      </c>
      <c r="L5223" t="s">
        <v>1179</v>
      </c>
      <c r="M5223" t="s">
        <v>55</v>
      </c>
      <c r="N5223">
        <v>75336658</v>
      </c>
    </row>
    <row r="5224" spans="1:14" x14ac:dyDescent="0.25">
      <c r="A5224">
        <v>61236019</v>
      </c>
      <c r="B5224" t="s">
        <v>2794</v>
      </c>
      <c r="C5224" t="s">
        <v>11441</v>
      </c>
      <c r="D5224" t="s">
        <v>11442</v>
      </c>
      <c r="E5224">
        <v>5043097680</v>
      </c>
      <c r="F5224" t="s">
        <v>569</v>
      </c>
      <c r="G5224" t="s">
        <v>570</v>
      </c>
      <c r="I5224" t="s">
        <v>34</v>
      </c>
      <c r="J5224" s="13">
        <v>46090</v>
      </c>
      <c r="K5224" s="13">
        <v>46113</v>
      </c>
      <c r="L5224" t="s">
        <v>612</v>
      </c>
      <c r="M5224" t="s">
        <v>60</v>
      </c>
      <c r="N5224">
        <v>75344932</v>
      </c>
    </row>
    <row r="5225" spans="1:14" x14ac:dyDescent="0.25">
      <c r="A5225">
        <v>61237222</v>
      </c>
      <c r="B5225" t="s">
        <v>11443</v>
      </c>
      <c r="C5225" t="s">
        <v>4217</v>
      </c>
      <c r="D5225" t="s">
        <v>11444</v>
      </c>
      <c r="E5225">
        <v>5026673798</v>
      </c>
      <c r="F5225" t="s">
        <v>474</v>
      </c>
      <c r="G5225" t="s">
        <v>475</v>
      </c>
      <c r="I5225" t="s">
        <v>132</v>
      </c>
      <c r="J5225" s="13">
        <v>46090</v>
      </c>
      <c r="K5225" s="13">
        <v>46113</v>
      </c>
      <c r="L5225" t="s">
        <v>490</v>
      </c>
      <c r="M5225" t="s">
        <v>59</v>
      </c>
      <c r="N5225">
        <v>75345798</v>
      </c>
    </row>
    <row r="5226" spans="1:14" x14ac:dyDescent="0.25">
      <c r="A5226">
        <v>61240241</v>
      </c>
      <c r="B5226" t="s">
        <v>11445</v>
      </c>
      <c r="C5226" t="s">
        <v>11446</v>
      </c>
      <c r="D5226" t="s">
        <v>11447</v>
      </c>
      <c r="E5226">
        <v>8599636967</v>
      </c>
      <c r="F5226" t="s">
        <v>448</v>
      </c>
      <c r="G5226" t="s">
        <v>449</v>
      </c>
      <c r="I5226" t="s">
        <v>31</v>
      </c>
      <c r="J5226" s="13">
        <v>46090</v>
      </c>
      <c r="K5226" s="13">
        <v>46113</v>
      </c>
      <c r="L5226" t="s">
        <v>490</v>
      </c>
      <c r="M5226" t="s">
        <v>59</v>
      </c>
      <c r="N5226">
        <v>75357819</v>
      </c>
    </row>
    <row r="5227" spans="1:14" x14ac:dyDescent="0.25">
      <c r="A5227">
        <v>61240868</v>
      </c>
      <c r="B5227" t="s">
        <v>604</v>
      </c>
      <c r="C5227" t="s">
        <v>1036</v>
      </c>
      <c r="D5227" t="s">
        <v>11448</v>
      </c>
      <c r="E5227">
        <v>8703176546</v>
      </c>
      <c r="F5227" t="s">
        <v>551</v>
      </c>
      <c r="G5227" t="s">
        <v>552</v>
      </c>
      <c r="I5227" t="s">
        <v>42</v>
      </c>
      <c r="J5227" s="13">
        <v>46090</v>
      </c>
      <c r="K5227" s="13">
        <v>46113</v>
      </c>
      <c r="L5227" t="s">
        <v>553</v>
      </c>
      <c r="M5227" t="s">
        <v>59</v>
      </c>
      <c r="N5227">
        <v>75365396</v>
      </c>
    </row>
    <row r="5228" spans="1:14" x14ac:dyDescent="0.25">
      <c r="A5228">
        <v>61241430</v>
      </c>
      <c r="B5228" t="s">
        <v>431</v>
      </c>
      <c r="C5228" t="s">
        <v>11449</v>
      </c>
      <c r="D5228" t="s">
        <v>11450</v>
      </c>
      <c r="E5228">
        <v>7193592555</v>
      </c>
      <c r="F5228" t="s">
        <v>628</v>
      </c>
      <c r="G5228" t="s">
        <v>629</v>
      </c>
      <c r="I5228" t="s">
        <v>24</v>
      </c>
      <c r="J5228" s="13">
        <v>46090</v>
      </c>
      <c r="K5228" s="13">
        <v>46113</v>
      </c>
      <c r="L5228" t="s">
        <v>539</v>
      </c>
      <c r="M5228" t="s">
        <v>59</v>
      </c>
      <c r="N5228">
        <v>75370773</v>
      </c>
    </row>
    <row r="5229" spans="1:14" x14ac:dyDescent="0.25">
      <c r="A5229">
        <v>61241499</v>
      </c>
      <c r="B5229" t="s">
        <v>467</v>
      </c>
      <c r="C5229" t="s">
        <v>11451</v>
      </c>
      <c r="D5229" t="s">
        <v>11452</v>
      </c>
      <c r="E5229">
        <v>7733170069</v>
      </c>
      <c r="F5229" t="s">
        <v>10460</v>
      </c>
      <c r="G5229" t="s">
        <v>6663</v>
      </c>
      <c r="I5229" t="s">
        <v>40</v>
      </c>
      <c r="J5229" s="13">
        <v>46090</v>
      </c>
      <c r="K5229" s="13">
        <v>46113</v>
      </c>
      <c r="L5229" t="s">
        <v>1179</v>
      </c>
      <c r="M5229" t="s">
        <v>56</v>
      </c>
      <c r="N5229">
        <v>75371116</v>
      </c>
    </row>
    <row r="5230" spans="1:14" x14ac:dyDescent="0.25">
      <c r="A5230">
        <v>61241679</v>
      </c>
      <c r="B5230" t="s">
        <v>1148</v>
      </c>
      <c r="C5230" t="s">
        <v>11453</v>
      </c>
      <c r="D5230" t="s">
        <v>11454</v>
      </c>
      <c r="E5230">
        <v>5207367478</v>
      </c>
      <c r="F5230" t="s">
        <v>2544</v>
      </c>
      <c r="G5230" t="s">
        <v>4833</v>
      </c>
      <c r="I5230" t="s">
        <v>18</v>
      </c>
      <c r="J5230" s="13">
        <v>46090</v>
      </c>
      <c r="K5230" s="13">
        <v>46113</v>
      </c>
      <c r="L5230" t="s">
        <v>1179</v>
      </c>
      <c r="M5230" t="s">
        <v>55</v>
      </c>
      <c r="N5230">
        <v>75372241</v>
      </c>
    </row>
    <row r="5231" spans="1:14" x14ac:dyDescent="0.25">
      <c r="A5231">
        <v>61242676</v>
      </c>
      <c r="B5231" t="s">
        <v>2523</v>
      </c>
      <c r="C5231" t="s">
        <v>8655</v>
      </c>
      <c r="D5231" t="s">
        <v>11455</v>
      </c>
      <c r="E5231">
        <v>8046614747</v>
      </c>
      <c r="F5231" t="s">
        <v>780</v>
      </c>
      <c r="G5231" t="s">
        <v>781</v>
      </c>
      <c r="I5231" t="s">
        <v>20</v>
      </c>
      <c r="J5231" s="13">
        <v>46090</v>
      </c>
      <c r="K5231" s="13">
        <v>46113</v>
      </c>
      <c r="L5231" t="s">
        <v>497</v>
      </c>
      <c r="M5231" t="s">
        <v>54</v>
      </c>
      <c r="N5231">
        <v>75385505</v>
      </c>
    </row>
    <row r="5232" spans="1:14" x14ac:dyDescent="0.25">
      <c r="A5232">
        <v>61243598</v>
      </c>
      <c r="B5232" t="s">
        <v>517</v>
      </c>
      <c r="C5232" t="s">
        <v>11456</v>
      </c>
      <c r="D5232" t="s">
        <v>11457</v>
      </c>
      <c r="E5232">
        <v>5732417525</v>
      </c>
      <c r="F5232" t="s">
        <v>775</v>
      </c>
      <c r="G5232" t="s">
        <v>776</v>
      </c>
      <c r="I5232" t="s">
        <v>22</v>
      </c>
      <c r="J5232" s="13">
        <v>46090</v>
      </c>
      <c r="K5232" s="13">
        <v>46113</v>
      </c>
      <c r="L5232" t="s">
        <v>434</v>
      </c>
      <c r="M5232" t="s">
        <v>59</v>
      </c>
      <c r="N5232">
        <v>75399871</v>
      </c>
    </row>
    <row r="5233" spans="1:14" x14ac:dyDescent="0.25">
      <c r="A5233">
        <v>61243873</v>
      </c>
      <c r="B5233" t="s">
        <v>11458</v>
      </c>
      <c r="C5233" t="s">
        <v>11459</v>
      </c>
      <c r="D5233" t="s">
        <v>11460</v>
      </c>
      <c r="E5233">
        <v>6024033432</v>
      </c>
      <c r="F5233" t="s">
        <v>1345</v>
      </c>
      <c r="G5233" t="s">
        <v>799</v>
      </c>
      <c r="I5233" t="s">
        <v>47</v>
      </c>
      <c r="J5233" s="13">
        <v>46090</v>
      </c>
      <c r="K5233" s="13">
        <v>46113</v>
      </c>
      <c r="L5233" t="s">
        <v>1179</v>
      </c>
      <c r="M5233" t="s">
        <v>54</v>
      </c>
      <c r="N5233">
        <v>75402059</v>
      </c>
    </row>
    <row r="5234" spans="1:14" x14ac:dyDescent="0.25">
      <c r="A5234">
        <v>61243951</v>
      </c>
      <c r="B5234" t="s">
        <v>3615</v>
      </c>
      <c r="C5234" t="s">
        <v>9557</v>
      </c>
      <c r="D5234" t="s">
        <v>11461</v>
      </c>
      <c r="E5234">
        <v>9566023889</v>
      </c>
      <c r="F5234" t="s">
        <v>574</v>
      </c>
      <c r="G5234" t="s">
        <v>575</v>
      </c>
      <c r="I5234" t="s">
        <v>14</v>
      </c>
      <c r="J5234" s="13">
        <v>46090</v>
      </c>
      <c r="K5234" s="13">
        <v>46113</v>
      </c>
      <c r="L5234" t="s">
        <v>444</v>
      </c>
      <c r="M5234" t="s">
        <v>58</v>
      </c>
      <c r="N5234">
        <v>75403070</v>
      </c>
    </row>
    <row r="5235" spans="1:14" x14ac:dyDescent="0.25">
      <c r="A5235">
        <v>61244167</v>
      </c>
      <c r="B5235" t="s">
        <v>2459</v>
      </c>
      <c r="C5235" t="s">
        <v>10104</v>
      </c>
      <c r="D5235" t="s">
        <v>11462</v>
      </c>
      <c r="E5235">
        <v>6024258916</v>
      </c>
      <c r="F5235" t="s">
        <v>1013</v>
      </c>
      <c r="G5235" t="s">
        <v>1014</v>
      </c>
      <c r="I5235" t="s">
        <v>43</v>
      </c>
      <c r="J5235" s="13">
        <v>46090</v>
      </c>
      <c r="K5235" s="13">
        <v>46113</v>
      </c>
      <c r="L5235" t="s">
        <v>1179</v>
      </c>
      <c r="M5235" t="s">
        <v>59</v>
      </c>
      <c r="N5235">
        <v>75404174</v>
      </c>
    </row>
    <row r="5236" spans="1:14" x14ac:dyDescent="0.25">
      <c r="A5236">
        <v>61244540</v>
      </c>
      <c r="B5236" t="s">
        <v>1941</v>
      </c>
      <c r="C5236" t="s">
        <v>4741</v>
      </c>
      <c r="D5236" t="s">
        <v>11463</v>
      </c>
      <c r="E5236">
        <v>4343945257</v>
      </c>
      <c r="F5236" t="s">
        <v>688</v>
      </c>
      <c r="G5236" t="s">
        <v>10291</v>
      </c>
      <c r="I5236" t="s">
        <v>48</v>
      </c>
      <c r="J5236" s="13">
        <v>46090</v>
      </c>
      <c r="K5236" s="13">
        <v>46113</v>
      </c>
      <c r="L5236" t="s">
        <v>454</v>
      </c>
      <c r="M5236" t="s">
        <v>56</v>
      </c>
      <c r="N5236">
        <v>75409612</v>
      </c>
    </row>
    <row r="5237" spans="1:14" x14ac:dyDescent="0.25">
      <c r="A5237">
        <v>61245414</v>
      </c>
      <c r="B5237" t="s">
        <v>4799</v>
      </c>
      <c r="C5237" t="s">
        <v>11464</v>
      </c>
      <c r="D5237" t="s">
        <v>11465</v>
      </c>
      <c r="E5237">
        <v>7722247962</v>
      </c>
      <c r="F5237" t="s">
        <v>10642</v>
      </c>
      <c r="G5237" t="s">
        <v>10643</v>
      </c>
      <c r="I5237" t="s">
        <v>45</v>
      </c>
      <c r="J5237" s="13">
        <v>46090</v>
      </c>
      <c r="K5237" s="13">
        <v>46113</v>
      </c>
      <c r="L5237" t="s">
        <v>497</v>
      </c>
      <c r="M5237" t="s">
        <v>54</v>
      </c>
      <c r="N5237">
        <v>75419756</v>
      </c>
    </row>
    <row r="5238" spans="1:14" x14ac:dyDescent="0.25">
      <c r="A5238">
        <v>61245641</v>
      </c>
      <c r="B5238" t="s">
        <v>730</v>
      </c>
      <c r="C5238" t="s">
        <v>11466</v>
      </c>
      <c r="D5238" t="s">
        <v>11467</v>
      </c>
      <c r="E5238">
        <v>8164910938</v>
      </c>
      <c r="F5238" t="s">
        <v>815</v>
      </c>
      <c r="G5238" t="s">
        <v>816</v>
      </c>
      <c r="I5238" t="s">
        <v>23</v>
      </c>
      <c r="J5238" s="13">
        <v>46090</v>
      </c>
      <c r="K5238" s="13">
        <v>46113</v>
      </c>
      <c r="L5238" t="s">
        <v>434</v>
      </c>
      <c r="M5238" t="s">
        <v>59</v>
      </c>
      <c r="N5238">
        <v>75424583</v>
      </c>
    </row>
    <row r="5239" spans="1:14" x14ac:dyDescent="0.25">
      <c r="A5239">
        <v>61245880</v>
      </c>
      <c r="B5239" t="s">
        <v>3208</v>
      </c>
      <c r="C5239" t="s">
        <v>11468</v>
      </c>
      <c r="D5239" t="s">
        <v>11469</v>
      </c>
      <c r="E5239">
        <v>4807206053</v>
      </c>
      <c r="F5239" t="s">
        <v>416</v>
      </c>
      <c r="G5239" t="s">
        <v>417</v>
      </c>
      <c r="I5239" t="s">
        <v>26</v>
      </c>
      <c r="J5239" s="13">
        <v>46090</v>
      </c>
      <c r="K5239" s="13">
        <v>46113</v>
      </c>
      <c r="L5239" t="s">
        <v>1179</v>
      </c>
      <c r="M5239" t="s">
        <v>55</v>
      </c>
      <c r="N5239">
        <v>75425984</v>
      </c>
    </row>
    <row r="5240" spans="1:14" x14ac:dyDescent="0.25">
      <c r="A5240">
        <v>61246654</v>
      </c>
      <c r="B5240" t="s">
        <v>11470</v>
      </c>
      <c r="C5240" t="s">
        <v>8531</v>
      </c>
      <c r="D5240" t="s">
        <v>11471</v>
      </c>
      <c r="E5240">
        <v>4802322652</v>
      </c>
      <c r="F5240" t="s">
        <v>780</v>
      </c>
      <c r="G5240" t="s">
        <v>781</v>
      </c>
      <c r="I5240" t="s">
        <v>20</v>
      </c>
      <c r="J5240" s="13">
        <v>46090</v>
      </c>
      <c r="K5240" s="13">
        <v>46113</v>
      </c>
      <c r="L5240" t="s">
        <v>1179</v>
      </c>
      <c r="M5240" t="s">
        <v>59</v>
      </c>
      <c r="N5240">
        <v>75430296</v>
      </c>
    </row>
    <row r="5241" spans="1:14" x14ac:dyDescent="0.25">
      <c r="A5241">
        <v>61246715</v>
      </c>
      <c r="B5241" t="s">
        <v>11472</v>
      </c>
      <c r="C5241" t="s">
        <v>5465</v>
      </c>
      <c r="D5241" t="s">
        <v>11473</v>
      </c>
      <c r="E5241">
        <v>7198491836</v>
      </c>
      <c r="F5241" t="s">
        <v>649</v>
      </c>
      <c r="G5241" t="s">
        <v>650</v>
      </c>
      <c r="I5241" t="s">
        <v>28</v>
      </c>
      <c r="J5241" s="13">
        <v>46090</v>
      </c>
      <c r="K5241" s="13">
        <v>46113</v>
      </c>
      <c r="L5241" t="s">
        <v>539</v>
      </c>
      <c r="M5241" t="s">
        <v>59</v>
      </c>
      <c r="N5241">
        <v>75430979</v>
      </c>
    </row>
    <row r="5242" spans="1:14" x14ac:dyDescent="0.25">
      <c r="A5242">
        <v>61247586</v>
      </c>
      <c r="B5242" t="s">
        <v>11474</v>
      </c>
      <c r="C5242" t="s">
        <v>4770</v>
      </c>
      <c r="D5242" t="s">
        <v>11475</v>
      </c>
      <c r="E5242">
        <v>8599481222</v>
      </c>
      <c r="F5242" t="s">
        <v>551</v>
      </c>
      <c r="G5242" t="s">
        <v>552</v>
      </c>
      <c r="I5242" t="s">
        <v>42</v>
      </c>
      <c r="J5242" s="13">
        <v>46090</v>
      </c>
      <c r="K5242" s="13">
        <v>46113</v>
      </c>
      <c r="L5242" t="s">
        <v>490</v>
      </c>
      <c r="M5242" t="s">
        <v>59</v>
      </c>
      <c r="N5242">
        <v>75440736</v>
      </c>
    </row>
    <row r="5243" spans="1:14" x14ac:dyDescent="0.25">
      <c r="A5243">
        <v>61248435</v>
      </c>
      <c r="B5243" t="s">
        <v>11476</v>
      </c>
      <c r="C5243" t="s">
        <v>4753</v>
      </c>
      <c r="D5243" t="s">
        <v>11477</v>
      </c>
      <c r="E5243" t="s">
        <v>11478</v>
      </c>
      <c r="F5243" t="s">
        <v>10253</v>
      </c>
      <c r="G5243" t="s">
        <v>781</v>
      </c>
      <c r="I5243" t="s">
        <v>36</v>
      </c>
      <c r="J5243" s="13">
        <v>46090</v>
      </c>
      <c r="K5243" s="13">
        <v>46113</v>
      </c>
      <c r="L5243" t="s">
        <v>1179</v>
      </c>
      <c r="M5243" t="s">
        <v>58</v>
      </c>
      <c r="N5243">
        <v>75453414</v>
      </c>
    </row>
    <row r="5244" spans="1:14" x14ac:dyDescent="0.25">
      <c r="A5244">
        <v>61248647</v>
      </c>
      <c r="B5244" t="s">
        <v>517</v>
      </c>
      <c r="C5244" t="s">
        <v>4753</v>
      </c>
      <c r="D5244" t="s">
        <v>11479</v>
      </c>
      <c r="E5244">
        <v>5208018896</v>
      </c>
      <c r="F5244" t="s">
        <v>705</v>
      </c>
      <c r="G5244" t="s">
        <v>706</v>
      </c>
      <c r="I5244" t="s">
        <v>12</v>
      </c>
      <c r="J5244" s="13">
        <v>46090</v>
      </c>
      <c r="K5244" s="13">
        <v>46113</v>
      </c>
      <c r="L5244" t="s">
        <v>1179</v>
      </c>
      <c r="M5244" t="s">
        <v>55</v>
      </c>
      <c r="N5244">
        <v>75453625</v>
      </c>
    </row>
    <row r="5245" spans="1:14" x14ac:dyDescent="0.25">
      <c r="A5245">
        <v>61255492</v>
      </c>
      <c r="B5245" t="s">
        <v>11480</v>
      </c>
      <c r="C5245" t="s">
        <v>10637</v>
      </c>
      <c r="D5245" t="s">
        <v>11481</v>
      </c>
      <c r="E5245">
        <v>2146629366</v>
      </c>
      <c r="F5245" t="s">
        <v>574</v>
      </c>
      <c r="G5245" t="s">
        <v>575</v>
      </c>
      <c r="I5245" t="s">
        <v>14</v>
      </c>
      <c r="J5245" s="13">
        <v>46091</v>
      </c>
      <c r="K5245" s="13">
        <v>46113</v>
      </c>
      <c r="L5245" t="s">
        <v>444</v>
      </c>
      <c r="M5245" t="s">
        <v>55</v>
      </c>
      <c r="N5245">
        <v>75456391</v>
      </c>
    </row>
    <row r="5246" spans="1:14" x14ac:dyDescent="0.25">
      <c r="A5246">
        <v>61253596</v>
      </c>
      <c r="B5246" t="s">
        <v>2280</v>
      </c>
      <c r="C5246" t="s">
        <v>11482</v>
      </c>
      <c r="D5246" t="s">
        <v>11483</v>
      </c>
      <c r="E5246">
        <v>8643408518</v>
      </c>
      <c r="F5246" t="s">
        <v>551</v>
      </c>
      <c r="G5246" t="s">
        <v>552</v>
      </c>
      <c r="I5246" t="s">
        <v>42</v>
      </c>
      <c r="J5246" s="13">
        <v>46091</v>
      </c>
      <c r="K5246" s="13">
        <v>46113</v>
      </c>
      <c r="L5246" t="s">
        <v>533</v>
      </c>
      <c r="M5246" t="s">
        <v>56</v>
      </c>
      <c r="N5246">
        <v>75456402</v>
      </c>
    </row>
    <row r="5247" spans="1:14" x14ac:dyDescent="0.25">
      <c r="A5247">
        <v>61266848</v>
      </c>
      <c r="B5247" t="s">
        <v>1794</v>
      </c>
      <c r="C5247" t="s">
        <v>11484</v>
      </c>
      <c r="D5247" t="s">
        <v>11485</v>
      </c>
      <c r="E5247">
        <v>5202456231</v>
      </c>
      <c r="F5247" t="s">
        <v>770</v>
      </c>
      <c r="G5247" t="s">
        <v>771</v>
      </c>
      <c r="I5247" t="s">
        <v>25</v>
      </c>
      <c r="J5247" s="13">
        <v>46091</v>
      </c>
      <c r="K5247" s="13">
        <v>46113</v>
      </c>
      <c r="M5247" t="s">
        <v>54</v>
      </c>
      <c r="N5247">
        <v>75465637</v>
      </c>
    </row>
    <row r="5248" spans="1:14" x14ac:dyDescent="0.25">
      <c r="A5248">
        <v>61255825</v>
      </c>
      <c r="B5248" t="s">
        <v>2413</v>
      </c>
      <c r="C5248" t="s">
        <v>11486</v>
      </c>
      <c r="D5248" t="s">
        <v>11487</v>
      </c>
      <c r="E5248">
        <v>6024351206</v>
      </c>
      <c r="F5248" t="s">
        <v>775</v>
      </c>
      <c r="G5248" t="s">
        <v>776</v>
      </c>
      <c r="I5248" t="s">
        <v>22</v>
      </c>
      <c r="J5248" s="13">
        <v>46091</v>
      </c>
      <c r="K5248" s="13">
        <v>46113</v>
      </c>
      <c r="L5248" t="s">
        <v>1179</v>
      </c>
      <c r="M5248" t="s">
        <v>58</v>
      </c>
      <c r="N5248">
        <v>75482712</v>
      </c>
    </row>
    <row r="5249" spans="1:14" x14ac:dyDescent="0.25">
      <c r="A5249">
        <v>61263384</v>
      </c>
      <c r="B5249" t="s">
        <v>1797</v>
      </c>
      <c r="C5249" t="s">
        <v>11488</v>
      </c>
      <c r="D5249" t="s">
        <v>11489</v>
      </c>
      <c r="E5249">
        <v>7723597664</v>
      </c>
      <c r="F5249" t="s">
        <v>815</v>
      </c>
      <c r="G5249" t="s">
        <v>816</v>
      </c>
      <c r="I5249" t="s">
        <v>23</v>
      </c>
      <c r="J5249" s="13">
        <v>46091</v>
      </c>
      <c r="K5249" s="13">
        <v>46113</v>
      </c>
      <c r="L5249" t="s">
        <v>497</v>
      </c>
      <c r="M5249" t="s">
        <v>54</v>
      </c>
      <c r="N5249">
        <v>75499600</v>
      </c>
    </row>
    <row r="5250" spans="1:14" x14ac:dyDescent="0.25">
      <c r="A5250">
        <v>61257771</v>
      </c>
      <c r="B5250" t="s">
        <v>1035</v>
      </c>
      <c r="C5250" t="s">
        <v>3095</v>
      </c>
      <c r="D5250" t="s">
        <v>11490</v>
      </c>
      <c r="E5250">
        <v>2172732502</v>
      </c>
      <c r="F5250" t="s">
        <v>10460</v>
      </c>
      <c r="G5250" t="s">
        <v>6663</v>
      </c>
      <c r="I5250" t="s">
        <v>40</v>
      </c>
      <c r="J5250" s="13">
        <v>46091</v>
      </c>
      <c r="K5250" s="13">
        <v>46113</v>
      </c>
      <c r="L5250" t="s">
        <v>470</v>
      </c>
      <c r="M5250" t="s">
        <v>60</v>
      </c>
      <c r="N5250">
        <v>75536173</v>
      </c>
    </row>
    <row r="5251" spans="1:14" x14ac:dyDescent="0.25">
      <c r="A5251">
        <v>61258381</v>
      </c>
      <c r="B5251" t="s">
        <v>8214</v>
      </c>
      <c r="C5251" t="s">
        <v>11491</v>
      </c>
      <c r="D5251" t="s">
        <v>11492</v>
      </c>
      <c r="E5251">
        <v>4192954951</v>
      </c>
      <c r="F5251" t="s">
        <v>649</v>
      </c>
      <c r="G5251" t="s">
        <v>650</v>
      </c>
      <c r="I5251" t="s">
        <v>28</v>
      </c>
      <c r="J5251" s="13">
        <v>46091</v>
      </c>
      <c r="K5251" s="13">
        <v>46113</v>
      </c>
      <c r="L5251" t="s">
        <v>418</v>
      </c>
      <c r="M5251" t="s">
        <v>60</v>
      </c>
      <c r="N5251">
        <v>75536544</v>
      </c>
    </row>
    <row r="5252" spans="1:14" x14ac:dyDescent="0.25">
      <c r="A5252">
        <v>61258575</v>
      </c>
      <c r="B5252" t="s">
        <v>10028</v>
      </c>
      <c r="C5252" t="s">
        <v>11493</v>
      </c>
      <c r="D5252" t="s">
        <v>11494</v>
      </c>
      <c r="E5252">
        <v>2055779509</v>
      </c>
      <c r="F5252" t="s">
        <v>828</v>
      </c>
      <c r="G5252" t="s">
        <v>1148</v>
      </c>
      <c r="I5252" t="s">
        <v>17</v>
      </c>
      <c r="J5252" s="13">
        <v>46091</v>
      </c>
      <c r="K5252" s="13">
        <v>46113</v>
      </c>
      <c r="L5252" t="s">
        <v>450</v>
      </c>
      <c r="M5252" t="s">
        <v>55</v>
      </c>
      <c r="N5252">
        <v>75541005</v>
      </c>
    </row>
    <row r="5253" spans="1:14" x14ac:dyDescent="0.25">
      <c r="A5253">
        <v>61259781</v>
      </c>
      <c r="B5253" t="s">
        <v>5225</v>
      </c>
      <c r="C5253" t="s">
        <v>11495</v>
      </c>
      <c r="D5253" t="s">
        <v>11496</v>
      </c>
      <c r="E5253">
        <v>6026153237</v>
      </c>
      <c r="F5253" t="s">
        <v>574</v>
      </c>
      <c r="G5253" t="s">
        <v>575</v>
      </c>
      <c r="I5253" t="s">
        <v>14</v>
      </c>
      <c r="J5253" s="13">
        <v>46091</v>
      </c>
      <c r="K5253" s="13">
        <v>46113</v>
      </c>
      <c r="L5253" t="s">
        <v>1179</v>
      </c>
      <c r="M5253" t="s">
        <v>61</v>
      </c>
      <c r="N5253">
        <v>75550067</v>
      </c>
    </row>
    <row r="5254" spans="1:14" x14ac:dyDescent="0.25">
      <c r="A5254">
        <v>61260047</v>
      </c>
      <c r="B5254" t="s">
        <v>11497</v>
      </c>
      <c r="C5254" t="s">
        <v>1422</v>
      </c>
      <c r="D5254" t="s">
        <v>11498</v>
      </c>
      <c r="E5254">
        <v>7274205300</v>
      </c>
      <c r="F5254" t="s">
        <v>780</v>
      </c>
      <c r="G5254" t="s">
        <v>781</v>
      </c>
      <c r="I5254" t="s">
        <v>20</v>
      </c>
      <c r="J5254" s="13">
        <v>46091</v>
      </c>
      <c r="K5254" s="13">
        <v>46113</v>
      </c>
      <c r="L5254" t="s">
        <v>497</v>
      </c>
      <c r="M5254" t="s">
        <v>54</v>
      </c>
      <c r="N5254">
        <v>75557145</v>
      </c>
    </row>
    <row r="5255" spans="1:14" x14ac:dyDescent="0.25">
      <c r="A5255">
        <v>61260340</v>
      </c>
      <c r="B5255" t="s">
        <v>1237</v>
      </c>
      <c r="C5255" t="s">
        <v>11499</v>
      </c>
      <c r="D5255" t="s">
        <v>11500</v>
      </c>
      <c r="E5255">
        <v>6239863245</v>
      </c>
      <c r="F5255" t="s">
        <v>807</v>
      </c>
      <c r="G5255" t="s">
        <v>808</v>
      </c>
      <c r="I5255" t="s">
        <v>33</v>
      </c>
      <c r="J5255" s="13">
        <v>46091</v>
      </c>
      <c r="K5255" s="13">
        <v>46113</v>
      </c>
      <c r="L5255" t="s">
        <v>1179</v>
      </c>
      <c r="M5255" t="s">
        <v>59</v>
      </c>
      <c r="N5255">
        <v>75566373</v>
      </c>
    </row>
    <row r="5256" spans="1:14" x14ac:dyDescent="0.25">
      <c r="A5256">
        <v>61260452</v>
      </c>
      <c r="B5256" t="s">
        <v>865</v>
      </c>
      <c r="C5256" t="s">
        <v>11501</v>
      </c>
      <c r="D5256" t="s">
        <v>11502</v>
      </c>
      <c r="E5256">
        <v>2707341866</v>
      </c>
      <c r="F5256" t="s">
        <v>569</v>
      </c>
      <c r="G5256" t="s">
        <v>570</v>
      </c>
      <c r="I5256" t="s">
        <v>34</v>
      </c>
      <c r="J5256" s="13">
        <v>46091</v>
      </c>
      <c r="K5256" s="13">
        <v>46113</v>
      </c>
      <c r="L5256" t="s">
        <v>490</v>
      </c>
      <c r="M5256" t="s">
        <v>56</v>
      </c>
      <c r="N5256">
        <v>75567321</v>
      </c>
    </row>
    <row r="5257" spans="1:14" x14ac:dyDescent="0.25">
      <c r="A5257">
        <v>61260478</v>
      </c>
      <c r="B5257" t="s">
        <v>586</v>
      </c>
      <c r="C5257" t="s">
        <v>6586</v>
      </c>
      <c r="D5257" t="s">
        <v>11503</v>
      </c>
      <c r="E5257">
        <v>4047697700</v>
      </c>
      <c r="F5257" t="s">
        <v>551</v>
      </c>
      <c r="G5257" t="s">
        <v>552</v>
      </c>
      <c r="I5257" t="s">
        <v>42</v>
      </c>
      <c r="J5257" s="13">
        <v>46091</v>
      </c>
      <c r="K5257" s="13">
        <v>46113</v>
      </c>
      <c r="L5257" t="s">
        <v>621</v>
      </c>
      <c r="M5257" t="s">
        <v>59</v>
      </c>
      <c r="N5257">
        <v>75567323</v>
      </c>
    </row>
    <row r="5258" spans="1:14" x14ac:dyDescent="0.25">
      <c r="A5258">
        <v>61261328</v>
      </c>
      <c r="B5258" t="s">
        <v>11504</v>
      </c>
      <c r="C5258" t="s">
        <v>1585</v>
      </c>
      <c r="D5258" t="s">
        <v>11505</v>
      </c>
      <c r="E5258">
        <v>6027683531</v>
      </c>
      <c r="F5258" t="s">
        <v>1013</v>
      </c>
      <c r="G5258" t="s">
        <v>1014</v>
      </c>
      <c r="I5258" t="s">
        <v>43</v>
      </c>
      <c r="J5258" s="13">
        <v>46091</v>
      </c>
      <c r="K5258" s="13">
        <v>46113</v>
      </c>
      <c r="L5258" t="s">
        <v>1179</v>
      </c>
      <c r="M5258" t="s">
        <v>54</v>
      </c>
      <c r="N5258">
        <v>75567946</v>
      </c>
    </row>
    <row r="5259" spans="1:14" x14ac:dyDescent="0.25">
      <c r="A5259">
        <v>61262127</v>
      </c>
      <c r="B5259" t="s">
        <v>1148</v>
      </c>
      <c r="C5259" t="s">
        <v>11506</v>
      </c>
      <c r="D5259" t="s">
        <v>11507</v>
      </c>
      <c r="E5259">
        <v>9284065361</v>
      </c>
      <c r="F5259" t="s">
        <v>770</v>
      </c>
      <c r="G5259" t="s">
        <v>771</v>
      </c>
      <c r="I5259" t="s">
        <v>25</v>
      </c>
      <c r="J5259" s="13">
        <v>46091</v>
      </c>
      <c r="K5259" s="13">
        <v>46113</v>
      </c>
      <c r="L5259" t="s">
        <v>1179</v>
      </c>
      <c r="M5259" t="s">
        <v>54</v>
      </c>
      <c r="N5259">
        <v>75568540</v>
      </c>
    </row>
    <row r="5260" spans="1:14" x14ac:dyDescent="0.25">
      <c r="A5260">
        <v>61264098</v>
      </c>
      <c r="B5260" t="s">
        <v>11508</v>
      </c>
      <c r="C5260" t="s">
        <v>11509</v>
      </c>
      <c r="D5260" t="s">
        <v>11510</v>
      </c>
      <c r="E5260">
        <v>9702161199</v>
      </c>
      <c r="F5260" t="s">
        <v>775</v>
      </c>
      <c r="G5260" t="s">
        <v>776</v>
      </c>
      <c r="I5260" t="s">
        <v>22</v>
      </c>
      <c r="J5260" s="13">
        <v>46091</v>
      </c>
      <c r="K5260" s="13">
        <v>46113</v>
      </c>
      <c r="L5260" t="s">
        <v>539</v>
      </c>
      <c r="M5260" t="s">
        <v>60</v>
      </c>
      <c r="N5260">
        <v>75569786</v>
      </c>
    </row>
    <row r="5261" spans="1:14" x14ac:dyDescent="0.25">
      <c r="A5261">
        <v>61265225</v>
      </c>
      <c r="B5261" t="s">
        <v>8571</v>
      </c>
      <c r="C5261" t="s">
        <v>11511</v>
      </c>
      <c r="D5261" t="s">
        <v>11512</v>
      </c>
      <c r="E5261">
        <v>2628990866</v>
      </c>
      <c r="F5261" t="s">
        <v>628</v>
      </c>
      <c r="G5261" t="s">
        <v>629</v>
      </c>
      <c r="I5261" t="s">
        <v>24</v>
      </c>
      <c r="J5261" s="13">
        <v>46091</v>
      </c>
      <c r="K5261" s="13">
        <v>46113</v>
      </c>
      <c r="L5261" t="s">
        <v>675</v>
      </c>
      <c r="M5261" t="s">
        <v>61</v>
      </c>
      <c r="N5261">
        <v>75579325</v>
      </c>
    </row>
    <row r="5262" spans="1:14" x14ac:dyDescent="0.25">
      <c r="A5262">
        <v>61265422</v>
      </c>
      <c r="B5262" t="s">
        <v>2006</v>
      </c>
      <c r="C5262" t="s">
        <v>11513</v>
      </c>
      <c r="D5262" t="s">
        <v>11514</v>
      </c>
      <c r="E5262">
        <v>9544464248</v>
      </c>
      <c r="F5262" t="s">
        <v>448</v>
      </c>
      <c r="G5262" t="s">
        <v>449</v>
      </c>
      <c r="I5262" t="s">
        <v>31</v>
      </c>
      <c r="J5262" s="13">
        <v>46091</v>
      </c>
      <c r="K5262" s="13">
        <v>46113</v>
      </c>
      <c r="L5262" t="s">
        <v>497</v>
      </c>
      <c r="M5262" t="s">
        <v>419</v>
      </c>
      <c r="N5262">
        <v>75584212</v>
      </c>
    </row>
    <row r="5263" spans="1:14" x14ac:dyDescent="0.25">
      <c r="A5263">
        <v>61266173</v>
      </c>
      <c r="B5263" t="s">
        <v>11515</v>
      </c>
      <c r="C5263" t="s">
        <v>1258</v>
      </c>
      <c r="D5263" t="s">
        <v>11516</v>
      </c>
      <c r="E5263" t="s">
        <v>11517</v>
      </c>
      <c r="F5263" t="s">
        <v>828</v>
      </c>
      <c r="G5263" t="s">
        <v>1148</v>
      </c>
      <c r="I5263" t="s">
        <v>17</v>
      </c>
      <c r="J5263" s="13">
        <v>46091</v>
      </c>
      <c r="K5263" s="13">
        <v>46113</v>
      </c>
      <c r="M5263" t="s">
        <v>56</v>
      </c>
      <c r="N5263">
        <v>75604704</v>
      </c>
    </row>
    <row r="5264" spans="1:14" x14ac:dyDescent="0.25">
      <c r="A5264">
        <v>61266377</v>
      </c>
      <c r="B5264" t="s">
        <v>10028</v>
      </c>
      <c r="C5264" t="s">
        <v>4137</v>
      </c>
      <c r="D5264" t="s">
        <v>11518</v>
      </c>
      <c r="E5264">
        <v>9092442193</v>
      </c>
      <c r="F5264" t="s">
        <v>705</v>
      </c>
      <c r="G5264" t="s">
        <v>706</v>
      </c>
      <c r="I5264" t="s">
        <v>12</v>
      </c>
      <c r="J5264" s="13">
        <v>46091</v>
      </c>
      <c r="K5264" s="13">
        <v>46113</v>
      </c>
      <c r="L5264" t="s">
        <v>1179</v>
      </c>
      <c r="M5264" t="s">
        <v>59</v>
      </c>
      <c r="N5264">
        <v>75612033</v>
      </c>
    </row>
    <row r="5265" spans="1:14" x14ac:dyDescent="0.25">
      <c r="A5265">
        <v>61266411</v>
      </c>
      <c r="B5265" t="s">
        <v>11434</v>
      </c>
      <c r="C5265" t="s">
        <v>11519</v>
      </c>
      <c r="D5265" t="s">
        <v>11520</v>
      </c>
      <c r="E5265">
        <v>9286863435</v>
      </c>
      <c r="F5265" t="s">
        <v>807</v>
      </c>
      <c r="G5265" t="s">
        <v>808</v>
      </c>
      <c r="I5265" t="s">
        <v>33</v>
      </c>
      <c r="J5265" s="13">
        <v>46091</v>
      </c>
      <c r="K5265" s="13">
        <v>46113</v>
      </c>
      <c r="L5265" t="s">
        <v>1179</v>
      </c>
      <c r="M5265" t="s">
        <v>54</v>
      </c>
      <c r="N5265">
        <v>75613516</v>
      </c>
    </row>
    <row r="5266" spans="1:14" x14ac:dyDescent="0.25">
      <c r="A5266">
        <v>61266539</v>
      </c>
      <c r="B5266" t="s">
        <v>888</v>
      </c>
      <c r="C5266" t="s">
        <v>11521</v>
      </c>
      <c r="D5266" t="s">
        <v>11522</v>
      </c>
      <c r="E5266">
        <v>7722817230</v>
      </c>
      <c r="F5266" t="s">
        <v>1345</v>
      </c>
      <c r="G5266" t="s">
        <v>799</v>
      </c>
      <c r="I5266" t="s">
        <v>47</v>
      </c>
      <c r="J5266" s="13">
        <v>46091</v>
      </c>
      <c r="K5266" s="13">
        <v>46113</v>
      </c>
      <c r="L5266" t="s">
        <v>497</v>
      </c>
      <c r="M5266" t="s">
        <v>54</v>
      </c>
      <c r="N5266">
        <v>75618818</v>
      </c>
    </row>
    <row r="5267" spans="1:14" x14ac:dyDescent="0.25">
      <c r="A5267">
        <v>61266549</v>
      </c>
      <c r="B5267" t="s">
        <v>501</v>
      </c>
      <c r="C5267" t="s">
        <v>11523</v>
      </c>
      <c r="D5267" t="s">
        <v>11524</v>
      </c>
      <c r="E5267">
        <v>5206539178</v>
      </c>
      <c r="F5267" t="s">
        <v>780</v>
      </c>
      <c r="G5267" t="s">
        <v>781</v>
      </c>
      <c r="I5267" t="s">
        <v>20</v>
      </c>
      <c r="J5267" s="13">
        <v>46091</v>
      </c>
      <c r="K5267" s="13">
        <v>46113</v>
      </c>
      <c r="L5267" t="s">
        <v>1179</v>
      </c>
      <c r="M5267" t="s">
        <v>54</v>
      </c>
      <c r="N5267">
        <v>75619452</v>
      </c>
    </row>
    <row r="5268" spans="1:14" x14ac:dyDescent="0.25">
      <c r="A5268">
        <v>61266675</v>
      </c>
      <c r="B5268" t="s">
        <v>2681</v>
      </c>
      <c r="C5268" t="s">
        <v>9000</v>
      </c>
      <c r="D5268" t="s">
        <v>11525</v>
      </c>
      <c r="E5268">
        <v>9834563160</v>
      </c>
      <c r="F5268" t="s">
        <v>569</v>
      </c>
      <c r="G5268" t="s">
        <v>570</v>
      </c>
      <c r="I5268" t="s">
        <v>34</v>
      </c>
      <c r="J5268" s="13">
        <v>46091</v>
      </c>
      <c r="K5268" s="13">
        <v>46113</v>
      </c>
      <c r="L5268" t="s">
        <v>539</v>
      </c>
      <c r="M5268" t="s">
        <v>59</v>
      </c>
      <c r="N5268">
        <v>75625698</v>
      </c>
    </row>
    <row r="5269" spans="1:14" x14ac:dyDescent="0.25">
      <c r="A5269">
        <v>61266727</v>
      </c>
      <c r="B5269" t="s">
        <v>2335</v>
      </c>
      <c r="C5269" t="s">
        <v>4667</v>
      </c>
      <c r="D5269" t="s">
        <v>11526</v>
      </c>
      <c r="E5269">
        <v>4808866414</v>
      </c>
      <c r="F5269" t="s">
        <v>815</v>
      </c>
      <c r="G5269" t="s">
        <v>816</v>
      </c>
      <c r="I5269" t="s">
        <v>23</v>
      </c>
      <c r="J5269" s="13">
        <v>46091</v>
      </c>
      <c r="K5269" s="13">
        <v>46113</v>
      </c>
      <c r="L5269" t="s">
        <v>1179</v>
      </c>
      <c r="M5269" t="s">
        <v>59</v>
      </c>
      <c r="N5269">
        <v>75627846</v>
      </c>
    </row>
    <row r="5270" spans="1:14" x14ac:dyDescent="0.25">
      <c r="A5270">
        <v>61266753</v>
      </c>
      <c r="B5270" t="s">
        <v>11527</v>
      </c>
      <c r="C5270" t="s">
        <v>11528</v>
      </c>
      <c r="D5270" t="s">
        <v>11529</v>
      </c>
      <c r="E5270">
        <v>8037049662</v>
      </c>
      <c r="F5270" t="s">
        <v>828</v>
      </c>
      <c r="G5270" t="s">
        <v>1148</v>
      </c>
      <c r="I5270" t="s">
        <v>17</v>
      </c>
      <c r="J5270" s="13">
        <v>46091</v>
      </c>
      <c r="K5270" s="13">
        <v>46113</v>
      </c>
      <c r="L5270" t="s">
        <v>533</v>
      </c>
      <c r="M5270" t="s">
        <v>56</v>
      </c>
      <c r="N5270">
        <v>75627877</v>
      </c>
    </row>
    <row r="5271" spans="1:14" x14ac:dyDescent="0.25">
      <c r="A5271">
        <v>61267295</v>
      </c>
      <c r="B5271" t="s">
        <v>11530</v>
      </c>
      <c r="C5271" t="s">
        <v>11531</v>
      </c>
      <c r="D5271" t="s">
        <v>11532</v>
      </c>
      <c r="E5271">
        <v>9048915219</v>
      </c>
      <c r="F5271" t="s">
        <v>10642</v>
      </c>
      <c r="G5271" t="s">
        <v>10643</v>
      </c>
      <c r="I5271" t="s">
        <v>45</v>
      </c>
      <c r="J5271" s="13">
        <v>46091</v>
      </c>
      <c r="K5271" s="13">
        <v>46113</v>
      </c>
      <c r="L5271" t="s">
        <v>497</v>
      </c>
      <c r="M5271" t="s">
        <v>58</v>
      </c>
      <c r="N5271">
        <v>75628315</v>
      </c>
    </row>
    <row r="5272" spans="1:14" x14ac:dyDescent="0.25">
      <c r="A5272">
        <v>61271331</v>
      </c>
      <c r="B5272" t="s">
        <v>2954</v>
      </c>
      <c r="C5272" t="s">
        <v>11533</v>
      </c>
      <c r="D5272" t="s">
        <v>11534</v>
      </c>
      <c r="E5272">
        <v>8284238090</v>
      </c>
      <c r="F5272" t="s">
        <v>448</v>
      </c>
      <c r="G5272" t="s">
        <v>449</v>
      </c>
      <c r="I5272" t="s">
        <v>31</v>
      </c>
      <c r="J5272" s="13">
        <v>46092</v>
      </c>
      <c r="K5272" s="13">
        <v>46113</v>
      </c>
      <c r="L5272" t="s">
        <v>603</v>
      </c>
      <c r="M5272" t="s">
        <v>59</v>
      </c>
      <c r="N5272">
        <v>75659748</v>
      </c>
    </row>
    <row r="5273" spans="1:14" x14ac:dyDescent="0.25">
      <c r="A5273">
        <v>61272102</v>
      </c>
      <c r="B5273" t="s">
        <v>2795</v>
      </c>
      <c r="C5273" t="s">
        <v>11535</v>
      </c>
      <c r="D5273" t="s">
        <v>11536</v>
      </c>
      <c r="E5273">
        <v>5133834636</v>
      </c>
      <c r="F5273" t="s">
        <v>775</v>
      </c>
      <c r="G5273" t="s">
        <v>776</v>
      </c>
      <c r="I5273" t="s">
        <v>22</v>
      </c>
      <c r="J5273" s="13">
        <v>46092</v>
      </c>
      <c r="K5273" s="13">
        <v>46113</v>
      </c>
      <c r="L5273" t="s">
        <v>418</v>
      </c>
      <c r="M5273" t="s">
        <v>59</v>
      </c>
      <c r="N5273">
        <v>75678867</v>
      </c>
    </row>
    <row r="5274" spans="1:14" x14ac:dyDescent="0.25">
      <c r="A5274">
        <v>61272138</v>
      </c>
      <c r="B5274" t="s">
        <v>990</v>
      </c>
      <c r="C5274" t="s">
        <v>11537</v>
      </c>
      <c r="D5274" t="s">
        <v>11538</v>
      </c>
      <c r="E5274">
        <v>4804863473</v>
      </c>
      <c r="F5274" t="s">
        <v>416</v>
      </c>
      <c r="G5274" t="s">
        <v>417</v>
      </c>
      <c r="I5274" t="s">
        <v>26</v>
      </c>
      <c r="J5274" s="13">
        <v>46092</v>
      </c>
      <c r="K5274" s="13">
        <v>46113</v>
      </c>
      <c r="L5274" t="s">
        <v>1179</v>
      </c>
      <c r="M5274" t="s">
        <v>58</v>
      </c>
      <c r="N5274">
        <v>75679870</v>
      </c>
    </row>
    <row r="5275" spans="1:14" x14ac:dyDescent="0.25">
      <c r="A5275">
        <v>61272746</v>
      </c>
      <c r="B5275" t="s">
        <v>10450</v>
      </c>
      <c r="C5275" t="s">
        <v>11539</v>
      </c>
      <c r="D5275" t="s">
        <v>11540</v>
      </c>
      <c r="E5275">
        <v>3342757691</v>
      </c>
      <c r="F5275" t="s">
        <v>10460</v>
      </c>
      <c r="G5275" t="s">
        <v>6663</v>
      </c>
      <c r="I5275" t="s">
        <v>40</v>
      </c>
      <c r="J5275" s="13">
        <v>46092</v>
      </c>
      <c r="K5275" s="13">
        <v>46113</v>
      </c>
      <c r="L5275" t="s">
        <v>450</v>
      </c>
      <c r="M5275" t="s">
        <v>59</v>
      </c>
      <c r="N5275">
        <v>75687692</v>
      </c>
    </row>
    <row r="5276" spans="1:14" x14ac:dyDescent="0.25">
      <c r="A5276">
        <v>61273464</v>
      </c>
      <c r="B5276" t="s">
        <v>876</v>
      </c>
      <c r="C5276" t="s">
        <v>11541</v>
      </c>
      <c r="D5276" t="s">
        <v>11542</v>
      </c>
      <c r="E5276">
        <v>9034453080</v>
      </c>
      <c r="F5276" t="s">
        <v>448</v>
      </c>
      <c r="G5276" t="s">
        <v>449</v>
      </c>
      <c r="I5276" t="s">
        <v>31</v>
      </c>
      <c r="J5276" s="13">
        <v>46092</v>
      </c>
      <c r="K5276" s="13">
        <v>46113</v>
      </c>
      <c r="L5276" t="s">
        <v>444</v>
      </c>
      <c r="M5276" t="s">
        <v>56</v>
      </c>
      <c r="N5276">
        <v>75697039</v>
      </c>
    </row>
    <row r="5277" spans="1:14" x14ac:dyDescent="0.25">
      <c r="A5277">
        <v>61273783</v>
      </c>
      <c r="B5277" t="s">
        <v>11543</v>
      </c>
      <c r="C5277" t="s">
        <v>11544</v>
      </c>
      <c r="D5277" t="s">
        <v>11545</v>
      </c>
      <c r="E5277">
        <v>9285944878</v>
      </c>
      <c r="F5277" t="s">
        <v>1013</v>
      </c>
      <c r="G5277" t="s">
        <v>1014</v>
      </c>
      <c r="I5277" t="s">
        <v>43</v>
      </c>
      <c r="J5277" s="13">
        <v>46092</v>
      </c>
      <c r="K5277" s="13">
        <v>46113</v>
      </c>
      <c r="M5277" t="s">
        <v>54</v>
      </c>
      <c r="N5277">
        <v>75700829</v>
      </c>
    </row>
    <row r="5278" spans="1:14" x14ac:dyDescent="0.25">
      <c r="A5278">
        <v>61274286</v>
      </c>
      <c r="B5278" t="s">
        <v>925</v>
      </c>
      <c r="C5278" t="s">
        <v>11546</v>
      </c>
      <c r="D5278" t="s">
        <v>11547</v>
      </c>
      <c r="E5278">
        <v>4236209602</v>
      </c>
      <c r="F5278" t="s">
        <v>649</v>
      </c>
      <c r="G5278" t="s">
        <v>650</v>
      </c>
      <c r="I5278" t="s">
        <v>28</v>
      </c>
      <c r="J5278" s="13">
        <v>46092</v>
      </c>
      <c r="K5278" s="13">
        <v>46113</v>
      </c>
      <c r="L5278" t="s">
        <v>479</v>
      </c>
      <c r="M5278" t="s">
        <v>59</v>
      </c>
      <c r="N5278">
        <v>75708479</v>
      </c>
    </row>
    <row r="5279" spans="1:14" x14ac:dyDescent="0.25">
      <c r="A5279">
        <v>61275862</v>
      </c>
      <c r="B5279" t="s">
        <v>11548</v>
      </c>
      <c r="C5279" t="s">
        <v>11549</v>
      </c>
      <c r="D5279" t="s">
        <v>11550</v>
      </c>
      <c r="E5279">
        <v>2034158093</v>
      </c>
      <c r="F5279" t="s">
        <v>775</v>
      </c>
      <c r="G5279" t="s">
        <v>776</v>
      </c>
      <c r="I5279" t="s">
        <v>22</v>
      </c>
      <c r="J5279" s="13">
        <v>46092</v>
      </c>
      <c r="K5279" s="13">
        <v>46113</v>
      </c>
      <c r="L5279" t="s">
        <v>621</v>
      </c>
      <c r="M5279" t="s">
        <v>56</v>
      </c>
      <c r="N5279">
        <v>75716619</v>
      </c>
    </row>
    <row r="5280" spans="1:14" x14ac:dyDescent="0.25">
      <c r="A5280">
        <v>61279184</v>
      </c>
      <c r="B5280" t="s">
        <v>3610</v>
      </c>
      <c r="C5280" t="s">
        <v>11551</v>
      </c>
      <c r="D5280" t="s">
        <v>11552</v>
      </c>
      <c r="E5280">
        <v>5616541820</v>
      </c>
      <c r="F5280" t="s">
        <v>815</v>
      </c>
      <c r="G5280" t="s">
        <v>816</v>
      </c>
      <c r="I5280" t="s">
        <v>23</v>
      </c>
      <c r="J5280" s="13">
        <v>46092</v>
      </c>
      <c r="K5280" s="13">
        <v>46113</v>
      </c>
      <c r="L5280" t="s">
        <v>497</v>
      </c>
      <c r="M5280" t="s">
        <v>56</v>
      </c>
      <c r="N5280">
        <v>75735752</v>
      </c>
    </row>
    <row r="5281" spans="1:14" x14ac:dyDescent="0.25">
      <c r="A5281">
        <v>61279223</v>
      </c>
      <c r="B5281" t="s">
        <v>1144</v>
      </c>
      <c r="C5281" t="s">
        <v>11553</v>
      </c>
      <c r="D5281" t="s">
        <v>11554</v>
      </c>
      <c r="E5281">
        <v>5135083505</v>
      </c>
      <c r="F5281" t="s">
        <v>1067</v>
      </c>
      <c r="G5281" t="s">
        <v>1068</v>
      </c>
      <c r="I5281" t="s">
        <v>35</v>
      </c>
      <c r="J5281" s="13">
        <v>46092</v>
      </c>
      <c r="K5281" s="13">
        <v>46113</v>
      </c>
      <c r="L5281" t="s">
        <v>418</v>
      </c>
      <c r="M5281" t="s">
        <v>58</v>
      </c>
      <c r="N5281">
        <v>75736051</v>
      </c>
    </row>
    <row r="5282" spans="1:14" x14ac:dyDescent="0.25">
      <c r="A5282">
        <v>61279444</v>
      </c>
      <c r="B5282" t="s">
        <v>8492</v>
      </c>
      <c r="C5282" t="s">
        <v>11555</v>
      </c>
      <c r="D5282" t="s">
        <v>11556</v>
      </c>
      <c r="E5282">
        <v>5207524906</v>
      </c>
      <c r="F5282" t="s">
        <v>10591</v>
      </c>
      <c r="G5282" t="s">
        <v>10215</v>
      </c>
      <c r="I5282" t="s">
        <v>32</v>
      </c>
      <c r="J5282" s="13">
        <v>46092</v>
      </c>
      <c r="K5282" s="13">
        <v>46113</v>
      </c>
      <c r="L5282" t="s">
        <v>1179</v>
      </c>
      <c r="M5282" t="s">
        <v>58</v>
      </c>
      <c r="N5282">
        <v>75736268</v>
      </c>
    </row>
    <row r="5283" spans="1:14" x14ac:dyDescent="0.25">
      <c r="A5283">
        <v>61279596</v>
      </c>
      <c r="B5283" t="s">
        <v>748</v>
      </c>
      <c r="C5283" t="s">
        <v>735</v>
      </c>
      <c r="D5283" t="s">
        <v>11557</v>
      </c>
      <c r="E5283">
        <v>5204907750</v>
      </c>
      <c r="F5283" t="s">
        <v>705</v>
      </c>
      <c r="G5283" t="s">
        <v>706</v>
      </c>
      <c r="I5283" t="s">
        <v>12</v>
      </c>
      <c r="J5283" s="13">
        <v>46092</v>
      </c>
      <c r="K5283" s="13">
        <v>46113</v>
      </c>
      <c r="L5283" t="s">
        <v>1179</v>
      </c>
      <c r="M5283" t="s">
        <v>58</v>
      </c>
      <c r="N5283">
        <v>75736415</v>
      </c>
    </row>
    <row r="5284" spans="1:14" x14ac:dyDescent="0.25">
      <c r="A5284">
        <v>61279919</v>
      </c>
      <c r="B5284" t="s">
        <v>1445</v>
      </c>
      <c r="C5284" t="s">
        <v>4601</v>
      </c>
      <c r="D5284" t="s">
        <v>11558</v>
      </c>
      <c r="E5284">
        <v>3216046120</v>
      </c>
      <c r="F5284" t="s">
        <v>770</v>
      </c>
      <c r="G5284" t="s">
        <v>771</v>
      </c>
      <c r="I5284" t="s">
        <v>25</v>
      </c>
      <c r="J5284" s="13">
        <v>46092</v>
      </c>
      <c r="K5284" s="13">
        <v>46113</v>
      </c>
      <c r="L5284" t="s">
        <v>1179</v>
      </c>
      <c r="M5284" t="s">
        <v>54</v>
      </c>
      <c r="N5284">
        <v>75737760</v>
      </c>
    </row>
    <row r="5285" spans="1:14" x14ac:dyDescent="0.25">
      <c r="A5285">
        <v>61281111</v>
      </c>
      <c r="B5285" t="s">
        <v>501</v>
      </c>
      <c r="C5285" t="s">
        <v>5397</v>
      </c>
      <c r="D5285" t="s">
        <v>11559</v>
      </c>
      <c r="E5285">
        <v>4796676434</v>
      </c>
      <c r="F5285" t="s">
        <v>828</v>
      </c>
      <c r="G5285" t="s">
        <v>1148</v>
      </c>
      <c r="I5285" t="s">
        <v>17</v>
      </c>
      <c r="J5285" s="13">
        <v>46092</v>
      </c>
      <c r="K5285" s="13">
        <v>46113</v>
      </c>
      <c r="L5285" t="s">
        <v>553</v>
      </c>
      <c r="M5285" t="s">
        <v>56</v>
      </c>
      <c r="N5285">
        <v>75750279</v>
      </c>
    </row>
    <row r="5286" spans="1:14" x14ac:dyDescent="0.25">
      <c r="A5286">
        <v>61281198</v>
      </c>
      <c r="B5286" t="s">
        <v>1835</v>
      </c>
      <c r="C5286" t="s">
        <v>4492</v>
      </c>
      <c r="D5286" t="s">
        <v>11560</v>
      </c>
      <c r="E5286">
        <v>6788619479</v>
      </c>
      <c r="F5286" t="s">
        <v>551</v>
      </c>
      <c r="G5286" t="s">
        <v>552</v>
      </c>
      <c r="I5286" t="s">
        <v>42</v>
      </c>
      <c r="J5286" s="13">
        <v>46092</v>
      </c>
      <c r="K5286" s="13">
        <v>46113</v>
      </c>
      <c r="L5286" t="s">
        <v>621</v>
      </c>
      <c r="M5286" t="s">
        <v>55</v>
      </c>
      <c r="N5286">
        <v>75751201</v>
      </c>
    </row>
    <row r="5287" spans="1:14" x14ac:dyDescent="0.25">
      <c r="A5287">
        <v>61281365</v>
      </c>
      <c r="B5287" t="s">
        <v>11561</v>
      </c>
      <c r="C5287" t="s">
        <v>11562</v>
      </c>
      <c r="D5287" t="s">
        <v>11563</v>
      </c>
      <c r="E5287">
        <v>6307153145</v>
      </c>
      <c r="F5287" t="s">
        <v>10460</v>
      </c>
      <c r="G5287" t="s">
        <v>6663</v>
      </c>
      <c r="I5287" t="s">
        <v>40</v>
      </c>
      <c r="J5287" s="13">
        <v>46092</v>
      </c>
      <c r="K5287" s="13">
        <v>46113</v>
      </c>
      <c r="L5287" t="s">
        <v>470</v>
      </c>
      <c r="M5287" t="s">
        <v>62</v>
      </c>
      <c r="N5287">
        <v>75755398</v>
      </c>
    </row>
    <row r="5288" spans="1:14" x14ac:dyDescent="0.25">
      <c r="A5288">
        <v>61281683</v>
      </c>
      <c r="B5288" t="s">
        <v>6848</v>
      </c>
      <c r="C5288" t="s">
        <v>10213</v>
      </c>
      <c r="D5288" t="s">
        <v>11564</v>
      </c>
      <c r="E5288" t="s">
        <v>11565</v>
      </c>
      <c r="F5288" t="s">
        <v>569</v>
      </c>
      <c r="G5288" t="s">
        <v>570</v>
      </c>
      <c r="I5288" t="s">
        <v>34</v>
      </c>
      <c r="J5288" s="13">
        <v>46092</v>
      </c>
      <c r="K5288" s="13">
        <v>46113</v>
      </c>
      <c r="L5288" t="s">
        <v>450</v>
      </c>
      <c r="M5288" t="s">
        <v>56</v>
      </c>
      <c r="N5288">
        <v>75760249</v>
      </c>
    </row>
    <row r="5289" spans="1:14" x14ac:dyDescent="0.25">
      <c r="A5289">
        <v>61283655</v>
      </c>
      <c r="B5289" t="s">
        <v>3737</v>
      </c>
      <c r="C5289" t="s">
        <v>9892</v>
      </c>
      <c r="D5289" t="s">
        <v>11566</v>
      </c>
      <c r="E5289">
        <v>2565650180</v>
      </c>
      <c r="F5289" t="s">
        <v>448</v>
      </c>
      <c r="G5289" t="s">
        <v>449</v>
      </c>
      <c r="I5289" t="s">
        <v>31</v>
      </c>
      <c r="J5289" s="13">
        <v>46092</v>
      </c>
      <c r="K5289" s="13">
        <v>46113</v>
      </c>
      <c r="L5289" t="s">
        <v>450</v>
      </c>
      <c r="M5289" t="s">
        <v>59</v>
      </c>
      <c r="N5289">
        <v>75772445</v>
      </c>
    </row>
    <row r="5290" spans="1:14" x14ac:dyDescent="0.25">
      <c r="A5290">
        <v>61286199</v>
      </c>
      <c r="B5290" t="s">
        <v>4799</v>
      </c>
      <c r="C5290" t="s">
        <v>11567</v>
      </c>
      <c r="D5290" t="s">
        <v>11568</v>
      </c>
      <c r="E5290">
        <v>6232609855</v>
      </c>
      <c r="F5290" t="s">
        <v>780</v>
      </c>
      <c r="G5290" t="s">
        <v>781</v>
      </c>
      <c r="I5290" t="s">
        <v>20</v>
      </c>
      <c r="J5290" s="13">
        <v>46092</v>
      </c>
      <c r="K5290" s="13">
        <v>46113</v>
      </c>
      <c r="L5290" t="s">
        <v>1179</v>
      </c>
      <c r="M5290" t="s">
        <v>54</v>
      </c>
      <c r="N5290">
        <v>75780837</v>
      </c>
    </row>
    <row r="5291" spans="1:14" x14ac:dyDescent="0.25">
      <c r="A5291">
        <v>61291681</v>
      </c>
      <c r="B5291" t="s">
        <v>1399</v>
      </c>
      <c r="C5291" t="s">
        <v>11569</v>
      </c>
      <c r="D5291" t="s">
        <v>11570</v>
      </c>
      <c r="E5291">
        <v>2562022800</v>
      </c>
      <c r="F5291" t="s">
        <v>574</v>
      </c>
      <c r="G5291" t="s">
        <v>575</v>
      </c>
      <c r="I5291" t="s">
        <v>14</v>
      </c>
      <c r="J5291" s="13">
        <v>46092</v>
      </c>
      <c r="K5291" s="13">
        <v>46113</v>
      </c>
      <c r="L5291" t="s">
        <v>450</v>
      </c>
      <c r="M5291" t="s">
        <v>59</v>
      </c>
      <c r="N5291">
        <v>75789889</v>
      </c>
    </row>
    <row r="5292" spans="1:14" x14ac:dyDescent="0.25">
      <c r="A5292">
        <v>61308483</v>
      </c>
      <c r="B5292" t="s">
        <v>925</v>
      </c>
      <c r="C5292" t="s">
        <v>11571</v>
      </c>
      <c r="D5292" t="s">
        <v>11572</v>
      </c>
      <c r="E5292">
        <v>5124260426</v>
      </c>
      <c r="F5292" t="s">
        <v>574</v>
      </c>
      <c r="G5292" t="s">
        <v>575</v>
      </c>
      <c r="I5292" t="s">
        <v>14</v>
      </c>
      <c r="J5292" s="13">
        <v>46092</v>
      </c>
      <c r="K5292" s="13">
        <v>46113</v>
      </c>
      <c r="L5292" t="s">
        <v>444</v>
      </c>
      <c r="M5292" t="s">
        <v>419</v>
      </c>
      <c r="N5292">
        <v>75807300</v>
      </c>
    </row>
    <row r="5293" spans="1:14" x14ac:dyDescent="0.25">
      <c r="A5293">
        <v>61299052</v>
      </c>
      <c r="B5293" t="s">
        <v>1100</v>
      </c>
      <c r="C5293" t="s">
        <v>528</v>
      </c>
      <c r="D5293" t="s">
        <v>11573</v>
      </c>
      <c r="E5293">
        <v>5204069826</v>
      </c>
      <c r="F5293" t="s">
        <v>10591</v>
      </c>
      <c r="G5293" t="s">
        <v>10215</v>
      </c>
      <c r="I5293" t="s">
        <v>32</v>
      </c>
      <c r="J5293" s="13">
        <v>46092</v>
      </c>
      <c r="K5293" s="13">
        <v>46113</v>
      </c>
      <c r="L5293" t="s">
        <v>1179</v>
      </c>
      <c r="M5293" t="s">
        <v>54</v>
      </c>
      <c r="N5293">
        <v>75809261</v>
      </c>
    </row>
    <row r="5294" spans="1:14" x14ac:dyDescent="0.25">
      <c r="A5294">
        <v>61299311</v>
      </c>
      <c r="B5294" t="s">
        <v>5971</v>
      </c>
      <c r="C5294" t="s">
        <v>11574</v>
      </c>
      <c r="D5294" t="s">
        <v>11575</v>
      </c>
      <c r="E5294" t="s">
        <v>11576</v>
      </c>
      <c r="F5294" t="s">
        <v>10569</v>
      </c>
      <c r="G5294" t="s">
        <v>10570</v>
      </c>
      <c r="I5294" t="s">
        <v>29</v>
      </c>
      <c r="J5294" s="13">
        <v>46092</v>
      </c>
      <c r="K5294" s="13">
        <v>46113</v>
      </c>
      <c r="L5294" t="s">
        <v>1179</v>
      </c>
      <c r="M5294" t="s">
        <v>54</v>
      </c>
      <c r="N5294">
        <v>75810057</v>
      </c>
    </row>
    <row r="5295" spans="1:14" x14ac:dyDescent="0.25">
      <c r="A5295">
        <v>61299991</v>
      </c>
      <c r="B5295" t="s">
        <v>1427</v>
      </c>
      <c r="C5295" t="s">
        <v>11577</v>
      </c>
      <c r="D5295" t="s">
        <v>11578</v>
      </c>
      <c r="E5295">
        <v>4805185187</v>
      </c>
      <c r="F5295" t="s">
        <v>770</v>
      </c>
      <c r="G5295" t="s">
        <v>771</v>
      </c>
      <c r="I5295" t="s">
        <v>25</v>
      </c>
      <c r="J5295" s="13">
        <v>46092</v>
      </c>
      <c r="K5295" s="13">
        <v>46113</v>
      </c>
      <c r="L5295" t="s">
        <v>1179</v>
      </c>
      <c r="M5295" t="s">
        <v>54</v>
      </c>
      <c r="N5295">
        <v>75812111</v>
      </c>
    </row>
    <row r="5296" spans="1:14" x14ac:dyDescent="0.25">
      <c r="A5296">
        <v>61317995</v>
      </c>
      <c r="B5296" t="s">
        <v>1038</v>
      </c>
      <c r="C5296" t="s">
        <v>11579</v>
      </c>
      <c r="D5296" t="s">
        <v>11580</v>
      </c>
      <c r="E5296">
        <v>6023671912</v>
      </c>
      <c r="F5296" t="s">
        <v>780</v>
      </c>
      <c r="G5296" t="s">
        <v>781</v>
      </c>
      <c r="I5296" t="s">
        <v>20</v>
      </c>
      <c r="J5296" s="13">
        <v>46092</v>
      </c>
      <c r="K5296" s="13">
        <v>46113</v>
      </c>
      <c r="L5296" t="s">
        <v>1179</v>
      </c>
      <c r="M5296" t="s">
        <v>55</v>
      </c>
      <c r="N5296">
        <v>75814757</v>
      </c>
    </row>
    <row r="5297" spans="1:14" x14ac:dyDescent="0.25">
      <c r="A5297">
        <v>61314711</v>
      </c>
      <c r="B5297" t="s">
        <v>1784</v>
      </c>
      <c r="C5297" t="s">
        <v>11581</v>
      </c>
      <c r="D5297" t="s">
        <v>11582</v>
      </c>
      <c r="E5297">
        <v>7272267971</v>
      </c>
      <c r="F5297" t="s">
        <v>1345</v>
      </c>
      <c r="G5297" t="s">
        <v>799</v>
      </c>
      <c r="I5297" t="s">
        <v>47</v>
      </c>
      <c r="J5297" s="13">
        <v>46092</v>
      </c>
      <c r="K5297" s="13">
        <v>46113</v>
      </c>
      <c r="L5297" t="s">
        <v>497</v>
      </c>
      <c r="M5297" t="s">
        <v>54</v>
      </c>
      <c r="N5297">
        <v>75815884</v>
      </c>
    </row>
    <row r="5298" spans="1:14" x14ac:dyDescent="0.25">
      <c r="A5298">
        <v>61303022</v>
      </c>
      <c r="B5298" t="s">
        <v>1905</v>
      </c>
      <c r="C5298" t="s">
        <v>688</v>
      </c>
      <c r="D5298" t="s">
        <v>11583</v>
      </c>
      <c r="E5298">
        <v>8704219997</v>
      </c>
      <c r="F5298" t="s">
        <v>628</v>
      </c>
      <c r="G5298" t="s">
        <v>629</v>
      </c>
      <c r="I5298" t="s">
        <v>24</v>
      </c>
      <c r="J5298" s="13">
        <v>46092</v>
      </c>
      <c r="K5298" s="13">
        <v>46113</v>
      </c>
      <c r="L5298" t="s">
        <v>553</v>
      </c>
      <c r="M5298" t="s">
        <v>56</v>
      </c>
      <c r="N5298">
        <v>75815921</v>
      </c>
    </row>
    <row r="5299" spans="1:14" x14ac:dyDescent="0.25">
      <c r="A5299">
        <v>61303206</v>
      </c>
      <c r="B5299" t="s">
        <v>9138</v>
      </c>
      <c r="C5299" t="s">
        <v>11584</v>
      </c>
      <c r="D5299" t="s">
        <v>11585</v>
      </c>
      <c r="E5299">
        <v>3619045164</v>
      </c>
      <c r="F5299" t="s">
        <v>569</v>
      </c>
      <c r="G5299" t="s">
        <v>570</v>
      </c>
      <c r="I5299" t="s">
        <v>34</v>
      </c>
      <c r="J5299" s="13">
        <v>46092</v>
      </c>
      <c r="K5299" s="13">
        <v>46113</v>
      </c>
      <c r="L5299" t="s">
        <v>553</v>
      </c>
      <c r="M5299" t="s">
        <v>58</v>
      </c>
      <c r="N5299">
        <v>75815937</v>
      </c>
    </row>
    <row r="5300" spans="1:14" x14ac:dyDescent="0.25">
      <c r="A5300">
        <v>61312329</v>
      </c>
      <c r="B5300" t="s">
        <v>7190</v>
      </c>
      <c r="C5300" t="s">
        <v>522</v>
      </c>
      <c r="D5300" t="s">
        <v>11586</v>
      </c>
      <c r="E5300">
        <v>4804658483</v>
      </c>
      <c r="F5300" t="s">
        <v>10460</v>
      </c>
      <c r="G5300" t="s">
        <v>6663</v>
      </c>
      <c r="I5300" t="s">
        <v>40</v>
      </c>
      <c r="J5300" s="13">
        <v>46092</v>
      </c>
      <c r="K5300" s="13">
        <v>46113</v>
      </c>
      <c r="L5300" t="s">
        <v>1179</v>
      </c>
      <c r="M5300" t="s">
        <v>54</v>
      </c>
      <c r="N5300">
        <v>75816014</v>
      </c>
    </row>
    <row r="5301" spans="1:14" x14ac:dyDescent="0.25">
      <c r="A5301">
        <v>61316917</v>
      </c>
      <c r="B5301" t="s">
        <v>522</v>
      </c>
      <c r="C5301" t="s">
        <v>11587</v>
      </c>
      <c r="D5301" t="s">
        <v>11588</v>
      </c>
      <c r="E5301">
        <v>7205815428</v>
      </c>
      <c r="F5301" t="s">
        <v>10253</v>
      </c>
      <c r="G5301" t="s">
        <v>781</v>
      </c>
      <c r="I5301" t="s">
        <v>36</v>
      </c>
      <c r="J5301" s="13">
        <v>46092</v>
      </c>
      <c r="K5301" s="13">
        <v>46113</v>
      </c>
      <c r="L5301" t="s">
        <v>539</v>
      </c>
      <c r="M5301" t="s">
        <v>59</v>
      </c>
      <c r="N5301">
        <v>75816021</v>
      </c>
    </row>
    <row r="5302" spans="1:14" x14ac:dyDescent="0.25">
      <c r="A5302">
        <v>61304386</v>
      </c>
      <c r="B5302" t="s">
        <v>11589</v>
      </c>
      <c r="C5302" t="s">
        <v>6979</v>
      </c>
      <c r="D5302" t="s">
        <v>11590</v>
      </c>
      <c r="E5302">
        <v>2035128825</v>
      </c>
      <c r="F5302" t="s">
        <v>928</v>
      </c>
      <c r="G5302" t="s">
        <v>929</v>
      </c>
      <c r="I5302" t="s">
        <v>30</v>
      </c>
      <c r="J5302" s="13">
        <v>46092</v>
      </c>
      <c r="K5302" s="13">
        <v>46113</v>
      </c>
      <c r="L5302" t="s">
        <v>444</v>
      </c>
      <c r="M5302" t="s">
        <v>55</v>
      </c>
      <c r="N5302">
        <v>75816088</v>
      </c>
    </row>
    <row r="5303" spans="1:14" x14ac:dyDescent="0.25">
      <c r="A5303">
        <v>61309755</v>
      </c>
      <c r="B5303" t="s">
        <v>685</v>
      </c>
      <c r="C5303" t="s">
        <v>11591</v>
      </c>
      <c r="D5303" t="s">
        <v>11592</v>
      </c>
      <c r="E5303" t="s">
        <v>11593</v>
      </c>
      <c r="F5303" t="s">
        <v>416</v>
      </c>
      <c r="G5303" t="s">
        <v>417</v>
      </c>
      <c r="I5303" t="s">
        <v>26</v>
      </c>
      <c r="J5303" s="13">
        <v>46092</v>
      </c>
      <c r="K5303" s="13">
        <v>46113</v>
      </c>
      <c r="L5303" t="s">
        <v>497</v>
      </c>
      <c r="M5303" t="s">
        <v>56</v>
      </c>
      <c r="N5303">
        <v>75816141</v>
      </c>
    </row>
    <row r="5304" spans="1:14" x14ac:dyDescent="0.25">
      <c r="A5304">
        <v>61311587</v>
      </c>
      <c r="B5304" t="s">
        <v>5134</v>
      </c>
      <c r="C5304" t="s">
        <v>2267</v>
      </c>
      <c r="D5304" t="s">
        <v>11594</v>
      </c>
      <c r="E5304">
        <v>9544695777</v>
      </c>
      <c r="F5304" t="s">
        <v>770</v>
      </c>
      <c r="G5304" t="s">
        <v>771</v>
      </c>
      <c r="I5304" t="s">
        <v>25</v>
      </c>
      <c r="J5304" s="13">
        <v>46092</v>
      </c>
      <c r="K5304" s="13">
        <v>46113</v>
      </c>
      <c r="L5304" t="s">
        <v>497</v>
      </c>
      <c r="M5304" t="s">
        <v>58</v>
      </c>
      <c r="N5304">
        <v>75837266</v>
      </c>
    </row>
    <row r="5305" spans="1:14" x14ac:dyDescent="0.25">
      <c r="A5305">
        <v>61314936</v>
      </c>
      <c r="B5305" t="s">
        <v>439</v>
      </c>
      <c r="C5305" t="s">
        <v>2544</v>
      </c>
      <c r="D5305" t="s">
        <v>11595</v>
      </c>
      <c r="E5305">
        <v>7204692498</v>
      </c>
      <c r="F5305" t="s">
        <v>10642</v>
      </c>
      <c r="G5305" t="s">
        <v>10643</v>
      </c>
      <c r="I5305" t="s">
        <v>45</v>
      </c>
      <c r="J5305" s="13">
        <v>46092</v>
      </c>
      <c r="K5305" s="13">
        <v>46113</v>
      </c>
      <c r="L5305" t="s">
        <v>539</v>
      </c>
      <c r="M5305" t="s">
        <v>59</v>
      </c>
      <c r="N5305">
        <v>75837479</v>
      </c>
    </row>
    <row r="5306" spans="1:14" x14ac:dyDescent="0.25">
      <c r="A5306">
        <v>61347205</v>
      </c>
      <c r="B5306" t="s">
        <v>7125</v>
      </c>
      <c r="C5306" t="s">
        <v>11596</v>
      </c>
      <c r="D5306" t="s">
        <v>11597</v>
      </c>
      <c r="E5306">
        <v>8166344748</v>
      </c>
      <c r="F5306" t="s">
        <v>928</v>
      </c>
      <c r="G5306" t="s">
        <v>929</v>
      </c>
      <c r="I5306" t="s">
        <v>30</v>
      </c>
      <c r="J5306" s="13">
        <v>46093</v>
      </c>
      <c r="K5306" s="13">
        <v>46113</v>
      </c>
      <c r="L5306" t="s">
        <v>490</v>
      </c>
      <c r="M5306" t="s">
        <v>59</v>
      </c>
      <c r="N5306">
        <v>75858935</v>
      </c>
    </row>
    <row r="5307" spans="1:14" x14ac:dyDescent="0.25">
      <c r="A5307">
        <v>61350622</v>
      </c>
      <c r="B5307" t="s">
        <v>3585</v>
      </c>
      <c r="C5307" t="s">
        <v>1589</v>
      </c>
      <c r="D5307" t="s">
        <v>11598</v>
      </c>
      <c r="E5307">
        <v>4405741439</v>
      </c>
      <c r="F5307" t="s">
        <v>574</v>
      </c>
      <c r="G5307" t="s">
        <v>575</v>
      </c>
      <c r="I5307" t="s">
        <v>14</v>
      </c>
      <c r="J5307" s="13">
        <v>46093</v>
      </c>
      <c r="K5307" s="13">
        <v>46113</v>
      </c>
      <c r="L5307" t="s">
        <v>418</v>
      </c>
      <c r="M5307" t="s">
        <v>58</v>
      </c>
      <c r="N5307">
        <v>75859055</v>
      </c>
    </row>
    <row r="5308" spans="1:14" x14ac:dyDescent="0.25">
      <c r="A5308">
        <v>61351405</v>
      </c>
      <c r="B5308" t="s">
        <v>11599</v>
      </c>
      <c r="C5308" t="s">
        <v>1676</v>
      </c>
      <c r="D5308" t="s">
        <v>11600</v>
      </c>
      <c r="E5308">
        <v>8643370216</v>
      </c>
      <c r="F5308" t="s">
        <v>807</v>
      </c>
      <c r="G5308" t="s">
        <v>808</v>
      </c>
      <c r="I5308" t="s">
        <v>33</v>
      </c>
      <c r="J5308" s="13">
        <v>46093</v>
      </c>
      <c r="K5308" s="13">
        <v>46113</v>
      </c>
      <c r="L5308" t="s">
        <v>497</v>
      </c>
      <c r="M5308" t="s">
        <v>59</v>
      </c>
      <c r="N5308">
        <v>75859674</v>
      </c>
    </row>
    <row r="5309" spans="1:14" x14ac:dyDescent="0.25">
      <c r="A5309">
        <v>61351511</v>
      </c>
      <c r="B5309" t="s">
        <v>501</v>
      </c>
      <c r="C5309" t="s">
        <v>7983</v>
      </c>
      <c r="D5309" t="s">
        <v>11601</v>
      </c>
      <c r="E5309">
        <v>5204013422</v>
      </c>
      <c r="F5309" t="s">
        <v>780</v>
      </c>
      <c r="G5309" t="s">
        <v>781</v>
      </c>
      <c r="I5309" t="s">
        <v>20</v>
      </c>
      <c r="J5309" s="13">
        <v>46093</v>
      </c>
      <c r="K5309" s="13">
        <v>46113</v>
      </c>
      <c r="L5309" t="s">
        <v>1179</v>
      </c>
      <c r="M5309" t="s">
        <v>59</v>
      </c>
      <c r="N5309">
        <v>75859752</v>
      </c>
    </row>
    <row r="5310" spans="1:14" x14ac:dyDescent="0.25">
      <c r="A5310">
        <v>61353214</v>
      </c>
      <c r="B5310" t="s">
        <v>1573</v>
      </c>
      <c r="C5310" t="s">
        <v>11602</v>
      </c>
      <c r="D5310" t="s">
        <v>11603</v>
      </c>
      <c r="E5310">
        <v>3344521517</v>
      </c>
      <c r="F5310" t="s">
        <v>2544</v>
      </c>
      <c r="G5310" t="s">
        <v>4833</v>
      </c>
      <c r="I5310" t="s">
        <v>18</v>
      </c>
      <c r="J5310" s="13">
        <v>46093</v>
      </c>
      <c r="K5310" s="13">
        <v>46113</v>
      </c>
      <c r="L5310" t="s">
        <v>450</v>
      </c>
      <c r="M5310" t="s">
        <v>59</v>
      </c>
      <c r="N5310">
        <v>75859800</v>
      </c>
    </row>
    <row r="5311" spans="1:14" x14ac:dyDescent="0.25">
      <c r="A5311">
        <v>61352925</v>
      </c>
      <c r="B5311" t="s">
        <v>3742</v>
      </c>
      <c r="C5311" t="s">
        <v>3996</v>
      </c>
      <c r="D5311" t="s">
        <v>11604</v>
      </c>
      <c r="E5311">
        <v>9543685924</v>
      </c>
      <c r="F5311" t="s">
        <v>10569</v>
      </c>
      <c r="G5311" t="s">
        <v>10570</v>
      </c>
      <c r="I5311" t="s">
        <v>29</v>
      </c>
      <c r="J5311" s="13">
        <v>46093</v>
      </c>
      <c r="K5311" s="13">
        <v>46113</v>
      </c>
      <c r="L5311" t="s">
        <v>497</v>
      </c>
      <c r="M5311" t="s">
        <v>54</v>
      </c>
      <c r="N5311">
        <v>75860019</v>
      </c>
    </row>
    <row r="5312" spans="1:14" x14ac:dyDescent="0.25">
      <c r="A5312">
        <v>61348810</v>
      </c>
      <c r="B5312" t="s">
        <v>4811</v>
      </c>
      <c r="C5312" t="s">
        <v>11605</v>
      </c>
      <c r="D5312" t="s">
        <v>11606</v>
      </c>
      <c r="E5312" t="s">
        <v>11607</v>
      </c>
      <c r="F5312" t="s">
        <v>551</v>
      </c>
      <c r="G5312" t="s">
        <v>552</v>
      </c>
      <c r="I5312" t="s">
        <v>42</v>
      </c>
      <c r="J5312" s="13">
        <v>46093</v>
      </c>
      <c r="K5312" s="13">
        <v>46113</v>
      </c>
      <c r="L5312" t="s">
        <v>434</v>
      </c>
      <c r="M5312" t="s">
        <v>56</v>
      </c>
      <c r="N5312">
        <v>75867110</v>
      </c>
    </row>
    <row r="5313" spans="1:14" x14ac:dyDescent="0.25">
      <c r="A5313">
        <v>61349065</v>
      </c>
      <c r="B5313" t="s">
        <v>10048</v>
      </c>
      <c r="C5313" t="s">
        <v>11608</v>
      </c>
      <c r="D5313" t="s">
        <v>11609</v>
      </c>
      <c r="E5313">
        <v>3038864028</v>
      </c>
      <c r="F5313" t="s">
        <v>10460</v>
      </c>
      <c r="G5313" t="s">
        <v>6663</v>
      </c>
      <c r="I5313" t="s">
        <v>40</v>
      </c>
      <c r="J5313" s="13">
        <v>46093</v>
      </c>
      <c r="K5313" s="13">
        <v>46113</v>
      </c>
      <c r="L5313" t="s">
        <v>539</v>
      </c>
      <c r="M5313" t="s">
        <v>59</v>
      </c>
      <c r="N5313">
        <v>75868589</v>
      </c>
    </row>
    <row r="5314" spans="1:14" x14ac:dyDescent="0.25">
      <c r="A5314">
        <v>61349475</v>
      </c>
      <c r="B5314" t="s">
        <v>10940</v>
      </c>
      <c r="C5314" t="s">
        <v>11610</v>
      </c>
      <c r="D5314" t="s">
        <v>11611</v>
      </c>
      <c r="F5314" t="s">
        <v>775</v>
      </c>
      <c r="G5314" t="s">
        <v>776</v>
      </c>
      <c r="I5314" t="s">
        <v>22</v>
      </c>
      <c r="J5314" s="13">
        <v>46093</v>
      </c>
      <c r="K5314" s="13">
        <v>46113</v>
      </c>
      <c r="L5314" t="s">
        <v>603</v>
      </c>
      <c r="M5314" t="s">
        <v>61</v>
      </c>
      <c r="N5314">
        <v>75869876</v>
      </c>
    </row>
    <row r="5315" spans="1:14" x14ac:dyDescent="0.25">
      <c r="A5315">
        <v>61366119</v>
      </c>
      <c r="B5315" t="s">
        <v>5091</v>
      </c>
      <c r="C5315" t="s">
        <v>7114</v>
      </c>
      <c r="D5315" t="s">
        <v>11612</v>
      </c>
      <c r="E5315">
        <v>8167723644</v>
      </c>
      <c r="F5315" t="s">
        <v>448</v>
      </c>
      <c r="G5315" t="s">
        <v>449</v>
      </c>
      <c r="I5315" t="s">
        <v>31</v>
      </c>
      <c r="J5315" s="13">
        <v>46093</v>
      </c>
      <c r="K5315" s="13">
        <v>46113</v>
      </c>
      <c r="L5315" t="s">
        <v>434</v>
      </c>
      <c r="M5315" t="s">
        <v>60</v>
      </c>
      <c r="N5315">
        <v>75873947</v>
      </c>
    </row>
    <row r="5316" spans="1:14" x14ac:dyDescent="0.25">
      <c r="A5316">
        <v>61350876</v>
      </c>
      <c r="B5316" t="s">
        <v>11613</v>
      </c>
      <c r="C5316" t="s">
        <v>1465</v>
      </c>
      <c r="D5316" t="s">
        <v>11614</v>
      </c>
      <c r="E5316">
        <v>8705712588</v>
      </c>
      <c r="F5316" t="s">
        <v>1067</v>
      </c>
      <c r="G5316" t="s">
        <v>1068</v>
      </c>
      <c r="I5316" t="s">
        <v>35</v>
      </c>
      <c r="J5316" s="13">
        <v>46093</v>
      </c>
      <c r="K5316" s="13">
        <v>46113</v>
      </c>
      <c r="L5316" t="s">
        <v>553</v>
      </c>
      <c r="M5316" t="s">
        <v>56</v>
      </c>
      <c r="N5316">
        <v>75874463</v>
      </c>
    </row>
    <row r="5317" spans="1:14" x14ac:dyDescent="0.25">
      <c r="A5317">
        <v>61358045</v>
      </c>
      <c r="B5317" t="s">
        <v>4363</v>
      </c>
      <c r="C5317" t="s">
        <v>2670</v>
      </c>
      <c r="D5317" t="s">
        <v>11615</v>
      </c>
      <c r="E5317">
        <v>7202186542</v>
      </c>
      <c r="F5317" t="s">
        <v>775</v>
      </c>
      <c r="G5317" t="s">
        <v>776</v>
      </c>
      <c r="I5317" t="s">
        <v>22</v>
      </c>
      <c r="J5317" s="13">
        <v>46093</v>
      </c>
      <c r="K5317" s="13">
        <v>46113</v>
      </c>
      <c r="L5317" t="s">
        <v>539</v>
      </c>
      <c r="M5317" t="s">
        <v>59</v>
      </c>
      <c r="N5317">
        <v>75877325</v>
      </c>
    </row>
    <row r="5318" spans="1:14" x14ac:dyDescent="0.25">
      <c r="A5318">
        <v>61367808</v>
      </c>
      <c r="B5318" t="s">
        <v>3459</v>
      </c>
      <c r="C5318" t="s">
        <v>7854</v>
      </c>
      <c r="D5318" t="s">
        <v>11616</v>
      </c>
      <c r="E5318">
        <v>5027441756</v>
      </c>
      <c r="F5318" t="s">
        <v>574</v>
      </c>
      <c r="G5318" t="s">
        <v>575</v>
      </c>
      <c r="I5318" t="s">
        <v>14</v>
      </c>
      <c r="J5318" s="13">
        <v>46093</v>
      </c>
      <c r="K5318" s="13">
        <v>46113</v>
      </c>
      <c r="L5318" t="s">
        <v>490</v>
      </c>
      <c r="M5318" t="s">
        <v>61</v>
      </c>
      <c r="N5318">
        <v>75878068</v>
      </c>
    </row>
    <row r="5319" spans="1:14" x14ac:dyDescent="0.25">
      <c r="A5319">
        <v>61367701</v>
      </c>
      <c r="B5319" t="s">
        <v>11617</v>
      </c>
      <c r="C5319" t="s">
        <v>11618</v>
      </c>
      <c r="E5319">
        <v>5615429540</v>
      </c>
      <c r="F5319" t="s">
        <v>828</v>
      </c>
      <c r="G5319" t="s">
        <v>1148</v>
      </c>
      <c r="I5319" t="s">
        <v>17</v>
      </c>
      <c r="J5319" s="13">
        <v>46093</v>
      </c>
      <c r="K5319" s="13">
        <v>46113</v>
      </c>
      <c r="L5319" t="s">
        <v>497</v>
      </c>
      <c r="M5319" t="s">
        <v>56</v>
      </c>
      <c r="N5319">
        <v>75879036</v>
      </c>
    </row>
    <row r="5320" spans="1:14" x14ac:dyDescent="0.25">
      <c r="A5320">
        <v>61364542</v>
      </c>
      <c r="B5320" t="s">
        <v>1941</v>
      </c>
      <c r="C5320" t="s">
        <v>11619</v>
      </c>
      <c r="D5320" t="s">
        <v>11620</v>
      </c>
      <c r="E5320">
        <v>2704856836</v>
      </c>
      <c r="F5320" t="s">
        <v>551</v>
      </c>
      <c r="G5320" t="s">
        <v>552</v>
      </c>
      <c r="I5320" t="s">
        <v>42</v>
      </c>
      <c r="J5320" s="13">
        <v>46093</v>
      </c>
      <c r="K5320" s="13">
        <v>46113</v>
      </c>
      <c r="L5320" t="s">
        <v>490</v>
      </c>
      <c r="M5320" t="s">
        <v>56</v>
      </c>
      <c r="N5320">
        <v>75879932</v>
      </c>
    </row>
    <row r="5321" spans="1:14" x14ac:dyDescent="0.25">
      <c r="A5321">
        <v>61370306</v>
      </c>
      <c r="B5321" t="s">
        <v>1679</v>
      </c>
      <c r="C5321" t="s">
        <v>11621</v>
      </c>
      <c r="D5321" t="s">
        <v>11622</v>
      </c>
      <c r="E5321">
        <v>2514829539</v>
      </c>
      <c r="F5321" t="s">
        <v>628</v>
      </c>
      <c r="G5321" t="s">
        <v>629</v>
      </c>
      <c r="I5321" t="s">
        <v>24</v>
      </c>
      <c r="J5321" s="13">
        <v>46093</v>
      </c>
      <c r="K5321" s="13">
        <v>46113</v>
      </c>
      <c r="L5321" t="s">
        <v>450</v>
      </c>
      <c r="M5321" t="s">
        <v>59</v>
      </c>
      <c r="N5321">
        <v>75884008</v>
      </c>
    </row>
    <row r="5322" spans="1:14" x14ac:dyDescent="0.25">
      <c r="A5322">
        <v>61399673</v>
      </c>
      <c r="B5322" t="s">
        <v>11623</v>
      </c>
      <c r="C5322" t="s">
        <v>11624</v>
      </c>
      <c r="D5322" t="s">
        <v>11625</v>
      </c>
      <c r="E5322">
        <v>7192512698</v>
      </c>
      <c r="F5322" t="s">
        <v>10642</v>
      </c>
      <c r="G5322" t="s">
        <v>10643</v>
      </c>
      <c r="I5322" t="s">
        <v>45</v>
      </c>
      <c r="J5322" s="13">
        <v>46093</v>
      </c>
      <c r="K5322" s="13">
        <v>46113</v>
      </c>
      <c r="L5322" t="s">
        <v>539</v>
      </c>
      <c r="M5322" t="s">
        <v>59</v>
      </c>
      <c r="N5322">
        <v>75885088</v>
      </c>
    </row>
    <row r="5323" spans="1:14" x14ac:dyDescent="0.25">
      <c r="A5323">
        <v>61392693</v>
      </c>
      <c r="B5323" t="s">
        <v>1041</v>
      </c>
      <c r="C5323" t="s">
        <v>11626</v>
      </c>
      <c r="D5323" t="s">
        <v>11627</v>
      </c>
      <c r="E5323">
        <v>2057533368</v>
      </c>
      <c r="F5323" t="s">
        <v>928</v>
      </c>
      <c r="G5323" t="s">
        <v>929</v>
      </c>
      <c r="I5323" t="s">
        <v>30</v>
      </c>
      <c r="J5323" s="13">
        <v>46093</v>
      </c>
      <c r="K5323" s="13">
        <v>46113</v>
      </c>
      <c r="L5323" t="s">
        <v>450</v>
      </c>
      <c r="M5323" t="s">
        <v>59</v>
      </c>
      <c r="N5323">
        <v>75890379</v>
      </c>
    </row>
    <row r="5324" spans="1:14" x14ac:dyDescent="0.25">
      <c r="A5324">
        <v>61365614</v>
      </c>
      <c r="B5324" t="s">
        <v>5496</v>
      </c>
      <c r="C5324" t="s">
        <v>11628</v>
      </c>
      <c r="D5324" t="s">
        <v>11629</v>
      </c>
      <c r="E5324">
        <v>6027187559</v>
      </c>
      <c r="F5324" t="s">
        <v>1013</v>
      </c>
      <c r="G5324" t="s">
        <v>1014</v>
      </c>
      <c r="I5324" t="s">
        <v>43</v>
      </c>
      <c r="J5324" s="13">
        <v>46093</v>
      </c>
      <c r="K5324" s="13">
        <v>46113</v>
      </c>
      <c r="L5324" t="s">
        <v>1179</v>
      </c>
      <c r="M5324" t="s">
        <v>56</v>
      </c>
      <c r="N5324">
        <v>75892292</v>
      </c>
    </row>
    <row r="5325" spans="1:14" x14ac:dyDescent="0.25">
      <c r="A5325">
        <v>61371396</v>
      </c>
      <c r="B5325" t="s">
        <v>11630</v>
      </c>
      <c r="C5325" t="s">
        <v>1203</v>
      </c>
      <c r="D5325" t="s">
        <v>11631</v>
      </c>
      <c r="E5325">
        <v>7202965532</v>
      </c>
      <c r="F5325" t="s">
        <v>649</v>
      </c>
      <c r="G5325" t="s">
        <v>650</v>
      </c>
      <c r="I5325" t="s">
        <v>28</v>
      </c>
      <c r="J5325" s="13">
        <v>46093</v>
      </c>
      <c r="K5325" s="13">
        <v>46113</v>
      </c>
      <c r="L5325" t="s">
        <v>539</v>
      </c>
      <c r="M5325" t="s">
        <v>58</v>
      </c>
      <c r="N5325">
        <v>75892317</v>
      </c>
    </row>
    <row r="5326" spans="1:14" x14ac:dyDescent="0.25">
      <c r="A5326">
        <v>61371455</v>
      </c>
      <c r="B5326" t="s">
        <v>11632</v>
      </c>
      <c r="C5326" t="s">
        <v>11633</v>
      </c>
      <c r="D5326" t="s">
        <v>11634</v>
      </c>
      <c r="E5326">
        <v>9285945936</v>
      </c>
      <c r="F5326" t="s">
        <v>10569</v>
      </c>
      <c r="G5326" t="s">
        <v>10570</v>
      </c>
      <c r="I5326" t="s">
        <v>29</v>
      </c>
      <c r="J5326" s="13">
        <v>46093</v>
      </c>
      <c r="K5326" s="13">
        <v>46113</v>
      </c>
      <c r="L5326" t="s">
        <v>1179</v>
      </c>
      <c r="M5326" t="s">
        <v>54</v>
      </c>
      <c r="N5326">
        <v>75892721</v>
      </c>
    </row>
    <row r="5327" spans="1:14" x14ac:dyDescent="0.25">
      <c r="A5327">
        <v>61363641</v>
      </c>
      <c r="B5327" t="s">
        <v>1888</v>
      </c>
      <c r="C5327" t="s">
        <v>11635</v>
      </c>
      <c r="D5327" t="s">
        <v>11636</v>
      </c>
      <c r="E5327">
        <v>5204968689</v>
      </c>
      <c r="F5327" t="s">
        <v>2544</v>
      </c>
      <c r="G5327" t="s">
        <v>4833</v>
      </c>
      <c r="I5327" t="s">
        <v>18</v>
      </c>
      <c r="J5327" s="13">
        <v>46093</v>
      </c>
      <c r="K5327" s="13">
        <v>46113</v>
      </c>
      <c r="L5327" t="s">
        <v>1179</v>
      </c>
      <c r="M5327" t="s">
        <v>58</v>
      </c>
      <c r="N5327">
        <v>75892851</v>
      </c>
    </row>
    <row r="5328" spans="1:14" x14ac:dyDescent="0.25">
      <c r="A5328">
        <v>61370153</v>
      </c>
      <c r="B5328" t="s">
        <v>517</v>
      </c>
      <c r="C5328" t="s">
        <v>11637</v>
      </c>
      <c r="D5328" t="s">
        <v>11638</v>
      </c>
      <c r="E5328">
        <v>2075905660</v>
      </c>
      <c r="F5328" t="s">
        <v>775</v>
      </c>
      <c r="G5328" t="s">
        <v>776</v>
      </c>
      <c r="I5328" t="s">
        <v>22</v>
      </c>
      <c r="J5328" s="13">
        <v>46093</v>
      </c>
      <c r="K5328" s="13">
        <v>46113</v>
      </c>
      <c r="L5328" t="s">
        <v>941</v>
      </c>
      <c r="M5328" t="s">
        <v>56</v>
      </c>
      <c r="N5328">
        <v>75892861</v>
      </c>
    </row>
    <row r="5329" spans="1:14" x14ac:dyDescent="0.25">
      <c r="A5329">
        <v>61364989</v>
      </c>
      <c r="B5329" t="s">
        <v>593</v>
      </c>
      <c r="C5329" t="s">
        <v>4107</v>
      </c>
      <c r="D5329" t="s">
        <v>11639</v>
      </c>
      <c r="E5329">
        <v>9543032491</v>
      </c>
      <c r="F5329" t="s">
        <v>807</v>
      </c>
      <c r="G5329" t="s">
        <v>808</v>
      </c>
      <c r="I5329" t="s">
        <v>33</v>
      </c>
      <c r="J5329" s="13">
        <v>46093</v>
      </c>
      <c r="K5329" s="13">
        <v>46113</v>
      </c>
      <c r="L5329" t="s">
        <v>497</v>
      </c>
      <c r="M5329" t="s">
        <v>59</v>
      </c>
      <c r="N5329">
        <v>75893101</v>
      </c>
    </row>
    <row r="5330" spans="1:14" x14ac:dyDescent="0.25">
      <c r="A5330">
        <v>61378635</v>
      </c>
      <c r="B5330" t="s">
        <v>11640</v>
      </c>
      <c r="C5330" t="s">
        <v>1258</v>
      </c>
      <c r="E5330">
        <v>6239550954</v>
      </c>
      <c r="F5330" t="s">
        <v>10591</v>
      </c>
      <c r="G5330" t="s">
        <v>10215</v>
      </c>
      <c r="I5330" t="s">
        <v>32</v>
      </c>
      <c r="J5330" s="13">
        <v>46093</v>
      </c>
      <c r="K5330" s="13">
        <v>46113</v>
      </c>
      <c r="L5330" t="s">
        <v>1179</v>
      </c>
      <c r="M5330" t="s">
        <v>54</v>
      </c>
      <c r="N5330">
        <v>75906084</v>
      </c>
    </row>
    <row r="5331" spans="1:14" x14ac:dyDescent="0.25">
      <c r="A5331">
        <v>61379581</v>
      </c>
      <c r="B5331" t="s">
        <v>691</v>
      </c>
      <c r="C5331" t="s">
        <v>11641</v>
      </c>
      <c r="D5331" t="s">
        <v>11642</v>
      </c>
      <c r="E5331">
        <v>4172105660</v>
      </c>
      <c r="F5331" t="s">
        <v>928</v>
      </c>
      <c r="G5331" t="s">
        <v>929</v>
      </c>
      <c r="I5331" t="s">
        <v>30</v>
      </c>
      <c r="J5331" s="13">
        <v>46093</v>
      </c>
      <c r="K5331" s="13">
        <v>46113</v>
      </c>
      <c r="L5331" t="s">
        <v>434</v>
      </c>
      <c r="M5331" t="s">
        <v>59</v>
      </c>
      <c r="N5331">
        <v>75909222</v>
      </c>
    </row>
    <row r="5332" spans="1:14" x14ac:dyDescent="0.25">
      <c r="A5332">
        <v>61374295</v>
      </c>
      <c r="B5332" t="s">
        <v>11643</v>
      </c>
      <c r="C5332" t="s">
        <v>2678</v>
      </c>
      <c r="D5332" t="s">
        <v>11644</v>
      </c>
      <c r="E5332">
        <v>4802530910</v>
      </c>
      <c r="F5332" t="s">
        <v>1013</v>
      </c>
      <c r="G5332" t="s">
        <v>1014</v>
      </c>
      <c r="I5332" t="s">
        <v>43</v>
      </c>
      <c r="J5332" s="13">
        <v>46093</v>
      </c>
      <c r="K5332" s="13">
        <v>46113</v>
      </c>
      <c r="L5332" t="s">
        <v>1179</v>
      </c>
      <c r="M5332" t="s">
        <v>54</v>
      </c>
      <c r="N5332">
        <v>75909279</v>
      </c>
    </row>
    <row r="5333" spans="1:14" x14ac:dyDescent="0.25">
      <c r="A5333">
        <v>61386730</v>
      </c>
      <c r="B5333" t="s">
        <v>5666</v>
      </c>
      <c r="C5333" t="s">
        <v>11645</v>
      </c>
      <c r="D5333" t="s">
        <v>11646</v>
      </c>
      <c r="E5333">
        <v>5202407201</v>
      </c>
      <c r="F5333" t="s">
        <v>815</v>
      </c>
      <c r="G5333" t="s">
        <v>816</v>
      </c>
      <c r="I5333" t="s">
        <v>23</v>
      </c>
      <c r="J5333" s="13">
        <v>46093</v>
      </c>
      <c r="K5333" s="13">
        <v>46113</v>
      </c>
      <c r="L5333" t="s">
        <v>1179</v>
      </c>
      <c r="M5333" t="s">
        <v>58</v>
      </c>
      <c r="N5333">
        <v>75910676</v>
      </c>
    </row>
    <row r="5334" spans="1:14" x14ac:dyDescent="0.25">
      <c r="A5334">
        <v>61376645</v>
      </c>
      <c r="B5334" t="s">
        <v>867</v>
      </c>
      <c r="C5334" t="s">
        <v>11647</v>
      </c>
      <c r="D5334" t="s">
        <v>11648</v>
      </c>
      <c r="E5334">
        <v>2563759325</v>
      </c>
      <c r="F5334" t="s">
        <v>448</v>
      </c>
      <c r="G5334" t="s">
        <v>449</v>
      </c>
      <c r="I5334" t="s">
        <v>31</v>
      </c>
      <c r="J5334" s="13">
        <v>46093</v>
      </c>
      <c r="K5334" s="13">
        <v>46113</v>
      </c>
      <c r="L5334" t="s">
        <v>450</v>
      </c>
      <c r="M5334" t="s">
        <v>58</v>
      </c>
      <c r="N5334">
        <v>75913498</v>
      </c>
    </row>
    <row r="5335" spans="1:14" x14ac:dyDescent="0.25">
      <c r="A5335">
        <v>61387806</v>
      </c>
      <c r="B5335" t="s">
        <v>11649</v>
      </c>
      <c r="C5335" t="s">
        <v>428</v>
      </c>
      <c r="D5335" t="s">
        <v>11650</v>
      </c>
      <c r="E5335">
        <v>7206901183</v>
      </c>
      <c r="F5335" t="s">
        <v>649</v>
      </c>
      <c r="G5335" t="s">
        <v>650</v>
      </c>
      <c r="I5335" t="s">
        <v>28</v>
      </c>
      <c r="J5335" s="13">
        <v>46093</v>
      </c>
      <c r="K5335" s="13">
        <v>46113</v>
      </c>
      <c r="L5335" t="s">
        <v>539</v>
      </c>
      <c r="M5335" t="s">
        <v>56</v>
      </c>
      <c r="N5335">
        <v>75919464</v>
      </c>
    </row>
    <row r="5336" spans="1:14" x14ac:dyDescent="0.25">
      <c r="A5336">
        <v>61392930</v>
      </c>
      <c r="B5336" t="s">
        <v>1167</v>
      </c>
      <c r="C5336" t="s">
        <v>11651</v>
      </c>
      <c r="D5336" t="s">
        <v>11652</v>
      </c>
      <c r="E5336" t="s">
        <v>11653</v>
      </c>
      <c r="F5336" t="s">
        <v>551</v>
      </c>
      <c r="G5336" t="s">
        <v>552</v>
      </c>
      <c r="I5336" t="s">
        <v>42</v>
      </c>
      <c r="J5336" s="13">
        <v>46093</v>
      </c>
      <c r="K5336" s="13">
        <v>46113</v>
      </c>
      <c r="L5336" t="s">
        <v>434</v>
      </c>
      <c r="M5336" t="s">
        <v>58</v>
      </c>
      <c r="N5336">
        <v>75926478</v>
      </c>
    </row>
    <row r="5337" spans="1:14" x14ac:dyDescent="0.25">
      <c r="A5337">
        <v>61396103</v>
      </c>
      <c r="B5337" t="s">
        <v>2140</v>
      </c>
      <c r="C5337" t="s">
        <v>5661</v>
      </c>
      <c r="D5337" t="s">
        <v>11654</v>
      </c>
      <c r="E5337">
        <v>5203508959</v>
      </c>
      <c r="F5337" t="s">
        <v>780</v>
      </c>
      <c r="G5337" t="s">
        <v>781</v>
      </c>
      <c r="I5337" t="s">
        <v>20</v>
      </c>
      <c r="J5337" s="13">
        <v>46093</v>
      </c>
      <c r="K5337" s="13">
        <v>46113</v>
      </c>
      <c r="L5337" t="s">
        <v>1179</v>
      </c>
      <c r="M5337" t="s">
        <v>54</v>
      </c>
      <c r="N5337">
        <v>75928781</v>
      </c>
    </row>
    <row r="5338" spans="1:14" x14ac:dyDescent="0.25">
      <c r="A5338">
        <v>61386347</v>
      </c>
      <c r="B5338" t="s">
        <v>2128</v>
      </c>
      <c r="C5338" t="s">
        <v>2335</v>
      </c>
      <c r="D5338" t="s">
        <v>11655</v>
      </c>
      <c r="E5338">
        <v>7192898936</v>
      </c>
      <c r="F5338" t="s">
        <v>448</v>
      </c>
      <c r="G5338" t="s">
        <v>449</v>
      </c>
      <c r="I5338" t="s">
        <v>31</v>
      </c>
      <c r="J5338" s="13">
        <v>46093</v>
      </c>
      <c r="K5338" s="13">
        <v>46113</v>
      </c>
      <c r="L5338" t="s">
        <v>539</v>
      </c>
      <c r="M5338" t="s">
        <v>58</v>
      </c>
      <c r="N5338">
        <v>75930307</v>
      </c>
    </row>
    <row r="5339" spans="1:14" x14ac:dyDescent="0.25">
      <c r="A5339">
        <v>61387038</v>
      </c>
      <c r="B5339" t="s">
        <v>787</v>
      </c>
      <c r="C5339" t="s">
        <v>2482</v>
      </c>
      <c r="D5339" t="s">
        <v>11656</v>
      </c>
      <c r="E5339">
        <v>4807146638</v>
      </c>
      <c r="F5339" t="s">
        <v>1013</v>
      </c>
      <c r="G5339" t="s">
        <v>1014</v>
      </c>
      <c r="I5339" t="s">
        <v>43</v>
      </c>
      <c r="J5339" s="13">
        <v>46093</v>
      </c>
      <c r="K5339" s="13">
        <v>46113</v>
      </c>
      <c r="L5339" t="s">
        <v>1179</v>
      </c>
      <c r="M5339" t="s">
        <v>56</v>
      </c>
      <c r="N5339">
        <v>75932041</v>
      </c>
    </row>
    <row r="5340" spans="1:14" x14ac:dyDescent="0.25">
      <c r="A5340">
        <v>61394610</v>
      </c>
      <c r="B5340" t="s">
        <v>2296</v>
      </c>
      <c r="C5340" t="s">
        <v>1039</v>
      </c>
      <c r="D5340" t="s">
        <v>11657</v>
      </c>
      <c r="E5340">
        <v>7576422969</v>
      </c>
      <c r="F5340" t="s">
        <v>574</v>
      </c>
      <c r="G5340" t="s">
        <v>575</v>
      </c>
      <c r="I5340" t="s">
        <v>14</v>
      </c>
      <c r="J5340" s="13">
        <v>46093</v>
      </c>
      <c r="K5340" s="13">
        <v>46113</v>
      </c>
      <c r="L5340" t="s">
        <v>454</v>
      </c>
      <c r="M5340" t="s">
        <v>56</v>
      </c>
      <c r="N5340">
        <v>75939852</v>
      </c>
    </row>
    <row r="5341" spans="1:14" x14ac:dyDescent="0.25">
      <c r="A5341">
        <v>61396935</v>
      </c>
      <c r="B5341" t="s">
        <v>791</v>
      </c>
      <c r="C5341" t="s">
        <v>11343</v>
      </c>
      <c r="D5341" t="s">
        <v>11658</v>
      </c>
      <c r="E5341">
        <v>5612368659</v>
      </c>
      <c r="F5341" t="s">
        <v>775</v>
      </c>
      <c r="G5341" t="s">
        <v>776</v>
      </c>
      <c r="I5341" t="s">
        <v>22</v>
      </c>
      <c r="J5341" s="13">
        <v>46093</v>
      </c>
      <c r="K5341" s="13">
        <v>46113</v>
      </c>
      <c r="L5341" t="s">
        <v>497</v>
      </c>
      <c r="M5341" t="s">
        <v>58</v>
      </c>
      <c r="N5341">
        <v>75944551</v>
      </c>
    </row>
    <row r="5342" spans="1:14" x14ac:dyDescent="0.25">
      <c r="A5342">
        <v>61392212</v>
      </c>
      <c r="B5342" t="s">
        <v>1949</v>
      </c>
      <c r="C5342" t="s">
        <v>11659</v>
      </c>
      <c r="D5342" t="s">
        <v>11660</v>
      </c>
      <c r="E5342">
        <v>7204699892</v>
      </c>
      <c r="F5342" t="s">
        <v>705</v>
      </c>
      <c r="G5342" t="s">
        <v>706</v>
      </c>
      <c r="I5342" t="s">
        <v>12</v>
      </c>
      <c r="J5342" s="13">
        <v>46093</v>
      </c>
      <c r="K5342" s="13">
        <v>46113</v>
      </c>
      <c r="L5342" t="s">
        <v>539</v>
      </c>
      <c r="M5342" t="s">
        <v>58</v>
      </c>
      <c r="N5342">
        <v>75945438</v>
      </c>
    </row>
    <row r="5343" spans="1:14" x14ac:dyDescent="0.25">
      <c r="A5343">
        <v>61397653</v>
      </c>
      <c r="B5343" t="s">
        <v>2927</v>
      </c>
      <c r="C5343" t="s">
        <v>5846</v>
      </c>
      <c r="D5343" t="s">
        <v>11661</v>
      </c>
      <c r="E5343">
        <v>5012316032</v>
      </c>
      <c r="F5343" t="s">
        <v>2544</v>
      </c>
      <c r="G5343" t="s">
        <v>4833</v>
      </c>
      <c r="I5343" t="s">
        <v>18</v>
      </c>
      <c r="J5343" s="13">
        <v>46093</v>
      </c>
      <c r="K5343" s="13">
        <v>46113</v>
      </c>
      <c r="L5343" t="s">
        <v>553</v>
      </c>
      <c r="M5343" t="s">
        <v>59</v>
      </c>
      <c r="N5343">
        <v>75949301</v>
      </c>
    </row>
    <row r="5344" spans="1:14" x14ac:dyDescent="0.25">
      <c r="A5344">
        <v>61401638</v>
      </c>
      <c r="B5344" t="s">
        <v>511</v>
      </c>
      <c r="C5344" t="s">
        <v>6609</v>
      </c>
      <c r="D5344" t="s">
        <v>11662</v>
      </c>
      <c r="E5344">
        <v>9045667855</v>
      </c>
      <c r="F5344" t="s">
        <v>807</v>
      </c>
      <c r="G5344" t="s">
        <v>808</v>
      </c>
      <c r="I5344" t="s">
        <v>33</v>
      </c>
      <c r="J5344" s="13">
        <v>46093</v>
      </c>
      <c r="K5344" s="13">
        <v>46113</v>
      </c>
      <c r="L5344" t="s">
        <v>497</v>
      </c>
      <c r="M5344" t="s">
        <v>56</v>
      </c>
      <c r="N5344">
        <v>75950412</v>
      </c>
    </row>
    <row r="5345" spans="1:14" x14ac:dyDescent="0.25">
      <c r="A5345">
        <v>61391014</v>
      </c>
      <c r="B5345" t="s">
        <v>524</v>
      </c>
      <c r="C5345" t="s">
        <v>1203</v>
      </c>
      <c r="D5345" t="s">
        <v>11663</v>
      </c>
      <c r="E5345">
        <v>9197702603</v>
      </c>
      <c r="F5345" t="s">
        <v>416</v>
      </c>
      <c r="G5345" t="s">
        <v>417</v>
      </c>
      <c r="I5345" t="s">
        <v>26</v>
      </c>
      <c r="J5345" s="13">
        <v>46093</v>
      </c>
      <c r="K5345" s="13">
        <v>46113</v>
      </c>
      <c r="L5345" t="s">
        <v>603</v>
      </c>
      <c r="M5345" t="s">
        <v>58</v>
      </c>
      <c r="N5345">
        <v>75950413</v>
      </c>
    </row>
    <row r="5346" spans="1:14" x14ac:dyDescent="0.25">
      <c r="A5346">
        <v>61399734</v>
      </c>
      <c r="B5346" t="s">
        <v>1784</v>
      </c>
      <c r="C5346" t="s">
        <v>2291</v>
      </c>
      <c r="D5346" t="s">
        <v>11664</v>
      </c>
      <c r="E5346">
        <v>3177721425</v>
      </c>
      <c r="F5346" t="s">
        <v>10253</v>
      </c>
      <c r="G5346" t="s">
        <v>781</v>
      </c>
      <c r="I5346" t="s">
        <v>36</v>
      </c>
      <c r="J5346" s="13">
        <v>46093</v>
      </c>
      <c r="K5346" s="13">
        <v>46113</v>
      </c>
      <c r="L5346" t="s">
        <v>497</v>
      </c>
      <c r="M5346" t="s">
        <v>58</v>
      </c>
      <c r="N5346">
        <v>75950577</v>
      </c>
    </row>
    <row r="5347" spans="1:14" x14ac:dyDescent="0.25">
      <c r="A5347">
        <v>61450703</v>
      </c>
      <c r="B5347" t="s">
        <v>687</v>
      </c>
      <c r="C5347" t="s">
        <v>11665</v>
      </c>
      <c r="D5347" t="s">
        <v>11666</v>
      </c>
      <c r="E5347">
        <v>6232714200</v>
      </c>
      <c r="F5347" t="s">
        <v>10569</v>
      </c>
      <c r="G5347" t="s">
        <v>10570</v>
      </c>
      <c r="I5347" t="s">
        <v>29</v>
      </c>
      <c r="J5347" s="13">
        <v>46094</v>
      </c>
      <c r="K5347" s="13">
        <v>46113</v>
      </c>
      <c r="L5347" t="s">
        <v>1179</v>
      </c>
      <c r="M5347" t="s">
        <v>54</v>
      </c>
      <c r="N5347">
        <v>75978909</v>
      </c>
    </row>
    <row r="5348" spans="1:14" x14ac:dyDescent="0.25">
      <c r="A5348">
        <v>61447634</v>
      </c>
      <c r="B5348" t="s">
        <v>449</v>
      </c>
      <c r="C5348" t="s">
        <v>11667</v>
      </c>
      <c r="D5348" t="s">
        <v>11668</v>
      </c>
      <c r="E5348">
        <v>2707272586</v>
      </c>
      <c r="F5348" t="s">
        <v>448</v>
      </c>
      <c r="G5348" t="s">
        <v>449</v>
      </c>
      <c r="I5348" t="s">
        <v>31</v>
      </c>
      <c r="J5348" s="13">
        <v>46094</v>
      </c>
      <c r="K5348" s="13">
        <v>46113</v>
      </c>
      <c r="L5348" t="s">
        <v>490</v>
      </c>
      <c r="M5348" t="s">
        <v>56</v>
      </c>
      <c r="N5348">
        <v>75979371</v>
      </c>
    </row>
    <row r="5349" spans="1:14" x14ac:dyDescent="0.25">
      <c r="A5349">
        <v>61450948</v>
      </c>
      <c r="B5349" t="s">
        <v>816</v>
      </c>
      <c r="C5349" t="s">
        <v>11669</v>
      </c>
      <c r="D5349" t="s">
        <v>11670</v>
      </c>
      <c r="E5349">
        <v>7208095894</v>
      </c>
      <c r="F5349" t="s">
        <v>628</v>
      </c>
      <c r="G5349" t="s">
        <v>629</v>
      </c>
      <c r="I5349" t="s">
        <v>24</v>
      </c>
      <c r="J5349" s="13">
        <v>46094</v>
      </c>
      <c r="K5349" s="13">
        <v>46113</v>
      </c>
      <c r="L5349" t="s">
        <v>539</v>
      </c>
      <c r="M5349" t="s">
        <v>59</v>
      </c>
      <c r="N5349">
        <v>75980314</v>
      </c>
    </row>
    <row r="5350" spans="1:14" x14ac:dyDescent="0.25">
      <c r="A5350">
        <v>61454462</v>
      </c>
      <c r="B5350" t="s">
        <v>2028</v>
      </c>
      <c r="C5350" t="s">
        <v>11671</v>
      </c>
      <c r="D5350" t="s">
        <v>11672</v>
      </c>
      <c r="E5350">
        <v>2566483151</v>
      </c>
      <c r="F5350" t="s">
        <v>10460</v>
      </c>
      <c r="G5350" t="s">
        <v>6663</v>
      </c>
      <c r="I5350" t="s">
        <v>40</v>
      </c>
      <c r="J5350" s="13">
        <v>46094</v>
      </c>
      <c r="K5350" s="13">
        <v>46113</v>
      </c>
      <c r="L5350" t="s">
        <v>450</v>
      </c>
      <c r="M5350" t="s">
        <v>56</v>
      </c>
      <c r="N5350">
        <v>75980321</v>
      </c>
    </row>
    <row r="5351" spans="1:14" x14ac:dyDescent="0.25">
      <c r="A5351">
        <v>61445174</v>
      </c>
      <c r="B5351" t="s">
        <v>8666</v>
      </c>
      <c r="C5351" t="s">
        <v>11673</v>
      </c>
      <c r="D5351" t="s">
        <v>11674</v>
      </c>
      <c r="E5351">
        <v>6237389487</v>
      </c>
      <c r="F5351" t="s">
        <v>775</v>
      </c>
      <c r="G5351" t="s">
        <v>776</v>
      </c>
      <c r="I5351" t="s">
        <v>22</v>
      </c>
      <c r="J5351" s="13">
        <v>46094</v>
      </c>
      <c r="K5351" s="13">
        <v>46113</v>
      </c>
      <c r="L5351" t="s">
        <v>1179</v>
      </c>
      <c r="M5351" t="s">
        <v>56</v>
      </c>
      <c r="N5351">
        <v>75981001</v>
      </c>
    </row>
    <row r="5352" spans="1:14" x14ac:dyDescent="0.25">
      <c r="A5352">
        <v>61456898</v>
      </c>
      <c r="B5352" t="s">
        <v>1408</v>
      </c>
      <c r="C5352" t="s">
        <v>2335</v>
      </c>
      <c r="D5352" t="s">
        <v>11675</v>
      </c>
      <c r="E5352">
        <v>9105364005</v>
      </c>
      <c r="F5352" t="s">
        <v>649</v>
      </c>
      <c r="G5352" t="s">
        <v>650</v>
      </c>
      <c r="I5352" t="s">
        <v>28</v>
      </c>
      <c r="J5352" s="13">
        <v>46094</v>
      </c>
      <c r="K5352" s="13">
        <v>46113</v>
      </c>
      <c r="L5352" t="s">
        <v>603</v>
      </c>
      <c r="M5352" t="s">
        <v>58</v>
      </c>
      <c r="N5352">
        <v>75981103</v>
      </c>
    </row>
    <row r="5353" spans="1:14" x14ac:dyDescent="0.25">
      <c r="A5353">
        <v>61457743</v>
      </c>
      <c r="B5353" t="s">
        <v>11676</v>
      </c>
      <c r="C5353" t="s">
        <v>11677</v>
      </c>
      <c r="D5353" t="s">
        <v>11678</v>
      </c>
      <c r="E5353" t="s">
        <v>11679</v>
      </c>
      <c r="F5353" t="s">
        <v>569</v>
      </c>
      <c r="G5353" t="s">
        <v>570</v>
      </c>
      <c r="I5353" t="s">
        <v>34</v>
      </c>
      <c r="J5353" s="13">
        <v>46094</v>
      </c>
      <c r="K5353" s="13">
        <v>46113</v>
      </c>
      <c r="L5353" t="s">
        <v>450</v>
      </c>
      <c r="M5353" t="s">
        <v>58</v>
      </c>
      <c r="N5353">
        <v>75981147</v>
      </c>
    </row>
    <row r="5354" spans="1:14" x14ac:dyDescent="0.25">
      <c r="A5354">
        <v>61446900</v>
      </c>
      <c r="B5354" t="s">
        <v>1872</v>
      </c>
      <c r="C5354" t="s">
        <v>11680</v>
      </c>
      <c r="D5354" t="s">
        <v>11681</v>
      </c>
      <c r="E5354">
        <v>9545885820</v>
      </c>
      <c r="F5354" t="s">
        <v>688</v>
      </c>
      <c r="G5354" t="s">
        <v>10291</v>
      </c>
      <c r="I5354" t="s">
        <v>48</v>
      </c>
      <c r="J5354" s="13">
        <v>46094</v>
      </c>
      <c r="K5354" s="13">
        <v>46113</v>
      </c>
      <c r="L5354" t="s">
        <v>497</v>
      </c>
      <c r="M5354" t="s">
        <v>58</v>
      </c>
      <c r="N5354">
        <v>75981662</v>
      </c>
    </row>
    <row r="5355" spans="1:14" x14ac:dyDescent="0.25">
      <c r="A5355">
        <v>61454749</v>
      </c>
      <c r="B5355" t="s">
        <v>3174</v>
      </c>
      <c r="C5355" t="s">
        <v>11682</v>
      </c>
      <c r="D5355" t="s">
        <v>11683</v>
      </c>
      <c r="E5355">
        <v>4805778484</v>
      </c>
      <c r="F5355" t="s">
        <v>416</v>
      </c>
      <c r="G5355" t="s">
        <v>417</v>
      </c>
      <c r="I5355" t="s">
        <v>26</v>
      </c>
      <c r="J5355" s="13">
        <v>46094</v>
      </c>
      <c r="K5355" s="13">
        <v>46113</v>
      </c>
      <c r="L5355" t="s">
        <v>1179</v>
      </c>
      <c r="M5355" t="s">
        <v>54</v>
      </c>
      <c r="N5355">
        <v>75982521</v>
      </c>
    </row>
    <row r="5356" spans="1:14" x14ac:dyDescent="0.25">
      <c r="A5356">
        <v>61456795</v>
      </c>
      <c r="B5356" t="s">
        <v>799</v>
      </c>
      <c r="C5356" t="s">
        <v>11684</v>
      </c>
      <c r="D5356" t="s">
        <v>11685</v>
      </c>
      <c r="E5356">
        <v>7374122926</v>
      </c>
      <c r="F5356" t="s">
        <v>474</v>
      </c>
      <c r="G5356" t="s">
        <v>475</v>
      </c>
      <c r="I5356" t="s">
        <v>132</v>
      </c>
      <c r="J5356" s="13">
        <v>46094</v>
      </c>
      <c r="K5356" s="13">
        <v>46113</v>
      </c>
      <c r="L5356" t="s">
        <v>444</v>
      </c>
      <c r="M5356" t="s">
        <v>59</v>
      </c>
      <c r="N5356">
        <v>75982796</v>
      </c>
    </row>
    <row r="5357" spans="1:14" x14ac:dyDescent="0.25">
      <c r="A5357">
        <v>61511103</v>
      </c>
      <c r="B5357" t="s">
        <v>11686</v>
      </c>
      <c r="C5357" t="s">
        <v>11687</v>
      </c>
      <c r="D5357" t="s">
        <v>11688</v>
      </c>
      <c r="E5357">
        <v>9017790189</v>
      </c>
      <c r="F5357" t="s">
        <v>815</v>
      </c>
      <c r="G5357" t="s">
        <v>816</v>
      </c>
      <c r="I5357" t="s">
        <v>23</v>
      </c>
      <c r="J5357" s="13">
        <v>46094</v>
      </c>
      <c r="K5357" s="13">
        <v>46113</v>
      </c>
      <c r="L5357" t="s">
        <v>479</v>
      </c>
      <c r="M5357" t="s">
        <v>59</v>
      </c>
      <c r="N5357">
        <v>75982959</v>
      </c>
    </row>
    <row r="5358" spans="1:14" x14ac:dyDescent="0.25">
      <c r="A5358">
        <v>61452988</v>
      </c>
      <c r="B5358" t="s">
        <v>11689</v>
      </c>
      <c r="C5358" t="s">
        <v>11690</v>
      </c>
      <c r="D5358" t="s">
        <v>11691</v>
      </c>
      <c r="E5358">
        <v>8594452309</v>
      </c>
      <c r="F5358" t="s">
        <v>551</v>
      </c>
      <c r="G5358" t="s">
        <v>552</v>
      </c>
      <c r="I5358" t="s">
        <v>42</v>
      </c>
      <c r="J5358" s="13">
        <v>46094</v>
      </c>
      <c r="K5358" s="13">
        <v>46113</v>
      </c>
      <c r="L5358" t="s">
        <v>490</v>
      </c>
      <c r="M5358" t="s">
        <v>58</v>
      </c>
      <c r="N5358">
        <v>75983091</v>
      </c>
    </row>
    <row r="5359" spans="1:14" x14ac:dyDescent="0.25">
      <c r="A5359">
        <v>61466306</v>
      </c>
      <c r="B5359" t="s">
        <v>4327</v>
      </c>
      <c r="C5359" t="s">
        <v>4217</v>
      </c>
      <c r="D5359" t="s">
        <v>11692</v>
      </c>
      <c r="E5359">
        <v>8704970040</v>
      </c>
      <c r="F5359" t="s">
        <v>628</v>
      </c>
      <c r="G5359" t="s">
        <v>629</v>
      </c>
      <c r="I5359" t="s">
        <v>24</v>
      </c>
      <c r="J5359" s="13">
        <v>46094</v>
      </c>
      <c r="K5359" s="13">
        <v>46113</v>
      </c>
      <c r="L5359" t="s">
        <v>553</v>
      </c>
      <c r="M5359" t="s">
        <v>56</v>
      </c>
      <c r="N5359">
        <v>75983298</v>
      </c>
    </row>
    <row r="5360" spans="1:14" x14ac:dyDescent="0.25">
      <c r="A5360">
        <v>61464000</v>
      </c>
      <c r="B5360" t="s">
        <v>1715</v>
      </c>
      <c r="C5360" t="s">
        <v>1908</v>
      </c>
      <c r="D5360" t="s">
        <v>11693</v>
      </c>
      <c r="E5360">
        <v>2107247922</v>
      </c>
      <c r="F5360" t="s">
        <v>2544</v>
      </c>
      <c r="G5360" t="s">
        <v>4833</v>
      </c>
      <c r="I5360" t="s">
        <v>18</v>
      </c>
      <c r="J5360" s="13">
        <v>46094</v>
      </c>
      <c r="K5360" s="13">
        <v>46113</v>
      </c>
      <c r="L5360" t="s">
        <v>444</v>
      </c>
      <c r="M5360" t="s">
        <v>59</v>
      </c>
      <c r="N5360">
        <v>75983349</v>
      </c>
    </row>
    <row r="5361" spans="1:14" x14ac:dyDescent="0.25">
      <c r="A5361">
        <v>61470075</v>
      </c>
      <c r="B5361" t="s">
        <v>11694</v>
      </c>
      <c r="C5361" t="s">
        <v>11695</v>
      </c>
      <c r="D5361" t="s">
        <v>11696</v>
      </c>
      <c r="E5361">
        <v>9548508273</v>
      </c>
      <c r="F5361" t="s">
        <v>807</v>
      </c>
      <c r="G5361" t="s">
        <v>808</v>
      </c>
      <c r="I5361" t="s">
        <v>33</v>
      </c>
      <c r="J5361" s="13">
        <v>46094</v>
      </c>
      <c r="K5361" s="13">
        <v>46113</v>
      </c>
      <c r="L5361" t="s">
        <v>497</v>
      </c>
      <c r="M5361" t="s">
        <v>56</v>
      </c>
      <c r="N5361">
        <v>75983594</v>
      </c>
    </row>
    <row r="5362" spans="1:14" x14ac:dyDescent="0.25">
      <c r="A5362">
        <v>61457443</v>
      </c>
      <c r="B5362" t="s">
        <v>3245</v>
      </c>
      <c r="C5362" t="s">
        <v>11697</v>
      </c>
      <c r="D5362" t="s">
        <v>11698</v>
      </c>
      <c r="E5362">
        <v>5572028169</v>
      </c>
      <c r="F5362" t="s">
        <v>10253</v>
      </c>
      <c r="G5362" t="s">
        <v>781</v>
      </c>
      <c r="I5362" t="s">
        <v>36</v>
      </c>
      <c r="J5362" s="13">
        <v>46094</v>
      </c>
      <c r="K5362" s="13">
        <v>46113</v>
      </c>
      <c r="L5362" t="s">
        <v>434</v>
      </c>
      <c r="M5362" t="s">
        <v>59</v>
      </c>
      <c r="N5362">
        <v>75983869</v>
      </c>
    </row>
    <row r="5363" spans="1:14" x14ac:dyDescent="0.25">
      <c r="A5363">
        <v>61466659</v>
      </c>
      <c r="B5363" t="s">
        <v>11699</v>
      </c>
      <c r="C5363" t="s">
        <v>8948</v>
      </c>
      <c r="D5363" t="s">
        <v>11700</v>
      </c>
      <c r="E5363">
        <v>3214448292</v>
      </c>
      <c r="F5363" t="s">
        <v>10591</v>
      </c>
      <c r="G5363" t="s">
        <v>10215</v>
      </c>
      <c r="I5363" t="s">
        <v>32</v>
      </c>
      <c r="J5363" s="13">
        <v>46094</v>
      </c>
      <c r="K5363" s="13">
        <v>46113</v>
      </c>
      <c r="L5363" t="s">
        <v>497</v>
      </c>
      <c r="M5363" t="s">
        <v>54</v>
      </c>
      <c r="N5363">
        <v>75983896</v>
      </c>
    </row>
    <row r="5364" spans="1:14" x14ac:dyDescent="0.25">
      <c r="A5364">
        <v>61468635</v>
      </c>
      <c r="B5364" t="s">
        <v>1148</v>
      </c>
      <c r="C5364" t="s">
        <v>11701</v>
      </c>
      <c r="D5364" t="s">
        <v>11702</v>
      </c>
      <c r="E5364">
        <v>9379463721</v>
      </c>
      <c r="F5364" t="s">
        <v>1067</v>
      </c>
      <c r="G5364" t="s">
        <v>1068</v>
      </c>
      <c r="I5364" t="s">
        <v>35</v>
      </c>
      <c r="J5364" s="13">
        <v>46094</v>
      </c>
      <c r="K5364" s="13">
        <v>46113</v>
      </c>
      <c r="L5364" t="s">
        <v>418</v>
      </c>
      <c r="M5364" t="s">
        <v>60</v>
      </c>
      <c r="N5364">
        <v>75984320</v>
      </c>
    </row>
    <row r="5365" spans="1:14" x14ac:dyDescent="0.25">
      <c r="A5365">
        <v>61472856</v>
      </c>
      <c r="B5365" t="s">
        <v>9462</v>
      </c>
      <c r="C5365" t="s">
        <v>11703</v>
      </c>
      <c r="D5365" t="s">
        <v>11704</v>
      </c>
      <c r="E5365">
        <v>8703232391</v>
      </c>
      <c r="F5365" t="s">
        <v>551</v>
      </c>
      <c r="G5365" t="s">
        <v>552</v>
      </c>
      <c r="I5365" t="s">
        <v>42</v>
      </c>
      <c r="J5365" s="13">
        <v>46094</v>
      </c>
      <c r="K5365" s="13">
        <v>46113</v>
      </c>
      <c r="L5365" t="s">
        <v>553</v>
      </c>
      <c r="M5365" t="s">
        <v>58</v>
      </c>
      <c r="N5365">
        <v>75984512</v>
      </c>
    </row>
    <row r="5366" spans="1:14" x14ac:dyDescent="0.25">
      <c r="A5366">
        <v>61472613</v>
      </c>
      <c r="B5366" t="s">
        <v>730</v>
      </c>
      <c r="C5366" t="s">
        <v>11705</v>
      </c>
      <c r="D5366" t="s">
        <v>11706</v>
      </c>
      <c r="E5366">
        <v>8178128684</v>
      </c>
      <c r="F5366" t="s">
        <v>574</v>
      </c>
      <c r="G5366" t="s">
        <v>575</v>
      </c>
      <c r="I5366" t="s">
        <v>14</v>
      </c>
      <c r="J5366" s="13">
        <v>46094</v>
      </c>
      <c r="K5366" s="13">
        <v>46113</v>
      </c>
      <c r="L5366" t="s">
        <v>444</v>
      </c>
      <c r="M5366" t="s">
        <v>56</v>
      </c>
      <c r="N5366">
        <v>75984821</v>
      </c>
    </row>
    <row r="5367" spans="1:14" x14ac:dyDescent="0.25">
      <c r="A5367">
        <v>61466433</v>
      </c>
      <c r="B5367" t="s">
        <v>4976</v>
      </c>
      <c r="C5367" t="s">
        <v>957</v>
      </c>
      <c r="D5367" t="s">
        <v>11707</v>
      </c>
      <c r="E5367">
        <v>8062312915</v>
      </c>
      <c r="F5367" t="s">
        <v>474</v>
      </c>
      <c r="G5367" t="s">
        <v>475</v>
      </c>
      <c r="I5367" t="s">
        <v>132</v>
      </c>
      <c r="J5367" s="13">
        <v>46094</v>
      </c>
      <c r="K5367" s="13">
        <v>46113</v>
      </c>
      <c r="L5367" t="s">
        <v>444</v>
      </c>
      <c r="M5367" t="s">
        <v>56</v>
      </c>
      <c r="N5367">
        <v>75985228</v>
      </c>
    </row>
    <row r="5368" spans="1:14" x14ac:dyDescent="0.25">
      <c r="A5368">
        <v>61487772</v>
      </c>
      <c r="B5368" t="s">
        <v>9825</v>
      </c>
      <c r="C5368" t="s">
        <v>11708</v>
      </c>
      <c r="D5368" t="s">
        <v>11709</v>
      </c>
      <c r="E5368">
        <v>6025582764</v>
      </c>
      <c r="F5368" t="s">
        <v>10569</v>
      </c>
      <c r="G5368" t="s">
        <v>10570</v>
      </c>
      <c r="I5368" t="s">
        <v>29</v>
      </c>
      <c r="J5368" s="13">
        <v>46094</v>
      </c>
      <c r="K5368" s="13">
        <v>46113</v>
      </c>
      <c r="L5368" t="s">
        <v>1179</v>
      </c>
      <c r="M5368" t="s">
        <v>54</v>
      </c>
      <c r="N5368">
        <v>75985472</v>
      </c>
    </row>
    <row r="5369" spans="1:14" x14ac:dyDescent="0.25">
      <c r="A5369">
        <v>61481900</v>
      </c>
      <c r="B5369" t="s">
        <v>6076</v>
      </c>
      <c r="C5369" t="s">
        <v>8824</v>
      </c>
      <c r="D5369" t="s">
        <v>11710</v>
      </c>
      <c r="E5369">
        <v>9794853828</v>
      </c>
      <c r="F5369" t="s">
        <v>815</v>
      </c>
      <c r="G5369" t="s">
        <v>816</v>
      </c>
      <c r="I5369" t="s">
        <v>23</v>
      </c>
      <c r="J5369" s="13">
        <v>46094</v>
      </c>
      <c r="K5369" s="13">
        <v>46113</v>
      </c>
      <c r="L5369" t="s">
        <v>444</v>
      </c>
      <c r="M5369" t="s">
        <v>56</v>
      </c>
      <c r="N5369">
        <v>75989812</v>
      </c>
    </row>
    <row r="5370" spans="1:14" x14ac:dyDescent="0.25">
      <c r="A5370">
        <v>61481086</v>
      </c>
      <c r="B5370" t="s">
        <v>5305</v>
      </c>
      <c r="C5370" t="s">
        <v>2558</v>
      </c>
      <c r="D5370" t="s">
        <v>11711</v>
      </c>
      <c r="E5370">
        <v>9798201207</v>
      </c>
      <c r="F5370" t="s">
        <v>474</v>
      </c>
      <c r="G5370" t="s">
        <v>475</v>
      </c>
      <c r="I5370" t="s">
        <v>132</v>
      </c>
      <c r="J5370" s="13">
        <v>46094</v>
      </c>
      <c r="K5370" s="13">
        <v>46113</v>
      </c>
      <c r="L5370" t="s">
        <v>444</v>
      </c>
      <c r="M5370" t="s">
        <v>56</v>
      </c>
      <c r="N5370">
        <v>75996031</v>
      </c>
    </row>
    <row r="5371" spans="1:14" x14ac:dyDescent="0.25">
      <c r="A5371">
        <v>61515110</v>
      </c>
      <c r="B5371" t="s">
        <v>1643</v>
      </c>
      <c r="C5371" t="s">
        <v>11712</v>
      </c>
      <c r="D5371" t="s">
        <v>11713</v>
      </c>
      <c r="E5371">
        <v>9705204881</v>
      </c>
      <c r="F5371" t="s">
        <v>10253</v>
      </c>
      <c r="G5371" t="s">
        <v>781</v>
      </c>
      <c r="I5371" t="s">
        <v>36</v>
      </c>
      <c r="J5371" s="13">
        <v>46094</v>
      </c>
      <c r="K5371" s="13">
        <v>46113</v>
      </c>
      <c r="L5371" t="s">
        <v>539</v>
      </c>
      <c r="M5371" t="s">
        <v>58</v>
      </c>
      <c r="N5371">
        <v>75996301</v>
      </c>
    </row>
    <row r="5372" spans="1:14" x14ac:dyDescent="0.25">
      <c r="A5372">
        <v>61479953</v>
      </c>
      <c r="B5372" t="s">
        <v>586</v>
      </c>
      <c r="C5372" t="s">
        <v>546</v>
      </c>
      <c r="D5372" t="s">
        <v>11714</v>
      </c>
      <c r="E5372" t="s">
        <v>11715</v>
      </c>
      <c r="F5372" t="s">
        <v>10642</v>
      </c>
      <c r="G5372" t="s">
        <v>10643</v>
      </c>
      <c r="I5372" t="s">
        <v>45</v>
      </c>
      <c r="J5372" s="13">
        <v>46094</v>
      </c>
      <c r="K5372" s="13">
        <v>46113</v>
      </c>
      <c r="L5372" t="s">
        <v>497</v>
      </c>
      <c r="M5372" t="s">
        <v>58</v>
      </c>
      <c r="N5372">
        <v>75997347</v>
      </c>
    </row>
    <row r="5373" spans="1:14" x14ac:dyDescent="0.25">
      <c r="A5373">
        <v>61491156</v>
      </c>
      <c r="B5373" t="s">
        <v>702</v>
      </c>
      <c r="C5373" t="s">
        <v>11716</v>
      </c>
      <c r="D5373" t="s">
        <v>11717</v>
      </c>
      <c r="E5373">
        <v>4802552250</v>
      </c>
      <c r="F5373" t="s">
        <v>1013</v>
      </c>
      <c r="G5373" t="s">
        <v>1014</v>
      </c>
      <c r="I5373" t="s">
        <v>43</v>
      </c>
      <c r="J5373" s="13">
        <v>46094</v>
      </c>
      <c r="K5373" s="13">
        <v>46113</v>
      </c>
      <c r="L5373" t="s">
        <v>1179</v>
      </c>
      <c r="M5373" t="s">
        <v>54</v>
      </c>
      <c r="N5373">
        <v>75997368</v>
      </c>
    </row>
    <row r="5374" spans="1:14" x14ac:dyDescent="0.25">
      <c r="A5374">
        <v>61482531</v>
      </c>
      <c r="B5374" t="s">
        <v>1148</v>
      </c>
      <c r="C5374" t="s">
        <v>6664</v>
      </c>
      <c r="D5374" t="s">
        <v>11718</v>
      </c>
      <c r="E5374">
        <v>6236284481</v>
      </c>
      <c r="F5374" t="s">
        <v>2544</v>
      </c>
      <c r="G5374" t="s">
        <v>4833</v>
      </c>
      <c r="I5374" t="s">
        <v>18</v>
      </c>
      <c r="J5374" s="13">
        <v>46094</v>
      </c>
      <c r="K5374" s="13">
        <v>46113</v>
      </c>
      <c r="L5374" t="s">
        <v>1179</v>
      </c>
      <c r="M5374" t="s">
        <v>54</v>
      </c>
      <c r="N5374">
        <v>75998219</v>
      </c>
    </row>
    <row r="5375" spans="1:14" x14ac:dyDescent="0.25">
      <c r="A5375">
        <v>61495574</v>
      </c>
      <c r="B5375" t="s">
        <v>1952</v>
      </c>
      <c r="C5375" t="s">
        <v>3129</v>
      </c>
      <c r="D5375" s="13">
        <v>22124</v>
      </c>
      <c r="E5375">
        <v>6062881983</v>
      </c>
      <c r="F5375" t="s">
        <v>474</v>
      </c>
      <c r="G5375" t="s">
        <v>475</v>
      </c>
      <c r="I5375" t="s">
        <v>132</v>
      </c>
      <c r="J5375" s="13">
        <v>46094</v>
      </c>
      <c r="K5375" s="13">
        <v>46113</v>
      </c>
      <c r="L5375" t="s">
        <v>490</v>
      </c>
      <c r="M5375" t="s">
        <v>56</v>
      </c>
      <c r="N5375">
        <v>75998245</v>
      </c>
    </row>
    <row r="5376" spans="1:14" x14ac:dyDescent="0.25">
      <c r="A5376">
        <v>61500795</v>
      </c>
      <c r="B5376" t="s">
        <v>521</v>
      </c>
      <c r="C5376" t="s">
        <v>11719</v>
      </c>
      <c r="D5376" t="s">
        <v>11720</v>
      </c>
      <c r="E5376">
        <v>4704734100</v>
      </c>
      <c r="F5376" t="s">
        <v>628</v>
      </c>
      <c r="G5376" t="s">
        <v>629</v>
      </c>
      <c r="I5376" t="s">
        <v>24</v>
      </c>
      <c r="J5376" s="13">
        <v>46094</v>
      </c>
      <c r="K5376" s="13">
        <v>46113</v>
      </c>
      <c r="L5376" t="s">
        <v>621</v>
      </c>
      <c r="M5376" t="s">
        <v>56</v>
      </c>
      <c r="N5376">
        <v>76000376</v>
      </c>
    </row>
    <row r="5377" spans="1:14" x14ac:dyDescent="0.25">
      <c r="A5377">
        <v>61517418</v>
      </c>
      <c r="B5377" t="s">
        <v>3326</v>
      </c>
      <c r="C5377" t="s">
        <v>11721</v>
      </c>
      <c r="D5377" t="s">
        <v>11722</v>
      </c>
      <c r="E5377">
        <v>8643166837</v>
      </c>
      <c r="F5377" t="s">
        <v>815</v>
      </c>
      <c r="G5377" t="s">
        <v>816</v>
      </c>
      <c r="I5377" t="s">
        <v>23</v>
      </c>
      <c r="J5377" s="13">
        <v>46094</v>
      </c>
      <c r="K5377" s="13">
        <v>46113</v>
      </c>
      <c r="L5377" t="s">
        <v>533</v>
      </c>
      <c r="M5377" t="s">
        <v>55</v>
      </c>
      <c r="N5377">
        <v>76002045</v>
      </c>
    </row>
    <row r="5378" spans="1:14" x14ac:dyDescent="0.25">
      <c r="A5378">
        <v>61506887</v>
      </c>
      <c r="B5378" t="s">
        <v>3231</v>
      </c>
      <c r="C5378" t="s">
        <v>1258</v>
      </c>
      <c r="D5378" t="s">
        <v>3232</v>
      </c>
      <c r="E5378">
        <v>4808034642</v>
      </c>
      <c r="F5378" t="s">
        <v>807</v>
      </c>
      <c r="G5378" t="s">
        <v>808</v>
      </c>
      <c r="I5378" t="s">
        <v>33</v>
      </c>
      <c r="J5378" s="13">
        <v>46094</v>
      </c>
      <c r="K5378" s="13">
        <v>46113</v>
      </c>
      <c r="L5378" t="s">
        <v>1179</v>
      </c>
      <c r="M5378" t="s">
        <v>56</v>
      </c>
      <c r="N5378">
        <v>76002993</v>
      </c>
    </row>
    <row r="5379" spans="1:14" x14ac:dyDescent="0.25">
      <c r="A5379">
        <v>61506099</v>
      </c>
      <c r="B5379" t="s">
        <v>495</v>
      </c>
      <c r="C5379" t="s">
        <v>5193</v>
      </c>
      <c r="D5379" t="s">
        <v>11723</v>
      </c>
      <c r="E5379">
        <v>8033124055</v>
      </c>
      <c r="F5379" t="s">
        <v>649</v>
      </c>
      <c r="G5379" t="s">
        <v>650</v>
      </c>
      <c r="I5379" t="s">
        <v>28</v>
      </c>
      <c r="J5379" s="13">
        <v>46094</v>
      </c>
      <c r="K5379" s="13">
        <v>46113</v>
      </c>
      <c r="L5379" t="s">
        <v>533</v>
      </c>
      <c r="M5379" t="s">
        <v>58</v>
      </c>
      <c r="N5379">
        <v>76003490</v>
      </c>
    </row>
    <row r="5380" spans="1:14" x14ac:dyDescent="0.25">
      <c r="A5380">
        <v>61501271</v>
      </c>
      <c r="B5380" t="s">
        <v>994</v>
      </c>
      <c r="C5380" t="s">
        <v>3858</v>
      </c>
      <c r="D5380" t="s">
        <v>11724</v>
      </c>
      <c r="E5380">
        <v>6156135771</v>
      </c>
      <c r="F5380" t="s">
        <v>1067</v>
      </c>
      <c r="G5380" t="s">
        <v>1068</v>
      </c>
      <c r="I5380" t="s">
        <v>35</v>
      </c>
      <c r="J5380" s="13">
        <v>46094</v>
      </c>
      <c r="K5380" s="13">
        <v>46113</v>
      </c>
      <c r="L5380" t="s">
        <v>479</v>
      </c>
      <c r="M5380" t="s">
        <v>58</v>
      </c>
      <c r="N5380">
        <v>76003599</v>
      </c>
    </row>
    <row r="5381" spans="1:14" x14ac:dyDescent="0.25">
      <c r="A5381">
        <v>61507700</v>
      </c>
      <c r="B5381" t="s">
        <v>11725</v>
      </c>
      <c r="C5381" t="s">
        <v>11726</v>
      </c>
      <c r="D5381" t="s">
        <v>11727</v>
      </c>
      <c r="E5381">
        <v>5616724119</v>
      </c>
      <c r="F5381" t="s">
        <v>416</v>
      </c>
      <c r="G5381" t="s">
        <v>417</v>
      </c>
      <c r="I5381" t="s">
        <v>26</v>
      </c>
      <c r="J5381" s="13">
        <v>46094</v>
      </c>
      <c r="K5381" s="13">
        <v>46113</v>
      </c>
      <c r="L5381" t="s">
        <v>497</v>
      </c>
      <c r="M5381" t="s">
        <v>54</v>
      </c>
      <c r="N5381">
        <v>76003600</v>
      </c>
    </row>
    <row r="5382" spans="1:14" x14ac:dyDescent="0.25">
      <c r="A5382">
        <v>61501027</v>
      </c>
      <c r="B5382" t="s">
        <v>11728</v>
      </c>
      <c r="C5382" t="s">
        <v>11729</v>
      </c>
      <c r="D5382" t="s">
        <v>11730</v>
      </c>
      <c r="E5382">
        <v>5206032674</v>
      </c>
      <c r="F5382" t="s">
        <v>780</v>
      </c>
      <c r="G5382" t="s">
        <v>781</v>
      </c>
      <c r="I5382" t="s">
        <v>20</v>
      </c>
      <c r="J5382" s="13">
        <v>46094</v>
      </c>
      <c r="K5382" s="13">
        <v>46113</v>
      </c>
      <c r="L5382" t="s">
        <v>1179</v>
      </c>
      <c r="M5382" t="s">
        <v>54</v>
      </c>
      <c r="N5382">
        <v>76006533</v>
      </c>
    </row>
    <row r="5383" spans="1:14" x14ac:dyDescent="0.25">
      <c r="A5383">
        <v>61502856</v>
      </c>
      <c r="B5383" t="s">
        <v>11731</v>
      </c>
      <c r="C5383" t="s">
        <v>11732</v>
      </c>
      <c r="D5383" t="s">
        <v>11733</v>
      </c>
      <c r="E5383">
        <v>2052279147</v>
      </c>
      <c r="F5383" t="s">
        <v>10460</v>
      </c>
      <c r="G5383" t="s">
        <v>6663</v>
      </c>
      <c r="I5383" t="s">
        <v>40</v>
      </c>
      <c r="J5383" s="13">
        <v>46094</v>
      </c>
      <c r="K5383" s="13">
        <v>46113</v>
      </c>
      <c r="L5383" t="s">
        <v>450</v>
      </c>
      <c r="M5383" t="s">
        <v>59</v>
      </c>
      <c r="N5383">
        <v>76006712</v>
      </c>
    </row>
    <row r="5384" spans="1:14" x14ac:dyDescent="0.25">
      <c r="A5384">
        <v>61509383</v>
      </c>
      <c r="B5384" t="s">
        <v>1041</v>
      </c>
      <c r="C5384" t="s">
        <v>11734</v>
      </c>
      <c r="D5384" t="s">
        <v>11735</v>
      </c>
      <c r="E5384">
        <v>8169152093</v>
      </c>
      <c r="F5384" t="s">
        <v>10253</v>
      </c>
      <c r="G5384" t="s">
        <v>781</v>
      </c>
      <c r="I5384" t="s">
        <v>36</v>
      </c>
      <c r="J5384" s="13">
        <v>46094</v>
      </c>
      <c r="K5384" s="13">
        <v>46113</v>
      </c>
      <c r="L5384" t="s">
        <v>434</v>
      </c>
      <c r="M5384" t="s">
        <v>59</v>
      </c>
      <c r="N5384">
        <v>76008889</v>
      </c>
    </row>
    <row r="5385" spans="1:14" x14ac:dyDescent="0.25">
      <c r="A5385">
        <v>61682994</v>
      </c>
      <c r="B5385" t="s">
        <v>3459</v>
      </c>
      <c r="C5385" t="s">
        <v>2482</v>
      </c>
      <c r="D5385" t="s">
        <v>11736</v>
      </c>
      <c r="E5385">
        <v>2053062104</v>
      </c>
      <c r="F5385" t="s">
        <v>1013</v>
      </c>
      <c r="G5385" t="s">
        <v>1014</v>
      </c>
      <c r="I5385" t="s">
        <v>43</v>
      </c>
      <c r="J5385" s="13">
        <v>46097</v>
      </c>
      <c r="K5385" s="13">
        <v>46113</v>
      </c>
      <c r="L5385" t="s">
        <v>450</v>
      </c>
      <c r="M5385" t="s">
        <v>59</v>
      </c>
      <c r="N5385">
        <v>76019141</v>
      </c>
    </row>
    <row r="5386" spans="1:14" x14ac:dyDescent="0.25">
      <c r="A5386">
        <v>62030023</v>
      </c>
      <c r="B5386" t="s">
        <v>3272</v>
      </c>
      <c r="C5386" t="s">
        <v>11574</v>
      </c>
      <c r="D5386" t="s">
        <v>11737</v>
      </c>
      <c r="E5386" t="s">
        <v>11738</v>
      </c>
      <c r="F5386" t="s">
        <v>10569</v>
      </c>
      <c r="G5386" t="s">
        <v>10570</v>
      </c>
      <c r="I5386" t="s">
        <v>29</v>
      </c>
      <c r="J5386" s="13">
        <v>46101</v>
      </c>
      <c r="K5386" s="13">
        <v>46113</v>
      </c>
      <c r="L5386" t="s">
        <v>1179</v>
      </c>
      <c r="M5386" t="s">
        <v>59</v>
      </c>
      <c r="N5386">
        <v>76019146</v>
      </c>
    </row>
    <row r="5387" spans="1:14" x14ac:dyDescent="0.25">
      <c r="A5387">
        <v>63581551</v>
      </c>
      <c r="B5387" t="s">
        <v>11739</v>
      </c>
      <c r="C5387" t="s">
        <v>11740</v>
      </c>
      <c r="D5387" t="s">
        <v>11741</v>
      </c>
      <c r="E5387">
        <v>7274583276</v>
      </c>
      <c r="F5387" t="s">
        <v>416</v>
      </c>
      <c r="G5387" t="s">
        <v>417</v>
      </c>
      <c r="I5387" t="s">
        <v>26</v>
      </c>
      <c r="J5387" s="13">
        <v>46147</v>
      </c>
      <c r="K5387" s="13">
        <v>46174</v>
      </c>
      <c r="L5387" t="s">
        <v>497</v>
      </c>
      <c r="M5387" t="s">
        <v>54</v>
      </c>
      <c r="N5387">
        <v>76019948</v>
      </c>
    </row>
    <row r="5388" spans="1:14" x14ac:dyDescent="0.25">
      <c r="A5388">
        <v>62356380</v>
      </c>
      <c r="B5388" t="s">
        <v>1228</v>
      </c>
      <c r="C5388" t="s">
        <v>11742</v>
      </c>
      <c r="D5388" t="s">
        <v>11743</v>
      </c>
      <c r="E5388">
        <v>7572022972</v>
      </c>
      <c r="F5388" t="s">
        <v>928</v>
      </c>
      <c r="G5388" t="s">
        <v>929</v>
      </c>
      <c r="I5388" t="s">
        <v>30</v>
      </c>
      <c r="J5388" s="13">
        <v>46111</v>
      </c>
      <c r="K5388" s="13">
        <v>46113</v>
      </c>
      <c r="L5388" t="s">
        <v>454</v>
      </c>
      <c r="M5388" t="s">
        <v>56</v>
      </c>
      <c r="N5388">
        <v>76020008</v>
      </c>
    </row>
    <row r="5389" spans="1:14" x14ac:dyDescent="0.25">
      <c r="A5389">
        <v>63226826</v>
      </c>
      <c r="B5389" t="s">
        <v>1167</v>
      </c>
      <c r="C5389" t="s">
        <v>5651</v>
      </c>
      <c r="D5389" t="s">
        <v>11744</v>
      </c>
      <c r="E5389">
        <v>9542669906</v>
      </c>
      <c r="F5389" t="s">
        <v>11745</v>
      </c>
      <c r="G5389" t="s">
        <v>6544</v>
      </c>
      <c r="I5389" t="s">
        <v>11746</v>
      </c>
      <c r="J5389" s="13">
        <v>46129</v>
      </c>
      <c r="K5389" s="13">
        <v>46143</v>
      </c>
      <c r="L5389" t="s">
        <v>497</v>
      </c>
      <c r="M5389" t="s">
        <v>59</v>
      </c>
      <c r="N5389">
        <v>76020035</v>
      </c>
    </row>
    <row r="5390" spans="1:14" x14ac:dyDescent="0.25">
      <c r="A5390">
        <v>62646457</v>
      </c>
      <c r="B5390" t="s">
        <v>1445</v>
      </c>
      <c r="C5390" t="s">
        <v>6807</v>
      </c>
      <c r="D5390" t="s">
        <v>11747</v>
      </c>
      <c r="E5390" t="s">
        <v>11748</v>
      </c>
      <c r="F5390" t="s">
        <v>688</v>
      </c>
      <c r="G5390" t="s">
        <v>10291</v>
      </c>
      <c r="I5390" t="s">
        <v>48</v>
      </c>
      <c r="J5390" s="13">
        <v>46122</v>
      </c>
      <c r="K5390" s="13">
        <v>46143</v>
      </c>
      <c r="L5390" t="s">
        <v>450</v>
      </c>
      <c r="M5390" t="s">
        <v>59</v>
      </c>
      <c r="N5390">
        <v>76020378</v>
      </c>
    </row>
    <row r="5391" spans="1:14" x14ac:dyDescent="0.25">
      <c r="A5391">
        <v>62599897</v>
      </c>
      <c r="B5391" t="s">
        <v>4305</v>
      </c>
      <c r="C5391" t="s">
        <v>11749</v>
      </c>
      <c r="D5391" t="s">
        <v>11750</v>
      </c>
      <c r="E5391">
        <v>4408501424</v>
      </c>
      <c r="F5391" t="s">
        <v>474</v>
      </c>
      <c r="G5391" t="s">
        <v>475</v>
      </c>
      <c r="I5391" t="s">
        <v>132</v>
      </c>
      <c r="J5391" s="13">
        <v>46121</v>
      </c>
      <c r="K5391" s="13">
        <v>46143</v>
      </c>
      <c r="L5391" t="s">
        <v>418</v>
      </c>
      <c r="M5391" t="s">
        <v>59</v>
      </c>
      <c r="N5391">
        <v>76022297</v>
      </c>
    </row>
    <row r="5392" spans="1:14" x14ac:dyDescent="0.25">
      <c r="A5392">
        <v>63342625</v>
      </c>
      <c r="B5392" t="s">
        <v>1809</v>
      </c>
      <c r="C5392" t="s">
        <v>5040</v>
      </c>
      <c r="D5392" t="s">
        <v>11751</v>
      </c>
      <c r="E5392">
        <v>4196777343</v>
      </c>
      <c r="F5392" t="s">
        <v>574</v>
      </c>
      <c r="G5392" t="s">
        <v>575</v>
      </c>
      <c r="I5392" t="s">
        <v>14</v>
      </c>
      <c r="J5392" s="13">
        <v>46134</v>
      </c>
      <c r="K5392" s="13">
        <v>46143</v>
      </c>
      <c r="L5392" t="s">
        <v>418</v>
      </c>
      <c r="M5392" t="s">
        <v>59</v>
      </c>
      <c r="N5392">
        <v>76022337</v>
      </c>
    </row>
    <row r="5393" spans="1:14" x14ac:dyDescent="0.25">
      <c r="A5393">
        <v>62106135</v>
      </c>
      <c r="B5393" t="s">
        <v>11752</v>
      </c>
      <c r="C5393" t="s">
        <v>515</v>
      </c>
      <c r="D5393" t="s">
        <v>11753</v>
      </c>
      <c r="E5393">
        <v>7028133582</v>
      </c>
      <c r="F5393" t="s">
        <v>928</v>
      </c>
      <c r="G5393" t="s">
        <v>929</v>
      </c>
      <c r="I5393" t="s">
        <v>30</v>
      </c>
      <c r="J5393" s="13">
        <v>46104</v>
      </c>
      <c r="K5393" s="13">
        <v>46113</v>
      </c>
      <c r="L5393" t="s">
        <v>450</v>
      </c>
      <c r="M5393" t="s">
        <v>59</v>
      </c>
      <c r="N5393">
        <v>76022479</v>
      </c>
    </row>
    <row r="5394" spans="1:14" x14ac:dyDescent="0.25">
      <c r="A5394">
        <v>62498208</v>
      </c>
      <c r="B5394" t="s">
        <v>5123</v>
      </c>
      <c r="C5394" t="s">
        <v>4073</v>
      </c>
      <c r="D5394" t="s">
        <v>11754</v>
      </c>
      <c r="E5394">
        <v>7042995512</v>
      </c>
      <c r="F5394" t="s">
        <v>551</v>
      </c>
      <c r="G5394" t="s">
        <v>552</v>
      </c>
      <c r="I5394" t="s">
        <v>42</v>
      </c>
      <c r="J5394" s="13">
        <v>46118</v>
      </c>
      <c r="K5394" s="13">
        <v>46143</v>
      </c>
      <c r="L5394" t="s">
        <v>603</v>
      </c>
      <c r="M5394" t="s">
        <v>58</v>
      </c>
      <c r="N5394">
        <v>76022791</v>
      </c>
    </row>
    <row r="5395" spans="1:14" x14ac:dyDescent="0.25">
      <c r="A5395">
        <v>61675237</v>
      </c>
      <c r="B5395" t="s">
        <v>1047</v>
      </c>
      <c r="C5395" t="s">
        <v>1459</v>
      </c>
      <c r="D5395" t="s">
        <v>11755</v>
      </c>
      <c r="E5395">
        <v>2703635565</v>
      </c>
      <c r="F5395" t="s">
        <v>474</v>
      </c>
      <c r="G5395" t="s">
        <v>475</v>
      </c>
      <c r="I5395" t="s">
        <v>132</v>
      </c>
      <c r="J5395" s="13">
        <v>46097</v>
      </c>
      <c r="K5395" s="13">
        <v>46113</v>
      </c>
      <c r="L5395" t="s">
        <v>490</v>
      </c>
      <c r="M5395" t="s">
        <v>56</v>
      </c>
      <c r="N5395">
        <v>76023911</v>
      </c>
    </row>
    <row r="5396" spans="1:14" x14ac:dyDescent="0.25">
      <c r="A5396">
        <v>61682810</v>
      </c>
      <c r="B5396" t="s">
        <v>1148</v>
      </c>
      <c r="C5396" t="s">
        <v>11756</v>
      </c>
      <c r="D5396" t="s">
        <v>11757</v>
      </c>
      <c r="E5396">
        <v>2762244302</v>
      </c>
      <c r="F5396" t="s">
        <v>10642</v>
      </c>
      <c r="G5396" t="s">
        <v>10643</v>
      </c>
      <c r="I5396" t="s">
        <v>45</v>
      </c>
      <c r="J5396" s="13">
        <v>46097</v>
      </c>
      <c r="K5396" s="13">
        <v>46113</v>
      </c>
      <c r="L5396" t="s">
        <v>454</v>
      </c>
      <c r="M5396" t="s">
        <v>59</v>
      </c>
      <c r="N5396">
        <v>76024993</v>
      </c>
    </row>
    <row r="5397" spans="1:14" x14ac:dyDescent="0.25">
      <c r="A5397">
        <v>63435235</v>
      </c>
      <c r="B5397" t="s">
        <v>1148</v>
      </c>
      <c r="C5397" t="s">
        <v>11758</v>
      </c>
      <c r="D5397" t="s">
        <v>11759</v>
      </c>
      <c r="E5397">
        <v>7723651204</v>
      </c>
      <c r="F5397" t="s">
        <v>10591</v>
      </c>
      <c r="G5397" t="s">
        <v>10215</v>
      </c>
      <c r="I5397" t="s">
        <v>32</v>
      </c>
      <c r="J5397" s="13">
        <v>46140</v>
      </c>
      <c r="K5397" s="13">
        <v>46143</v>
      </c>
      <c r="L5397" t="s">
        <v>497</v>
      </c>
      <c r="M5397" t="s">
        <v>54</v>
      </c>
      <c r="N5397">
        <v>76025003</v>
      </c>
    </row>
    <row r="5398" spans="1:14" x14ac:dyDescent="0.25">
      <c r="A5398">
        <v>63424602</v>
      </c>
      <c r="B5398" t="s">
        <v>11760</v>
      </c>
      <c r="C5398" t="s">
        <v>3895</v>
      </c>
      <c r="D5398" t="s">
        <v>11761</v>
      </c>
      <c r="E5398">
        <v>6024894790</v>
      </c>
      <c r="F5398" t="s">
        <v>11745</v>
      </c>
      <c r="G5398" t="s">
        <v>6544</v>
      </c>
      <c r="I5398" t="s">
        <v>11746</v>
      </c>
      <c r="J5398" s="13">
        <v>46139</v>
      </c>
      <c r="K5398" s="13">
        <v>46143</v>
      </c>
      <c r="L5398" t="s">
        <v>1179</v>
      </c>
      <c r="M5398" t="s">
        <v>54</v>
      </c>
      <c r="N5398">
        <v>76025480</v>
      </c>
    </row>
    <row r="5399" spans="1:14" x14ac:dyDescent="0.25">
      <c r="A5399">
        <v>62543142</v>
      </c>
      <c r="B5399" t="s">
        <v>4405</v>
      </c>
      <c r="C5399" t="s">
        <v>11762</v>
      </c>
      <c r="D5399" t="s">
        <v>11763</v>
      </c>
      <c r="E5399">
        <v>5059008158</v>
      </c>
      <c r="F5399" t="s">
        <v>770</v>
      </c>
      <c r="G5399" t="s">
        <v>771</v>
      </c>
      <c r="I5399" t="s">
        <v>25</v>
      </c>
      <c r="J5399" s="13">
        <v>46120</v>
      </c>
      <c r="K5399" s="13">
        <v>46143</v>
      </c>
      <c r="L5399" t="s">
        <v>1179</v>
      </c>
      <c r="M5399" t="s">
        <v>54</v>
      </c>
      <c r="N5399">
        <v>76025812</v>
      </c>
    </row>
    <row r="5400" spans="1:14" x14ac:dyDescent="0.25">
      <c r="A5400">
        <v>63202864</v>
      </c>
      <c r="B5400" t="s">
        <v>11764</v>
      </c>
      <c r="C5400" t="s">
        <v>11765</v>
      </c>
      <c r="D5400" t="s">
        <v>11766</v>
      </c>
      <c r="E5400">
        <v>5205650761</v>
      </c>
      <c r="F5400" t="s">
        <v>770</v>
      </c>
      <c r="G5400" t="s">
        <v>771</v>
      </c>
      <c r="I5400" t="s">
        <v>25</v>
      </c>
      <c r="J5400" s="13">
        <v>46128</v>
      </c>
      <c r="K5400" s="13">
        <v>46143</v>
      </c>
      <c r="L5400" t="s">
        <v>1179</v>
      </c>
      <c r="M5400" t="s">
        <v>54</v>
      </c>
      <c r="N5400">
        <v>76025830</v>
      </c>
    </row>
    <row r="5401" spans="1:14" x14ac:dyDescent="0.25">
      <c r="A5401">
        <v>62401363</v>
      </c>
      <c r="B5401" t="s">
        <v>11767</v>
      </c>
      <c r="C5401" t="s">
        <v>11768</v>
      </c>
      <c r="D5401" t="s">
        <v>11769</v>
      </c>
      <c r="E5401">
        <v>6025876870</v>
      </c>
      <c r="F5401" t="s">
        <v>416</v>
      </c>
      <c r="G5401" t="s">
        <v>417</v>
      </c>
      <c r="I5401" t="s">
        <v>26</v>
      </c>
      <c r="J5401" s="13">
        <v>46112</v>
      </c>
      <c r="K5401" s="13">
        <v>46113</v>
      </c>
      <c r="L5401" t="s">
        <v>1179</v>
      </c>
      <c r="M5401" t="s">
        <v>56</v>
      </c>
      <c r="N5401">
        <v>76026609</v>
      </c>
    </row>
    <row r="5402" spans="1:14" x14ac:dyDescent="0.25">
      <c r="A5402">
        <v>62931692</v>
      </c>
      <c r="B5402" t="s">
        <v>586</v>
      </c>
      <c r="C5402" t="s">
        <v>11770</v>
      </c>
      <c r="D5402" t="s">
        <v>11771</v>
      </c>
      <c r="E5402">
        <v>9287976972</v>
      </c>
      <c r="F5402" t="s">
        <v>10569</v>
      </c>
      <c r="G5402" t="s">
        <v>10570</v>
      </c>
      <c r="I5402" t="s">
        <v>29</v>
      </c>
      <c r="J5402" s="13">
        <v>46126</v>
      </c>
      <c r="K5402" s="13">
        <v>46143</v>
      </c>
      <c r="M5402" t="s">
        <v>54</v>
      </c>
      <c r="N5402">
        <v>76027545</v>
      </c>
    </row>
    <row r="5403" spans="1:14" x14ac:dyDescent="0.25">
      <c r="A5403">
        <v>63227139</v>
      </c>
      <c r="B5403" t="s">
        <v>11772</v>
      </c>
      <c r="C5403" t="s">
        <v>11773</v>
      </c>
      <c r="D5403" t="s">
        <v>11774</v>
      </c>
      <c r="E5403">
        <v>7542698281</v>
      </c>
      <c r="F5403" t="s">
        <v>10591</v>
      </c>
      <c r="G5403" t="s">
        <v>10215</v>
      </c>
      <c r="I5403" t="s">
        <v>32</v>
      </c>
      <c r="J5403" s="13">
        <v>46129</v>
      </c>
      <c r="K5403" s="13">
        <v>46143</v>
      </c>
      <c r="L5403" t="s">
        <v>497</v>
      </c>
      <c r="M5403" t="s">
        <v>59</v>
      </c>
      <c r="N5403">
        <v>76027738</v>
      </c>
    </row>
    <row r="5404" spans="1:14" x14ac:dyDescent="0.25">
      <c r="A5404">
        <v>62403228</v>
      </c>
      <c r="B5404" t="s">
        <v>6900</v>
      </c>
      <c r="C5404" t="s">
        <v>11775</v>
      </c>
      <c r="E5404">
        <v>7192408698</v>
      </c>
      <c r="F5404" t="s">
        <v>11776</v>
      </c>
      <c r="G5404" t="s">
        <v>3895</v>
      </c>
      <c r="H5404" t="s">
        <v>11777</v>
      </c>
      <c r="I5404" t="s">
        <v>11778</v>
      </c>
      <c r="J5404" s="13">
        <v>46112</v>
      </c>
      <c r="K5404" s="13">
        <v>46113</v>
      </c>
      <c r="L5404" t="s">
        <v>539</v>
      </c>
      <c r="M5404" t="s">
        <v>59</v>
      </c>
      <c r="N5404">
        <v>76027890</v>
      </c>
    </row>
    <row r="5405" spans="1:14" x14ac:dyDescent="0.25">
      <c r="A5405">
        <v>61888732</v>
      </c>
      <c r="B5405" t="s">
        <v>5666</v>
      </c>
      <c r="C5405" t="s">
        <v>11779</v>
      </c>
      <c r="D5405" t="s">
        <v>11780</v>
      </c>
      <c r="E5405">
        <v>4802458596</v>
      </c>
      <c r="F5405" t="s">
        <v>815</v>
      </c>
      <c r="G5405" t="s">
        <v>816</v>
      </c>
      <c r="I5405" t="s">
        <v>23</v>
      </c>
      <c r="J5405" s="13">
        <v>46099</v>
      </c>
      <c r="K5405" s="13">
        <v>46113</v>
      </c>
      <c r="L5405" t="s">
        <v>1179</v>
      </c>
      <c r="M5405" t="s">
        <v>54</v>
      </c>
      <c r="N5405">
        <v>76027931</v>
      </c>
    </row>
    <row r="5406" spans="1:14" x14ac:dyDescent="0.25">
      <c r="A5406">
        <v>63413415</v>
      </c>
      <c r="B5406" t="s">
        <v>2614</v>
      </c>
      <c r="C5406" t="s">
        <v>11781</v>
      </c>
      <c r="D5406" t="s">
        <v>11782</v>
      </c>
      <c r="E5406">
        <v>4805617393</v>
      </c>
      <c r="F5406" t="s">
        <v>780</v>
      </c>
      <c r="G5406" t="s">
        <v>781</v>
      </c>
      <c r="I5406" t="s">
        <v>20</v>
      </c>
      <c r="J5406" s="13">
        <v>46139</v>
      </c>
      <c r="K5406" s="13">
        <v>46143</v>
      </c>
      <c r="L5406" t="s">
        <v>1179</v>
      </c>
      <c r="M5406" t="s">
        <v>59</v>
      </c>
      <c r="N5406">
        <v>76028040</v>
      </c>
    </row>
    <row r="5407" spans="1:14" x14ac:dyDescent="0.25">
      <c r="A5407">
        <v>62397668</v>
      </c>
      <c r="B5407" t="s">
        <v>498</v>
      </c>
      <c r="C5407" t="s">
        <v>1258</v>
      </c>
      <c r="D5407" t="s">
        <v>11783</v>
      </c>
      <c r="E5407">
        <v>7272733412</v>
      </c>
      <c r="F5407" t="s">
        <v>775</v>
      </c>
      <c r="G5407" t="s">
        <v>776</v>
      </c>
      <c r="I5407" t="s">
        <v>22</v>
      </c>
      <c r="J5407" s="13">
        <v>46112</v>
      </c>
      <c r="K5407" s="13">
        <v>46113</v>
      </c>
      <c r="L5407" t="s">
        <v>497</v>
      </c>
      <c r="M5407" t="s">
        <v>61</v>
      </c>
      <c r="N5407">
        <v>76028169</v>
      </c>
    </row>
    <row r="5408" spans="1:14" x14ac:dyDescent="0.25">
      <c r="A5408">
        <v>63341924</v>
      </c>
      <c r="B5408" t="s">
        <v>1872</v>
      </c>
      <c r="C5408" t="s">
        <v>1203</v>
      </c>
      <c r="D5408" t="s">
        <v>11784</v>
      </c>
      <c r="E5408" t="s">
        <v>11785</v>
      </c>
      <c r="F5408" t="s">
        <v>1612</v>
      </c>
      <c r="G5408" t="s">
        <v>4811</v>
      </c>
      <c r="I5408" t="s">
        <v>322</v>
      </c>
      <c r="J5408" s="13">
        <v>46134</v>
      </c>
      <c r="K5408" s="13">
        <v>46143</v>
      </c>
      <c r="L5408" t="s">
        <v>418</v>
      </c>
      <c r="M5408" t="s">
        <v>58</v>
      </c>
      <c r="N5408">
        <v>76028231</v>
      </c>
    </row>
    <row r="5409" spans="1:14" x14ac:dyDescent="0.25">
      <c r="A5409">
        <v>62132129</v>
      </c>
      <c r="B5409" t="s">
        <v>879</v>
      </c>
      <c r="C5409" t="s">
        <v>10560</v>
      </c>
      <c r="D5409" t="s">
        <v>11786</v>
      </c>
      <c r="E5409">
        <v>6234194289</v>
      </c>
      <c r="F5409" t="s">
        <v>569</v>
      </c>
      <c r="G5409" t="s">
        <v>570</v>
      </c>
      <c r="I5409" t="s">
        <v>34</v>
      </c>
      <c r="J5409" s="13">
        <v>46104</v>
      </c>
      <c r="K5409" s="13">
        <v>46113</v>
      </c>
      <c r="L5409" t="s">
        <v>1179</v>
      </c>
      <c r="M5409" t="s">
        <v>54</v>
      </c>
      <c r="N5409">
        <v>76028278</v>
      </c>
    </row>
    <row r="5410" spans="1:14" x14ac:dyDescent="0.25">
      <c r="A5410">
        <v>62604027</v>
      </c>
      <c r="B5410" t="s">
        <v>11787</v>
      </c>
      <c r="C5410" t="s">
        <v>11788</v>
      </c>
      <c r="D5410" t="s">
        <v>11789</v>
      </c>
      <c r="E5410">
        <v>3142675134</v>
      </c>
      <c r="F5410" t="s">
        <v>10642</v>
      </c>
      <c r="G5410" t="s">
        <v>10643</v>
      </c>
      <c r="I5410" t="s">
        <v>45</v>
      </c>
      <c r="J5410" s="13">
        <v>46121</v>
      </c>
      <c r="K5410" s="13">
        <v>46143</v>
      </c>
      <c r="L5410" t="s">
        <v>434</v>
      </c>
      <c r="M5410" t="s">
        <v>58</v>
      </c>
      <c r="N5410">
        <v>76028570</v>
      </c>
    </row>
    <row r="5411" spans="1:14" x14ac:dyDescent="0.25">
      <c r="A5411">
        <v>63635894</v>
      </c>
      <c r="B5411" t="s">
        <v>929</v>
      </c>
      <c r="C5411" t="s">
        <v>11790</v>
      </c>
      <c r="D5411" t="s">
        <v>11791</v>
      </c>
      <c r="E5411">
        <v>5732592142</v>
      </c>
      <c r="F5411" t="s">
        <v>569</v>
      </c>
      <c r="G5411" t="s">
        <v>570</v>
      </c>
      <c r="I5411" t="s">
        <v>34</v>
      </c>
      <c r="J5411" s="13">
        <v>46149</v>
      </c>
      <c r="K5411" s="13">
        <v>46174</v>
      </c>
      <c r="L5411" t="s">
        <v>434</v>
      </c>
      <c r="M5411" t="s">
        <v>56</v>
      </c>
      <c r="N5411">
        <v>76028597</v>
      </c>
    </row>
    <row r="5412" spans="1:14" x14ac:dyDescent="0.25">
      <c r="A5412">
        <v>62961235</v>
      </c>
      <c r="B5412" t="s">
        <v>1245</v>
      </c>
      <c r="C5412" t="s">
        <v>11792</v>
      </c>
      <c r="D5412" t="s">
        <v>11793</v>
      </c>
      <c r="E5412">
        <v>9544792979</v>
      </c>
      <c r="F5412" t="s">
        <v>416</v>
      </c>
      <c r="G5412" t="s">
        <v>417</v>
      </c>
      <c r="I5412" t="s">
        <v>26</v>
      </c>
      <c r="J5412" s="13">
        <v>46126</v>
      </c>
      <c r="K5412" s="13">
        <v>46143</v>
      </c>
      <c r="L5412" t="s">
        <v>497</v>
      </c>
      <c r="M5412" t="s">
        <v>59</v>
      </c>
      <c r="N5412">
        <v>76028794</v>
      </c>
    </row>
    <row r="5413" spans="1:14" x14ac:dyDescent="0.25">
      <c r="A5413">
        <v>62528683</v>
      </c>
      <c r="B5413" t="s">
        <v>3795</v>
      </c>
      <c r="C5413" t="s">
        <v>7293</v>
      </c>
      <c r="D5413" t="s">
        <v>11794</v>
      </c>
      <c r="E5413" t="s">
        <v>11795</v>
      </c>
      <c r="F5413" t="s">
        <v>649</v>
      </c>
      <c r="G5413" t="s">
        <v>650</v>
      </c>
      <c r="I5413" t="s">
        <v>28</v>
      </c>
      <c r="J5413" s="13">
        <v>46120</v>
      </c>
      <c r="K5413" s="13">
        <v>46143</v>
      </c>
      <c r="L5413" t="s">
        <v>479</v>
      </c>
      <c r="M5413" t="s">
        <v>55</v>
      </c>
      <c r="N5413">
        <v>76029022</v>
      </c>
    </row>
    <row r="5414" spans="1:14" x14ac:dyDescent="0.25">
      <c r="A5414">
        <v>62931462</v>
      </c>
      <c r="B5414" t="s">
        <v>11796</v>
      </c>
      <c r="C5414" t="s">
        <v>1393</v>
      </c>
      <c r="D5414" t="s">
        <v>11797</v>
      </c>
      <c r="E5414">
        <v>7734911054</v>
      </c>
      <c r="F5414" t="s">
        <v>474</v>
      </c>
      <c r="G5414" t="s">
        <v>475</v>
      </c>
      <c r="I5414" t="s">
        <v>132</v>
      </c>
      <c r="J5414" s="13">
        <v>46126</v>
      </c>
      <c r="K5414" s="13">
        <v>46143</v>
      </c>
      <c r="L5414" t="s">
        <v>470</v>
      </c>
      <c r="M5414" t="s">
        <v>62</v>
      </c>
      <c r="N5414">
        <v>76029343</v>
      </c>
    </row>
    <row r="5415" spans="1:14" x14ac:dyDescent="0.25">
      <c r="A5415">
        <v>62627791</v>
      </c>
      <c r="B5415" t="s">
        <v>1773</v>
      </c>
      <c r="C5415" t="s">
        <v>11798</v>
      </c>
      <c r="D5415" t="s">
        <v>11799</v>
      </c>
      <c r="E5415">
        <v>9282412204</v>
      </c>
      <c r="F5415" t="s">
        <v>1345</v>
      </c>
      <c r="G5415" t="s">
        <v>799</v>
      </c>
      <c r="I5415" t="s">
        <v>47</v>
      </c>
      <c r="J5415" s="13">
        <v>46122</v>
      </c>
      <c r="K5415" s="13">
        <v>46143</v>
      </c>
      <c r="L5415" t="s">
        <v>1179</v>
      </c>
      <c r="M5415" t="s">
        <v>54</v>
      </c>
      <c r="N5415">
        <v>76029460</v>
      </c>
    </row>
    <row r="5416" spans="1:14" x14ac:dyDescent="0.25">
      <c r="A5416">
        <v>63299087</v>
      </c>
      <c r="B5416" t="s">
        <v>1237</v>
      </c>
      <c r="C5416" t="s">
        <v>11800</v>
      </c>
      <c r="D5416" t="s">
        <v>11801</v>
      </c>
      <c r="E5416">
        <v>9049301944</v>
      </c>
      <c r="F5416" t="s">
        <v>1345</v>
      </c>
      <c r="G5416" t="s">
        <v>799</v>
      </c>
      <c r="I5416" t="s">
        <v>47</v>
      </c>
      <c r="J5416" s="13">
        <v>46132</v>
      </c>
      <c r="K5416" s="13">
        <v>46143</v>
      </c>
      <c r="L5416" t="s">
        <v>497</v>
      </c>
      <c r="M5416" t="s">
        <v>54</v>
      </c>
      <c r="N5416">
        <v>76029501</v>
      </c>
    </row>
    <row r="5417" spans="1:14" x14ac:dyDescent="0.25">
      <c r="A5417">
        <v>61941409</v>
      </c>
      <c r="B5417" t="s">
        <v>1148</v>
      </c>
      <c r="C5417" t="s">
        <v>11802</v>
      </c>
      <c r="D5417" t="s">
        <v>11803</v>
      </c>
      <c r="E5417">
        <v>5207572613</v>
      </c>
      <c r="F5417" t="s">
        <v>2544</v>
      </c>
      <c r="G5417" t="s">
        <v>4833</v>
      </c>
      <c r="I5417" t="s">
        <v>18</v>
      </c>
      <c r="J5417" s="13">
        <v>46090</v>
      </c>
      <c r="K5417" s="13">
        <v>46113</v>
      </c>
      <c r="L5417" t="s">
        <v>1179</v>
      </c>
      <c r="M5417" t="s">
        <v>55</v>
      </c>
      <c r="N5417">
        <v>76029646</v>
      </c>
    </row>
    <row r="5418" spans="1:14" x14ac:dyDescent="0.25">
      <c r="A5418">
        <v>61800188</v>
      </c>
      <c r="B5418" t="s">
        <v>501</v>
      </c>
      <c r="C5418" t="s">
        <v>11804</v>
      </c>
      <c r="D5418" t="s">
        <v>11805</v>
      </c>
      <c r="E5418">
        <v>7728287802</v>
      </c>
      <c r="F5418" t="s">
        <v>815</v>
      </c>
      <c r="G5418" t="s">
        <v>816</v>
      </c>
      <c r="I5418" t="s">
        <v>23</v>
      </c>
      <c r="J5418" s="13">
        <v>46098</v>
      </c>
      <c r="K5418" s="13">
        <v>46113</v>
      </c>
      <c r="L5418" t="s">
        <v>497</v>
      </c>
      <c r="M5418" t="s">
        <v>54</v>
      </c>
      <c r="N5418">
        <v>76030174</v>
      </c>
    </row>
    <row r="5419" spans="1:14" x14ac:dyDescent="0.25">
      <c r="A5419">
        <v>62402744</v>
      </c>
      <c r="B5419" t="s">
        <v>2442</v>
      </c>
      <c r="C5419" t="s">
        <v>11806</v>
      </c>
      <c r="D5419" t="s">
        <v>11807</v>
      </c>
      <c r="E5419">
        <v>4806885765</v>
      </c>
      <c r="F5419" t="s">
        <v>775</v>
      </c>
      <c r="G5419" t="s">
        <v>776</v>
      </c>
      <c r="I5419" t="s">
        <v>22</v>
      </c>
      <c r="J5419" s="13">
        <v>46112</v>
      </c>
      <c r="K5419" s="13">
        <v>46113</v>
      </c>
      <c r="L5419" t="s">
        <v>1179</v>
      </c>
      <c r="M5419" t="s">
        <v>54</v>
      </c>
      <c r="N5419">
        <v>76031492</v>
      </c>
    </row>
    <row r="5420" spans="1:14" x14ac:dyDescent="0.25">
      <c r="A5420">
        <v>61667398</v>
      </c>
      <c r="B5420" t="s">
        <v>827</v>
      </c>
      <c r="C5420" t="s">
        <v>8215</v>
      </c>
      <c r="D5420" t="s">
        <v>11808</v>
      </c>
      <c r="E5420">
        <v>6023733866</v>
      </c>
      <c r="F5420" t="s">
        <v>474</v>
      </c>
      <c r="G5420" t="s">
        <v>475</v>
      </c>
      <c r="I5420" t="s">
        <v>132</v>
      </c>
      <c r="J5420" s="13">
        <v>46097</v>
      </c>
      <c r="K5420" s="13">
        <v>46113</v>
      </c>
      <c r="L5420" t="s">
        <v>418</v>
      </c>
      <c r="M5420" t="s">
        <v>56</v>
      </c>
      <c r="N5420">
        <v>76031524</v>
      </c>
    </row>
    <row r="5421" spans="1:14" x14ac:dyDescent="0.25">
      <c r="A5421">
        <v>63360230</v>
      </c>
      <c r="B5421" t="s">
        <v>11809</v>
      </c>
      <c r="C5421" t="s">
        <v>11810</v>
      </c>
      <c r="D5421" t="s">
        <v>11811</v>
      </c>
      <c r="E5421">
        <v>9044445544</v>
      </c>
      <c r="F5421" t="s">
        <v>416</v>
      </c>
      <c r="G5421" t="s">
        <v>417</v>
      </c>
      <c r="I5421" t="s">
        <v>26</v>
      </c>
      <c r="J5421" s="13">
        <v>46135</v>
      </c>
      <c r="K5421" s="13">
        <v>46143</v>
      </c>
      <c r="L5421" t="s">
        <v>497</v>
      </c>
      <c r="M5421" t="s">
        <v>59</v>
      </c>
      <c r="N5421">
        <v>76031905</v>
      </c>
    </row>
    <row r="5422" spans="1:14" x14ac:dyDescent="0.25">
      <c r="A5422">
        <v>61875733</v>
      </c>
      <c r="B5422" t="s">
        <v>11812</v>
      </c>
      <c r="C5422" t="s">
        <v>1300</v>
      </c>
      <c r="D5422" t="s">
        <v>11813</v>
      </c>
      <c r="E5422">
        <v>8507603618</v>
      </c>
      <c r="F5422" t="s">
        <v>828</v>
      </c>
      <c r="G5422" t="s">
        <v>1148</v>
      </c>
      <c r="I5422" t="s">
        <v>17</v>
      </c>
      <c r="J5422" s="13">
        <v>46099</v>
      </c>
      <c r="K5422" s="13">
        <v>46113</v>
      </c>
      <c r="L5422" t="s">
        <v>497</v>
      </c>
      <c r="M5422" t="s">
        <v>58</v>
      </c>
      <c r="N5422">
        <v>76032589</v>
      </c>
    </row>
    <row r="5423" spans="1:14" x14ac:dyDescent="0.25">
      <c r="A5423">
        <v>62009722</v>
      </c>
      <c r="B5423" t="s">
        <v>8044</v>
      </c>
      <c r="C5423" t="s">
        <v>11814</v>
      </c>
      <c r="D5423" t="s">
        <v>11815</v>
      </c>
      <c r="E5423">
        <v>7274810420</v>
      </c>
      <c r="F5423" t="s">
        <v>807</v>
      </c>
      <c r="G5423" t="s">
        <v>808</v>
      </c>
      <c r="I5423" t="s">
        <v>33</v>
      </c>
      <c r="J5423" s="13">
        <v>46101</v>
      </c>
      <c r="K5423" s="13">
        <v>46113</v>
      </c>
      <c r="L5423" t="s">
        <v>497</v>
      </c>
      <c r="M5423" t="s">
        <v>56</v>
      </c>
      <c r="N5423">
        <v>76032691</v>
      </c>
    </row>
    <row r="5424" spans="1:14" x14ac:dyDescent="0.25">
      <c r="A5424">
        <v>62361843</v>
      </c>
      <c r="B5424" t="s">
        <v>2972</v>
      </c>
      <c r="C5424" t="s">
        <v>11816</v>
      </c>
      <c r="D5424" t="s">
        <v>11817</v>
      </c>
      <c r="E5424">
        <v>8135802182</v>
      </c>
      <c r="F5424" t="s">
        <v>780</v>
      </c>
      <c r="G5424" t="s">
        <v>781</v>
      </c>
      <c r="I5424" t="s">
        <v>20</v>
      </c>
      <c r="J5424" s="13">
        <v>46111</v>
      </c>
      <c r="K5424" s="13">
        <v>46113</v>
      </c>
      <c r="L5424" t="s">
        <v>497</v>
      </c>
      <c r="M5424" t="s">
        <v>56</v>
      </c>
      <c r="N5424">
        <v>76032904</v>
      </c>
    </row>
    <row r="5425" spans="1:14" x14ac:dyDescent="0.25">
      <c r="A5425">
        <v>63203156</v>
      </c>
      <c r="B5425" t="s">
        <v>1148</v>
      </c>
      <c r="C5425" t="s">
        <v>11818</v>
      </c>
      <c r="D5425" t="s">
        <v>11819</v>
      </c>
      <c r="E5425">
        <v>9282151174</v>
      </c>
      <c r="F5425" t="s">
        <v>780</v>
      </c>
      <c r="G5425" t="s">
        <v>781</v>
      </c>
      <c r="I5425" t="s">
        <v>20</v>
      </c>
      <c r="J5425" s="13">
        <v>46128</v>
      </c>
      <c r="K5425" s="13">
        <v>46143</v>
      </c>
      <c r="L5425" t="s">
        <v>1179</v>
      </c>
      <c r="M5425" t="s">
        <v>54</v>
      </c>
      <c r="N5425">
        <v>76032934</v>
      </c>
    </row>
    <row r="5426" spans="1:14" x14ac:dyDescent="0.25">
      <c r="A5426">
        <v>62363821</v>
      </c>
      <c r="B5426" t="s">
        <v>2920</v>
      </c>
      <c r="C5426" t="s">
        <v>2409</v>
      </c>
      <c r="D5426" t="s">
        <v>11820</v>
      </c>
      <c r="E5426">
        <v>6232247860</v>
      </c>
      <c r="F5426" t="s">
        <v>1345</v>
      </c>
      <c r="G5426" t="s">
        <v>799</v>
      </c>
      <c r="I5426" t="s">
        <v>47</v>
      </c>
      <c r="J5426" s="13">
        <v>46111</v>
      </c>
      <c r="K5426" s="13">
        <v>46113</v>
      </c>
      <c r="L5426" t="s">
        <v>1179</v>
      </c>
      <c r="M5426" t="s">
        <v>56</v>
      </c>
      <c r="N5426">
        <v>76033141</v>
      </c>
    </row>
    <row r="5427" spans="1:14" x14ac:dyDescent="0.25">
      <c r="A5427">
        <v>61625044</v>
      </c>
      <c r="B5427" t="s">
        <v>4458</v>
      </c>
      <c r="C5427" t="s">
        <v>10565</v>
      </c>
      <c r="D5427" t="s">
        <v>11821</v>
      </c>
      <c r="E5427">
        <v>4642041335</v>
      </c>
      <c r="F5427" t="s">
        <v>574</v>
      </c>
      <c r="G5427" t="s">
        <v>575</v>
      </c>
      <c r="I5427" t="s">
        <v>14</v>
      </c>
      <c r="J5427" s="13">
        <v>46045</v>
      </c>
      <c r="K5427" s="13">
        <v>46054</v>
      </c>
      <c r="L5427" t="s">
        <v>470</v>
      </c>
      <c r="M5427" t="s">
        <v>60</v>
      </c>
      <c r="N5427">
        <v>76033317</v>
      </c>
    </row>
    <row r="5428" spans="1:14" x14ac:dyDescent="0.25">
      <c r="A5428">
        <v>62008702</v>
      </c>
      <c r="B5428" t="s">
        <v>10297</v>
      </c>
      <c r="C5428" t="s">
        <v>2482</v>
      </c>
      <c r="D5428" t="s">
        <v>11822</v>
      </c>
      <c r="E5428" t="s">
        <v>11823</v>
      </c>
      <c r="F5428" t="s">
        <v>649</v>
      </c>
      <c r="G5428" t="s">
        <v>650</v>
      </c>
      <c r="I5428" t="s">
        <v>28</v>
      </c>
      <c r="J5428" s="13">
        <v>46101</v>
      </c>
      <c r="K5428" s="13">
        <v>46113</v>
      </c>
      <c r="L5428" t="s">
        <v>434</v>
      </c>
      <c r="M5428" t="s">
        <v>59</v>
      </c>
      <c r="N5428">
        <v>76033670</v>
      </c>
    </row>
    <row r="5429" spans="1:14" x14ac:dyDescent="0.25">
      <c r="A5429">
        <v>62368169</v>
      </c>
      <c r="B5429" t="s">
        <v>458</v>
      </c>
      <c r="C5429" t="s">
        <v>11824</v>
      </c>
      <c r="D5429" t="s">
        <v>11825</v>
      </c>
      <c r="E5429">
        <v>4404941863</v>
      </c>
      <c r="F5429" t="s">
        <v>448</v>
      </c>
      <c r="G5429" t="s">
        <v>449</v>
      </c>
      <c r="I5429" t="s">
        <v>31</v>
      </c>
      <c r="J5429" s="13">
        <v>46111</v>
      </c>
      <c r="K5429" s="13">
        <v>46113</v>
      </c>
      <c r="L5429" t="s">
        <v>418</v>
      </c>
      <c r="M5429" t="s">
        <v>58</v>
      </c>
      <c r="N5429">
        <v>76033878</v>
      </c>
    </row>
    <row r="5430" spans="1:14" x14ac:dyDescent="0.25">
      <c r="A5430">
        <v>62319646</v>
      </c>
      <c r="B5430" t="s">
        <v>517</v>
      </c>
      <c r="C5430" t="s">
        <v>788</v>
      </c>
      <c r="D5430" t="s">
        <v>11826</v>
      </c>
      <c r="E5430">
        <v>4197739197</v>
      </c>
      <c r="F5430" t="s">
        <v>649</v>
      </c>
      <c r="G5430" t="s">
        <v>650</v>
      </c>
      <c r="I5430" t="s">
        <v>28</v>
      </c>
      <c r="J5430" s="13">
        <v>46107</v>
      </c>
      <c r="K5430" s="13">
        <v>46113</v>
      </c>
      <c r="L5430" t="s">
        <v>418</v>
      </c>
      <c r="M5430" t="s">
        <v>60</v>
      </c>
      <c r="N5430">
        <v>76034005</v>
      </c>
    </row>
    <row r="5431" spans="1:14" x14ac:dyDescent="0.25">
      <c r="A5431">
        <v>61764963</v>
      </c>
      <c r="B5431" t="s">
        <v>11827</v>
      </c>
      <c r="C5431" t="s">
        <v>1287</v>
      </c>
      <c r="D5431" t="s">
        <v>11828</v>
      </c>
      <c r="E5431">
        <v>5204143338</v>
      </c>
      <c r="F5431" t="s">
        <v>775</v>
      </c>
      <c r="G5431" t="s">
        <v>776</v>
      </c>
      <c r="I5431" t="s">
        <v>22</v>
      </c>
      <c r="J5431" s="13">
        <v>46098</v>
      </c>
      <c r="K5431" s="13">
        <v>46113</v>
      </c>
      <c r="L5431" t="s">
        <v>1179</v>
      </c>
      <c r="M5431" t="s">
        <v>54</v>
      </c>
      <c r="N5431">
        <v>76035465</v>
      </c>
    </row>
    <row r="5432" spans="1:14" x14ac:dyDescent="0.25">
      <c r="A5432">
        <v>63204406</v>
      </c>
      <c r="B5432" t="s">
        <v>2263</v>
      </c>
      <c r="C5432" t="s">
        <v>11829</v>
      </c>
      <c r="D5432" t="s">
        <v>11830</v>
      </c>
      <c r="E5432">
        <v>7634006180</v>
      </c>
      <c r="F5432" t="s">
        <v>1345</v>
      </c>
      <c r="G5432" t="s">
        <v>799</v>
      </c>
      <c r="I5432" t="s">
        <v>47</v>
      </c>
      <c r="J5432" s="13">
        <v>46128</v>
      </c>
      <c r="K5432" s="13">
        <v>46143</v>
      </c>
      <c r="L5432" t="s">
        <v>1179</v>
      </c>
      <c r="M5432" t="s">
        <v>56</v>
      </c>
      <c r="N5432">
        <v>76035728</v>
      </c>
    </row>
    <row r="5433" spans="1:14" x14ac:dyDescent="0.25">
      <c r="A5433">
        <v>61627048</v>
      </c>
      <c r="B5433" t="s">
        <v>3610</v>
      </c>
      <c r="C5433" t="s">
        <v>10269</v>
      </c>
      <c r="E5433">
        <v>9288647170</v>
      </c>
      <c r="F5433" t="s">
        <v>807</v>
      </c>
      <c r="G5433" t="s">
        <v>808</v>
      </c>
      <c r="I5433" t="s">
        <v>33</v>
      </c>
      <c r="J5433" s="13">
        <v>46036</v>
      </c>
      <c r="K5433" s="13">
        <v>46054</v>
      </c>
      <c r="L5433" t="s">
        <v>1179</v>
      </c>
      <c r="M5433" t="s">
        <v>59</v>
      </c>
      <c r="N5433">
        <v>76036058</v>
      </c>
    </row>
    <row r="5434" spans="1:14" x14ac:dyDescent="0.25">
      <c r="A5434">
        <v>62601386</v>
      </c>
      <c r="B5434" t="s">
        <v>445</v>
      </c>
      <c r="C5434" t="s">
        <v>11831</v>
      </c>
      <c r="D5434" t="s">
        <v>11832</v>
      </c>
      <c r="E5434">
        <v>9044107987</v>
      </c>
      <c r="F5434" t="s">
        <v>11745</v>
      </c>
      <c r="G5434" t="s">
        <v>6544</v>
      </c>
      <c r="I5434" t="s">
        <v>11746</v>
      </c>
      <c r="J5434" s="13">
        <v>46121</v>
      </c>
      <c r="K5434" s="13">
        <v>46143</v>
      </c>
      <c r="L5434" t="s">
        <v>497</v>
      </c>
      <c r="M5434" t="s">
        <v>59</v>
      </c>
      <c r="N5434">
        <v>76036620</v>
      </c>
    </row>
    <row r="5435" spans="1:14" x14ac:dyDescent="0.25">
      <c r="A5435">
        <v>61784250</v>
      </c>
      <c r="B5435" t="s">
        <v>1535</v>
      </c>
      <c r="C5435" t="s">
        <v>462</v>
      </c>
      <c r="D5435" t="s">
        <v>11833</v>
      </c>
      <c r="E5435">
        <v>8167245124</v>
      </c>
      <c r="F5435" t="s">
        <v>10253</v>
      </c>
      <c r="G5435" t="s">
        <v>781</v>
      </c>
      <c r="I5435" t="s">
        <v>36</v>
      </c>
      <c r="J5435" s="13">
        <v>46098</v>
      </c>
      <c r="K5435" s="13">
        <v>46113</v>
      </c>
      <c r="L5435" t="s">
        <v>434</v>
      </c>
      <c r="M5435" t="s">
        <v>60</v>
      </c>
      <c r="N5435">
        <v>76037770</v>
      </c>
    </row>
    <row r="5436" spans="1:14" x14ac:dyDescent="0.25">
      <c r="A5436">
        <v>63437062</v>
      </c>
      <c r="B5436" t="s">
        <v>888</v>
      </c>
      <c r="C5436" t="s">
        <v>2272</v>
      </c>
      <c r="D5436" t="s">
        <v>11834</v>
      </c>
      <c r="E5436">
        <v>3174441347</v>
      </c>
      <c r="F5436" t="s">
        <v>2544</v>
      </c>
      <c r="G5436" t="s">
        <v>4833</v>
      </c>
      <c r="I5436" t="s">
        <v>18</v>
      </c>
      <c r="J5436" s="13">
        <v>46140</v>
      </c>
      <c r="K5436" s="13">
        <v>46143</v>
      </c>
      <c r="L5436" t="s">
        <v>440</v>
      </c>
      <c r="M5436" t="s">
        <v>59</v>
      </c>
      <c r="N5436">
        <v>76039172</v>
      </c>
    </row>
    <row r="5437" spans="1:14" x14ac:dyDescent="0.25">
      <c r="A5437">
        <v>62418801</v>
      </c>
      <c r="B5437" t="s">
        <v>11835</v>
      </c>
      <c r="C5437" t="s">
        <v>11836</v>
      </c>
      <c r="D5437" t="s">
        <v>11837</v>
      </c>
      <c r="E5437">
        <v>3466170655</v>
      </c>
      <c r="F5437" t="s">
        <v>11838</v>
      </c>
      <c r="G5437" t="s">
        <v>11839</v>
      </c>
      <c r="I5437" t="s">
        <v>11840</v>
      </c>
      <c r="J5437" s="13">
        <v>46113</v>
      </c>
      <c r="K5437" s="13">
        <v>46143</v>
      </c>
      <c r="L5437" t="s">
        <v>444</v>
      </c>
      <c r="M5437" t="s">
        <v>55</v>
      </c>
      <c r="N5437">
        <v>76040058</v>
      </c>
    </row>
    <row r="5438" spans="1:14" x14ac:dyDescent="0.25">
      <c r="A5438">
        <v>63297324</v>
      </c>
      <c r="B5438" t="s">
        <v>8764</v>
      </c>
      <c r="C5438" t="s">
        <v>11841</v>
      </c>
      <c r="D5438" t="s">
        <v>11842</v>
      </c>
      <c r="E5438">
        <v>3523627369</v>
      </c>
      <c r="F5438" t="s">
        <v>780</v>
      </c>
      <c r="G5438" t="s">
        <v>781</v>
      </c>
      <c r="I5438" t="s">
        <v>20</v>
      </c>
      <c r="J5438" s="13">
        <v>46132</v>
      </c>
      <c r="K5438" s="13">
        <v>46143</v>
      </c>
      <c r="L5438" t="s">
        <v>497</v>
      </c>
      <c r="M5438" t="s">
        <v>11843</v>
      </c>
      <c r="N5438">
        <v>76040919</v>
      </c>
    </row>
    <row r="5439" spans="1:14" x14ac:dyDescent="0.25">
      <c r="A5439">
        <v>61639360</v>
      </c>
      <c r="B5439" t="s">
        <v>1228</v>
      </c>
      <c r="C5439" t="s">
        <v>11844</v>
      </c>
      <c r="D5439" t="s">
        <v>11845</v>
      </c>
      <c r="E5439">
        <v>9853775021</v>
      </c>
      <c r="F5439" t="s">
        <v>842</v>
      </c>
      <c r="G5439" t="s">
        <v>843</v>
      </c>
      <c r="I5439" t="s">
        <v>98</v>
      </c>
      <c r="J5439" s="13">
        <v>45996</v>
      </c>
      <c r="K5439" s="13">
        <v>46023</v>
      </c>
      <c r="L5439" t="s">
        <v>612</v>
      </c>
      <c r="M5439" t="s">
        <v>56</v>
      </c>
      <c r="N5439">
        <v>76042077</v>
      </c>
    </row>
    <row r="5440" spans="1:14" x14ac:dyDescent="0.25">
      <c r="A5440">
        <v>62422808</v>
      </c>
      <c r="B5440" t="s">
        <v>888</v>
      </c>
      <c r="C5440" t="s">
        <v>11846</v>
      </c>
      <c r="D5440" t="s">
        <v>11847</v>
      </c>
      <c r="E5440">
        <v>5617627594</v>
      </c>
      <c r="F5440" t="s">
        <v>780</v>
      </c>
      <c r="G5440" t="s">
        <v>781</v>
      </c>
      <c r="I5440" t="s">
        <v>20</v>
      </c>
      <c r="J5440" s="13">
        <v>46113</v>
      </c>
      <c r="K5440" s="13">
        <v>46143</v>
      </c>
      <c r="L5440" t="s">
        <v>497</v>
      </c>
      <c r="M5440" t="s">
        <v>56</v>
      </c>
      <c r="N5440">
        <v>76046473</v>
      </c>
    </row>
    <row r="5441" spans="1:14" x14ac:dyDescent="0.25">
      <c r="A5441">
        <v>62517076</v>
      </c>
      <c r="B5441" t="s">
        <v>2107</v>
      </c>
      <c r="C5441" t="s">
        <v>11848</v>
      </c>
      <c r="D5441" t="s">
        <v>11849</v>
      </c>
      <c r="E5441">
        <v>6025162174</v>
      </c>
      <c r="F5441" t="s">
        <v>416</v>
      </c>
      <c r="G5441" t="s">
        <v>417</v>
      </c>
      <c r="I5441" t="s">
        <v>26</v>
      </c>
      <c r="J5441" s="13">
        <v>46119</v>
      </c>
      <c r="K5441" s="13">
        <v>46143</v>
      </c>
      <c r="L5441" t="s">
        <v>1179</v>
      </c>
      <c r="M5441" t="s">
        <v>54</v>
      </c>
      <c r="N5441">
        <v>76046639</v>
      </c>
    </row>
    <row r="5442" spans="1:14" x14ac:dyDescent="0.25">
      <c r="A5442">
        <v>61639509</v>
      </c>
      <c r="B5442" t="s">
        <v>11850</v>
      </c>
      <c r="C5442" t="s">
        <v>7306</v>
      </c>
      <c r="D5442" t="s">
        <v>11851</v>
      </c>
      <c r="E5442">
        <v>8703234555</v>
      </c>
      <c r="F5442" t="s">
        <v>705</v>
      </c>
      <c r="G5442" t="s">
        <v>706</v>
      </c>
      <c r="I5442" t="s">
        <v>12</v>
      </c>
      <c r="J5442" s="13">
        <v>45985</v>
      </c>
      <c r="K5442" s="13">
        <v>46023</v>
      </c>
      <c r="L5442" t="s">
        <v>553</v>
      </c>
      <c r="M5442" t="s">
        <v>58</v>
      </c>
      <c r="N5442">
        <v>76047269</v>
      </c>
    </row>
    <row r="5443" spans="1:14" x14ac:dyDescent="0.25">
      <c r="A5443">
        <v>63354202</v>
      </c>
      <c r="B5443" t="s">
        <v>11852</v>
      </c>
      <c r="C5443" t="s">
        <v>11853</v>
      </c>
      <c r="D5443" t="s">
        <v>11854</v>
      </c>
      <c r="E5443">
        <v>7275044454</v>
      </c>
      <c r="F5443" t="s">
        <v>574</v>
      </c>
      <c r="G5443" t="s">
        <v>575</v>
      </c>
      <c r="I5443" t="s">
        <v>14</v>
      </c>
      <c r="J5443" s="13">
        <v>46135</v>
      </c>
      <c r="K5443" s="13">
        <v>46143</v>
      </c>
      <c r="L5443" t="s">
        <v>470</v>
      </c>
      <c r="M5443" t="s">
        <v>62</v>
      </c>
      <c r="N5443">
        <v>76048666</v>
      </c>
    </row>
    <row r="5444" spans="1:14" x14ac:dyDescent="0.25">
      <c r="A5444">
        <v>62849427</v>
      </c>
      <c r="B5444" t="s">
        <v>2168</v>
      </c>
      <c r="C5444" t="s">
        <v>8778</v>
      </c>
      <c r="D5444" t="s">
        <v>11855</v>
      </c>
      <c r="E5444">
        <v>9045041947</v>
      </c>
      <c r="F5444" t="s">
        <v>780</v>
      </c>
      <c r="G5444" t="s">
        <v>781</v>
      </c>
      <c r="I5444" t="s">
        <v>20</v>
      </c>
      <c r="J5444" s="13">
        <v>46125</v>
      </c>
      <c r="K5444" s="13">
        <v>46143</v>
      </c>
      <c r="L5444" t="s">
        <v>497</v>
      </c>
      <c r="M5444" t="s">
        <v>60</v>
      </c>
      <c r="N5444">
        <v>76048914</v>
      </c>
    </row>
    <row r="5445" spans="1:14" x14ac:dyDescent="0.25">
      <c r="A5445">
        <v>62348090</v>
      </c>
      <c r="B5445" t="s">
        <v>11856</v>
      </c>
      <c r="C5445" t="s">
        <v>11857</v>
      </c>
      <c r="D5445" t="s">
        <v>11858</v>
      </c>
      <c r="E5445">
        <v>7735194550</v>
      </c>
      <c r="F5445" t="s">
        <v>10253</v>
      </c>
      <c r="G5445" t="s">
        <v>781</v>
      </c>
      <c r="I5445" t="s">
        <v>36</v>
      </c>
      <c r="J5445" s="13">
        <v>46108</v>
      </c>
      <c r="K5445" s="13">
        <v>46113</v>
      </c>
      <c r="L5445" t="s">
        <v>470</v>
      </c>
      <c r="M5445" t="s">
        <v>62</v>
      </c>
      <c r="N5445">
        <v>76049289</v>
      </c>
    </row>
    <row r="5446" spans="1:14" x14ac:dyDescent="0.25">
      <c r="A5446">
        <v>63347400</v>
      </c>
      <c r="B5446" t="s">
        <v>445</v>
      </c>
      <c r="C5446" t="s">
        <v>11859</v>
      </c>
      <c r="D5446" t="s">
        <v>11860</v>
      </c>
      <c r="E5446">
        <v>9044509658</v>
      </c>
      <c r="F5446" t="s">
        <v>11745</v>
      </c>
      <c r="G5446" t="s">
        <v>6544</v>
      </c>
      <c r="I5446" t="s">
        <v>11746</v>
      </c>
      <c r="J5446" s="13">
        <v>46134</v>
      </c>
      <c r="K5446" s="13">
        <v>46143</v>
      </c>
      <c r="L5446" t="s">
        <v>497</v>
      </c>
      <c r="M5446" t="s">
        <v>59</v>
      </c>
      <c r="N5446">
        <v>76049566</v>
      </c>
    </row>
    <row r="5447" spans="1:14" x14ac:dyDescent="0.25">
      <c r="A5447">
        <v>62604970</v>
      </c>
      <c r="B5447" t="s">
        <v>11861</v>
      </c>
      <c r="C5447" t="s">
        <v>11862</v>
      </c>
      <c r="D5447" t="s">
        <v>11863</v>
      </c>
      <c r="E5447">
        <v>9546759691</v>
      </c>
      <c r="F5447" t="s">
        <v>828</v>
      </c>
      <c r="G5447" t="s">
        <v>1148</v>
      </c>
      <c r="I5447" t="s">
        <v>17</v>
      </c>
      <c r="J5447" s="13">
        <v>46121</v>
      </c>
      <c r="K5447" s="13">
        <v>46143</v>
      </c>
      <c r="L5447" t="s">
        <v>497</v>
      </c>
      <c r="M5447" t="s">
        <v>58</v>
      </c>
      <c r="N5447">
        <v>76050670</v>
      </c>
    </row>
    <row r="5448" spans="1:14" x14ac:dyDescent="0.25">
      <c r="A5448">
        <v>63284671</v>
      </c>
      <c r="B5448" t="s">
        <v>1864</v>
      </c>
      <c r="C5448" t="s">
        <v>10683</v>
      </c>
      <c r="D5448" t="s">
        <v>11864</v>
      </c>
      <c r="E5448">
        <v>6232291835</v>
      </c>
      <c r="F5448" t="s">
        <v>775</v>
      </c>
      <c r="G5448" t="s">
        <v>776</v>
      </c>
      <c r="I5448" t="s">
        <v>22</v>
      </c>
      <c r="J5448" s="13">
        <v>46132</v>
      </c>
      <c r="K5448" s="13">
        <v>46143</v>
      </c>
      <c r="L5448" t="s">
        <v>1179</v>
      </c>
      <c r="M5448" t="s">
        <v>58</v>
      </c>
      <c r="N5448">
        <v>76052104</v>
      </c>
    </row>
    <row r="5449" spans="1:14" x14ac:dyDescent="0.25">
      <c r="A5449">
        <v>62319510</v>
      </c>
      <c r="B5449" t="s">
        <v>3078</v>
      </c>
      <c r="C5449" t="s">
        <v>11865</v>
      </c>
      <c r="D5449" t="s">
        <v>11866</v>
      </c>
      <c r="E5449">
        <v>9546004128</v>
      </c>
      <c r="F5449" t="s">
        <v>1345</v>
      </c>
      <c r="G5449" t="s">
        <v>799</v>
      </c>
      <c r="I5449" t="s">
        <v>47</v>
      </c>
      <c r="J5449" s="13">
        <v>46107</v>
      </c>
      <c r="K5449" s="13">
        <v>46113</v>
      </c>
      <c r="L5449" t="s">
        <v>497</v>
      </c>
      <c r="M5449" t="s">
        <v>56</v>
      </c>
      <c r="N5449">
        <v>76052284</v>
      </c>
    </row>
    <row r="5450" spans="1:14" x14ac:dyDescent="0.25">
      <c r="A5450">
        <v>63203150</v>
      </c>
      <c r="B5450" t="s">
        <v>6451</v>
      </c>
      <c r="C5450" t="s">
        <v>11867</v>
      </c>
      <c r="D5450" t="s">
        <v>11868</v>
      </c>
      <c r="E5450">
        <v>9547931660</v>
      </c>
      <c r="F5450" t="s">
        <v>10569</v>
      </c>
      <c r="G5450" t="s">
        <v>10570</v>
      </c>
      <c r="I5450" t="s">
        <v>29</v>
      </c>
      <c r="J5450" s="13">
        <v>46128</v>
      </c>
      <c r="K5450" s="13">
        <v>46143</v>
      </c>
      <c r="L5450" t="s">
        <v>497</v>
      </c>
      <c r="M5450" t="s">
        <v>58</v>
      </c>
      <c r="N5450">
        <v>76057814</v>
      </c>
    </row>
    <row r="5451" spans="1:14" x14ac:dyDescent="0.25">
      <c r="A5451">
        <v>62416292</v>
      </c>
      <c r="B5451" t="s">
        <v>833</v>
      </c>
      <c r="C5451" t="s">
        <v>2188</v>
      </c>
      <c r="D5451" t="s">
        <v>11869</v>
      </c>
      <c r="E5451">
        <v>5022159844</v>
      </c>
      <c r="F5451" t="s">
        <v>474</v>
      </c>
      <c r="G5451" t="s">
        <v>475</v>
      </c>
      <c r="I5451" t="s">
        <v>132</v>
      </c>
      <c r="J5451" s="13">
        <v>46113</v>
      </c>
      <c r="K5451" s="13">
        <v>46143</v>
      </c>
      <c r="L5451" t="s">
        <v>418</v>
      </c>
      <c r="M5451" t="s">
        <v>62</v>
      </c>
      <c r="N5451">
        <v>76059825</v>
      </c>
    </row>
    <row r="5452" spans="1:14" x14ac:dyDescent="0.25">
      <c r="A5452">
        <v>63556947</v>
      </c>
      <c r="B5452" t="s">
        <v>11870</v>
      </c>
      <c r="C5452" t="s">
        <v>11871</v>
      </c>
      <c r="D5452" t="s">
        <v>11872</v>
      </c>
      <c r="E5452">
        <v>7732261834</v>
      </c>
      <c r="F5452" t="s">
        <v>474</v>
      </c>
      <c r="G5452" t="s">
        <v>475</v>
      </c>
      <c r="I5452" t="s">
        <v>132</v>
      </c>
      <c r="J5452" s="13">
        <v>46146</v>
      </c>
      <c r="K5452" s="13">
        <v>46174</v>
      </c>
      <c r="L5452" t="s">
        <v>470</v>
      </c>
      <c r="M5452" t="s">
        <v>59</v>
      </c>
      <c r="N5452">
        <v>76060684</v>
      </c>
    </row>
    <row r="5453" spans="1:14" x14ac:dyDescent="0.25">
      <c r="A5453">
        <v>62338124</v>
      </c>
      <c r="B5453" t="s">
        <v>11873</v>
      </c>
      <c r="C5453" t="s">
        <v>11874</v>
      </c>
      <c r="D5453" t="s">
        <v>11875</v>
      </c>
      <c r="E5453">
        <v>9283107971</v>
      </c>
      <c r="F5453" t="s">
        <v>1345</v>
      </c>
      <c r="G5453" t="s">
        <v>799</v>
      </c>
      <c r="I5453" t="s">
        <v>47</v>
      </c>
      <c r="J5453" s="13">
        <v>46108</v>
      </c>
      <c r="K5453" s="13">
        <v>46113</v>
      </c>
      <c r="L5453" t="s">
        <v>1179</v>
      </c>
      <c r="M5453" t="s">
        <v>54</v>
      </c>
      <c r="N5453">
        <v>76062184</v>
      </c>
    </row>
    <row r="5454" spans="1:14" x14ac:dyDescent="0.25">
      <c r="A5454">
        <v>61747137</v>
      </c>
      <c r="B5454" t="s">
        <v>2947</v>
      </c>
      <c r="C5454" t="s">
        <v>11876</v>
      </c>
      <c r="D5454" t="s">
        <v>11877</v>
      </c>
      <c r="E5454">
        <v>3144979125</v>
      </c>
      <c r="F5454" t="s">
        <v>474</v>
      </c>
      <c r="G5454" t="s">
        <v>475</v>
      </c>
      <c r="I5454" t="s">
        <v>132</v>
      </c>
      <c r="J5454" s="13">
        <v>46098</v>
      </c>
      <c r="K5454" s="13">
        <v>46113</v>
      </c>
      <c r="L5454" t="s">
        <v>434</v>
      </c>
      <c r="M5454" t="s">
        <v>56</v>
      </c>
      <c r="N5454">
        <v>76062231</v>
      </c>
    </row>
    <row r="5455" spans="1:14" x14ac:dyDescent="0.25">
      <c r="A5455">
        <v>62358068</v>
      </c>
      <c r="B5455" t="s">
        <v>9264</v>
      </c>
      <c r="C5455" t="s">
        <v>11878</v>
      </c>
      <c r="D5455" t="s">
        <v>11879</v>
      </c>
      <c r="E5455">
        <v>5203594532</v>
      </c>
      <c r="F5455" t="s">
        <v>780</v>
      </c>
      <c r="G5455" t="s">
        <v>781</v>
      </c>
      <c r="I5455" t="s">
        <v>20</v>
      </c>
      <c r="J5455" s="13">
        <v>46111</v>
      </c>
      <c r="K5455" s="13">
        <v>46113</v>
      </c>
      <c r="L5455" t="s">
        <v>1179</v>
      </c>
      <c r="M5455" t="s">
        <v>54</v>
      </c>
      <c r="N5455">
        <v>76064482</v>
      </c>
    </row>
    <row r="5456" spans="1:14" x14ac:dyDescent="0.25">
      <c r="A5456">
        <v>62963127</v>
      </c>
      <c r="B5456" t="s">
        <v>1658</v>
      </c>
      <c r="C5456" t="s">
        <v>11880</v>
      </c>
      <c r="D5456" t="s">
        <v>11881</v>
      </c>
      <c r="E5456">
        <v>2037672466</v>
      </c>
      <c r="F5456" t="s">
        <v>574</v>
      </c>
      <c r="G5456" t="s">
        <v>575</v>
      </c>
      <c r="I5456" t="s">
        <v>14</v>
      </c>
      <c r="J5456" s="13">
        <v>46126</v>
      </c>
      <c r="K5456" s="13">
        <v>46143</v>
      </c>
      <c r="L5456" t="s">
        <v>497</v>
      </c>
      <c r="M5456" t="s">
        <v>56</v>
      </c>
      <c r="N5456">
        <v>76064733</v>
      </c>
    </row>
    <row r="5457" spans="1:14" x14ac:dyDescent="0.25">
      <c r="A5457">
        <v>61644495</v>
      </c>
      <c r="B5457" t="s">
        <v>11882</v>
      </c>
      <c r="C5457" t="s">
        <v>11883</v>
      </c>
      <c r="D5457" t="s">
        <v>11884</v>
      </c>
      <c r="E5457">
        <v>5202551661</v>
      </c>
      <c r="F5457" t="s">
        <v>842</v>
      </c>
      <c r="G5457" t="s">
        <v>1213</v>
      </c>
      <c r="I5457" t="s">
        <v>1214</v>
      </c>
      <c r="K5457" s="13">
        <v>46023</v>
      </c>
      <c r="L5457" t="s">
        <v>1179</v>
      </c>
      <c r="M5457" t="s">
        <v>54</v>
      </c>
      <c r="N5457">
        <v>76066014</v>
      </c>
    </row>
    <row r="5458" spans="1:14" x14ac:dyDescent="0.25">
      <c r="A5458">
        <v>63349631</v>
      </c>
      <c r="B5458" t="s">
        <v>1232</v>
      </c>
      <c r="C5458" t="s">
        <v>733</v>
      </c>
      <c r="D5458" t="s">
        <v>11885</v>
      </c>
      <c r="E5458">
        <v>6025005669</v>
      </c>
      <c r="F5458" t="s">
        <v>780</v>
      </c>
      <c r="G5458" t="s">
        <v>781</v>
      </c>
      <c r="I5458" t="s">
        <v>20</v>
      </c>
      <c r="J5458" s="13">
        <v>46134</v>
      </c>
      <c r="K5458" s="13">
        <v>46143</v>
      </c>
      <c r="L5458" t="s">
        <v>1179</v>
      </c>
      <c r="M5458" t="s">
        <v>59</v>
      </c>
      <c r="N5458">
        <v>76066532</v>
      </c>
    </row>
    <row r="5459" spans="1:14" x14ac:dyDescent="0.25">
      <c r="A5459">
        <v>63515226</v>
      </c>
      <c r="B5459" t="s">
        <v>801</v>
      </c>
      <c r="C5459" t="s">
        <v>2464</v>
      </c>
      <c r="D5459" t="s">
        <v>11886</v>
      </c>
      <c r="E5459">
        <v>9286144528</v>
      </c>
      <c r="F5459" t="s">
        <v>10591</v>
      </c>
      <c r="G5459" t="s">
        <v>10215</v>
      </c>
      <c r="I5459" t="s">
        <v>32</v>
      </c>
      <c r="J5459" s="13">
        <v>46143</v>
      </c>
      <c r="K5459" s="13">
        <v>46174</v>
      </c>
      <c r="L5459" t="s">
        <v>1179</v>
      </c>
      <c r="M5459" t="s">
        <v>54</v>
      </c>
      <c r="N5459">
        <v>76066762</v>
      </c>
    </row>
    <row r="5460" spans="1:14" x14ac:dyDescent="0.25">
      <c r="A5460">
        <v>61647005</v>
      </c>
      <c r="B5460" t="s">
        <v>11887</v>
      </c>
      <c r="C5460" t="s">
        <v>1203</v>
      </c>
      <c r="D5460" t="s">
        <v>11888</v>
      </c>
      <c r="E5460">
        <v>6028024358</v>
      </c>
      <c r="F5460" t="s">
        <v>807</v>
      </c>
      <c r="G5460" t="s">
        <v>808</v>
      </c>
      <c r="I5460" t="s">
        <v>33</v>
      </c>
      <c r="J5460" s="13">
        <v>45948</v>
      </c>
      <c r="K5460" s="13">
        <v>46023</v>
      </c>
      <c r="L5460" t="s">
        <v>1179</v>
      </c>
      <c r="M5460" t="s">
        <v>54</v>
      </c>
      <c r="N5460">
        <v>76067361</v>
      </c>
    </row>
    <row r="5461" spans="1:14" x14ac:dyDescent="0.25">
      <c r="A5461">
        <v>61649237</v>
      </c>
      <c r="B5461" t="s">
        <v>1988</v>
      </c>
      <c r="C5461" t="s">
        <v>11889</v>
      </c>
      <c r="D5461" t="s">
        <v>11890</v>
      </c>
      <c r="E5461">
        <v>5407173760</v>
      </c>
      <c r="F5461" t="s">
        <v>870</v>
      </c>
      <c r="G5461" t="s">
        <v>871</v>
      </c>
      <c r="I5461" t="s">
        <v>872</v>
      </c>
      <c r="J5461" s="13">
        <v>45945</v>
      </c>
      <c r="K5461" s="13">
        <v>46023</v>
      </c>
      <c r="L5461" t="s">
        <v>454</v>
      </c>
      <c r="M5461" t="s">
        <v>56</v>
      </c>
      <c r="N5461">
        <v>76069577</v>
      </c>
    </row>
    <row r="5462" spans="1:14" x14ac:dyDescent="0.25">
      <c r="A5462">
        <v>61649312</v>
      </c>
      <c r="B5462" t="s">
        <v>445</v>
      </c>
      <c r="C5462" t="s">
        <v>11891</v>
      </c>
      <c r="D5462" t="s">
        <v>11892</v>
      </c>
      <c r="E5462">
        <v>3367621176</v>
      </c>
      <c r="F5462" t="s">
        <v>4853</v>
      </c>
      <c r="G5462" t="s">
        <v>5017</v>
      </c>
      <c r="I5462" t="s">
        <v>5018</v>
      </c>
      <c r="K5462" s="13">
        <v>46023</v>
      </c>
      <c r="L5462" t="s">
        <v>603</v>
      </c>
      <c r="M5462" t="s">
        <v>56</v>
      </c>
      <c r="N5462">
        <v>76069860</v>
      </c>
    </row>
    <row r="5463" spans="1:14" x14ac:dyDescent="0.25">
      <c r="A5463">
        <v>61649782</v>
      </c>
      <c r="B5463" t="s">
        <v>11893</v>
      </c>
      <c r="C5463" t="s">
        <v>11894</v>
      </c>
      <c r="D5463" t="s">
        <v>11895</v>
      </c>
      <c r="E5463">
        <v>8287881871</v>
      </c>
      <c r="F5463" t="s">
        <v>4853</v>
      </c>
      <c r="G5463" t="s">
        <v>5017</v>
      </c>
      <c r="I5463" t="s">
        <v>5018</v>
      </c>
      <c r="K5463" s="13">
        <v>46023</v>
      </c>
      <c r="L5463" t="s">
        <v>603</v>
      </c>
      <c r="M5463" t="s">
        <v>58</v>
      </c>
      <c r="N5463">
        <v>76070382</v>
      </c>
    </row>
    <row r="5464" spans="1:14" x14ac:dyDescent="0.25">
      <c r="A5464">
        <v>61659797</v>
      </c>
      <c r="B5464" t="s">
        <v>2263</v>
      </c>
      <c r="C5464" t="s">
        <v>1448</v>
      </c>
      <c r="E5464">
        <v>5748066413</v>
      </c>
      <c r="F5464" t="s">
        <v>11896</v>
      </c>
      <c r="G5464" t="s">
        <v>1635</v>
      </c>
      <c r="I5464" t="s">
        <v>11897</v>
      </c>
      <c r="J5464" s="13">
        <v>45796</v>
      </c>
      <c r="K5464" s="13">
        <v>46023</v>
      </c>
      <c r="L5464" t="s">
        <v>440</v>
      </c>
      <c r="M5464" t="s">
        <v>419</v>
      </c>
      <c r="N5464">
        <v>76072435</v>
      </c>
    </row>
    <row r="5465" spans="1:14" x14ac:dyDescent="0.25">
      <c r="A5465">
        <v>63601114</v>
      </c>
      <c r="B5465" t="s">
        <v>4535</v>
      </c>
      <c r="C5465" t="s">
        <v>11898</v>
      </c>
      <c r="D5465" t="s">
        <v>11899</v>
      </c>
      <c r="E5465">
        <v>3058015971</v>
      </c>
      <c r="F5465" t="s">
        <v>11900</v>
      </c>
      <c r="G5465" t="s">
        <v>10909</v>
      </c>
      <c r="I5465" t="s">
        <v>11901</v>
      </c>
      <c r="J5465" s="13">
        <v>46148</v>
      </c>
      <c r="K5465" s="13">
        <v>46174</v>
      </c>
      <c r="L5465" t="s">
        <v>497</v>
      </c>
      <c r="M5465" t="s">
        <v>60</v>
      </c>
      <c r="N5465">
        <v>76073198</v>
      </c>
    </row>
    <row r="5466" spans="1:14" x14ac:dyDescent="0.25">
      <c r="A5466">
        <v>63416526</v>
      </c>
      <c r="B5466" t="s">
        <v>712</v>
      </c>
      <c r="C5466" t="s">
        <v>11902</v>
      </c>
      <c r="D5466" t="s">
        <v>11903</v>
      </c>
      <c r="E5466">
        <v>2705432144</v>
      </c>
      <c r="F5466" t="s">
        <v>448</v>
      </c>
      <c r="G5466" t="s">
        <v>449</v>
      </c>
      <c r="I5466" t="s">
        <v>31</v>
      </c>
      <c r="J5466" s="13">
        <v>46139</v>
      </c>
      <c r="K5466" s="13">
        <v>46143</v>
      </c>
      <c r="L5466" t="s">
        <v>490</v>
      </c>
      <c r="M5466" t="s">
        <v>56</v>
      </c>
      <c r="N5466">
        <v>76076424</v>
      </c>
    </row>
    <row r="5467" spans="1:14" x14ac:dyDescent="0.25">
      <c r="A5467">
        <v>62421859</v>
      </c>
      <c r="B5467" t="s">
        <v>1910</v>
      </c>
      <c r="C5467" t="s">
        <v>11904</v>
      </c>
      <c r="D5467" t="s">
        <v>11905</v>
      </c>
      <c r="E5467">
        <v>9195292167</v>
      </c>
      <c r="F5467" t="s">
        <v>828</v>
      </c>
      <c r="G5467" t="s">
        <v>1148</v>
      </c>
      <c r="I5467" t="s">
        <v>17</v>
      </c>
      <c r="J5467" s="13">
        <v>46113</v>
      </c>
      <c r="K5467" s="13">
        <v>46143</v>
      </c>
      <c r="L5467" t="s">
        <v>603</v>
      </c>
      <c r="M5467" t="s">
        <v>56</v>
      </c>
      <c r="N5467">
        <v>76077094</v>
      </c>
    </row>
    <row r="5468" spans="1:14" x14ac:dyDescent="0.25">
      <c r="A5468">
        <v>62323209</v>
      </c>
      <c r="B5468" t="s">
        <v>2140</v>
      </c>
      <c r="C5468" t="s">
        <v>11906</v>
      </c>
      <c r="D5468" t="s">
        <v>11907</v>
      </c>
      <c r="E5468">
        <v>8136066686</v>
      </c>
      <c r="F5468" t="s">
        <v>1067</v>
      </c>
      <c r="G5468" t="s">
        <v>1068</v>
      </c>
      <c r="I5468" t="s">
        <v>35</v>
      </c>
      <c r="J5468" s="13">
        <v>46107</v>
      </c>
      <c r="K5468" s="13">
        <v>46113</v>
      </c>
      <c r="L5468" t="s">
        <v>497</v>
      </c>
      <c r="M5468" t="s">
        <v>58</v>
      </c>
      <c r="N5468">
        <v>76077204</v>
      </c>
    </row>
    <row r="5469" spans="1:14" x14ac:dyDescent="0.25">
      <c r="A5469">
        <v>63470193</v>
      </c>
      <c r="B5469" t="s">
        <v>2771</v>
      </c>
      <c r="C5469" t="s">
        <v>11908</v>
      </c>
      <c r="D5469" t="s">
        <v>11909</v>
      </c>
      <c r="E5469">
        <v>9802412371</v>
      </c>
      <c r="F5469" t="s">
        <v>578</v>
      </c>
      <c r="G5469" t="s">
        <v>579</v>
      </c>
      <c r="I5469" t="s">
        <v>15</v>
      </c>
      <c r="J5469" s="13">
        <v>46141</v>
      </c>
      <c r="K5469" s="13">
        <v>46143</v>
      </c>
      <c r="L5469" t="s">
        <v>603</v>
      </c>
      <c r="M5469" t="s">
        <v>56</v>
      </c>
      <c r="N5469">
        <v>76078040</v>
      </c>
    </row>
    <row r="5470" spans="1:14" x14ac:dyDescent="0.25">
      <c r="A5470">
        <v>62505972</v>
      </c>
      <c r="B5470" t="s">
        <v>3290</v>
      </c>
      <c r="C5470" t="s">
        <v>11910</v>
      </c>
      <c r="D5470" t="s">
        <v>11911</v>
      </c>
      <c r="E5470">
        <v>2194841350</v>
      </c>
      <c r="F5470" t="s">
        <v>474</v>
      </c>
      <c r="G5470" t="s">
        <v>475</v>
      </c>
      <c r="I5470" t="s">
        <v>132</v>
      </c>
      <c r="J5470" s="13">
        <v>46119</v>
      </c>
      <c r="K5470" s="13">
        <v>46143</v>
      </c>
      <c r="L5470" t="s">
        <v>440</v>
      </c>
      <c r="M5470" t="s">
        <v>419</v>
      </c>
      <c r="N5470">
        <v>76086125</v>
      </c>
    </row>
    <row r="5471" spans="1:14" x14ac:dyDescent="0.25">
      <c r="A5471">
        <v>62636544</v>
      </c>
      <c r="B5471" t="s">
        <v>748</v>
      </c>
      <c r="C5471" t="s">
        <v>643</v>
      </c>
      <c r="D5471" t="s">
        <v>11912</v>
      </c>
      <c r="E5471">
        <v>5026569390</v>
      </c>
      <c r="F5471" t="s">
        <v>815</v>
      </c>
      <c r="G5471" t="s">
        <v>816</v>
      </c>
      <c r="I5471" t="s">
        <v>23</v>
      </c>
      <c r="J5471" s="13">
        <v>46122</v>
      </c>
      <c r="K5471" s="13">
        <v>46143</v>
      </c>
      <c r="L5471" t="s">
        <v>490</v>
      </c>
      <c r="M5471" t="s">
        <v>59</v>
      </c>
      <c r="N5471">
        <v>76086273</v>
      </c>
    </row>
    <row r="5472" spans="1:14" x14ac:dyDescent="0.25">
      <c r="A5472">
        <v>62433956</v>
      </c>
      <c r="B5472" t="s">
        <v>1373</v>
      </c>
      <c r="C5472" t="s">
        <v>11913</v>
      </c>
      <c r="D5472" t="s">
        <v>11914</v>
      </c>
      <c r="E5472">
        <v>8503739420</v>
      </c>
      <c r="F5472" t="s">
        <v>928</v>
      </c>
      <c r="G5472" t="s">
        <v>929</v>
      </c>
      <c r="I5472" t="s">
        <v>30</v>
      </c>
      <c r="J5472" s="13">
        <v>46114</v>
      </c>
      <c r="K5472" s="13">
        <v>46143</v>
      </c>
      <c r="L5472" t="s">
        <v>497</v>
      </c>
      <c r="M5472" t="s">
        <v>56</v>
      </c>
      <c r="N5472">
        <v>76088987</v>
      </c>
    </row>
    <row r="5473" spans="1:14" x14ac:dyDescent="0.25">
      <c r="A5473">
        <v>61672516</v>
      </c>
      <c r="B5473" t="s">
        <v>6141</v>
      </c>
      <c r="C5473" t="s">
        <v>11915</v>
      </c>
      <c r="D5473" t="s">
        <v>11916</v>
      </c>
      <c r="E5473" t="s">
        <v>11917</v>
      </c>
      <c r="F5473" t="s">
        <v>569</v>
      </c>
      <c r="G5473" t="s">
        <v>570</v>
      </c>
      <c r="I5473" t="s">
        <v>34</v>
      </c>
      <c r="J5473" s="13">
        <v>46097</v>
      </c>
      <c r="K5473" s="13">
        <v>46113</v>
      </c>
      <c r="L5473" t="s">
        <v>941</v>
      </c>
      <c r="M5473" t="s">
        <v>58</v>
      </c>
      <c r="N5473">
        <v>76090806</v>
      </c>
    </row>
    <row r="5474" spans="1:14" x14ac:dyDescent="0.25">
      <c r="A5474">
        <v>61669617</v>
      </c>
      <c r="B5474" t="s">
        <v>431</v>
      </c>
      <c r="C5474" t="s">
        <v>11918</v>
      </c>
      <c r="D5474" t="s">
        <v>11919</v>
      </c>
      <c r="F5474" t="s">
        <v>688</v>
      </c>
      <c r="G5474" t="s">
        <v>10291</v>
      </c>
      <c r="I5474" t="s">
        <v>48</v>
      </c>
      <c r="J5474" s="13">
        <v>46097</v>
      </c>
      <c r="K5474" s="13">
        <v>46113</v>
      </c>
      <c r="L5474" t="s">
        <v>497</v>
      </c>
      <c r="M5474" t="s">
        <v>59</v>
      </c>
      <c r="N5474">
        <v>76090973</v>
      </c>
    </row>
    <row r="5475" spans="1:14" x14ac:dyDescent="0.25">
      <c r="A5475">
        <v>61672956</v>
      </c>
      <c r="B5475" t="s">
        <v>4833</v>
      </c>
      <c r="C5475" t="s">
        <v>11920</v>
      </c>
      <c r="D5475" t="s">
        <v>11921</v>
      </c>
      <c r="E5475">
        <v>6023298998</v>
      </c>
      <c r="F5475" t="s">
        <v>1345</v>
      </c>
      <c r="G5475" t="s">
        <v>799</v>
      </c>
      <c r="I5475" t="s">
        <v>47</v>
      </c>
      <c r="J5475" s="13">
        <v>46097</v>
      </c>
      <c r="K5475" s="13">
        <v>46113</v>
      </c>
      <c r="L5475" t="s">
        <v>1179</v>
      </c>
      <c r="M5475" t="s">
        <v>54</v>
      </c>
      <c r="N5475">
        <v>76091303</v>
      </c>
    </row>
    <row r="5476" spans="1:14" x14ac:dyDescent="0.25">
      <c r="A5476">
        <v>61679774</v>
      </c>
      <c r="B5476" t="s">
        <v>11922</v>
      </c>
      <c r="C5476" t="s">
        <v>1732</v>
      </c>
      <c r="D5476" t="s">
        <v>11923</v>
      </c>
      <c r="E5476">
        <v>7063927602</v>
      </c>
      <c r="F5476" t="s">
        <v>828</v>
      </c>
      <c r="G5476" t="s">
        <v>1148</v>
      </c>
      <c r="I5476" t="s">
        <v>17</v>
      </c>
      <c r="J5476" s="13">
        <v>46097</v>
      </c>
      <c r="K5476" s="13">
        <v>46113</v>
      </c>
      <c r="L5476" t="s">
        <v>621</v>
      </c>
      <c r="M5476" t="s">
        <v>58</v>
      </c>
      <c r="N5476">
        <v>76091372</v>
      </c>
    </row>
    <row r="5477" spans="1:14" x14ac:dyDescent="0.25">
      <c r="A5477">
        <v>62408469</v>
      </c>
      <c r="B5477" t="s">
        <v>2254</v>
      </c>
      <c r="C5477" t="s">
        <v>11924</v>
      </c>
      <c r="D5477" t="s">
        <v>11925</v>
      </c>
      <c r="E5477">
        <v>4435691495</v>
      </c>
      <c r="F5477" t="s">
        <v>474</v>
      </c>
      <c r="G5477" t="s">
        <v>475</v>
      </c>
      <c r="I5477" t="s">
        <v>132</v>
      </c>
      <c r="J5477" s="13">
        <v>46113</v>
      </c>
      <c r="K5477" s="13">
        <v>46143</v>
      </c>
      <c r="L5477" t="s">
        <v>497</v>
      </c>
      <c r="M5477" t="s">
        <v>56</v>
      </c>
      <c r="N5477">
        <v>76091388</v>
      </c>
    </row>
    <row r="5478" spans="1:14" x14ac:dyDescent="0.25">
      <c r="A5478">
        <v>61671460</v>
      </c>
      <c r="B5478" t="s">
        <v>4317</v>
      </c>
      <c r="C5478" t="s">
        <v>11926</v>
      </c>
      <c r="D5478" t="s">
        <v>11927</v>
      </c>
      <c r="E5478">
        <v>7705483661</v>
      </c>
      <c r="F5478" t="s">
        <v>775</v>
      </c>
      <c r="G5478" t="s">
        <v>776</v>
      </c>
      <c r="I5478" t="s">
        <v>22</v>
      </c>
      <c r="J5478" s="13">
        <v>46097</v>
      </c>
      <c r="K5478" s="13">
        <v>46113</v>
      </c>
      <c r="L5478" t="s">
        <v>434</v>
      </c>
      <c r="M5478" t="s">
        <v>58</v>
      </c>
      <c r="N5478">
        <v>76091429</v>
      </c>
    </row>
    <row r="5479" spans="1:14" x14ac:dyDescent="0.25">
      <c r="A5479">
        <v>61677825</v>
      </c>
      <c r="B5479" t="s">
        <v>11928</v>
      </c>
      <c r="C5479" t="s">
        <v>1815</v>
      </c>
      <c r="D5479" t="s">
        <v>11929</v>
      </c>
      <c r="E5479">
        <v>2526717219</v>
      </c>
      <c r="F5479" t="s">
        <v>10460</v>
      </c>
      <c r="G5479" t="s">
        <v>6663</v>
      </c>
      <c r="I5479" t="s">
        <v>40</v>
      </c>
      <c r="J5479" s="13">
        <v>46097</v>
      </c>
      <c r="K5479" s="13">
        <v>46113</v>
      </c>
      <c r="L5479" t="s">
        <v>418</v>
      </c>
      <c r="M5479" t="s">
        <v>60</v>
      </c>
      <c r="N5479">
        <v>76091500</v>
      </c>
    </row>
    <row r="5480" spans="1:14" x14ac:dyDescent="0.25">
      <c r="A5480">
        <v>61673966</v>
      </c>
      <c r="B5480" t="s">
        <v>11930</v>
      </c>
      <c r="C5480" t="s">
        <v>1389</v>
      </c>
      <c r="D5480" t="s">
        <v>11931</v>
      </c>
      <c r="E5480">
        <v>6156686995</v>
      </c>
      <c r="F5480" t="s">
        <v>2544</v>
      </c>
      <c r="G5480" t="s">
        <v>4833</v>
      </c>
      <c r="I5480" t="s">
        <v>18</v>
      </c>
      <c r="J5480" s="13">
        <v>46097</v>
      </c>
      <c r="K5480" s="13">
        <v>46113</v>
      </c>
      <c r="L5480" t="s">
        <v>479</v>
      </c>
      <c r="M5480" t="s">
        <v>419</v>
      </c>
      <c r="N5480">
        <v>76091714</v>
      </c>
    </row>
    <row r="5481" spans="1:14" x14ac:dyDescent="0.25">
      <c r="A5481">
        <v>61684841</v>
      </c>
      <c r="B5481" t="s">
        <v>2413</v>
      </c>
      <c r="C5481" t="s">
        <v>1068</v>
      </c>
      <c r="D5481" t="s">
        <v>11932</v>
      </c>
      <c r="E5481">
        <v>4794142711</v>
      </c>
      <c r="F5481" t="s">
        <v>574</v>
      </c>
      <c r="G5481" t="s">
        <v>575</v>
      </c>
      <c r="I5481" t="s">
        <v>14</v>
      </c>
      <c r="J5481" s="13">
        <v>46097</v>
      </c>
      <c r="K5481" s="13">
        <v>46113</v>
      </c>
      <c r="L5481" t="s">
        <v>553</v>
      </c>
      <c r="M5481" t="s">
        <v>56</v>
      </c>
      <c r="N5481">
        <v>76092167</v>
      </c>
    </row>
    <row r="5482" spans="1:14" x14ac:dyDescent="0.25">
      <c r="A5482">
        <v>61681876</v>
      </c>
      <c r="B5482" t="s">
        <v>420</v>
      </c>
      <c r="C5482" t="s">
        <v>11933</v>
      </c>
      <c r="D5482" t="s">
        <v>11934</v>
      </c>
      <c r="E5482">
        <v>5132565155</v>
      </c>
      <c r="F5482" t="s">
        <v>649</v>
      </c>
      <c r="G5482" t="s">
        <v>650</v>
      </c>
      <c r="I5482" t="s">
        <v>28</v>
      </c>
      <c r="J5482" s="13">
        <v>46097</v>
      </c>
      <c r="K5482" s="13">
        <v>46113</v>
      </c>
      <c r="L5482" t="s">
        <v>418</v>
      </c>
      <c r="M5482" t="s">
        <v>59</v>
      </c>
      <c r="N5482">
        <v>76092188</v>
      </c>
    </row>
    <row r="5483" spans="1:14" x14ac:dyDescent="0.25">
      <c r="A5483">
        <v>61680571</v>
      </c>
      <c r="B5483" t="s">
        <v>867</v>
      </c>
      <c r="C5483" t="s">
        <v>5195</v>
      </c>
      <c r="D5483" t="s">
        <v>11935</v>
      </c>
      <c r="E5483">
        <v>8593828248</v>
      </c>
      <c r="F5483" t="s">
        <v>705</v>
      </c>
      <c r="G5483" t="s">
        <v>706</v>
      </c>
      <c r="I5483" t="s">
        <v>12</v>
      </c>
      <c r="J5483" s="13">
        <v>46097</v>
      </c>
      <c r="K5483" s="13">
        <v>46113</v>
      </c>
      <c r="L5483" t="s">
        <v>490</v>
      </c>
      <c r="M5483" t="s">
        <v>58</v>
      </c>
      <c r="N5483">
        <v>76092707</v>
      </c>
    </row>
    <row r="5484" spans="1:14" x14ac:dyDescent="0.25">
      <c r="A5484">
        <v>61688761</v>
      </c>
      <c r="B5484" t="s">
        <v>11936</v>
      </c>
      <c r="C5484" t="s">
        <v>1702</v>
      </c>
      <c r="D5484" t="s">
        <v>11937</v>
      </c>
      <c r="E5484">
        <v>9284018968</v>
      </c>
      <c r="F5484" t="s">
        <v>780</v>
      </c>
      <c r="G5484" t="s">
        <v>781</v>
      </c>
      <c r="I5484" t="s">
        <v>20</v>
      </c>
      <c r="J5484" s="13">
        <v>46097</v>
      </c>
      <c r="K5484" s="13">
        <v>46113</v>
      </c>
      <c r="L5484" t="s">
        <v>1179</v>
      </c>
      <c r="M5484" t="s">
        <v>59</v>
      </c>
      <c r="N5484">
        <v>76093043</v>
      </c>
    </row>
    <row r="5485" spans="1:14" x14ac:dyDescent="0.25">
      <c r="A5485">
        <v>61765788</v>
      </c>
      <c r="B5485" t="s">
        <v>471</v>
      </c>
      <c r="C5485" t="s">
        <v>6488</v>
      </c>
      <c r="D5485" t="s">
        <v>11938</v>
      </c>
      <c r="E5485" t="s">
        <v>11939</v>
      </c>
      <c r="F5485" t="s">
        <v>569</v>
      </c>
      <c r="G5485" t="s">
        <v>570</v>
      </c>
      <c r="I5485" t="s">
        <v>34</v>
      </c>
      <c r="J5485" s="13">
        <v>46098</v>
      </c>
      <c r="K5485" s="13">
        <v>46113</v>
      </c>
      <c r="L5485" t="s">
        <v>434</v>
      </c>
      <c r="M5485" t="s">
        <v>59</v>
      </c>
      <c r="N5485">
        <v>76093358</v>
      </c>
    </row>
    <row r="5486" spans="1:14" x14ac:dyDescent="0.25">
      <c r="A5486">
        <v>61690493</v>
      </c>
      <c r="B5486" t="s">
        <v>11940</v>
      </c>
      <c r="C5486" t="s">
        <v>11941</v>
      </c>
      <c r="D5486" t="s">
        <v>11942</v>
      </c>
      <c r="F5486" t="s">
        <v>688</v>
      </c>
      <c r="G5486" t="s">
        <v>10291</v>
      </c>
      <c r="I5486" t="s">
        <v>48</v>
      </c>
      <c r="J5486" s="13">
        <v>46097</v>
      </c>
      <c r="K5486" s="13">
        <v>46113</v>
      </c>
      <c r="L5486" t="s">
        <v>418</v>
      </c>
      <c r="M5486" t="s">
        <v>59</v>
      </c>
      <c r="N5486">
        <v>76093539</v>
      </c>
    </row>
    <row r="5487" spans="1:14" x14ac:dyDescent="0.25">
      <c r="A5487">
        <v>61686541</v>
      </c>
      <c r="B5487" t="s">
        <v>7383</v>
      </c>
      <c r="C5487" t="s">
        <v>8717</v>
      </c>
      <c r="D5487" t="s">
        <v>11943</v>
      </c>
      <c r="E5487">
        <v>5205895819</v>
      </c>
      <c r="F5487" t="s">
        <v>775</v>
      </c>
      <c r="G5487" t="s">
        <v>776</v>
      </c>
      <c r="I5487" t="s">
        <v>22</v>
      </c>
      <c r="J5487" s="13">
        <v>46097</v>
      </c>
      <c r="K5487" s="13">
        <v>46113</v>
      </c>
      <c r="L5487" t="s">
        <v>1179</v>
      </c>
      <c r="M5487" t="s">
        <v>55</v>
      </c>
      <c r="N5487">
        <v>76094054</v>
      </c>
    </row>
    <row r="5488" spans="1:14" x14ac:dyDescent="0.25">
      <c r="A5488">
        <v>61685235</v>
      </c>
      <c r="B5488" t="s">
        <v>9013</v>
      </c>
      <c r="C5488" t="s">
        <v>11944</v>
      </c>
      <c r="D5488" t="s">
        <v>11945</v>
      </c>
      <c r="E5488">
        <v>8308509255</v>
      </c>
      <c r="F5488" t="s">
        <v>474</v>
      </c>
      <c r="G5488" t="s">
        <v>475</v>
      </c>
      <c r="I5488" t="s">
        <v>132</v>
      </c>
      <c r="J5488" s="13">
        <v>46097</v>
      </c>
      <c r="K5488" s="13">
        <v>46113</v>
      </c>
      <c r="L5488" t="s">
        <v>444</v>
      </c>
      <c r="M5488" t="s">
        <v>59</v>
      </c>
      <c r="N5488">
        <v>76094197</v>
      </c>
    </row>
    <row r="5489" spans="1:14" x14ac:dyDescent="0.25">
      <c r="A5489">
        <v>61687609</v>
      </c>
      <c r="B5489" t="s">
        <v>11946</v>
      </c>
      <c r="C5489" t="s">
        <v>799</v>
      </c>
      <c r="D5489" t="s">
        <v>11947</v>
      </c>
      <c r="E5489">
        <v>5613054412</v>
      </c>
      <c r="F5489" t="s">
        <v>551</v>
      </c>
      <c r="G5489" t="s">
        <v>552</v>
      </c>
      <c r="I5489" t="s">
        <v>42</v>
      </c>
      <c r="J5489" s="13">
        <v>46097</v>
      </c>
      <c r="K5489" s="13">
        <v>46113</v>
      </c>
      <c r="L5489" t="s">
        <v>497</v>
      </c>
      <c r="M5489" t="s">
        <v>56</v>
      </c>
      <c r="N5489">
        <v>76094422</v>
      </c>
    </row>
    <row r="5490" spans="1:14" x14ac:dyDescent="0.25">
      <c r="A5490">
        <v>61686757</v>
      </c>
      <c r="B5490" t="s">
        <v>604</v>
      </c>
      <c r="C5490" t="s">
        <v>1567</v>
      </c>
      <c r="D5490" t="s">
        <v>11948</v>
      </c>
      <c r="E5490" t="s">
        <v>11949</v>
      </c>
      <c r="F5490" t="s">
        <v>448</v>
      </c>
      <c r="G5490" t="s">
        <v>449</v>
      </c>
      <c r="I5490" t="s">
        <v>31</v>
      </c>
      <c r="J5490" s="13">
        <v>46097</v>
      </c>
      <c r="K5490" s="13">
        <v>46113</v>
      </c>
      <c r="L5490" t="s">
        <v>1179</v>
      </c>
      <c r="M5490" t="s">
        <v>58</v>
      </c>
      <c r="N5490">
        <v>76094433</v>
      </c>
    </row>
    <row r="5491" spans="1:14" x14ac:dyDescent="0.25">
      <c r="A5491">
        <v>61689334</v>
      </c>
      <c r="B5491" t="s">
        <v>7073</v>
      </c>
      <c r="C5491" t="s">
        <v>11950</v>
      </c>
      <c r="D5491" t="s">
        <v>11951</v>
      </c>
      <c r="E5491">
        <v>9285149663</v>
      </c>
      <c r="F5491" t="s">
        <v>1345</v>
      </c>
      <c r="G5491" t="s">
        <v>799</v>
      </c>
      <c r="I5491" t="s">
        <v>47</v>
      </c>
      <c r="J5491" s="13">
        <v>46097</v>
      </c>
      <c r="K5491" s="13">
        <v>46113</v>
      </c>
      <c r="L5491" t="s">
        <v>1179</v>
      </c>
      <c r="M5491" t="s">
        <v>54</v>
      </c>
      <c r="N5491">
        <v>76094450</v>
      </c>
    </row>
    <row r="5492" spans="1:14" x14ac:dyDescent="0.25">
      <c r="A5492">
        <v>61688598</v>
      </c>
      <c r="B5492" t="s">
        <v>1033</v>
      </c>
      <c r="C5492" t="s">
        <v>11952</v>
      </c>
      <c r="D5492" t="s">
        <v>11953</v>
      </c>
      <c r="E5492">
        <v>9042000365</v>
      </c>
      <c r="F5492" t="s">
        <v>1013</v>
      </c>
      <c r="G5492" t="s">
        <v>1014</v>
      </c>
      <c r="I5492" t="s">
        <v>43</v>
      </c>
      <c r="J5492" s="13">
        <v>46097</v>
      </c>
      <c r="K5492" s="13">
        <v>46113</v>
      </c>
      <c r="L5492" t="s">
        <v>497</v>
      </c>
      <c r="M5492" t="s">
        <v>56</v>
      </c>
      <c r="N5492">
        <v>76094504</v>
      </c>
    </row>
    <row r="5493" spans="1:14" x14ac:dyDescent="0.25">
      <c r="A5493">
        <v>61691232</v>
      </c>
      <c r="B5493" t="s">
        <v>11954</v>
      </c>
      <c r="C5493" t="s">
        <v>11955</v>
      </c>
      <c r="D5493" t="s">
        <v>11956</v>
      </c>
      <c r="E5493">
        <v>5026043476</v>
      </c>
      <c r="F5493" t="s">
        <v>705</v>
      </c>
      <c r="G5493" t="s">
        <v>706</v>
      </c>
      <c r="I5493" t="s">
        <v>12</v>
      </c>
      <c r="J5493" s="13">
        <v>46097</v>
      </c>
      <c r="K5493" s="13">
        <v>46113</v>
      </c>
      <c r="L5493" t="s">
        <v>490</v>
      </c>
      <c r="M5493" t="s">
        <v>61</v>
      </c>
      <c r="N5493">
        <v>76097412</v>
      </c>
    </row>
    <row r="5494" spans="1:14" x14ac:dyDescent="0.25">
      <c r="A5494">
        <v>61692495</v>
      </c>
      <c r="B5494" t="s">
        <v>2188</v>
      </c>
      <c r="C5494" t="s">
        <v>1475</v>
      </c>
      <c r="D5494" t="s">
        <v>11957</v>
      </c>
      <c r="E5494">
        <v>9047354701</v>
      </c>
      <c r="F5494" t="s">
        <v>807</v>
      </c>
      <c r="G5494" t="s">
        <v>808</v>
      </c>
      <c r="I5494" t="s">
        <v>33</v>
      </c>
      <c r="J5494" s="13">
        <v>46097</v>
      </c>
      <c r="K5494" s="13">
        <v>46113</v>
      </c>
      <c r="L5494" t="s">
        <v>497</v>
      </c>
      <c r="M5494" t="s">
        <v>56</v>
      </c>
      <c r="N5494">
        <v>76097461</v>
      </c>
    </row>
    <row r="5495" spans="1:14" x14ac:dyDescent="0.25">
      <c r="A5495">
        <v>61700275</v>
      </c>
      <c r="B5495" t="s">
        <v>511</v>
      </c>
      <c r="C5495" t="s">
        <v>4803</v>
      </c>
      <c r="D5495" t="s">
        <v>11958</v>
      </c>
      <c r="E5495">
        <v>6025705513</v>
      </c>
      <c r="F5495" t="s">
        <v>10642</v>
      </c>
      <c r="G5495" t="s">
        <v>10643</v>
      </c>
      <c r="I5495" t="s">
        <v>45</v>
      </c>
      <c r="J5495" s="13">
        <v>46097</v>
      </c>
      <c r="K5495" s="13">
        <v>46113</v>
      </c>
      <c r="L5495" t="s">
        <v>1179</v>
      </c>
      <c r="M5495" t="s">
        <v>54</v>
      </c>
      <c r="N5495">
        <v>76099408</v>
      </c>
    </row>
    <row r="5496" spans="1:14" x14ac:dyDescent="0.25">
      <c r="A5496">
        <v>61692670</v>
      </c>
      <c r="B5496" t="s">
        <v>6622</v>
      </c>
      <c r="C5496" t="s">
        <v>3895</v>
      </c>
      <c r="D5496" t="s">
        <v>11959</v>
      </c>
      <c r="E5496">
        <v>6787559144</v>
      </c>
      <c r="F5496" t="s">
        <v>628</v>
      </c>
      <c r="G5496" t="s">
        <v>629</v>
      </c>
      <c r="I5496" t="s">
        <v>24</v>
      </c>
      <c r="J5496" s="13">
        <v>46097</v>
      </c>
      <c r="K5496" s="13">
        <v>46113</v>
      </c>
      <c r="L5496" t="s">
        <v>675</v>
      </c>
      <c r="M5496" t="s">
        <v>60</v>
      </c>
      <c r="N5496">
        <v>76100586</v>
      </c>
    </row>
    <row r="5497" spans="1:14" x14ac:dyDescent="0.25">
      <c r="A5497">
        <v>61764182</v>
      </c>
      <c r="B5497" t="s">
        <v>645</v>
      </c>
      <c r="C5497" t="s">
        <v>4115</v>
      </c>
      <c r="D5497" t="s">
        <v>11960</v>
      </c>
      <c r="E5497">
        <v>8168799882</v>
      </c>
      <c r="F5497" t="s">
        <v>10253</v>
      </c>
      <c r="G5497" t="s">
        <v>781</v>
      </c>
      <c r="I5497" t="s">
        <v>36</v>
      </c>
      <c r="J5497" s="13">
        <v>46098</v>
      </c>
      <c r="K5497" s="13">
        <v>46113</v>
      </c>
      <c r="L5497" t="s">
        <v>434</v>
      </c>
      <c r="M5497" t="s">
        <v>59</v>
      </c>
      <c r="N5497">
        <v>76101292</v>
      </c>
    </row>
    <row r="5498" spans="1:14" x14ac:dyDescent="0.25">
      <c r="A5498">
        <v>61699096</v>
      </c>
      <c r="B5498" t="s">
        <v>498</v>
      </c>
      <c r="C5498" t="s">
        <v>11961</v>
      </c>
      <c r="D5498" t="s">
        <v>11962</v>
      </c>
      <c r="E5498">
        <v>4174379416</v>
      </c>
      <c r="F5498" t="s">
        <v>551</v>
      </c>
      <c r="G5498" t="s">
        <v>552</v>
      </c>
      <c r="I5498" t="s">
        <v>42</v>
      </c>
      <c r="J5498" s="13">
        <v>46097</v>
      </c>
      <c r="K5498" s="13">
        <v>46113</v>
      </c>
      <c r="L5498" t="s">
        <v>434</v>
      </c>
      <c r="M5498" t="s">
        <v>56</v>
      </c>
      <c r="N5498">
        <v>76102333</v>
      </c>
    </row>
    <row r="5499" spans="1:14" x14ac:dyDescent="0.25">
      <c r="A5499">
        <v>61707136</v>
      </c>
      <c r="B5499" t="s">
        <v>1297</v>
      </c>
      <c r="C5499" t="s">
        <v>4095</v>
      </c>
      <c r="D5499" t="s">
        <v>11963</v>
      </c>
      <c r="E5499" t="s">
        <v>11964</v>
      </c>
      <c r="F5499" t="s">
        <v>649</v>
      </c>
      <c r="G5499" t="s">
        <v>650</v>
      </c>
      <c r="I5499" t="s">
        <v>28</v>
      </c>
      <c r="J5499" s="13">
        <v>46097</v>
      </c>
      <c r="K5499" s="13">
        <v>46113</v>
      </c>
      <c r="L5499" t="s">
        <v>434</v>
      </c>
      <c r="M5499" t="s">
        <v>58</v>
      </c>
      <c r="N5499">
        <v>76104305</v>
      </c>
    </row>
    <row r="5500" spans="1:14" x14ac:dyDescent="0.25">
      <c r="A5500">
        <v>61707401</v>
      </c>
      <c r="B5500" t="s">
        <v>4080</v>
      </c>
      <c r="C5500" t="s">
        <v>546</v>
      </c>
      <c r="D5500" t="s">
        <v>11965</v>
      </c>
      <c r="E5500">
        <v>5736320202</v>
      </c>
      <c r="F5500" t="s">
        <v>828</v>
      </c>
      <c r="G5500" t="s">
        <v>1148</v>
      </c>
      <c r="I5500" t="s">
        <v>17</v>
      </c>
      <c r="J5500" s="13">
        <v>46097</v>
      </c>
      <c r="K5500" s="13">
        <v>46113</v>
      </c>
      <c r="L5500" t="s">
        <v>434</v>
      </c>
      <c r="M5500" t="s">
        <v>56</v>
      </c>
      <c r="N5500">
        <v>76105375</v>
      </c>
    </row>
    <row r="5501" spans="1:14" x14ac:dyDescent="0.25">
      <c r="A5501">
        <v>61707179</v>
      </c>
      <c r="B5501" t="s">
        <v>11966</v>
      </c>
      <c r="C5501" t="s">
        <v>5661</v>
      </c>
      <c r="D5501" t="s">
        <v>11967</v>
      </c>
      <c r="E5501">
        <v>5206001154</v>
      </c>
      <c r="F5501" t="s">
        <v>775</v>
      </c>
      <c r="G5501" t="s">
        <v>776</v>
      </c>
      <c r="I5501" t="s">
        <v>22</v>
      </c>
      <c r="J5501" s="13">
        <v>46097</v>
      </c>
      <c r="K5501" s="13">
        <v>46113</v>
      </c>
      <c r="L5501" t="s">
        <v>1179</v>
      </c>
      <c r="M5501" t="s">
        <v>54</v>
      </c>
      <c r="N5501">
        <v>76108239</v>
      </c>
    </row>
    <row r="5502" spans="1:14" x14ac:dyDescent="0.25">
      <c r="A5502">
        <v>61707349</v>
      </c>
      <c r="B5502" t="s">
        <v>5261</v>
      </c>
      <c r="C5502" t="s">
        <v>11968</v>
      </c>
      <c r="D5502" t="s">
        <v>2423</v>
      </c>
      <c r="E5502">
        <v>5126797144</v>
      </c>
      <c r="F5502" t="s">
        <v>1067</v>
      </c>
      <c r="G5502" t="s">
        <v>1068</v>
      </c>
      <c r="I5502" t="s">
        <v>35</v>
      </c>
      <c r="J5502" s="13">
        <v>46097</v>
      </c>
      <c r="K5502" s="13">
        <v>46113</v>
      </c>
      <c r="L5502" t="s">
        <v>444</v>
      </c>
      <c r="M5502" t="s">
        <v>59</v>
      </c>
      <c r="N5502">
        <v>76108809</v>
      </c>
    </row>
    <row r="5503" spans="1:14" x14ac:dyDescent="0.25">
      <c r="A5503">
        <v>61707450</v>
      </c>
      <c r="B5503" t="s">
        <v>3459</v>
      </c>
      <c r="C5503" t="s">
        <v>11969</v>
      </c>
      <c r="D5503" t="s">
        <v>11970</v>
      </c>
      <c r="E5503">
        <v>9283244042</v>
      </c>
      <c r="F5503" t="s">
        <v>807</v>
      </c>
      <c r="G5503" t="s">
        <v>808</v>
      </c>
      <c r="I5503" t="s">
        <v>33</v>
      </c>
      <c r="J5503" s="13">
        <v>46097</v>
      </c>
      <c r="K5503" s="13">
        <v>46113</v>
      </c>
      <c r="L5503" t="s">
        <v>1179</v>
      </c>
      <c r="M5503" t="s">
        <v>59</v>
      </c>
      <c r="N5503">
        <v>76108828</v>
      </c>
    </row>
    <row r="5504" spans="1:14" x14ac:dyDescent="0.25">
      <c r="A5504">
        <v>61748103</v>
      </c>
      <c r="B5504" t="s">
        <v>1408</v>
      </c>
      <c r="C5504" t="s">
        <v>11971</v>
      </c>
      <c r="D5504" t="s">
        <v>11972</v>
      </c>
      <c r="E5504">
        <v>6062490730</v>
      </c>
      <c r="F5504" t="s">
        <v>705</v>
      </c>
      <c r="G5504" t="s">
        <v>706</v>
      </c>
      <c r="I5504" t="s">
        <v>12</v>
      </c>
      <c r="J5504" s="13">
        <v>46098</v>
      </c>
      <c r="K5504" s="13">
        <v>46113</v>
      </c>
      <c r="L5504" t="s">
        <v>490</v>
      </c>
      <c r="M5504" t="s">
        <v>56</v>
      </c>
      <c r="N5504">
        <v>76114065</v>
      </c>
    </row>
    <row r="5505" spans="1:14" x14ac:dyDescent="0.25">
      <c r="A5505">
        <v>61747917</v>
      </c>
      <c r="B5505" t="s">
        <v>11973</v>
      </c>
      <c r="C5505" t="s">
        <v>707</v>
      </c>
      <c r="D5505" t="s">
        <v>11974</v>
      </c>
      <c r="E5505">
        <v>2512007121</v>
      </c>
      <c r="F5505" t="s">
        <v>448</v>
      </c>
      <c r="G5505" t="s">
        <v>449</v>
      </c>
      <c r="I5505" t="s">
        <v>31</v>
      </c>
      <c r="J5505" s="13">
        <v>46098</v>
      </c>
      <c r="K5505" s="13">
        <v>46113</v>
      </c>
      <c r="L5505" t="s">
        <v>450</v>
      </c>
      <c r="M5505" t="s">
        <v>56</v>
      </c>
      <c r="N5505">
        <v>76114115</v>
      </c>
    </row>
    <row r="5506" spans="1:14" x14ac:dyDescent="0.25">
      <c r="A5506">
        <v>61747635</v>
      </c>
      <c r="B5506" t="s">
        <v>748</v>
      </c>
      <c r="C5506" t="s">
        <v>1098</v>
      </c>
      <c r="D5506" t="s">
        <v>11975</v>
      </c>
      <c r="E5506">
        <v>6157679807</v>
      </c>
      <c r="F5506" t="s">
        <v>10253</v>
      </c>
      <c r="G5506" t="s">
        <v>781</v>
      </c>
      <c r="I5506" t="s">
        <v>36</v>
      </c>
      <c r="J5506" s="13">
        <v>46098</v>
      </c>
      <c r="K5506" s="13">
        <v>46113</v>
      </c>
      <c r="L5506" t="s">
        <v>479</v>
      </c>
      <c r="M5506" t="s">
        <v>59</v>
      </c>
      <c r="N5506">
        <v>76114224</v>
      </c>
    </row>
    <row r="5507" spans="1:14" x14ac:dyDescent="0.25">
      <c r="A5507">
        <v>61748192</v>
      </c>
      <c r="B5507" t="s">
        <v>1248</v>
      </c>
      <c r="C5507" t="s">
        <v>584</v>
      </c>
      <c r="D5507" t="s">
        <v>11976</v>
      </c>
      <c r="E5507">
        <v>8504998985</v>
      </c>
      <c r="F5507" t="s">
        <v>928</v>
      </c>
      <c r="G5507" t="s">
        <v>929</v>
      </c>
      <c r="I5507" t="s">
        <v>30</v>
      </c>
      <c r="J5507" s="13">
        <v>46098</v>
      </c>
      <c r="K5507" s="13">
        <v>46113</v>
      </c>
      <c r="L5507" t="s">
        <v>497</v>
      </c>
      <c r="M5507" t="s">
        <v>56</v>
      </c>
      <c r="N5507">
        <v>76114334</v>
      </c>
    </row>
    <row r="5508" spans="1:14" x14ac:dyDescent="0.25">
      <c r="A5508">
        <v>61750375</v>
      </c>
      <c r="B5508" t="s">
        <v>11977</v>
      </c>
      <c r="C5508" t="s">
        <v>11978</v>
      </c>
      <c r="D5508" t="s">
        <v>11979</v>
      </c>
      <c r="E5508">
        <v>9543587121</v>
      </c>
      <c r="F5508" t="s">
        <v>416</v>
      </c>
      <c r="G5508" t="s">
        <v>417</v>
      </c>
      <c r="I5508" t="s">
        <v>26</v>
      </c>
      <c r="J5508" s="13">
        <v>46098</v>
      </c>
      <c r="K5508" s="13">
        <v>46113</v>
      </c>
      <c r="L5508" t="s">
        <v>497</v>
      </c>
      <c r="M5508" t="s">
        <v>54</v>
      </c>
      <c r="N5508">
        <v>76114404</v>
      </c>
    </row>
    <row r="5509" spans="1:14" x14ac:dyDescent="0.25">
      <c r="A5509">
        <v>61763352</v>
      </c>
      <c r="B5509" t="s">
        <v>3319</v>
      </c>
      <c r="C5509" t="s">
        <v>11980</v>
      </c>
      <c r="D5509" t="s">
        <v>11981</v>
      </c>
      <c r="E5509">
        <v>4803229076</v>
      </c>
      <c r="F5509" t="s">
        <v>815</v>
      </c>
      <c r="G5509" t="s">
        <v>816</v>
      </c>
      <c r="I5509" t="s">
        <v>23</v>
      </c>
      <c r="J5509" s="13">
        <v>46098</v>
      </c>
      <c r="K5509" s="13">
        <v>46113</v>
      </c>
      <c r="L5509" t="s">
        <v>1179</v>
      </c>
      <c r="M5509" t="s">
        <v>54</v>
      </c>
      <c r="N5509">
        <v>76114405</v>
      </c>
    </row>
    <row r="5510" spans="1:14" x14ac:dyDescent="0.25">
      <c r="A5510">
        <v>61753778</v>
      </c>
      <c r="B5510" t="s">
        <v>522</v>
      </c>
      <c r="C5510" t="s">
        <v>11982</v>
      </c>
      <c r="D5510" t="s">
        <v>11983</v>
      </c>
      <c r="E5510">
        <v>9195192634</v>
      </c>
      <c r="F5510" t="s">
        <v>10569</v>
      </c>
      <c r="G5510" t="s">
        <v>10570</v>
      </c>
      <c r="I5510" t="s">
        <v>29</v>
      </c>
      <c r="J5510" s="13">
        <v>46098</v>
      </c>
      <c r="K5510" s="13">
        <v>46113</v>
      </c>
      <c r="L5510" t="s">
        <v>533</v>
      </c>
      <c r="M5510" t="s">
        <v>55</v>
      </c>
      <c r="N5510">
        <v>76115790</v>
      </c>
    </row>
    <row r="5511" spans="1:14" x14ac:dyDescent="0.25">
      <c r="A5511">
        <v>61753186</v>
      </c>
      <c r="B5511" t="s">
        <v>11984</v>
      </c>
      <c r="C5511" t="s">
        <v>11985</v>
      </c>
      <c r="D5511" t="s">
        <v>11986</v>
      </c>
      <c r="E5511">
        <v>6153191163</v>
      </c>
      <c r="F5511" t="s">
        <v>10460</v>
      </c>
      <c r="G5511" t="s">
        <v>6663</v>
      </c>
      <c r="I5511" t="s">
        <v>40</v>
      </c>
      <c r="J5511" s="13">
        <v>46098</v>
      </c>
      <c r="K5511" s="13">
        <v>46113</v>
      </c>
      <c r="L5511" t="s">
        <v>479</v>
      </c>
      <c r="M5511" t="s">
        <v>59</v>
      </c>
      <c r="N5511">
        <v>76115830</v>
      </c>
    </row>
    <row r="5512" spans="1:14" x14ac:dyDescent="0.25">
      <c r="A5512">
        <v>61780108</v>
      </c>
      <c r="B5512" t="s">
        <v>1167</v>
      </c>
      <c r="C5512" t="s">
        <v>11621</v>
      </c>
      <c r="D5512" t="s">
        <v>11987</v>
      </c>
      <c r="E5512">
        <v>5012536172</v>
      </c>
      <c r="F5512" t="s">
        <v>828</v>
      </c>
      <c r="G5512" t="s">
        <v>1148</v>
      </c>
      <c r="I5512" t="s">
        <v>17</v>
      </c>
      <c r="J5512" s="13">
        <v>46098</v>
      </c>
      <c r="K5512" s="13">
        <v>46113</v>
      </c>
      <c r="L5512" t="s">
        <v>553</v>
      </c>
      <c r="M5512" t="s">
        <v>56</v>
      </c>
      <c r="N5512">
        <v>76116042</v>
      </c>
    </row>
    <row r="5513" spans="1:14" x14ac:dyDescent="0.25">
      <c r="A5513">
        <v>61761396</v>
      </c>
      <c r="B5513" t="s">
        <v>4480</v>
      </c>
      <c r="C5513" t="s">
        <v>11988</v>
      </c>
      <c r="D5513" t="s">
        <v>11989</v>
      </c>
      <c r="E5513">
        <v>3309794880</v>
      </c>
      <c r="F5513" t="s">
        <v>551</v>
      </c>
      <c r="G5513" t="s">
        <v>552</v>
      </c>
      <c r="I5513" t="s">
        <v>42</v>
      </c>
      <c r="J5513" s="13">
        <v>46098</v>
      </c>
      <c r="K5513" s="13">
        <v>46113</v>
      </c>
      <c r="L5513" t="s">
        <v>418</v>
      </c>
      <c r="M5513" t="s">
        <v>58</v>
      </c>
      <c r="N5513">
        <v>76117249</v>
      </c>
    </row>
    <row r="5514" spans="1:14" x14ac:dyDescent="0.25">
      <c r="A5514">
        <v>61758605</v>
      </c>
      <c r="B5514" t="s">
        <v>1784</v>
      </c>
      <c r="C5514" t="s">
        <v>1287</v>
      </c>
      <c r="D5514" t="s">
        <v>11990</v>
      </c>
      <c r="E5514">
        <v>5204092716</v>
      </c>
      <c r="F5514" t="s">
        <v>416</v>
      </c>
      <c r="G5514" t="s">
        <v>417</v>
      </c>
      <c r="I5514" t="s">
        <v>26</v>
      </c>
      <c r="J5514" s="13">
        <v>46098</v>
      </c>
      <c r="K5514" s="13">
        <v>46113</v>
      </c>
      <c r="L5514" t="s">
        <v>1179</v>
      </c>
      <c r="M5514" t="s">
        <v>54</v>
      </c>
      <c r="N5514">
        <v>76117860</v>
      </c>
    </row>
    <row r="5515" spans="1:14" x14ac:dyDescent="0.25">
      <c r="A5515">
        <v>61757891</v>
      </c>
      <c r="B5515" t="s">
        <v>1148</v>
      </c>
      <c r="C5515" t="s">
        <v>2335</v>
      </c>
      <c r="D5515" t="s">
        <v>11991</v>
      </c>
      <c r="E5515">
        <v>6232029648</v>
      </c>
      <c r="F5515" t="s">
        <v>1013</v>
      </c>
      <c r="G5515" t="s">
        <v>1014</v>
      </c>
      <c r="I5515" t="s">
        <v>43</v>
      </c>
      <c r="J5515" s="13">
        <v>46098</v>
      </c>
      <c r="K5515" s="13">
        <v>46113</v>
      </c>
      <c r="L5515" t="s">
        <v>1179</v>
      </c>
      <c r="M5515" t="s">
        <v>58</v>
      </c>
      <c r="N5515">
        <v>76118990</v>
      </c>
    </row>
    <row r="5516" spans="1:14" x14ac:dyDescent="0.25">
      <c r="A5516">
        <v>61765899</v>
      </c>
      <c r="B5516" t="s">
        <v>3699</v>
      </c>
      <c r="C5516" t="s">
        <v>2455</v>
      </c>
      <c r="D5516" t="s">
        <v>11992</v>
      </c>
      <c r="E5516">
        <v>7279430331</v>
      </c>
      <c r="F5516" t="s">
        <v>780</v>
      </c>
      <c r="G5516" t="s">
        <v>781</v>
      </c>
      <c r="I5516" t="s">
        <v>20</v>
      </c>
      <c r="J5516" s="13">
        <v>46098</v>
      </c>
      <c r="K5516" s="13">
        <v>46113</v>
      </c>
      <c r="L5516" t="s">
        <v>497</v>
      </c>
      <c r="M5516" t="s">
        <v>54</v>
      </c>
      <c r="N5516">
        <v>76119277</v>
      </c>
    </row>
    <row r="5517" spans="1:14" x14ac:dyDescent="0.25">
      <c r="A5517">
        <v>61765643</v>
      </c>
      <c r="B5517" t="s">
        <v>2224</v>
      </c>
      <c r="C5517" t="s">
        <v>1287</v>
      </c>
      <c r="D5517" t="s">
        <v>11993</v>
      </c>
      <c r="E5517">
        <v>4797634323</v>
      </c>
      <c r="F5517" t="s">
        <v>705</v>
      </c>
      <c r="G5517" t="s">
        <v>706</v>
      </c>
      <c r="I5517" t="s">
        <v>12</v>
      </c>
      <c r="J5517" s="13">
        <v>46098</v>
      </c>
      <c r="K5517" s="13">
        <v>46113</v>
      </c>
      <c r="L5517" t="s">
        <v>553</v>
      </c>
      <c r="M5517" t="s">
        <v>56</v>
      </c>
      <c r="N5517">
        <v>76120100</v>
      </c>
    </row>
    <row r="5518" spans="1:14" x14ac:dyDescent="0.25">
      <c r="A5518">
        <v>61768300</v>
      </c>
      <c r="B5518" t="s">
        <v>4374</v>
      </c>
      <c r="C5518" t="s">
        <v>788</v>
      </c>
      <c r="D5518" t="s">
        <v>11994</v>
      </c>
      <c r="E5518">
        <v>5132506347</v>
      </c>
      <c r="F5518" t="s">
        <v>1067</v>
      </c>
      <c r="G5518" t="s">
        <v>1068</v>
      </c>
      <c r="I5518" t="s">
        <v>35</v>
      </c>
      <c r="J5518" s="13">
        <v>46098</v>
      </c>
      <c r="K5518" s="13">
        <v>46113</v>
      </c>
      <c r="L5518" t="s">
        <v>418</v>
      </c>
      <c r="M5518" t="s">
        <v>59</v>
      </c>
      <c r="N5518">
        <v>76120599</v>
      </c>
    </row>
    <row r="5519" spans="1:14" x14ac:dyDescent="0.25">
      <c r="A5519">
        <v>61769597</v>
      </c>
      <c r="B5519" t="s">
        <v>9354</v>
      </c>
      <c r="C5519" t="s">
        <v>11995</v>
      </c>
      <c r="D5519" t="s">
        <v>11996</v>
      </c>
      <c r="E5519">
        <v>4802336076</v>
      </c>
      <c r="F5519" t="s">
        <v>628</v>
      </c>
      <c r="G5519" t="s">
        <v>629</v>
      </c>
      <c r="I5519" t="s">
        <v>24</v>
      </c>
      <c r="J5519" s="13">
        <v>46098</v>
      </c>
      <c r="K5519" s="13">
        <v>46113</v>
      </c>
      <c r="L5519" t="s">
        <v>1179</v>
      </c>
      <c r="M5519" t="s">
        <v>59</v>
      </c>
      <c r="N5519">
        <v>76120994</v>
      </c>
    </row>
    <row r="5520" spans="1:14" x14ac:dyDescent="0.25">
      <c r="A5520">
        <v>61771637</v>
      </c>
      <c r="B5520" t="s">
        <v>522</v>
      </c>
      <c r="C5520" t="s">
        <v>11997</v>
      </c>
      <c r="D5520" t="s">
        <v>11998</v>
      </c>
      <c r="E5520">
        <v>9375806297</v>
      </c>
      <c r="F5520" t="s">
        <v>2544</v>
      </c>
      <c r="G5520" t="s">
        <v>4833</v>
      </c>
      <c r="I5520" t="s">
        <v>18</v>
      </c>
      <c r="J5520" s="13">
        <v>46098</v>
      </c>
      <c r="K5520" s="13">
        <v>46113</v>
      </c>
      <c r="L5520" t="s">
        <v>418</v>
      </c>
      <c r="M5520" t="s">
        <v>55</v>
      </c>
      <c r="N5520">
        <v>76121454</v>
      </c>
    </row>
    <row r="5521" spans="1:14" x14ac:dyDescent="0.25">
      <c r="A5521">
        <v>61774410</v>
      </c>
      <c r="B5521" t="s">
        <v>1160</v>
      </c>
      <c r="C5521" t="s">
        <v>9894</v>
      </c>
      <c r="D5521" t="s">
        <v>11999</v>
      </c>
      <c r="E5521">
        <v>5209095948</v>
      </c>
      <c r="F5521" t="s">
        <v>416</v>
      </c>
      <c r="G5521" t="s">
        <v>417</v>
      </c>
      <c r="I5521" t="s">
        <v>26</v>
      </c>
      <c r="J5521" s="13">
        <v>46098</v>
      </c>
      <c r="K5521" s="13">
        <v>46113</v>
      </c>
      <c r="L5521" t="s">
        <v>1179</v>
      </c>
      <c r="M5521" t="s">
        <v>54</v>
      </c>
      <c r="N5521">
        <v>76121722</v>
      </c>
    </row>
    <row r="5522" spans="1:14" x14ac:dyDescent="0.25">
      <c r="A5522">
        <v>61771405</v>
      </c>
      <c r="B5522" t="s">
        <v>2771</v>
      </c>
      <c r="C5522" t="s">
        <v>2544</v>
      </c>
      <c r="D5522" t="s">
        <v>12000</v>
      </c>
      <c r="E5522">
        <v>2148033840</v>
      </c>
      <c r="F5522" t="s">
        <v>10569</v>
      </c>
      <c r="G5522" t="s">
        <v>10570</v>
      </c>
      <c r="I5522" t="s">
        <v>29</v>
      </c>
      <c r="J5522" s="13">
        <v>46098</v>
      </c>
      <c r="K5522" s="13">
        <v>46113</v>
      </c>
      <c r="L5522" t="s">
        <v>444</v>
      </c>
      <c r="M5522" t="s">
        <v>58</v>
      </c>
      <c r="N5522">
        <v>76121964</v>
      </c>
    </row>
    <row r="5523" spans="1:14" x14ac:dyDescent="0.25">
      <c r="A5523">
        <v>61778685</v>
      </c>
      <c r="B5523" t="s">
        <v>480</v>
      </c>
      <c r="C5523" t="s">
        <v>12001</v>
      </c>
      <c r="D5523" t="s">
        <v>12002</v>
      </c>
      <c r="E5523">
        <v>7273319101</v>
      </c>
      <c r="F5523" t="s">
        <v>815</v>
      </c>
      <c r="G5523" t="s">
        <v>816</v>
      </c>
      <c r="I5523" t="s">
        <v>23</v>
      </c>
      <c r="J5523" s="13">
        <v>46098</v>
      </c>
      <c r="K5523" s="13">
        <v>46113</v>
      </c>
      <c r="L5523" t="s">
        <v>497</v>
      </c>
      <c r="M5523" t="s">
        <v>56</v>
      </c>
      <c r="N5523">
        <v>76122040</v>
      </c>
    </row>
    <row r="5524" spans="1:14" x14ac:dyDescent="0.25">
      <c r="A5524">
        <v>61772921</v>
      </c>
      <c r="B5524" t="s">
        <v>12003</v>
      </c>
      <c r="C5524" t="s">
        <v>528</v>
      </c>
      <c r="D5524" t="s">
        <v>12004</v>
      </c>
      <c r="E5524">
        <v>7274551697</v>
      </c>
      <c r="F5524" t="s">
        <v>928</v>
      </c>
      <c r="G5524" t="s">
        <v>929</v>
      </c>
      <c r="I5524" t="s">
        <v>30</v>
      </c>
      <c r="J5524" s="13">
        <v>46098</v>
      </c>
      <c r="K5524" s="13">
        <v>46113</v>
      </c>
      <c r="L5524" t="s">
        <v>497</v>
      </c>
      <c r="M5524" t="s">
        <v>56</v>
      </c>
      <c r="N5524">
        <v>76122149</v>
      </c>
    </row>
    <row r="5525" spans="1:14" x14ac:dyDescent="0.25">
      <c r="A5525">
        <v>61778072</v>
      </c>
      <c r="B5525" t="s">
        <v>1772</v>
      </c>
      <c r="C5525" t="s">
        <v>1203</v>
      </c>
      <c r="D5525" t="s">
        <v>12005</v>
      </c>
      <c r="E5525">
        <v>3609614715</v>
      </c>
      <c r="F5525" t="s">
        <v>780</v>
      </c>
      <c r="G5525" t="s">
        <v>781</v>
      </c>
      <c r="I5525" t="s">
        <v>20</v>
      </c>
      <c r="J5525" s="13">
        <v>46098</v>
      </c>
      <c r="K5525" s="13">
        <v>46113</v>
      </c>
      <c r="L5525" t="s">
        <v>1179</v>
      </c>
      <c r="M5525" t="s">
        <v>56</v>
      </c>
      <c r="N5525">
        <v>76122372</v>
      </c>
    </row>
    <row r="5526" spans="1:14" x14ac:dyDescent="0.25">
      <c r="A5526">
        <v>61780122</v>
      </c>
      <c r="B5526" t="s">
        <v>12006</v>
      </c>
      <c r="C5526" t="s">
        <v>12007</v>
      </c>
      <c r="D5526" t="s">
        <v>12008</v>
      </c>
      <c r="E5526">
        <v>2146859913</v>
      </c>
      <c r="F5526" t="s">
        <v>705</v>
      </c>
      <c r="G5526" t="s">
        <v>706</v>
      </c>
      <c r="I5526" t="s">
        <v>12</v>
      </c>
      <c r="J5526" s="13">
        <v>46098</v>
      </c>
      <c r="K5526" s="13">
        <v>46113</v>
      </c>
      <c r="L5526" t="s">
        <v>444</v>
      </c>
      <c r="M5526" t="s">
        <v>55</v>
      </c>
      <c r="N5526">
        <v>76122837</v>
      </c>
    </row>
    <row r="5527" spans="1:14" x14ac:dyDescent="0.25">
      <c r="A5527">
        <v>61777990</v>
      </c>
      <c r="B5527" t="s">
        <v>3535</v>
      </c>
      <c r="C5527" t="s">
        <v>515</v>
      </c>
      <c r="D5527" t="s">
        <v>12009</v>
      </c>
      <c r="E5527">
        <v>8645869709</v>
      </c>
      <c r="F5527" t="s">
        <v>828</v>
      </c>
      <c r="G5527" t="s">
        <v>1148</v>
      </c>
      <c r="I5527" t="s">
        <v>17</v>
      </c>
      <c r="J5527" s="13">
        <v>46098</v>
      </c>
      <c r="K5527" s="13">
        <v>46113</v>
      </c>
      <c r="L5527" t="s">
        <v>533</v>
      </c>
      <c r="M5527" t="s">
        <v>55</v>
      </c>
      <c r="N5527">
        <v>76122842</v>
      </c>
    </row>
    <row r="5528" spans="1:14" x14ac:dyDescent="0.25">
      <c r="A5528">
        <v>61773666</v>
      </c>
      <c r="B5528" t="s">
        <v>5588</v>
      </c>
      <c r="C5528" t="s">
        <v>12010</v>
      </c>
      <c r="D5528" t="s">
        <v>12011</v>
      </c>
      <c r="E5528">
        <v>3142771046</v>
      </c>
      <c r="F5528" t="s">
        <v>775</v>
      </c>
      <c r="G5528" t="s">
        <v>776</v>
      </c>
      <c r="I5528" t="s">
        <v>22</v>
      </c>
      <c r="J5528" s="13">
        <v>46098</v>
      </c>
      <c r="K5528" s="13">
        <v>46113</v>
      </c>
      <c r="L5528" t="s">
        <v>434</v>
      </c>
      <c r="M5528" t="s">
        <v>59</v>
      </c>
      <c r="N5528">
        <v>76123170</v>
      </c>
    </row>
    <row r="5529" spans="1:14" x14ac:dyDescent="0.25">
      <c r="A5529">
        <v>61782268</v>
      </c>
      <c r="B5529" t="s">
        <v>1978</v>
      </c>
      <c r="C5529" t="s">
        <v>12012</v>
      </c>
      <c r="D5529" t="s">
        <v>12013</v>
      </c>
      <c r="E5529">
        <v>8703021310</v>
      </c>
      <c r="F5529" t="s">
        <v>628</v>
      </c>
      <c r="G5529" t="s">
        <v>629</v>
      </c>
      <c r="I5529" t="s">
        <v>24</v>
      </c>
      <c r="J5529" s="13">
        <v>46098</v>
      </c>
      <c r="K5529" s="13">
        <v>46113</v>
      </c>
      <c r="L5529" t="s">
        <v>553</v>
      </c>
      <c r="M5529" t="s">
        <v>58</v>
      </c>
      <c r="N5529">
        <v>76125314</v>
      </c>
    </row>
    <row r="5530" spans="1:14" x14ac:dyDescent="0.25">
      <c r="A5530">
        <v>61782967</v>
      </c>
      <c r="B5530" t="s">
        <v>1797</v>
      </c>
      <c r="C5530" t="s">
        <v>8616</v>
      </c>
      <c r="D5530" t="s">
        <v>12014</v>
      </c>
      <c r="E5530">
        <v>7152965099</v>
      </c>
      <c r="F5530" t="s">
        <v>1067</v>
      </c>
      <c r="G5530" t="s">
        <v>1068</v>
      </c>
      <c r="I5530" t="s">
        <v>35</v>
      </c>
      <c r="J5530" s="13">
        <v>46098</v>
      </c>
      <c r="K5530" s="13">
        <v>46113</v>
      </c>
      <c r="L5530" t="s">
        <v>497</v>
      </c>
      <c r="M5530" t="s">
        <v>59</v>
      </c>
      <c r="N5530">
        <v>76126001</v>
      </c>
    </row>
    <row r="5531" spans="1:14" x14ac:dyDescent="0.25">
      <c r="A5531">
        <v>61785856</v>
      </c>
      <c r="B5531" t="s">
        <v>8494</v>
      </c>
      <c r="C5531" t="s">
        <v>423</v>
      </c>
      <c r="D5531" t="s">
        <v>12015</v>
      </c>
      <c r="E5531">
        <v>7722673241</v>
      </c>
      <c r="F5531" t="s">
        <v>416</v>
      </c>
      <c r="G5531" t="s">
        <v>417</v>
      </c>
      <c r="I5531" t="s">
        <v>26</v>
      </c>
      <c r="J5531" s="13">
        <v>46098</v>
      </c>
      <c r="K5531" s="13">
        <v>46113</v>
      </c>
      <c r="L5531" t="s">
        <v>497</v>
      </c>
      <c r="M5531" t="s">
        <v>54</v>
      </c>
      <c r="N5531">
        <v>76126336</v>
      </c>
    </row>
    <row r="5532" spans="1:14" x14ac:dyDescent="0.25">
      <c r="A5532">
        <v>61793650</v>
      </c>
      <c r="B5532" t="s">
        <v>5496</v>
      </c>
      <c r="C5532" t="s">
        <v>3669</v>
      </c>
      <c r="E5532">
        <v>7274593414</v>
      </c>
      <c r="F5532" t="s">
        <v>770</v>
      </c>
      <c r="G5532" t="s">
        <v>771</v>
      </c>
      <c r="I5532" t="s">
        <v>25</v>
      </c>
      <c r="J5532" s="13">
        <v>46098</v>
      </c>
      <c r="K5532" s="13">
        <v>46113</v>
      </c>
      <c r="L5532" t="s">
        <v>497</v>
      </c>
      <c r="M5532" t="s">
        <v>54</v>
      </c>
      <c r="N5532">
        <v>76126412</v>
      </c>
    </row>
    <row r="5533" spans="1:14" x14ac:dyDescent="0.25">
      <c r="A5533">
        <v>61788618</v>
      </c>
      <c r="B5533" t="s">
        <v>3561</v>
      </c>
      <c r="C5533" t="s">
        <v>1644</v>
      </c>
      <c r="D5533" t="s">
        <v>12016</v>
      </c>
      <c r="E5533">
        <v>2147793042</v>
      </c>
      <c r="F5533" t="s">
        <v>474</v>
      </c>
      <c r="G5533" t="s">
        <v>475</v>
      </c>
      <c r="I5533" t="s">
        <v>132</v>
      </c>
      <c r="J5533" s="13">
        <v>46098</v>
      </c>
      <c r="K5533" s="13">
        <v>46113</v>
      </c>
      <c r="L5533" t="s">
        <v>444</v>
      </c>
      <c r="M5533" t="s">
        <v>419</v>
      </c>
      <c r="N5533">
        <v>76126636</v>
      </c>
    </row>
    <row r="5534" spans="1:14" x14ac:dyDescent="0.25">
      <c r="A5534">
        <v>61791658</v>
      </c>
      <c r="B5534" t="s">
        <v>604</v>
      </c>
      <c r="C5534" t="s">
        <v>1287</v>
      </c>
      <c r="D5534" t="s">
        <v>12017</v>
      </c>
      <c r="E5534">
        <v>6236285868</v>
      </c>
      <c r="F5534" t="s">
        <v>10591</v>
      </c>
      <c r="G5534" t="s">
        <v>10215</v>
      </c>
      <c r="I5534" t="s">
        <v>32</v>
      </c>
      <c r="J5534" s="13">
        <v>46098</v>
      </c>
      <c r="K5534" s="13">
        <v>46113</v>
      </c>
      <c r="L5534" t="s">
        <v>1179</v>
      </c>
      <c r="M5534" t="s">
        <v>54</v>
      </c>
      <c r="N5534">
        <v>76126678</v>
      </c>
    </row>
    <row r="5535" spans="1:14" x14ac:dyDescent="0.25">
      <c r="A5535">
        <v>61794851</v>
      </c>
      <c r="B5535" t="s">
        <v>8117</v>
      </c>
      <c r="C5535" t="s">
        <v>8523</v>
      </c>
      <c r="D5535" t="s">
        <v>12018</v>
      </c>
      <c r="E5535">
        <v>2104046001</v>
      </c>
      <c r="F5535" t="s">
        <v>10569</v>
      </c>
      <c r="G5535" t="s">
        <v>10570</v>
      </c>
      <c r="I5535" t="s">
        <v>29</v>
      </c>
      <c r="J5535" s="13">
        <v>46098</v>
      </c>
      <c r="K5535" s="13">
        <v>46113</v>
      </c>
      <c r="L5535" t="s">
        <v>444</v>
      </c>
      <c r="M5535" t="s">
        <v>58</v>
      </c>
      <c r="N5535">
        <v>76127009</v>
      </c>
    </row>
    <row r="5536" spans="1:14" x14ac:dyDescent="0.25">
      <c r="A5536">
        <v>62297560</v>
      </c>
      <c r="B5536" t="s">
        <v>12019</v>
      </c>
      <c r="C5536" t="s">
        <v>12020</v>
      </c>
      <c r="D5536" t="s">
        <v>12021</v>
      </c>
      <c r="E5536">
        <v>2072428880</v>
      </c>
      <c r="F5536" t="s">
        <v>828</v>
      </c>
      <c r="G5536" t="s">
        <v>1148</v>
      </c>
      <c r="I5536" t="s">
        <v>17</v>
      </c>
      <c r="J5536" s="13">
        <v>46106</v>
      </c>
      <c r="K5536" s="13">
        <v>46113</v>
      </c>
      <c r="L5536" t="s">
        <v>941</v>
      </c>
      <c r="M5536" t="s">
        <v>56</v>
      </c>
      <c r="N5536">
        <v>76127115</v>
      </c>
    </row>
    <row r="5537" spans="1:14" x14ac:dyDescent="0.25">
      <c r="A5537">
        <v>61795786</v>
      </c>
      <c r="B5537" t="s">
        <v>2900</v>
      </c>
      <c r="C5537" t="s">
        <v>12022</v>
      </c>
      <c r="D5537" t="s">
        <v>12023</v>
      </c>
      <c r="E5537">
        <v>5613760134</v>
      </c>
      <c r="F5537" t="s">
        <v>780</v>
      </c>
      <c r="G5537" t="s">
        <v>781</v>
      </c>
      <c r="I5537" t="s">
        <v>20</v>
      </c>
      <c r="J5537" s="13">
        <v>46098</v>
      </c>
      <c r="K5537" s="13">
        <v>46174</v>
      </c>
      <c r="L5537" t="s">
        <v>497</v>
      </c>
      <c r="M5537" t="s">
        <v>56</v>
      </c>
      <c r="N5537">
        <v>76127116</v>
      </c>
    </row>
    <row r="5538" spans="1:14" x14ac:dyDescent="0.25">
      <c r="A5538">
        <v>61793372</v>
      </c>
      <c r="B5538" t="s">
        <v>12024</v>
      </c>
      <c r="C5538" t="s">
        <v>12025</v>
      </c>
      <c r="D5538" t="s">
        <v>12026</v>
      </c>
      <c r="E5538">
        <v>2183309220</v>
      </c>
      <c r="F5538" t="s">
        <v>628</v>
      </c>
      <c r="G5538" t="s">
        <v>629</v>
      </c>
      <c r="I5538" t="s">
        <v>24</v>
      </c>
      <c r="J5538" s="13">
        <v>46098</v>
      </c>
      <c r="K5538" s="13">
        <v>46113</v>
      </c>
      <c r="L5538" t="s">
        <v>539</v>
      </c>
      <c r="M5538" t="s">
        <v>59</v>
      </c>
      <c r="N5538">
        <v>76127441</v>
      </c>
    </row>
    <row r="5539" spans="1:14" x14ac:dyDescent="0.25">
      <c r="A5539">
        <v>61793944</v>
      </c>
      <c r="B5539" t="s">
        <v>604</v>
      </c>
      <c r="C5539" t="s">
        <v>12027</v>
      </c>
      <c r="D5539" t="s">
        <v>12028</v>
      </c>
      <c r="E5539">
        <v>8706880349</v>
      </c>
      <c r="F5539" t="s">
        <v>1067</v>
      </c>
      <c r="G5539" t="s">
        <v>1068</v>
      </c>
      <c r="I5539" t="s">
        <v>35</v>
      </c>
      <c r="J5539" s="13">
        <v>46098</v>
      </c>
      <c r="K5539" s="13">
        <v>46113</v>
      </c>
      <c r="L5539" t="s">
        <v>553</v>
      </c>
      <c r="M5539" t="s">
        <v>58</v>
      </c>
      <c r="N5539">
        <v>76127468</v>
      </c>
    </row>
    <row r="5540" spans="1:14" x14ac:dyDescent="0.25">
      <c r="A5540">
        <v>61840530</v>
      </c>
      <c r="B5540" t="s">
        <v>4139</v>
      </c>
      <c r="C5540" t="s">
        <v>12029</v>
      </c>
      <c r="D5540" t="s">
        <v>12030</v>
      </c>
      <c r="E5540" t="s">
        <v>12031</v>
      </c>
      <c r="F5540" t="s">
        <v>649</v>
      </c>
      <c r="G5540" t="s">
        <v>650</v>
      </c>
      <c r="I5540" t="s">
        <v>28</v>
      </c>
      <c r="J5540" s="13">
        <v>46099</v>
      </c>
      <c r="K5540" s="13">
        <v>46113</v>
      </c>
      <c r="L5540" t="s">
        <v>444</v>
      </c>
      <c r="M5540" t="s">
        <v>60</v>
      </c>
      <c r="N5540">
        <v>76131619</v>
      </c>
    </row>
    <row r="5541" spans="1:14" x14ac:dyDescent="0.25">
      <c r="A5541">
        <v>61840593</v>
      </c>
      <c r="B5541" t="s">
        <v>1010</v>
      </c>
      <c r="C5541" t="s">
        <v>741</v>
      </c>
      <c r="D5541" t="s">
        <v>12032</v>
      </c>
      <c r="E5541">
        <v>8706756191</v>
      </c>
      <c r="F5541" t="s">
        <v>2544</v>
      </c>
      <c r="G5541" t="s">
        <v>4833</v>
      </c>
      <c r="I5541" t="s">
        <v>18</v>
      </c>
      <c r="J5541" s="13">
        <v>46099</v>
      </c>
      <c r="K5541" s="13">
        <v>46113</v>
      </c>
      <c r="L5541" t="s">
        <v>553</v>
      </c>
      <c r="M5541" t="s">
        <v>58</v>
      </c>
      <c r="N5541">
        <v>76131692</v>
      </c>
    </row>
    <row r="5542" spans="1:14" x14ac:dyDescent="0.25">
      <c r="A5542">
        <v>61841039</v>
      </c>
      <c r="B5542" t="s">
        <v>12033</v>
      </c>
      <c r="C5542" t="s">
        <v>964</v>
      </c>
      <c r="D5542" t="s">
        <v>12034</v>
      </c>
      <c r="E5542">
        <v>8597399175</v>
      </c>
      <c r="F5542" t="s">
        <v>705</v>
      </c>
      <c r="G5542" t="s">
        <v>706</v>
      </c>
      <c r="I5542" t="s">
        <v>12</v>
      </c>
      <c r="J5542" s="13">
        <v>46099</v>
      </c>
      <c r="K5542" s="13">
        <v>46113</v>
      </c>
      <c r="L5542" t="s">
        <v>490</v>
      </c>
      <c r="M5542" t="s">
        <v>61</v>
      </c>
      <c r="N5542">
        <v>76131704</v>
      </c>
    </row>
    <row r="5543" spans="1:14" x14ac:dyDescent="0.25">
      <c r="A5543">
        <v>61845487</v>
      </c>
      <c r="B5543" t="s">
        <v>672</v>
      </c>
      <c r="C5543" t="s">
        <v>12035</v>
      </c>
      <c r="D5543" t="s">
        <v>12036</v>
      </c>
      <c r="E5543">
        <v>4179732999</v>
      </c>
      <c r="F5543" t="s">
        <v>10642</v>
      </c>
      <c r="G5543" t="s">
        <v>10643</v>
      </c>
      <c r="I5543" t="s">
        <v>45</v>
      </c>
      <c r="J5543" s="13">
        <v>46099</v>
      </c>
      <c r="K5543" s="13">
        <v>46113</v>
      </c>
      <c r="L5543" t="s">
        <v>434</v>
      </c>
      <c r="M5543" t="s">
        <v>59</v>
      </c>
      <c r="N5543">
        <v>76131737</v>
      </c>
    </row>
    <row r="5544" spans="1:14" x14ac:dyDescent="0.25">
      <c r="A5544">
        <v>61848435</v>
      </c>
      <c r="B5544" t="s">
        <v>718</v>
      </c>
      <c r="C5544" t="s">
        <v>2272</v>
      </c>
      <c r="D5544" t="s">
        <v>12037</v>
      </c>
      <c r="E5544">
        <v>4173103038</v>
      </c>
      <c r="F5544" t="s">
        <v>474</v>
      </c>
      <c r="G5544" t="s">
        <v>475</v>
      </c>
      <c r="I5544" t="s">
        <v>132</v>
      </c>
      <c r="J5544" s="13">
        <v>46099</v>
      </c>
      <c r="K5544" s="13">
        <v>46113</v>
      </c>
      <c r="L5544" t="s">
        <v>434</v>
      </c>
      <c r="M5544" t="s">
        <v>59</v>
      </c>
      <c r="N5544">
        <v>76132416</v>
      </c>
    </row>
    <row r="5545" spans="1:14" x14ac:dyDescent="0.25">
      <c r="A5545">
        <v>61846516</v>
      </c>
      <c r="B5545" t="s">
        <v>4374</v>
      </c>
      <c r="C5545" t="s">
        <v>12038</v>
      </c>
      <c r="D5545" t="s">
        <v>12039</v>
      </c>
      <c r="E5545">
        <v>9415264388</v>
      </c>
      <c r="F5545" t="s">
        <v>628</v>
      </c>
      <c r="G5545" t="s">
        <v>629</v>
      </c>
      <c r="I5545" t="s">
        <v>24</v>
      </c>
      <c r="J5545" s="13">
        <v>46099</v>
      </c>
      <c r="K5545" s="13">
        <v>46113</v>
      </c>
      <c r="L5545" t="s">
        <v>497</v>
      </c>
      <c r="M5545" t="s">
        <v>61</v>
      </c>
      <c r="N5545">
        <v>76133955</v>
      </c>
    </row>
    <row r="5546" spans="1:14" x14ac:dyDescent="0.25">
      <c r="A5546">
        <v>61855069</v>
      </c>
      <c r="B5546" t="s">
        <v>948</v>
      </c>
      <c r="C5546" t="s">
        <v>1587</v>
      </c>
      <c r="D5546" t="s">
        <v>12040</v>
      </c>
      <c r="E5546">
        <v>4803715953</v>
      </c>
      <c r="F5546" t="s">
        <v>10460</v>
      </c>
      <c r="G5546" t="s">
        <v>6663</v>
      </c>
      <c r="I5546" t="s">
        <v>40</v>
      </c>
      <c r="J5546" s="13">
        <v>46099</v>
      </c>
      <c r="K5546" s="13">
        <v>46113</v>
      </c>
      <c r="L5546" t="s">
        <v>1179</v>
      </c>
      <c r="M5546" t="s">
        <v>56</v>
      </c>
      <c r="N5546">
        <v>76136769</v>
      </c>
    </row>
    <row r="5547" spans="1:14" x14ac:dyDescent="0.25">
      <c r="A5547">
        <v>61858910</v>
      </c>
      <c r="B5547" t="s">
        <v>522</v>
      </c>
      <c r="C5547" t="s">
        <v>2194</v>
      </c>
      <c r="D5547" t="s">
        <v>12041</v>
      </c>
      <c r="E5547">
        <v>4803300993</v>
      </c>
      <c r="F5547" t="s">
        <v>416</v>
      </c>
      <c r="G5547" t="s">
        <v>417</v>
      </c>
      <c r="I5547" t="s">
        <v>26</v>
      </c>
      <c r="J5547" s="13">
        <v>46099</v>
      </c>
      <c r="K5547" s="13">
        <v>46113</v>
      </c>
      <c r="L5547" t="s">
        <v>1179</v>
      </c>
      <c r="M5547" t="s">
        <v>55</v>
      </c>
      <c r="N5547">
        <v>76136883</v>
      </c>
    </row>
    <row r="5548" spans="1:14" x14ac:dyDescent="0.25">
      <c r="A5548">
        <v>61854791</v>
      </c>
      <c r="B5548" t="s">
        <v>501</v>
      </c>
      <c r="C5548" t="s">
        <v>12042</v>
      </c>
      <c r="D5548" t="s">
        <v>12043</v>
      </c>
      <c r="E5548">
        <v>5017573196</v>
      </c>
      <c r="F5548" t="s">
        <v>1067</v>
      </c>
      <c r="G5548" t="s">
        <v>1068</v>
      </c>
      <c r="I5548" t="s">
        <v>35</v>
      </c>
      <c r="J5548" s="13">
        <v>46099</v>
      </c>
      <c r="K5548" s="13">
        <v>46113</v>
      </c>
      <c r="L5548" t="s">
        <v>553</v>
      </c>
      <c r="M5548" t="s">
        <v>58</v>
      </c>
      <c r="N5548">
        <v>76137228</v>
      </c>
    </row>
    <row r="5549" spans="1:14" x14ac:dyDescent="0.25">
      <c r="A5549">
        <v>61861694</v>
      </c>
      <c r="B5549" t="s">
        <v>1038</v>
      </c>
      <c r="C5549" t="s">
        <v>12044</v>
      </c>
      <c r="D5549" t="s">
        <v>12045</v>
      </c>
      <c r="E5549">
        <v>9702006770</v>
      </c>
      <c r="F5549" t="s">
        <v>1345</v>
      </c>
      <c r="G5549" t="s">
        <v>799</v>
      </c>
      <c r="I5549" t="s">
        <v>47</v>
      </c>
      <c r="J5549" s="13">
        <v>46099</v>
      </c>
      <c r="K5549" s="13">
        <v>46113</v>
      </c>
      <c r="L5549" t="s">
        <v>1179</v>
      </c>
      <c r="M5549" t="s">
        <v>54</v>
      </c>
      <c r="N5549">
        <v>76138576</v>
      </c>
    </row>
    <row r="5550" spans="1:14" x14ac:dyDescent="0.25">
      <c r="A5550">
        <v>61875563</v>
      </c>
      <c r="B5550" t="s">
        <v>2193</v>
      </c>
      <c r="C5550" t="s">
        <v>12046</v>
      </c>
      <c r="D5550" t="s">
        <v>12047</v>
      </c>
      <c r="E5550">
        <v>2105967795</v>
      </c>
      <c r="F5550" t="s">
        <v>667</v>
      </c>
      <c r="G5550" t="s">
        <v>668</v>
      </c>
      <c r="I5550" t="s">
        <v>37</v>
      </c>
      <c r="J5550" s="13">
        <v>46099</v>
      </c>
      <c r="K5550" s="13">
        <v>46113</v>
      </c>
      <c r="L5550" t="s">
        <v>444</v>
      </c>
      <c r="M5550" t="s">
        <v>59</v>
      </c>
      <c r="N5550">
        <v>76140252</v>
      </c>
    </row>
    <row r="5551" spans="1:14" x14ac:dyDescent="0.25">
      <c r="A5551">
        <v>61860736</v>
      </c>
      <c r="B5551" t="s">
        <v>476</v>
      </c>
      <c r="C5551" t="s">
        <v>1448</v>
      </c>
      <c r="D5551" t="s">
        <v>12048</v>
      </c>
      <c r="E5551" t="s">
        <v>12049</v>
      </c>
      <c r="F5551" t="s">
        <v>474</v>
      </c>
      <c r="G5551" t="s">
        <v>475</v>
      </c>
      <c r="I5551" t="s">
        <v>132</v>
      </c>
      <c r="J5551" s="13">
        <v>46099</v>
      </c>
      <c r="K5551" s="13">
        <v>46113</v>
      </c>
      <c r="L5551" t="s">
        <v>490</v>
      </c>
      <c r="M5551" t="s">
        <v>59</v>
      </c>
      <c r="N5551">
        <v>76140567</v>
      </c>
    </row>
    <row r="5552" spans="1:14" x14ac:dyDescent="0.25">
      <c r="A5552">
        <v>61872879</v>
      </c>
      <c r="B5552" t="s">
        <v>1167</v>
      </c>
      <c r="C5552" t="s">
        <v>10372</v>
      </c>
      <c r="D5552" t="s">
        <v>12050</v>
      </c>
      <c r="E5552">
        <v>2145003778</v>
      </c>
      <c r="F5552" t="s">
        <v>1067</v>
      </c>
      <c r="G5552" t="s">
        <v>1068</v>
      </c>
      <c r="I5552" t="s">
        <v>35</v>
      </c>
      <c r="J5552" s="13">
        <v>46099</v>
      </c>
      <c r="K5552" s="13">
        <v>46113</v>
      </c>
      <c r="L5552" t="s">
        <v>444</v>
      </c>
      <c r="M5552" t="s">
        <v>56</v>
      </c>
      <c r="N5552">
        <v>76141869</v>
      </c>
    </row>
    <row r="5553" spans="1:14" x14ac:dyDescent="0.25">
      <c r="A5553">
        <v>61868916</v>
      </c>
      <c r="B5553" t="s">
        <v>12051</v>
      </c>
      <c r="C5553" t="s">
        <v>923</v>
      </c>
      <c r="D5553" t="s">
        <v>12052</v>
      </c>
      <c r="E5553">
        <v>3366058199</v>
      </c>
      <c r="F5553" t="s">
        <v>474</v>
      </c>
      <c r="G5553" t="s">
        <v>475</v>
      </c>
      <c r="I5553" t="s">
        <v>132</v>
      </c>
      <c r="J5553" s="13">
        <v>46099</v>
      </c>
      <c r="K5553" s="13">
        <v>46113</v>
      </c>
      <c r="L5553" t="s">
        <v>497</v>
      </c>
      <c r="M5553" t="s">
        <v>58</v>
      </c>
      <c r="N5553">
        <v>76141905</v>
      </c>
    </row>
    <row r="5554" spans="1:14" x14ac:dyDescent="0.25">
      <c r="A5554">
        <v>61895801</v>
      </c>
      <c r="B5554" t="s">
        <v>6404</v>
      </c>
      <c r="C5554" t="s">
        <v>2678</v>
      </c>
      <c r="D5554" t="s">
        <v>12053</v>
      </c>
      <c r="E5554">
        <v>8479176564</v>
      </c>
      <c r="F5554" t="s">
        <v>667</v>
      </c>
      <c r="G5554" t="s">
        <v>668</v>
      </c>
      <c r="I5554" t="s">
        <v>37</v>
      </c>
      <c r="J5554" s="13">
        <v>46099</v>
      </c>
      <c r="K5554" s="13">
        <v>46113</v>
      </c>
      <c r="L5554" t="s">
        <v>470</v>
      </c>
      <c r="M5554" t="s">
        <v>56</v>
      </c>
      <c r="N5554">
        <v>76145425</v>
      </c>
    </row>
    <row r="5555" spans="1:14" x14ac:dyDescent="0.25">
      <c r="A5555">
        <v>61890682</v>
      </c>
      <c r="B5555" t="s">
        <v>3197</v>
      </c>
      <c r="C5555" t="s">
        <v>12054</v>
      </c>
      <c r="D5555" t="s">
        <v>12055</v>
      </c>
      <c r="E5555">
        <v>8599922682</v>
      </c>
      <c r="F5555" t="s">
        <v>705</v>
      </c>
      <c r="G5555" t="s">
        <v>706</v>
      </c>
      <c r="I5555" t="s">
        <v>12</v>
      </c>
      <c r="J5555" s="13">
        <v>46099</v>
      </c>
      <c r="K5555" s="13">
        <v>46113</v>
      </c>
      <c r="L5555" t="s">
        <v>490</v>
      </c>
      <c r="M5555" t="s">
        <v>61</v>
      </c>
      <c r="N5555">
        <v>76145744</v>
      </c>
    </row>
    <row r="5556" spans="1:14" x14ac:dyDescent="0.25">
      <c r="A5556">
        <v>61889293</v>
      </c>
      <c r="B5556" t="s">
        <v>12056</v>
      </c>
      <c r="C5556" t="s">
        <v>12057</v>
      </c>
      <c r="D5556" t="s">
        <v>12058</v>
      </c>
      <c r="F5556" t="s">
        <v>688</v>
      </c>
      <c r="G5556" t="s">
        <v>10291</v>
      </c>
      <c r="I5556" t="s">
        <v>48</v>
      </c>
      <c r="J5556" s="13">
        <v>46099</v>
      </c>
      <c r="K5556" s="13">
        <v>46113</v>
      </c>
      <c r="L5556" t="s">
        <v>497</v>
      </c>
      <c r="M5556" t="s">
        <v>56</v>
      </c>
      <c r="N5556">
        <v>76146991</v>
      </c>
    </row>
    <row r="5557" spans="1:14" x14ac:dyDescent="0.25">
      <c r="A5557">
        <v>61888626</v>
      </c>
      <c r="B5557" t="s">
        <v>2523</v>
      </c>
      <c r="C5557" t="s">
        <v>12059</v>
      </c>
      <c r="D5557" t="s">
        <v>12060</v>
      </c>
      <c r="E5557">
        <v>9043094293</v>
      </c>
      <c r="F5557" t="s">
        <v>928</v>
      </c>
      <c r="G5557" t="s">
        <v>929</v>
      </c>
      <c r="I5557" t="s">
        <v>30</v>
      </c>
      <c r="J5557" s="13">
        <v>46099</v>
      </c>
      <c r="K5557" s="13">
        <v>46113</v>
      </c>
      <c r="L5557" t="s">
        <v>497</v>
      </c>
      <c r="M5557" t="s">
        <v>56</v>
      </c>
      <c r="N5557">
        <v>76146993</v>
      </c>
    </row>
    <row r="5558" spans="1:14" x14ac:dyDescent="0.25">
      <c r="A5558">
        <v>61894028</v>
      </c>
      <c r="B5558" t="s">
        <v>604</v>
      </c>
      <c r="C5558" t="s">
        <v>8442</v>
      </c>
      <c r="D5558" t="s">
        <v>12061</v>
      </c>
      <c r="E5558" t="s">
        <v>12062</v>
      </c>
      <c r="F5558" t="s">
        <v>649</v>
      </c>
      <c r="G5558" t="s">
        <v>650</v>
      </c>
      <c r="I5558" t="s">
        <v>28</v>
      </c>
      <c r="J5558" s="13">
        <v>46099</v>
      </c>
      <c r="K5558" s="13">
        <v>46113</v>
      </c>
      <c r="L5558" t="s">
        <v>418</v>
      </c>
      <c r="M5558" t="s">
        <v>56</v>
      </c>
      <c r="N5558">
        <v>76147194</v>
      </c>
    </row>
    <row r="5559" spans="1:14" x14ac:dyDescent="0.25">
      <c r="A5559">
        <v>62299936</v>
      </c>
      <c r="B5559" t="s">
        <v>3702</v>
      </c>
      <c r="C5559" t="s">
        <v>6114</v>
      </c>
      <c r="D5559" t="s">
        <v>12063</v>
      </c>
      <c r="E5559">
        <v>6232199698</v>
      </c>
      <c r="F5559" t="s">
        <v>780</v>
      </c>
      <c r="G5559" t="s">
        <v>781</v>
      </c>
      <c r="I5559" t="s">
        <v>20</v>
      </c>
      <c r="J5559" s="13">
        <v>46106</v>
      </c>
      <c r="K5559" s="13">
        <v>46113</v>
      </c>
      <c r="L5559" t="s">
        <v>1179</v>
      </c>
      <c r="M5559" t="s">
        <v>56</v>
      </c>
      <c r="N5559">
        <v>76148964</v>
      </c>
    </row>
    <row r="5560" spans="1:14" x14ac:dyDescent="0.25">
      <c r="A5560">
        <v>61937517</v>
      </c>
      <c r="B5560" t="s">
        <v>12064</v>
      </c>
      <c r="C5560" t="s">
        <v>5901</v>
      </c>
      <c r="D5560" t="s">
        <v>12065</v>
      </c>
      <c r="E5560">
        <v>8435302963</v>
      </c>
      <c r="F5560" t="s">
        <v>474</v>
      </c>
      <c r="G5560" t="s">
        <v>475</v>
      </c>
      <c r="I5560" t="s">
        <v>132</v>
      </c>
      <c r="J5560" s="13">
        <v>46100</v>
      </c>
      <c r="K5560" s="13">
        <v>46143</v>
      </c>
      <c r="L5560" t="s">
        <v>533</v>
      </c>
      <c r="M5560" t="s">
        <v>56</v>
      </c>
      <c r="N5560">
        <v>76152404</v>
      </c>
    </row>
    <row r="5561" spans="1:14" x14ac:dyDescent="0.25">
      <c r="A5561">
        <v>61942401</v>
      </c>
      <c r="B5561" t="s">
        <v>12066</v>
      </c>
      <c r="C5561" t="s">
        <v>12067</v>
      </c>
      <c r="D5561" t="s">
        <v>12068</v>
      </c>
      <c r="E5561" t="s">
        <v>12069</v>
      </c>
      <c r="F5561" t="s">
        <v>569</v>
      </c>
      <c r="G5561" t="s">
        <v>570</v>
      </c>
      <c r="I5561" t="s">
        <v>34</v>
      </c>
      <c r="J5561" s="13">
        <v>46100</v>
      </c>
      <c r="K5561" s="13">
        <v>46113</v>
      </c>
      <c r="L5561" t="s">
        <v>490</v>
      </c>
      <c r="M5561" t="s">
        <v>58</v>
      </c>
      <c r="N5561">
        <v>76152428</v>
      </c>
    </row>
    <row r="5562" spans="1:14" x14ac:dyDescent="0.25">
      <c r="A5562">
        <v>61946606</v>
      </c>
      <c r="B5562" t="s">
        <v>6291</v>
      </c>
      <c r="C5562" t="s">
        <v>957</v>
      </c>
      <c r="D5562" t="s">
        <v>12070</v>
      </c>
      <c r="E5562">
        <v>2058602407</v>
      </c>
      <c r="F5562" t="s">
        <v>10460</v>
      </c>
      <c r="G5562" t="s">
        <v>6663</v>
      </c>
      <c r="I5562" t="s">
        <v>40</v>
      </c>
      <c r="J5562" s="13">
        <v>46100</v>
      </c>
      <c r="K5562" s="13">
        <v>46113</v>
      </c>
      <c r="L5562" t="s">
        <v>450</v>
      </c>
      <c r="M5562" t="s">
        <v>59</v>
      </c>
      <c r="N5562">
        <v>76152478</v>
      </c>
    </row>
    <row r="5563" spans="1:14" x14ac:dyDescent="0.25">
      <c r="A5563">
        <v>61939601</v>
      </c>
      <c r="B5563" t="s">
        <v>5965</v>
      </c>
      <c r="C5563" t="s">
        <v>12071</v>
      </c>
      <c r="D5563" t="s">
        <v>12072</v>
      </c>
      <c r="E5563">
        <v>6823582684</v>
      </c>
      <c r="F5563" t="s">
        <v>448</v>
      </c>
      <c r="G5563" t="s">
        <v>449</v>
      </c>
      <c r="I5563" t="s">
        <v>31</v>
      </c>
      <c r="J5563" s="13">
        <v>46100</v>
      </c>
      <c r="K5563" s="13">
        <v>46113</v>
      </c>
      <c r="L5563" t="s">
        <v>444</v>
      </c>
      <c r="M5563" t="s">
        <v>56</v>
      </c>
      <c r="N5563">
        <v>76152509</v>
      </c>
    </row>
    <row r="5564" spans="1:14" x14ac:dyDescent="0.25">
      <c r="A5564">
        <v>61948932</v>
      </c>
      <c r="B5564" t="s">
        <v>1164</v>
      </c>
      <c r="C5564" t="s">
        <v>5720</v>
      </c>
      <c r="D5564" t="s">
        <v>12073</v>
      </c>
      <c r="E5564">
        <v>2107820789</v>
      </c>
      <c r="F5564" t="s">
        <v>551</v>
      </c>
      <c r="G5564" t="s">
        <v>552</v>
      </c>
      <c r="I5564" t="s">
        <v>42</v>
      </c>
      <c r="J5564" s="13">
        <v>46100</v>
      </c>
      <c r="K5564" s="13">
        <v>46113</v>
      </c>
      <c r="L5564" t="s">
        <v>444</v>
      </c>
      <c r="M5564" t="s">
        <v>56</v>
      </c>
      <c r="N5564">
        <v>76152684</v>
      </c>
    </row>
    <row r="5565" spans="1:14" x14ac:dyDescent="0.25">
      <c r="A5565">
        <v>61942538</v>
      </c>
      <c r="B5565" t="s">
        <v>11059</v>
      </c>
      <c r="C5565" t="s">
        <v>2544</v>
      </c>
      <c r="D5565" t="s">
        <v>12074</v>
      </c>
      <c r="E5565">
        <v>4794107527</v>
      </c>
      <c r="F5565" t="s">
        <v>705</v>
      </c>
      <c r="G5565" t="s">
        <v>706</v>
      </c>
      <c r="I5565" t="s">
        <v>12</v>
      </c>
      <c r="J5565" s="13">
        <v>46100</v>
      </c>
      <c r="K5565" s="13">
        <v>46113</v>
      </c>
      <c r="L5565" t="s">
        <v>553</v>
      </c>
      <c r="M5565" t="s">
        <v>58</v>
      </c>
      <c r="N5565">
        <v>76152779</v>
      </c>
    </row>
    <row r="5566" spans="1:14" x14ac:dyDescent="0.25">
      <c r="A5566">
        <v>61947089</v>
      </c>
      <c r="B5566" t="s">
        <v>12075</v>
      </c>
      <c r="C5566" t="s">
        <v>3871</v>
      </c>
      <c r="D5566" t="s">
        <v>12076</v>
      </c>
      <c r="E5566">
        <v>3369721491</v>
      </c>
      <c r="F5566" t="s">
        <v>1067</v>
      </c>
      <c r="G5566" t="s">
        <v>1068</v>
      </c>
      <c r="I5566" t="s">
        <v>35</v>
      </c>
      <c r="J5566" s="13">
        <v>46100</v>
      </c>
      <c r="K5566" s="13">
        <v>46113</v>
      </c>
      <c r="L5566" t="s">
        <v>603</v>
      </c>
      <c r="M5566" t="s">
        <v>56</v>
      </c>
      <c r="N5566">
        <v>76153025</v>
      </c>
    </row>
    <row r="5567" spans="1:14" x14ac:dyDescent="0.25">
      <c r="A5567">
        <v>61943964</v>
      </c>
      <c r="B5567" t="s">
        <v>445</v>
      </c>
      <c r="C5567" t="s">
        <v>12077</v>
      </c>
      <c r="D5567" t="s">
        <v>12078</v>
      </c>
      <c r="E5567">
        <v>5137609575</v>
      </c>
      <c r="F5567" t="s">
        <v>574</v>
      </c>
      <c r="G5567" t="s">
        <v>575</v>
      </c>
      <c r="I5567" t="s">
        <v>14</v>
      </c>
      <c r="J5567" s="13">
        <v>46100</v>
      </c>
      <c r="K5567" s="13">
        <v>46113</v>
      </c>
      <c r="L5567" t="s">
        <v>490</v>
      </c>
      <c r="M5567" t="s">
        <v>58</v>
      </c>
      <c r="N5567">
        <v>76153039</v>
      </c>
    </row>
    <row r="5568" spans="1:14" x14ac:dyDescent="0.25">
      <c r="A5568">
        <v>61950340</v>
      </c>
      <c r="B5568" t="s">
        <v>5078</v>
      </c>
      <c r="C5568" t="s">
        <v>12079</v>
      </c>
      <c r="D5568" t="s">
        <v>12080</v>
      </c>
      <c r="E5568">
        <v>5134606759</v>
      </c>
      <c r="F5568" t="s">
        <v>828</v>
      </c>
      <c r="G5568" t="s">
        <v>1148</v>
      </c>
      <c r="I5568" t="s">
        <v>17</v>
      </c>
      <c r="J5568" s="13">
        <v>46100</v>
      </c>
      <c r="K5568" s="13">
        <v>46113</v>
      </c>
      <c r="L5568" t="s">
        <v>418</v>
      </c>
      <c r="M5568" t="s">
        <v>56</v>
      </c>
      <c r="N5568">
        <v>76153553</v>
      </c>
    </row>
    <row r="5569" spans="1:14" x14ac:dyDescent="0.25">
      <c r="A5569">
        <v>61954213</v>
      </c>
      <c r="B5569" t="s">
        <v>1015</v>
      </c>
      <c r="C5569" t="s">
        <v>12081</v>
      </c>
      <c r="E5569">
        <v>9047632617</v>
      </c>
      <c r="F5569" t="s">
        <v>10591</v>
      </c>
      <c r="G5569" t="s">
        <v>10215</v>
      </c>
      <c r="I5569" t="s">
        <v>32</v>
      </c>
      <c r="J5569" s="13">
        <v>46100</v>
      </c>
      <c r="K5569" s="13">
        <v>46113</v>
      </c>
      <c r="L5569" t="s">
        <v>497</v>
      </c>
      <c r="M5569" t="s">
        <v>60</v>
      </c>
      <c r="N5569">
        <v>76153770</v>
      </c>
    </row>
    <row r="5570" spans="1:14" x14ac:dyDescent="0.25">
      <c r="A5570">
        <v>61957825</v>
      </c>
      <c r="B5570" t="s">
        <v>2140</v>
      </c>
      <c r="C5570" t="s">
        <v>2488</v>
      </c>
      <c r="D5570" t="s">
        <v>12082</v>
      </c>
      <c r="E5570">
        <v>4405148067</v>
      </c>
      <c r="F5570" t="s">
        <v>2544</v>
      </c>
      <c r="G5570" t="s">
        <v>4833</v>
      </c>
      <c r="I5570" t="s">
        <v>18</v>
      </c>
      <c r="J5570" s="13">
        <v>46100</v>
      </c>
      <c r="K5570" s="13">
        <v>46113</v>
      </c>
      <c r="L5570" t="s">
        <v>418</v>
      </c>
      <c r="M5570" t="s">
        <v>59</v>
      </c>
      <c r="N5570">
        <v>76154084</v>
      </c>
    </row>
    <row r="5571" spans="1:14" x14ac:dyDescent="0.25">
      <c r="A5571">
        <v>61949794</v>
      </c>
      <c r="B5571" t="s">
        <v>865</v>
      </c>
      <c r="C5571" t="s">
        <v>12083</v>
      </c>
      <c r="D5571" t="s">
        <v>12084</v>
      </c>
      <c r="E5571">
        <v>9543913251</v>
      </c>
      <c r="F5571" t="s">
        <v>416</v>
      </c>
      <c r="G5571" t="s">
        <v>417</v>
      </c>
      <c r="I5571" t="s">
        <v>26</v>
      </c>
      <c r="J5571" s="13">
        <v>46100</v>
      </c>
      <c r="K5571" s="13">
        <v>46113</v>
      </c>
      <c r="L5571" t="s">
        <v>497</v>
      </c>
      <c r="M5571" t="s">
        <v>56</v>
      </c>
      <c r="N5571">
        <v>76154244</v>
      </c>
    </row>
    <row r="5572" spans="1:14" x14ac:dyDescent="0.25">
      <c r="A5572">
        <v>61951514</v>
      </c>
      <c r="B5572" t="s">
        <v>2392</v>
      </c>
      <c r="C5572" t="s">
        <v>2504</v>
      </c>
      <c r="D5572" t="s">
        <v>12085</v>
      </c>
      <c r="E5572">
        <v>5028812329</v>
      </c>
      <c r="F5572" t="s">
        <v>448</v>
      </c>
      <c r="G5572" t="s">
        <v>449</v>
      </c>
      <c r="I5572" t="s">
        <v>31</v>
      </c>
      <c r="J5572" s="13">
        <v>46100</v>
      </c>
      <c r="K5572" s="13">
        <v>46113</v>
      </c>
      <c r="L5572" t="s">
        <v>490</v>
      </c>
      <c r="M5572" t="s">
        <v>56</v>
      </c>
      <c r="N5572">
        <v>76154420</v>
      </c>
    </row>
    <row r="5573" spans="1:14" x14ac:dyDescent="0.25">
      <c r="A5573">
        <v>61952013</v>
      </c>
      <c r="B5573" t="s">
        <v>1226</v>
      </c>
      <c r="C5573" t="s">
        <v>12086</v>
      </c>
      <c r="D5573" t="s">
        <v>12087</v>
      </c>
      <c r="E5573">
        <v>3142461122</v>
      </c>
      <c r="F5573" t="s">
        <v>775</v>
      </c>
      <c r="G5573" t="s">
        <v>776</v>
      </c>
      <c r="I5573" t="s">
        <v>22</v>
      </c>
      <c r="J5573" s="13">
        <v>46100</v>
      </c>
      <c r="K5573" s="13">
        <v>46113</v>
      </c>
      <c r="L5573" t="s">
        <v>434</v>
      </c>
      <c r="M5573" t="s">
        <v>56</v>
      </c>
      <c r="N5573">
        <v>76154436</v>
      </c>
    </row>
    <row r="5574" spans="1:14" x14ac:dyDescent="0.25">
      <c r="A5574">
        <v>61951412</v>
      </c>
      <c r="B5574" t="s">
        <v>3775</v>
      </c>
      <c r="C5574" t="s">
        <v>12088</v>
      </c>
      <c r="D5574" t="s">
        <v>12089</v>
      </c>
      <c r="E5574">
        <v>2103852611</v>
      </c>
      <c r="F5574" t="s">
        <v>474</v>
      </c>
      <c r="G5574" t="s">
        <v>475</v>
      </c>
      <c r="I5574" t="s">
        <v>132</v>
      </c>
      <c r="J5574" s="13">
        <v>46100</v>
      </c>
      <c r="K5574" s="13">
        <v>46143</v>
      </c>
      <c r="L5574" t="s">
        <v>444</v>
      </c>
      <c r="M5574" t="s">
        <v>55</v>
      </c>
      <c r="N5574">
        <v>76154887</v>
      </c>
    </row>
    <row r="5575" spans="1:14" x14ac:dyDescent="0.25">
      <c r="A5575">
        <v>61956912</v>
      </c>
      <c r="B5575" t="s">
        <v>5091</v>
      </c>
      <c r="C5575" t="s">
        <v>12090</v>
      </c>
      <c r="D5575" t="s">
        <v>12091</v>
      </c>
      <c r="E5575">
        <v>2702832427</v>
      </c>
      <c r="F5575" t="s">
        <v>705</v>
      </c>
      <c r="G5575" t="s">
        <v>706</v>
      </c>
      <c r="I5575" t="s">
        <v>12</v>
      </c>
      <c r="J5575" s="13">
        <v>46100</v>
      </c>
      <c r="K5575" s="13">
        <v>46113</v>
      </c>
      <c r="L5575" t="s">
        <v>490</v>
      </c>
      <c r="M5575" t="s">
        <v>58</v>
      </c>
      <c r="N5575">
        <v>76155321</v>
      </c>
    </row>
    <row r="5576" spans="1:14" x14ac:dyDescent="0.25">
      <c r="A5576">
        <v>61957313</v>
      </c>
      <c r="B5576" t="s">
        <v>3742</v>
      </c>
      <c r="C5576" t="s">
        <v>12092</v>
      </c>
      <c r="D5576" t="s">
        <v>12093</v>
      </c>
      <c r="E5576">
        <v>5137148933</v>
      </c>
      <c r="F5576" t="s">
        <v>10460</v>
      </c>
      <c r="G5576" t="s">
        <v>6663</v>
      </c>
      <c r="I5576" t="s">
        <v>40</v>
      </c>
      <c r="J5576" s="13">
        <v>46100</v>
      </c>
      <c r="K5576" s="13">
        <v>46113</v>
      </c>
      <c r="L5576" t="s">
        <v>418</v>
      </c>
      <c r="M5576" t="s">
        <v>59</v>
      </c>
      <c r="N5576">
        <v>76155327</v>
      </c>
    </row>
    <row r="5577" spans="1:14" x14ac:dyDescent="0.25">
      <c r="A5577">
        <v>62061922</v>
      </c>
      <c r="B5577" t="s">
        <v>994</v>
      </c>
      <c r="C5577" t="s">
        <v>12094</v>
      </c>
      <c r="D5577" t="s">
        <v>12095</v>
      </c>
      <c r="E5577">
        <v>7087155719</v>
      </c>
      <c r="F5577" t="s">
        <v>10253</v>
      </c>
      <c r="G5577" t="s">
        <v>781</v>
      </c>
      <c r="I5577" t="s">
        <v>36</v>
      </c>
      <c r="J5577" s="13">
        <v>46101</v>
      </c>
      <c r="K5577" s="13">
        <v>46113</v>
      </c>
      <c r="L5577" t="s">
        <v>470</v>
      </c>
      <c r="M5577" t="s">
        <v>58</v>
      </c>
      <c r="N5577">
        <v>76155868</v>
      </c>
    </row>
    <row r="5578" spans="1:14" x14ac:dyDescent="0.25">
      <c r="A5578">
        <v>61960111</v>
      </c>
      <c r="B5578" t="s">
        <v>517</v>
      </c>
      <c r="C5578" t="s">
        <v>1697</v>
      </c>
      <c r="D5578" t="s">
        <v>12096</v>
      </c>
      <c r="E5578">
        <v>7066152645</v>
      </c>
      <c r="F5578" t="s">
        <v>775</v>
      </c>
      <c r="G5578" t="s">
        <v>776</v>
      </c>
      <c r="I5578" t="s">
        <v>22</v>
      </c>
      <c r="J5578" s="13">
        <v>46100</v>
      </c>
      <c r="K5578" s="13">
        <v>46113</v>
      </c>
      <c r="L5578" t="s">
        <v>621</v>
      </c>
      <c r="M5578" t="s">
        <v>56</v>
      </c>
      <c r="N5578">
        <v>76156320</v>
      </c>
    </row>
    <row r="5579" spans="1:14" x14ac:dyDescent="0.25">
      <c r="A5579">
        <v>61966455</v>
      </c>
      <c r="B5579" t="s">
        <v>12097</v>
      </c>
      <c r="C5579" t="s">
        <v>8215</v>
      </c>
      <c r="D5579" t="s">
        <v>12098</v>
      </c>
      <c r="F5579" t="s">
        <v>688</v>
      </c>
      <c r="G5579" t="s">
        <v>10291</v>
      </c>
      <c r="I5579" t="s">
        <v>48</v>
      </c>
      <c r="J5579" s="13">
        <v>46100</v>
      </c>
      <c r="K5579" s="13">
        <v>46113</v>
      </c>
      <c r="L5579" t="s">
        <v>539</v>
      </c>
      <c r="M5579" t="s">
        <v>56</v>
      </c>
      <c r="N5579">
        <v>76158149</v>
      </c>
    </row>
    <row r="5580" spans="1:14" x14ac:dyDescent="0.25">
      <c r="A5580">
        <v>61967329</v>
      </c>
      <c r="B5580" t="s">
        <v>760</v>
      </c>
      <c r="C5580" t="s">
        <v>766</v>
      </c>
      <c r="D5580" t="s">
        <v>12099</v>
      </c>
      <c r="E5580">
        <v>3054394939</v>
      </c>
      <c r="F5580" t="s">
        <v>416</v>
      </c>
      <c r="G5580" t="s">
        <v>417</v>
      </c>
      <c r="I5580" t="s">
        <v>26</v>
      </c>
      <c r="J5580" s="13">
        <v>46100</v>
      </c>
      <c r="K5580" s="13">
        <v>46113</v>
      </c>
      <c r="L5580" t="s">
        <v>497</v>
      </c>
      <c r="M5580" t="s">
        <v>56</v>
      </c>
      <c r="N5580">
        <v>76158168</v>
      </c>
    </row>
    <row r="5581" spans="1:14" x14ac:dyDescent="0.25">
      <c r="A5581">
        <v>61969627</v>
      </c>
      <c r="B5581" t="s">
        <v>3775</v>
      </c>
      <c r="C5581" t="s">
        <v>12100</v>
      </c>
      <c r="D5581" t="s">
        <v>12101</v>
      </c>
      <c r="E5581">
        <v>2702279233</v>
      </c>
      <c r="F5581" t="s">
        <v>448</v>
      </c>
      <c r="G5581" t="s">
        <v>449</v>
      </c>
      <c r="I5581" t="s">
        <v>31</v>
      </c>
      <c r="J5581" s="13">
        <v>46100</v>
      </c>
      <c r="K5581" s="13">
        <v>46113</v>
      </c>
      <c r="L5581" t="s">
        <v>490</v>
      </c>
      <c r="M5581" t="s">
        <v>61</v>
      </c>
      <c r="N5581">
        <v>76158350</v>
      </c>
    </row>
    <row r="5582" spans="1:14" x14ac:dyDescent="0.25">
      <c r="A5582">
        <v>61961391</v>
      </c>
      <c r="B5582" t="s">
        <v>8475</v>
      </c>
      <c r="C5582" t="s">
        <v>778</v>
      </c>
      <c r="D5582" t="s">
        <v>12102</v>
      </c>
      <c r="E5582">
        <v>9709858560</v>
      </c>
      <c r="F5582" t="s">
        <v>1067</v>
      </c>
      <c r="G5582" t="s">
        <v>1068</v>
      </c>
      <c r="I5582" t="s">
        <v>35</v>
      </c>
      <c r="J5582" s="13">
        <v>46100</v>
      </c>
      <c r="K5582" s="13">
        <v>46113</v>
      </c>
      <c r="L5582" t="s">
        <v>539</v>
      </c>
      <c r="M5582" t="s">
        <v>56</v>
      </c>
      <c r="N5582">
        <v>76158397</v>
      </c>
    </row>
    <row r="5583" spans="1:14" x14ac:dyDescent="0.25">
      <c r="A5583">
        <v>61975447</v>
      </c>
      <c r="B5583" t="s">
        <v>3940</v>
      </c>
      <c r="C5583" t="s">
        <v>12103</v>
      </c>
      <c r="D5583" t="s">
        <v>12104</v>
      </c>
      <c r="E5583">
        <v>7274225987</v>
      </c>
      <c r="F5583" t="s">
        <v>569</v>
      </c>
      <c r="G5583" t="s">
        <v>570</v>
      </c>
      <c r="I5583" t="s">
        <v>34</v>
      </c>
      <c r="J5583" s="13">
        <v>46100</v>
      </c>
      <c r="K5583" s="13">
        <v>46113</v>
      </c>
      <c r="L5583" t="s">
        <v>497</v>
      </c>
      <c r="M5583" t="s">
        <v>54</v>
      </c>
      <c r="N5583">
        <v>76158437</v>
      </c>
    </row>
    <row r="5584" spans="1:14" x14ac:dyDescent="0.25">
      <c r="A5584">
        <v>63362314</v>
      </c>
      <c r="B5584" t="s">
        <v>5362</v>
      </c>
      <c r="C5584" t="s">
        <v>12105</v>
      </c>
      <c r="D5584" t="s">
        <v>12106</v>
      </c>
      <c r="E5584">
        <v>6233305100</v>
      </c>
      <c r="F5584" t="s">
        <v>10591</v>
      </c>
      <c r="G5584" t="s">
        <v>10215</v>
      </c>
      <c r="I5584" t="s">
        <v>32</v>
      </c>
      <c r="J5584" s="13">
        <v>46135</v>
      </c>
      <c r="K5584" s="13">
        <v>46143</v>
      </c>
      <c r="L5584" t="s">
        <v>1179</v>
      </c>
      <c r="M5584" t="s">
        <v>54</v>
      </c>
      <c r="N5584">
        <v>76158650</v>
      </c>
    </row>
    <row r="5585" spans="1:14" x14ac:dyDescent="0.25">
      <c r="A5585">
        <v>61973155</v>
      </c>
      <c r="B5585" t="s">
        <v>2019</v>
      </c>
      <c r="C5585" t="s">
        <v>4974</v>
      </c>
      <c r="D5585" t="s">
        <v>12107</v>
      </c>
      <c r="E5585">
        <v>9546106459</v>
      </c>
      <c r="F5585" t="s">
        <v>1345</v>
      </c>
      <c r="G5585" t="s">
        <v>799</v>
      </c>
      <c r="I5585" t="s">
        <v>47</v>
      </c>
      <c r="J5585" s="13">
        <v>46100</v>
      </c>
      <c r="K5585" s="13">
        <v>46113</v>
      </c>
      <c r="L5585" t="s">
        <v>497</v>
      </c>
      <c r="M5585" t="s">
        <v>54</v>
      </c>
      <c r="N5585">
        <v>76158790</v>
      </c>
    </row>
    <row r="5586" spans="1:14" x14ac:dyDescent="0.25">
      <c r="A5586">
        <v>61977469</v>
      </c>
      <c r="B5586" t="s">
        <v>476</v>
      </c>
      <c r="C5586" t="s">
        <v>12108</v>
      </c>
      <c r="D5586" t="s">
        <v>12109</v>
      </c>
      <c r="E5586">
        <v>3466123170</v>
      </c>
      <c r="F5586" t="s">
        <v>705</v>
      </c>
      <c r="G5586" t="s">
        <v>706</v>
      </c>
      <c r="I5586" t="s">
        <v>12</v>
      </c>
      <c r="J5586" s="13">
        <v>46100</v>
      </c>
      <c r="K5586" s="13">
        <v>46113</v>
      </c>
      <c r="L5586" t="s">
        <v>444</v>
      </c>
      <c r="M5586" t="s">
        <v>55</v>
      </c>
      <c r="N5586">
        <v>76158905</v>
      </c>
    </row>
    <row r="5587" spans="1:14" x14ac:dyDescent="0.25">
      <c r="A5587">
        <v>61964954</v>
      </c>
      <c r="B5587" t="s">
        <v>1167</v>
      </c>
      <c r="C5587" t="s">
        <v>12110</v>
      </c>
      <c r="D5587">
        <v>122234345</v>
      </c>
      <c r="E5587">
        <v>1234567890</v>
      </c>
      <c r="F5587" t="s">
        <v>958</v>
      </c>
      <c r="G5587" t="s">
        <v>12111</v>
      </c>
      <c r="H5587" t="s">
        <v>10816</v>
      </c>
      <c r="I5587" t="s">
        <v>12112</v>
      </c>
      <c r="K5587" s="13">
        <v>46113</v>
      </c>
      <c r="L5587" t="s">
        <v>418</v>
      </c>
      <c r="M5587" t="s">
        <v>59</v>
      </c>
      <c r="N5587">
        <v>76158996</v>
      </c>
    </row>
    <row r="5588" spans="1:14" x14ac:dyDescent="0.25">
      <c r="A5588">
        <v>61974066</v>
      </c>
      <c r="B5588" t="s">
        <v>420</v>
      </c>
      <c r="C5588" t="s">
        <v>12113</v>
      </c>
      <c r="D5588" t="s">
        <v>12114</v>
      </c>
      <c r="E5588">
        <v>4174371294</v>
      </c>
      <c r="F5588" t="s">
        <v>551</v>
      </c>
      <c r="G5588" t="s">
        <v>552</v>
      </c>
      <c r="I5588" t="s">
        <v>42</v>
      </c>
      <c r="J5588" s="13">
        <v>46100</v>
      </c>
      <c r="K5588" s="13">
        <v>46113</v>
      </c>
      <c r="L5588" t="s">
        <v>434</v>
      </c>
      <c r="M5588" t="s">
        <v>59</v>
      </c>
      <c r="N5588">
        <v>76159104</v>
      </c>
    </row>
    <row r="5589" spans="1:14" x14ac:dyDescent="0.25">
      <c r="A5589">
        <v>61987545</v>
      </c>
      <c r="B5589" t="s">
        <v>1621</v>
      </c>
      <c r="C5589" t="s">
        <v>1036</v>
      </c>
      <c r="D5589" t="s">
        <v>12115</v>
      </c>
      <c r="E5589">
        <v>9282410167</v>
      </c>
      <c r="F5589" t="s">
        <v>815</v>
      </c>
      <c r="G5589" t="s">
        <v>816</v>
      </c>
      <c r="I5589" t="s">
        <v>23</v>
      </c>
      <c r="J5589" s="13">
        <v>46100</v>
      </c>
      <c r="K5589" s="13">
        <v>46113</v>
      </c>
      <c r="L5589" t="s">
        <v>1179</v>
      </c>
      <c r="M5589" t="s">
        <v>54</v>
      </c>
      <c r="N5589">
        <v>76160016</v>
      </c>
    </row>
    <row r="5590" spans="1:14" x14ac:dyDescent="0.25">
      <c r="A5590">
        <v>61982914</v>
      </c>
      <c r="B5590" t="s">
        <v>1797</v>
      </c>
      <c r="C5590" t="s">
        <v>12116</v>
      </c>
      <c r="D5590" t="s">
        <v>12117</v>
      </c>
      <c r="E5590">
        <v>6025408826</v>
      </c>
      <c r="F5590" t="s">
        <v>807</v>
      </c>
      <c r="G5590" t="s">
        <v>808</v>
      </c>
      <c r="I5590" t="s">
        <v>33</v>
      </c>
      <c r="J5590" s="13">
        <v>46100</v>
      </c>
      <c r="K5590" s="13">
        <v>46113</v>
      </c>
      <c r="L5590" t="s">
        <v>1179</v>
      </c>
      <c r="M5590" t="s">
        <v>58</v>
      </c>
      <c r="N5590">
        <v>76160909</v>
      </c>
    </row>
    <row r="5591" spans="1:14" x14ac:dyDescent="0.25">
      <c r="A5591">
        <v>61985262</v>
      </c>
      <c r="B5591" t="s">
        <v>836</v>
      </c>
      <c r="C5591" t="s">
        <v>12118</v>
      </c>
      <c r="D5591" t="s">
        <v>12119</v>
      </c>
      <c r="F5591" t="s">
        <v>688</v>
      </c>
      <c r="G5591" t="s">
        <v>10291</v>
      </c>
      <c r="I5591" t="s">
        <v>48</v>
      </c>
      <c r="J5591" s="13">
        <v>46100</v>
      </c>
      <c r="K5591" s="13">
        <v>46113</v>
      </c>
      <c r="L5591" t="s">
        <v>444</v>
      </c>
      <c r="M5591" t="s">
        <v>55</v>
      </c>
      <c r="N5591">
        <v>76161410</v>
      </c>
    </row>
    <row r="5592" spans="1:14" x14ac:dyDescent="0.25">
      <c r="A5592">
        <v>61982942</v>
      </c>
      <c r="B5592" t="s">
        <v>12120</v>
      </c>
      <c r="C5592" t="s">
        <v>4741</v>
      </c>
      <c r="D5592" t="s">
        <v>12121</v>
      </c>
      <c r="E5592">
        <v>6782660628</v>
      </c>
      <c r="F5592" t="s">
        <v>474</v>
      </c>
      <c r="G5592" t="s">
        <v>475</v>
      </c>
      <c r="I5592" t="s">
        <v>132</v>
      </c>
      <c r="J5592" s="13">
        <v>46100</v>
      </c>
      <c r="K5592" s="13">
        <v>46113</v>
      </c>
      <c r="L5592" t="s">
        <v>533</v>
      </c>
      <c r="M5592" t="s">
        <v>56</v>
      </c>
      <c r="N5592">
        <v>76161521</v>
      </c>
    </row>
    <row r="5593" spans="1:14" x14ac:dyDescent="0.25">
      <c r="A5593">
        <v>62297768</v>
      </c>
      <c r="B5593" t="s">
        <v>2681</v>
      </c>
      <c r="C5593" t="s">
        <v>12122</v>
      </c>
      <c r="D5593" t="s">
        <v>12123</v>
      </c>
      <c r="E5593">
        <v>5614013833</v>
      </c>
      <c r="F5593" t="s">
        <v>569</v>
      </c>
      <c r="G5593" t="s">
        <v>570</v>
      </c>
      <c r="I5593" t="s">
        <v>34</v>
      </c>
      <c r="J5593" s="13">
        <v>46106</v>
      </c>
      <c r="K5593" s="13">
        <v>46113</v>
      </c>
      <c r="L5593" t="s">
        <v>497</v>
      </c>
      <c r="M5593" t="s">
        <v>54</v>
      </c>
      <c r="N5593">
        <v>76161750</v>
      </c>
    </row>
    <row r="5594" spans="1:14" x14ac:dyDescent="0.25">
      <c r="A5594">
        <v>62219799</v>
      </c>
      <c r="B5594" t="s">
        <v>431</v>
      </c>
      <c r="C5594" t="s">
        <v>12124</v>
      </c>
      <c r="D5594" t="s">
        <v>12125</v>
      </c>
      <c r="E5594">
        <v>9703911010</v>
      </c>
      <c r="F5594" t="s">
        <v>448</v>
      </c>
      <c r="G5594" t="s">
        <v>449</v>
      </c>
      <c r="I5594" t="s">
        <v>31</v>
      </c>
      <c r="J5594" s="13">
        <v>46105</v>
      </c>
      <c r="K5594" s="13">
        <v>46113</v>
      </c>
      <c r="L5594" t="s">
        <v>539</v>
      </c>
      <c r="M5594" t="s">
        <v>58</v>
      </c>
      <c r="N5594">
        <v>76161777</v>
      </c>
    </row>
    <row r="5595" spans="1:14" x14ac:dyDescent="0.25">
      <c r="A5595">
        <v>61979507</v>
      </c>
      <c r="B5595" t="s">
        <v>4387</v>
      </c>
      <c r="C5595" t="s">
        <v>6141</v>
      </c>
      <c r="D5595">
        <v>1234567890</v>
      </c>
      <c r="E5595">
        <v>1234567890</v>
      </c>
      <c r="I5595" t="s">
        <v>895</v>
      </c>
      <c r="K5595" s="13">
        <v>46113</v>
      </c>
      <c r="L5595" t="s">
        <v>418</v>
      </c>
      <c r="M5595" t="s">
        <v>58</v>
      </c>
      <c r="N5595">
        <v>76161813</v>
      </c>
    </row>
    <row r="5596" spans="1:14" x14ac:dyDescent="0.25">
      <c r="A5596">
        <v>62004735</v>
      </c>
      <c r="B5596" t="s">
        <v>12126</v>
      </c>
      <c r="C5596" t="s">
        <v>12127</v>
      </c>
      <c r="D5596" t="s">
        <v>12128</v>
      </c>
      <c r="F5596" t="s">
        <v>688</v>
      </c>
      <c r="G5596" t="s">
        <v>10291</v>
      </c>
      <c r="I5596" t="s">
        <v>48</v>
      </c>
      <c r="J5596" s="13">
        <v>46101</v>
      </c>
      <c r="K5596" s="13">
        <v>46113</v>
      </c>
      <c r="L5596" t="s">
        <v>497</v>
      </c>
      <c r="M5596" t="s">
        <v>56</v>
      </c>
      <c r="N5596">
        <v>76166286</v>
      </c>
    </row>
    <row r="5597" spans="1:14" x14ac:dyDescent="0.25">
      <c r="A5597">
        <v>62004362</v>
      </c>
      <c r="B5597" t="s">
        <v>3252</v>
      </c>
      <c r="C5597" t="s">
        <v>8159</v>
      </c>
      <c r="D5597" t="s">
        <v>12129</v>
      </c>
      <c r="E5597">
        <v>5204200553</v>
      </c>
      <c r="F5597" t="s">
        <v>10460</v>
      </c>
      <c r="G5597" t="s">
        <v>6663</v>
      </c>
      <c r="I5597" t="s">
        <v>40</v>
      </c>
      <c r="J5597" s="13">
        <v>46101</v>
      </c>
      <c r="K5597" s="13">
        <v>46113</v>
      </c>
      <c r="L5597" t="s">
        <v>1179</v>
      </c>
      <c r="M5597" t="s">
        <v>59</v>
      </c>
      <c r="N5597">
        <v>76166463</v>
      </c>
    </row>
    <row r="5598" spans="1:14" x14ac:dyDescent="0.25">
      <c r="A5598">
        <v>62007420</v>
      </c>
      <c r="B5598" t="s">
        <v>6269</v>
      </c>
      <c r="C5598" t="s">
        <v>1078</v>
      </c>
      <c r="D5598" t="s">
        <v>12130</v>
      </c>
      <c r="E5598">
        <v>8283672889</v>
      </c>
      <c r="F5598" t="s">
        <v>1067</v>
      </c>
      <c r="G5598" t="s">
        <v>1068</v>
      </c>
      <c r="I5598" t="s">
        <v>35</v>
      </c>
      <c r="J5598" s="13">
        <v>46101</v>
      </c>
      <c r="K5598" s="13">
        <v>46113</v>
      </c>
      <c r="L5598" t="s">
        <v>603</v>
      </c>
      <c r="M5598" t="s">
        <v>59</v>
      </c>
      <c r="N5598">
        <v>76166696</v>
      </c>
    </row>
    <row r="5599" spans="1:14" x14ac:dyDescent="0.25">
      <c r="A5599">
        <v>62006701</v>
      </c>
      <c r="B5599" t="s">
        <v>1509</v>
      </c>
      <c r="C5599" t="s">
        <v>5785</v>
      </c>
      <c r="D5599" t="s">
        <v>12131</v>
      </c>
      <c r="E5599">
        <v>2707272886</v>
      </c>
      <c r="F5599" t="s">
        <v>574</v>
      </c>
      <c r="G5599" t="s">
        <v>575</v>
      </c>
      <c r="I5599" t="s">
        <v>14</v>
      </c>
      <c r="J5599" s="13">
        <v>46101</v>
      </c>
      <c r="K5599" s="13">
        <v>46113</v>
      </c>
      <c r="L5599" t="s">
        <v>490</v>
      </c>
      <c r="M5599" t="s">
        <v>58</v>
      </c>
      <c r="N5599">
        <v>76166739</v>
      </c>
    </row>
    <row r="5600" spans="1:14" x14ac:dyDescent="0.25">
      <c r="A5600">
        <v>62008980</v>
      </c>
      <c r="B5600" t="s">
        <v>12132</v>
      </c>
      <c r="C5600" t="s">
        <v>688</v>
      </c>
      <c r="D5600" t="s">
        <v>12133</v>
      </c>
      <c r="E5600">
        <v>8037244232</v>
      </c>
      <c r="F5600" t="s">
        <v>667</v>
      </c>
      <c r="G5600" t="s">
        <v>668</v>
      </c>
      <c r="I5600" t="s">
        <v>37</v>
      </c>
      <c r="J5600" s="13">
        <v>46101</v>
      </c>
      <c r="K5600" s="13">
        <v>46113</v>
      </c>
      <c r="L5600" t="s">
        <v>533</v>
      </c>
      <c r="M5600" t="s">
        <v>56</v>
      </c>
      <c r="N5600">
        <v>76167205</v>
      </c>
    </row>
    <row r="5601" spans="1:14" x14ac:dyDescent="0.25">
      <c r="A5601">
        <v>62011162</v>
      </c>
      <c r="B5601" t="s">
        <v>12134</v>
      </c>
      <c r="C5601" t="s">
        <v>12135</v>
      </c>
      <c r="D5601" t="s">
        <v>12136</v>
      </c>
      <c r="E5601">
        <v>7722414249</v>
      </c>
      <c r="F5601" t="s">
        <v>1345</v>
      </c>
      <c r="G5601" t="s">
        <v>799</v>
      </c>
      <c r="I5601" t="s">
        <v>47</v>
      </c>
      <c r="J5601" s="13">
        <v>46101</v>
      </c>
      <c r="K5601" s="13">
        <v>46113</v>
      </c>
      <c r="L5601" t="s">
        <v>497</v>
      </c>
      <c r="M5601" t="s">
        <v>54</v>
      </c>
      <c r="N5601">
        <v>76167211</v>
      </c>
    </row>
    <row r="5602" spans="1:14" x14ac:dyDescent="0.25">
      <c r="A5602">
        <v>62008808</v>
      </c>
      <c r="B5602" t="s">
        <v>12137</v>
      </c>
      <c r="C5602" t="s">
        <v>12138</v>
      </c>
      <c r="D5602" t="s">
        <v>12139</v>
      </c>
      <c r="E5602">
        <v>9046678856</v>
      </c>
      <c r="F5602" t="s">
        <v>780</v>
      </c>
      <c r="G5602" t="s">
        <v>781</v>
      </c>
      <c r="I5602" t="s">
        <v>20</v>
      </c>
      <c r="J5602" s="13">
        <v>46101</v>
      </c>
      <c r="K5602" s="13">
        <v>46113</v>
      </c>
      <c r="L5602" t="s">
        <v>497</v>
      </c>
      <c r="M5602" t="s">
        <v>59</v>
      </c>
      <c r="N5602">
        <v>76167303</v>
      </c>
    </row>
    <row r="5603" spans="1:14" x14ac:dyDescent="0.25">
      <c r="A5603">
        <v>62009669</v>
      </c>
      <c r="B5603" t="s">
        <v>1408</v>
      </c>
      <c r="C5603" t="s">
        <v>4667</v>
      </c>
      <c r="D5603" t="s">
        <v>12140</v>
      </c>
      <c r="E5603">
        <v>9548022331</v>
      </c>
      <c r="F5603" t="s">
        <v>416</v>
      </c>
      <c r="G5603" t="s">
        <v>417</v>
      </c>
      <c r="I5603" t="s">
        <v>26</v>
      </c>
      <c r="J5603" s="13">
        <v>46101</v>
      </c>
      <c r="K5603" s="13">
        <v>46113</v>
      </c>
      <c r="L5603" t="s">
        <v>497</v>
      </c>
      <c r="M5603" t="s">
        <v>56</v>
      </c>
      <c r="N5603">
        <v>76167346</v>
      </c>
    </row>
    <row r="5604" spans="1:14" x14ac:dyDescent="0.25">
      <c r="A5604">
        <v>62017034</v>
      </c>
      <c r="B5604" t="s">
        <v>1675</v>
      </c>
      <c r="C5604" t="s">
        <v>12141</v>
      </c>
      <c r="D5604" t="s">
        <v>12142</v>
      </c>
      <c r="E5604">
        <v>2105476206</v>
      </c>
      <c r="F5604" t="s">
        <v>474</v>
      </c>
      <c r="G5604" t="s">
        <v>475</v>
      </c>
      <c r="I5604" t="s">
        <v>132</v>
      </c>
      <c r="J5604" s="13">
        <v>46101</v>
      </c>
      <c r="K5604" s="13">
        <v>46113</v>
      </c>
      <c r="L5604" t="s">
        <v>444</v>
      </c>
      <c r="M5604" t="s">
        <v>56</v>
      </c>
      <c r="N5604">
        <v>76167388</v>
      </c>
    </row>
    <row r="5605" spans="1:14" x14ac:dyDescent="0.25">
      <c r="A5605">
        <v>62007733</v>
      </c>
      <c r="B5605" t="s">
        <v>2686</v>
      </c>
      <c r="C5605" t="s">
        <v>12143</v>
      </c>
      <c r="D5605" t="s">
        <v>12144</v>
      </c>
      <c r="E5605">
        <v>7278041235</v>
      </c>
      <c r="F5605" t="s">
        <v>775</v>
      </c>
      <c r="G5605" t="s">
        <v>776</v>
      </c>
      <c r="I5605" t="s">
        <v>22</v>
      </c>
      <c r="J5605" s="13">
        <v>46101</v>
      </c>
      <c r="K5605" s="13">
        <v>46113</v>
      </c>
      <c r="L5605" t="s">
        <v>497</v>
      </c>
      <c r="M5605" t="s">
        <v>59</v>
      </c>
      <c r="N5605">
        <v>76167394</v>
      </c>
    </row>
    <row r="5606" spans="1:14" x14ac:dyDescent="0.25">
      <c r="A5606">
        <v>62015306</v>
      </c>
      <c r="B5606" t="s">
        <v>12145</v>
      </c>
      <c r="C5606" t="s">
        <v>12146</v>
      </c>
      <c r="D5606" t="s">
        <v>12147</v>
      </c>
      <c r="E5606">
        <v>9542977305</v>
      </c>
      <c r="F5606" t="s">
        <v>551</v>
      </c>
      <c r="G5606" t="s">
        <v>552</v>
      </c>
      <c r="I5606" t="s">
        <v>42</v>
      </c>
      <c r="J5606" s="13">
        <v>46101</v>
      </c>
      <c r="K5606" s="13">
        <v>46113</v>
      </c>
      <c r="L5606" t="s">
        <v>497</v>
      </c>
      <c r="M5606" t="s">
        <v>58</v>
      </c>
      <c r="N5606">
        <v>76168045</v>
      </c>
    </row>
    <row r="5607" spans="1:14" x14ac:dyDescent="0.25">
      <c r="A5607">
        <v>62026654</v>
      </c>
      <c r="B5607" t="s">
        <v>2254</v>
      </c>
      <c r="C5607" t="s">
        <v>12148</v>
      </c>
      <c r="D5607" t="s">
        <v>12149</v>
      </c>
      <c r="E5607">
        <v>8086884471</v>
      </c>
      <c r="F5607" t="s">
        <v>574</v>
      </c>
      <c r="G5607" t="s">
        <v>575</v>
      </c>
      <c r="I5607" t="s">
        <v>14</v>
      </c>
      <c r="J5607" s="13">
        <v>46101</v>
      </c>
      <c r="K5607" s="13">
        <v>46113</v>
      </c>
      <c r="L5607" t="s">
        <v>444</v>
      </c>
      <c r="M5607" t="s">
        <v>56</v>
      </c>
      <c r="N5607">
        <v>76168287</v>
      </c>
    </row>
    <row r="5608" spans="1:14" x14ac:dyDescent="0.25">
      <c r="A5608">
        <v>62022554</v>
      </c>
      <c r="B5608" t="s">
        <v>420</v>
      </c>
      <c r="C5608" t="s">
        <v>5357</v>
      </c>
      <c r="D5608" t="s">
        <v>12150</v>
      </c>
      <c r="F5608" t="s">
        <v>688</v>
      </c>
      <c r="G5608" t="s">
        <v>10291</v>
      </c>
      <c r="I5608" t="s">
        <v>48</v>
      </c>
      <c r="J5608" s="13">
        <v>46101</v>
      </c>
      <c r="K5608" s="13">
        <v>46113</v>
      </c>
      <c r="L5608" t="s">
        <v>621</v>
      </c>
      <c r="M5608" t="s">
        <v>56</v>
      </c>
      <c r="N5608">
        <v>76177621</v>
      </c>
    </row>
    <row r="5609" spans="1:14" x14ac:dyDescent="0.25">
      <c r="A5609">
        <v>62025962</v>
      </c>
      <c r="B5609" t="s">
        <v>948</v>
      </c>
      <c r="C5609" t="s">
        <v>12151</v>
      </c>
      <c r="D5609" t="s">
        <v>12152</v>
      </c>
      <c r="E5609">
        <v>7208992351</v>
      </c>
      <c r="F5609" t="s">
        <v>10460</v>
      </c>
      <c r="G5609" t="s">
        <v>6663</v>
      </c>
      <c r="I5609" t="s">
        <v>40</v>
      </c>
      <c r="J5609" s="13">
        <v>46101</v>
      </c>
      <c r="K5609" s="13">
        <v>46113</v>
      </c>
      <c r="L5609" t="s">
        <v>539</v>
      </c>
      <c r="M5609" t="s">
        <v>59</v>
      </c>
      <c r="N5609">
        <v>76179110</v>
      </c>
    </row>
    <row r="5610" spans="1:14" x14ac:dyDescent="0.25">
      <c r="A5610">
        <v>62026960</v>
      </c>
      <c r="B5610" t="s">
        <v>12153</v>
      </c>
      <c r="C5610" t="s">
        <v>12154</v>
      </c>
      <c r="D5610" t="s">
        <v>12155</v>
      </c>
      <c r="E5610" t="s">
        <v>12156</v>
      </c>
      <c r="F5610" t="s">
        <v>649</v>
      </c>
      <c r="G5610" t="s">
        <v>650</v>
      </c>
      <c r="I5610" t="s">
        <v>28</v>
      </c>
      <c r="J5610" s="13">
        <v>46101</v>
      </c>
      <c r="K5610" s="13">
        <v>46113</v>
      </c>
      <c r="L5610" t="s">
        <v>539</v>
      </c>
      <c r="M5610" t="s">
        <v>58</v>
      </c>
      <c r="N5610">
        <v>76179450</v>
      </c>
    </row>
    <row r="5611" spans="1:14" x14ac:dyDescent="0.25">
      <c r="A5611">
        <v>62029024</v>
      </c>
      <c r="B5611" t="s">
        <v>2418</v>
      </c>
      <c r="C5611" t="s">
        <v>5913</v>
      </c>
      <c r="D5611" t="s">
        <v>12157</v>
      </c>
      <c r="E5611" t="s">
        <v>12158</v>
      </c>
      <c r="F5611" t="s">
        <v>667</v>
      </c>
      <c r="G5611" t="s">
        <v>668</v>
      </c>
      <c r="I5611" t="s">
        <v>37</v>
      </c>
      <c r="J5611" s="13">
        <v>46101</v>
      </c>
      <c r="K5611" s="13">
        <v>46113</v>
      </c>
      <c r="L5611" t="s">
        <v>444</v>
      </c>
      <c r="M5611" t="s">
        <v>56</v>
      </c>
      <c r="N5611">
        <v>76180280</v>
      </c>
    </row>
    <row r="5612" spans="1:14" x14ac:dyDescent="0.25">
      <c r="A5612">
        <v>62038813</v>
      </c>
      <c r="B5612" t="s">
        <v>1004</v>
      </c>
      <c r="C5612" t="s">
        <v>3687</v>
      </c>
      <c r="E5612">
        <v>4803298720</v>
      </c>
      <c r="F5612" t="s">
        <v>10591</v>
      </c>
      <c r="G5612" t="s">
        <v>10215</v>
      </c>
      <c r="I5612" t="s">
        <v>32</v>
      </c>
      <c r="J5612" s="13">
        <v>46101</v>
      </c>
      <c r="K5612" s="13">
        <v>46113</v>
      </c>
      <c r="L5612" t="s">
        <v>1179</v>
      </c>
      <c r="M5612" t="s">
        <v>54</v>
      </c>
      <c r="N5612">
        <v>76183891</v>
      </c>
    </row>
    <row r="5613" spans="1:14" x14ac:dyDescent="0.25">
      <c r="A5613">
        <v>62028904</v>
      </c>
      <c r="B5613" t="s">
        <v>12159</v>
      </c>
      <c r="C5613" t="s">
        <v>12160</v>
      </c>
      <c r="D5613" t="s">
        <v>12161</v>
      </c>
      <c r="E5613">
        <v>7377470814</v>
      </c>
      <c r="F5613" t="s">
        <v>474</v>
      </c>
      <c r="G5613" t="s">
        <v>475</v>
      </c>
      <c r="I5613" t="s">
        <v>132</v>
      </c>
      <c r="J5613" s="13">
        <v>46101</v>
      </c>
      <c r="K5613" s="13">
        <v>46113</v>
      </c>
      <c r="L5613" t="s">
        <v>444</v>
      </c>
      <c r="M5613" t="s">
        <v>58</v>
      </c>
      <c r="N5613">
        <v>76183949</v>
      </c>
    </row>
    <row r="5614" spans="1:14" x14ac:dyDescent="0.25">
      <c r="A5614">
        <v>62033166</v>
      </c>
      <c r="B5614" t="s">
        <v>1041</v>
      </c>
      <c r="C5614" t="s">
        <v>939</v>
      </c>
      <c r="D5614" t="s">
        <v>12162</v>
      </c>
      <c r="E5614">
        <v>3127352763</v>
      </c>
      <c r="F5614" t="s">
        <v>2544</v>
      </c>
      <c r="G5614" t="s">
        <v>4833</v>
      </c>
      <c r="I5614" t="s">
        <v>18</v>
      </c>
      <c r="J5614" s="13">
        <v>46101</v>
      </c>
      <c r="K5614" s="13">
        <v>46113</v>
      </c>
      <c r="L5614" t="s">
        <v>470</v>
      </c>
      <c r="M5614" t="s">
        <v>59</v>
      </c>
      <c r="N5614">
        <v>76184056</v>
      </c>
    </row>
    <row r="5615" spans="1:14" x14ac:dyDescent="0.25">
      <c r="A5615">
        <v>62042171</v>
      </c>
      <c r="B5615" t="s">
        <v>12163</v>
      </c>
      <c r="C5615" t="s">
        <v>1147</v>
      </c>
      <c r="D5615" t="s">
        <v>12164</v>
      </c>
      <c r="E5615">
        <v>4806529684</v>
      </c>
      <c r="F5615" t="s">
        <v>775</v>
      </c>
      <c r="G5615" t="s">
        <v>776</v>
      </c>
      <c r="I5615" t="s">
        <v>22</v>
      </c>
      <c r="J5615" s="13">
        <v>46101</v>
      </c>
      <c r="K5615" s="13">
        <v>46113</v>
      </c>
      <c r="L5615" t="s">
        <v>1179</v>
      </c>
      <c r="M5615" t="s">
        <v>54</v>
      </c>
      <c r="N5615">
        <v>76184849</v>
      </c>
    </row>
    <row r="5616" spans="1:14" x14ac:dyDescent="0.25">
      <c r="A5616">
        <v>62046182</v>
      </c>
      <c r="B5616" t="s">
        <v>925</v>
      </c>
      <c r="C5616" t="s">
        <v>12165</v>
      </c>
      <c r="D5616" t="s">
        <v>12166</v>
      </c>
      <c r="E5616" t="s">
        <v>12167</v>
      </c>
      <c r="F5616" t="s">
        <v>569</v>
      </c>
      <c r="G5616" t="s">
        <v>570</v>
      </c>
      <c r="I5616" t="s">
        <v>34</v>
      </c>
      <c r="J5616" s="13">
        <v>46101</v>
      </c>
      <c r="K5616" s="13">
        <v>46113</v>
      </c>
      <c r="L5616" t="s">
        <v>1179</v>
      </c>
      <c r="M5616" t="s">
        <v>54</v>
      </c>
      <c r="N5616">
        <v>76184957</v>
      </c>
    </row>
    <row r="5617" spans="1:14" x14ac:dyDescent="0.25">
      <c r="A5617">
        <v>62042981</v>
      </c>
      <c r="B5617" t="s">
        <v>8571</v>
      </c>
      <c r="C5617" t="s">
        <v>8531</v>
      </c>
      <c r="D5617" t="s">
        <v>12168</v>
      </c>
      <c r="E5617">
        <v>2488950674</v>
      </c>
      <c r="F5617" t="s">
        <v>705</v>
      </c>
      <c r="G5617" t="s">
        <v>706</v>
      </c>
      <c r="I5617" t="s">
        <v>12</v>
      </c>
      <c r="J5617" s="13">
        <v>46101</v>
      </c>
      <c r="K5617" s="13">
        <v>46113</v>
      </c>
      <c r="L5617" t="s">
        <v>8329</v>
      </c>
      <c r="M5617" t="s">
        <v>56</v>
      </c>
      <c r="N5617">
        <v>76185419</v>
      </c>
    </row>
    <row r="5618" spans="1:14" x14ac:dyDescent="0.25">
      <c r="A5618">
        <v>62044038</v>
      </c>
      <c r="B5618" t="s">
        <v>12169</v>
      </c>
      <c r="C5618" t="s">
        <v>2239</v>
      </c>
      <c r="D5618" t="s">
        <v>12170</v>
      </c>
      <c r="E5618">
        <v>4804684186</v>
      </c>
      <c r="F5618" t="s">
        <v>649</v>
      </c>
      <c r="G5618" t="s">
        <v>650</v>
      </c>
      <c r="I5618" t="s">
        <v>28</v>
      </c>
      <c r="J5618" s="13">
        <v>46101</v>
      </c>
      <c r="K5618" s="13">
        <v>46113</v>
      </c>
      <c r="L5618" t="s">
        <v>1179</v>
      </c>
      <c r="M5618" t="s">
        <v>55</v>
      </c>
      <c r="N5618">
        <v>76185433</v>
      </c>
    </row>
    <row r="5619" spans="1:14" x14ac:dyDescent="0.25">
      <c r="A5619">
        <v>62048908</v>
      </c>
      <c r="B5619" t="s">
        <v>672</v>
      </c>
      <c r="C5619" t="s">
        <v>12171</v>
      </c>
      <c r="D5619" t="s">
        <v>12172</v>
      </c>
      <c r="E5619">
        <v>2707319084</v>
      </c>
      <c r="F5619" t="s">
        <v>815</v>
      </c>
      <c r="G5619" t="s">
        <v>816</v>
      </c>
      <c r="I5619" t="s">
        <v>23</v>
      </c>
      <c r="J5619" s="13">
        <v>46101</v>
      </c>
      <c r="K5619" s="13">
        <v>46113</v>
      </c>
      <c r="L5619" t="s">
        <v>490</v>
      </c>
      <c r="M5619" t="s">
        <v>61</v>
      </c>
      <c r="N5619">
        <v>76186036</v>
      </c>
    </row>
    <row r="5620" spans="1:14" x14ac:dyDescent="0.25">
      <c r="A5620">
        <v>62051986</v>
      </c>
      <c r="B5620" t="s">
        <v>2281</v>
      </c>
      <c r="C5620" t="s">
        <v>12173</v>
      </c>
      <c r="D5620" t="s">
        <v>12174</v>
      </c>
      <c r="E5620">
        <v>3178646679</v>
      </c>
      <c r="F5620" t="s">
        <v>10253</v>
      </c>
      <c r="G5620" t="s">
        <v>781</v>
      </c>
      <c r="I5620" t="s">
        <v>36</v>
      </c>
      <c r="J5620" s="13">
        <v>46101</v>
      </c>
      <c r="K5620" s="13">
        <v>46113</v>
      </c>
      <c r="L5620" t="s">
        <v>440</v>
      </c>
      <c r="M5620" t="s">
        <v>59</v>
      </c>
      <c r="N5620">
        <v>76186145</v>
      </c>
    </row>
    <row r="5621" spans="1:14" x14ac:dyDescent="0.25">
      <c r="A5621">
        <v>62042656</v>
      </c>
      <c r="B5621" t="s">
        <v>4976</v>
      </c>
      <c r="C5621" t="s">
        <v>12175</v>
      </c>
      <c r="D5621" t="s">
        <v>12176</v>
      </c>
      <c r="E5621">
        <v>5206659684</v>
      </c>
      <c r="F5621" t="s">
        <v>416</v>
      </c>
      <c r="G5621" t="s">
        <v>417</v>
      </c>
      <c r="I5621" t="s">
        <v>26</v>
      </c>
      <c r="J5621" s="13">
        <v>46101</v>
      </c>
      <c r="K5621" s="13">
        <v>46113</v>
      </c>
      <c r="M5621" t="s">
        <v>54</v>
      </c>
      <c r="N5621">
        <v>76186517</v>
      </c>
    </row>
    <row r="5622" spans="1:14" x14ac:dyDescent="0.25">
      <c r="A5622">
        <v>62048608</v>
      </c>
      <c r="B5622" t="s">
        <v>1784</v>
      </c>
      <c r="C5622" t="s">
        <v>12177</v>
      </c>
      <c r="D5622" t="s">
        <v>12178</v>
      </c>
      <c r="E5622">
        <v>4147979287</v>
      </c>
      <c r="F5622" t="s">
        <v>667</v>
      </c>
      <c r="G5622" t="s">
        <v>668</v>
      </c>
      <c r="I5622" t="s">
        <v>37</v>
      </c>
      <c r="J5622" s="13">
        <v>46101</v>
      </c>
      <c r="K5622" s="13">
        <v>46113</v>
      </c>
      <c r="L5622" t="s">
        <v>675</v>
      </c>
      <c r="M5622" t="s">
        <v>56</v>
      </c>
      <c r="N5622">
        <v>76186550</v>
      </c>
    </row>
    <row r="5623" spans="1:14" x14ac:dyDescent="0.25">
      <c r="A5623">
        <v>62046823</v>
      </c>
      <c r="B5623" t="s">
        <v>12179</v>
      </c>
      <c r="C5623" t="s">
        <v>1883</v>
      </c>
      <c r="D5623" t="s">
        <v>12180</v>
      </c>
      <c r="E5623">
        <v>9546627009</v>
      </c>
      <c r="F5623" t="s">
        <v>780</v>
      </c>
      <c r="G5623" t="s">
        <v>781</v>
      </c>
      <c r="I5623" t="s">
        <v>20</v>
      </c>
      <c r="J5623" s="13">
        <v>46101</v>
      </c>
      <c r="K5623" s="13">
        <v>46113</v>
      </c>
      <c r="L5623" t="s">
        <v>497</v>
      </c>
      <c r="M5623" t="s">
        <v>56</v>
      </c>
      <c r="N5623">
        <v>76187399</v>
      </c>
    </row>
    <row r="5624" spans="1:14" x14ac:dyDescent="0.25">
      <c r="A5624">
        <v>62058553</v>
      </c>
      <c r="B5624" t="s">
        <v>552</v>
      </c>
      <c r="C5624" t="s">
        <v>1053</v>
      </c>
      <c r="D5624" t="s">
        <v>12181</v>
      </c>
      <c r="E5624">
        <v>9282557065</v>
      </c>
      <c r="F5624" t="s">
        <v>1345</v>
      </c>
      <c r="G5624" t="s">
        <v>799</v>
      </c>
      <c r="I5624" t="s">
        <v>47</v>
      </c>
      <c r="J5624" s="13">
        <v>46101</v>
      </c>
      <c r="K5624" s="13">
        <v>46113</v>
      </c>
      <c r="L5624" t="s">
        <v>1179</v>
      </c>
      <c r="M5624" t="s">
        <v>54</v>
      </c>
      <c r="N5624">
        <v>76188623</v>
      </c>
    </row>
    <row r="5625" spans="1:14" x14ac:dyDescent="0.25">
      <c r="A5625">
        <v>62054567</v>
      </c>
      <c r="B5625" t="s">
        <v>501</v>
      </c>
      <c r="C5625" t="s">
        <v>12182</v>
      </c>
      <c r="D5625" t="s">
        <v>12183</v>
      </c>
      <c r="E5625">
        <v>5025427623</v>
      </c>
      <c r="F5625" t="s">
        <v>10460</v>
      </c>
      <c r="G5625" t="s">
        <v>6663</v>
      </c>
      <c r="I5625" t="s">
        <v>40</v>
      </c>
      <c r="J5625" s="13">
        <v>46101</v>
      </c>
      <c r="K5625" s="13">
        <v>46113</v>
      </c>
      <c r="L5625" t="s">
        <v>490</v>
      </c>
      <c r="M5625" t="s">
        <v>419</v>
      </c>
      <c r="N5625">
        <v>76188754</v>
      </c>
    </row>
    <row r="5626" spans="1:14" x14ac:dyDescent="0.25">
      <c r="A5626">
        <v>62059866</v>
      </c>
      <c r="B5626" t="s">
        <v>12184</v>
      </c>
      <c r="C5626" t="s">
        <v>12185</v>
      </c>
      <c r="D5626" t="s">
        <v>12186</v>
      </c>
      <c r="E5626" t="s">
        <v>12187</v>
      </c>
      <c r="F5626" t="s">
        <v>10591</v>
      </c>
      <c r="G5626" t="s">
        <v>10215</v>
      </c>
      <c r="I5626" t="s">
        <v>32</v>
      </c>
      <c r="J5626" s="13">
        <v>46101</v>
      </c>
      <c r="K5626" s="13">
        <v>46113</v>
      </c>
      <c r="L5626" t="s">
        <v>1179</v>
      </c>
      <c r="M5626" t="s">
        <v>54</v>
      </c>
      <c r="N5626">
        <v>76190181</v>
      </c>
    </row>
    <row r="5627" spans="1:14" x14ac:dyDescent="0.25">
      <c r="A5627">
        <v>62059082</v>
      </c>
      <c r="B5627" t="s">
        <v>1334</v>
      </c>
      <c r="C5627" t="s">
        <v>12188</v>
      </c>
      <c r="D5627" t="s">
        <v>12189</v>
      </c>
      <c r="E5627">
        <v>6027622877</v>
      </c>
      <c r="F5627" t="s">
        <v>416</v>
      </c>
      <c r="G5627" t="s">
        <v>417</v>
      </c>
      <c r="I5627" t="s">
        <v>26</v>
      </c>
      <c r="J5627" s="13">
        <v>46101</v>
      </c>
      <c r="K5627" s="13">
        <v>46113</v>
      </c>
      <c r="L5627" t="s">
        <v>1179</v>
      </c>
      <c r="M5627" t="s">
        <v>56</v>
      </c>
      <c r="N5627">
        <v>76191110</v>
      </c>
    </row>
    <row r="5628" spans="1:14" x14ac:dyDescent="0.25">
      <c r="A5628">
        <v>62059261</v>
      </c>
      <c r="B5628" t="s">
        <v>867</v>
      </c>
      <c r="C5628" t="s">
        <v>12190</v>
      </c>
      <c r="D5628" t="s">
        <v>12191</v>
      </c>
      <c r="E5628">
        <v>3177609595</v>
      </c>
      <c r="F5628" t="s">
        <v>10569</v>
      </c>
      <c r="G5628" t="s">
        <v>10570</v>
      </c>
      <c r="I5628" t="s">
        <v>29</v>
      </c>
      <c r="J5628" s="13">
        <v>46101</v>
      </c>
      <c r="K5628" s="13">
        <v>46113</v>
      </c>
      <c r="L5628" t="s">
        <v>440</v>
      </c>
      <c r="M5628" t="s">
        <v>62</v>
      </c>
      <c r="N5628">
        <v>76191211</v>
      </c>
    </row>
    <row r="5629" spans="1:14" x14ac:dyDescent="0.25">
      <c r="A5629">
        <v>62055800</v>
      </c>
      <c r="B5629" t="s">
        <v>651</v>
      </c>
      <c r="C5629" t="s">
        <v>2077</v>
      </c>
      <c r="D5629" t="s">
        <v>12192</v>
      </c>
      <c r="E5629">
        <v>8594326757</v>
      </c>
      <c r="F5629" t="s">
        <v>928</v>
      </c>
      <c r="G5629" t="s">
        <v>929</v>
      </c>
      <c r="I5629" t="s">
        <v>30</v>
      </c>
      <c r="J5629" s="13">
        <v>46101</v>
      </c>
      <c r="K5629" s="13">
        <v>46113</v>
      </c>
      <c r="L5629" t="s">
        <v>490</v>
      </c>
      <c r="M5629" t="s">
        <v>59</v>
      </c>
      <c r="N5629">
        <v>76193826</v>
      </c>
    </row>
    <row r="5630" spans="1:14" x14ac:dyDescent="0.25">
      <c r="A5630">
        <v>62084420</v>
      </c>
      <c r="B5630" t="s">
        <v>1148</v>
      </c>
      <c r="C5630" t="s">
        <v>12193</v>
      </c>
      <c r="D5630" t="s">
        <v>12194</v>
      </c>
      <c r="E5630" t="s">
        <v>12195</v>
      </c>
      <c r="F5630" t="s">
        <v>649</v>
      </c>
      <c r="G5630" t="s">
        <v>650</v>
      </c>
      <c r="I5630" t="s">
        <v>28</v>
      </c>
      <c r="J5630" s="13">
        <v>46104</v>
      </c>
      <c r="K5630" s="13">
        <v>46113</v>
      </c>
      <c r="L5630" t="s">
        <v>553</v>
      </c>
      <c r="M5630" t="s">
        <v>59</v>
      </c>
      <c r="N5630">
        <v>76202010</v>
      </c>
    </row>
    <row r="5631" spans="1:14" x14ac:dyDescent="0.25">
      <c r="A5631">
        <v>62077985</v>
      </c>
      <c r="B5631" t="s">
        <v>1445</v>
      </c>
      <c r="C5631" t="s">
        <v>12196</v>
      </c>
      <c r="D5631" t="s">
        <v>12197</v>
      </c>
      <c r="E5631">
        <v>6234568310</v>
      </c>
      <c r="F5631" t="s">
        <v>448</v>
      </c>
      <c r="G5631" t="s">
        <v>449</v>
      </c>
      <c r="I5631" t="s">
        <v>31</v>
      </c>
      <c r="J5631" s="13">
        <v>46104</v>
      </c>
      <c r="K5631" s="13">
        <v>46113</v>
      </c>
      <c r="L5631" t="s">
        <v>1179</v>
      </c>
      <c r="M5631" t="s">
        <v>55</v>
      </c>
      <c r="N5631">
        <v>76202055</v>
      </c>
    </row>
    <row r="5632" spans="1:14" x14ac:dyDescent="0.25">
      <c r="A5632">
        <v>62090221</v>
      </c>
      <c r="B5632" t="s">
        <v>2614</v>
      </c>
      <c r="C5632" t="s">
        <v>12198</v>
      </c>
      <c r="D5632" t="s">
        <v>12199</v>
      </c>
      <c r="E5632">
        <v>5205358679</v>
      </c>
      <c r="F5632" t="s">
        <v>569</v>
      </c>
      <c r="G5632" t="s">
        <v>570</v>
      </c>
      <c r="I5632" t="s">
        <v>34</v>
      </c>
      <c r="J5632" s="13">
        <v>46104</v>
      </c>
      <c r="K5632" s="13">
        <v>46113</v>
      </c>
      <c r="L5632" t="s">
        <v>1179</v>
      </c>
      <c r="M5632" t="s">
        <v>59</v>
      </c>
      <c r="N5632">
        <v>76202098</v>
      </c>
    </row>
    <row r="5633" spans="1:14" x14ac:dyDescent="0.25">
      <c r="A5633">
        <v>62088356</v>
      </c>
      <c r="B5633" t="s">
        <v>3252</v>
      </c>
      <c r="C5633" t="s">
        <v>2544</v>
      </c>
      <c r="D5633" t="s">
        <v>12200</v>
      </c>
      <c r="E5633" t="s">
        <v>12201</v>
      </c>
      <c r="F5633" t="s">
        <v>775</v>
      </c>
      <c r="G5633" t="s">
        <v>776</v>
      </c>
      <c r="I5633" t="s">
        <v>22</v>
      </c>
      <c r="J5633" s="13">
        <v>46104</v>
      </c>
      <c r="K5633" s="13">
        <v>46113</v>
      </c>
      <c r="L5633" t="s">
        <v>539</v>
      </c>
      <c r="M5633" t="s">
        <v>58</v>
      </c>
      <c r="N5633">
        <v>76202118</v>
      </c>
    </row>
    <row r="5634" spans="1:14" x14ac:dyDescent="0.25">
      <c r="A5634">
        <v>62086714</v>
      </c>
      <c r="B5634" t="s">
        <v>12202</v>
      </c>
      <c r="C5634" t="s">
        <v>3657</v>
      </c>
      <c r="D5634" t="s">
        <v>12203</v>
      </c>
      <c r="E5634">
        <v>2108909966</v>
      </c>
      <c r="F5634" t="s">
        <v>574</v>
      </c>
      <c r="G5634" t="s">
        <v>575</v>
      </c>
      <c r="I5634" t="s">
        <v>14</v>
      </c>
      <c r="J5634" s="13">
        <v>46104</v>
      </c>
      <c r="K5634" s="13">
        <v>46113</v>
      </c>
      <c r="L5634" t="s">
        <v>444</v>
      </c>
      <c r="M5634" t="s">
        <v>56</v>
      </c>
      <c r="N5634">
        <v>76202477</v>
      </c>
    </row>
    <row r="5635" spans="1:14" x14ac:dyDescent="0.25">
      <c r="A5635">
        <v>62082838</v>
      </c>
      <c r="B5635" t="s">
        <v>517</v>
      </c>
      <c r="C5635" t="s">
        <v>6751</v>
      </c>
      <c r="D5635" t="s">
        <v>12204</v>
      </c>
      <c r="E5635">
        <v>5025366706</v>
      </c>
      <c r="F5635" t="s">
        <v>705</v>
      </c>
      <c r="G5635" t="s">
        <v>706</v>
      </c>
      <c r="I5635" t="s">
        <v>12</v>
      </c>
      <c r="J5635" s="13">
        <v>46104</v>
      </c>
      <c r="K5635" s="13">
        <v>46113</v>
      </c>
      <c r="L5635" t="s">
        <v>12205</v>
      </c>
      <c r="M5635" t="s">
        <v>59</v>
      </c>
      <c r="N5635">
        <v>76202573</v>
      </c>
    </row>
    <row r="5636" spans="1:14" x14ac:dyDescent="0.25">
      <c r="A5636">
        <v>62081815</v>
      </c>
      <c r="B5636" t="s">
        <v>4716</v>
      </c>
      <c r="C5636" t="s">
        <v>12206</v>
      </c>
      <c r="D5636" t="s">
        <v>12207</v>
      </c>
      <c r="E5636">
        <v>9372149586</v>
      </c>
      <c r="F5636" t="s">
        <v>474</v>
      </c>
      <c r="G5636" t="s">
        <v>475</v>
      </c>
      <c r="I5636" t="s">
        <v>132</v>
      </c>
      <c r="J5636" s="13">
        <v>46104</v>
      </c>
      <c r="K5636" s="13">
        <v>46113</v>
      </c>
      <c r="L5636" t="s">
        <v>418</v>
      </c>
      <c r="M5636" t="s">
        <v>56</v>
      </c>
      <c r="N5636">
        <v>76202844</v>
      </c>
    </row>
    <row r="5637" spans="1:14" x14ac:dyDescent="0.25">
      <c r="A5637">
        <v>62218903</v>
      </c>
      <c r="B5637" t="s">
        <v>12208</v>
      </c>
      <c r="C5637" t="s">
        <v>12209</v>
      </c>
      <c r="D5637" t="s">
        <v>12210</v>
      </c>
      <c r="E5637">
        <v>2102510314</v>
      </c>
      <c r="F5637" t="s">
        <v>928</v>
      </c>
      <c r="G5637" t="s">
        <v>929</v>
      </c>
      <c r="I5637" t="s">
        <v>30</v>
      </c>
      <c r="J5637" s="13">
        <v>46105</v>
      </c>
      <c r="K5637" s="13">
        <v>46113</v>
      </c>
      <c r="L5637" t="s">
        <v>444</v>
      </c>
      <c r="M5637" t="s">
        <v>56</v>
      </c>
      <c r="N5637">
        <v>76204046</v>
      </c>
    </row>
    <row r="5638" spans="1:14" x14ac:dyDescent="0.25">
      <c r="A5638">
        <v>62218446</v>
      </c>
      <c r="B5638" t="s">
        <v>1535</v>
      </c>
      <c r="C5638" t="s">
        <v>12211</v>
      </c>
      <c r="D5638" t="s">
        <v>12212</v>
      </c>
      <c r="E5638">
        <v>6293310885</v>
      </c>
      <c r="F5638" t="s">
        <v>10253</v>
      </c>
      <c r="G5638" t="s">
        <v>781</v>
      </c>
      <c r="I5638" t="s">
        <v>36</v>
      </c>
      <c r="J5638" s="13">
        <v>46105</v>
      </c>
      <c r="K5638" s="13">
        <v>46113</v>
      </c>
      <c r="L5638" t="s">
        <v>479</v>
      </c>
      <c r="M5638" t="s">
        <v>59</v>
      </c>
      <c r="N5638">
        <v>76204117</v>
      </c>
    </row>
    <row r="5639" spans="1:14" x14ac:dyDescent="0.25">
      <c r="A5639">
        <v>62102620</v>
      </c>
      <c r="B5639" t="s">
        <v>9009</v>
      </c>
      <c r="C5639" t="s">
        <v>12213</v>
      </c>
      <c r="D5639" t="s">
        <v>12214</v>
      </c>
      <c r="E5639">
        <v>3307302737</v>
      </c>
      <c r="F5639" t="s">
        <v>10642</v>
      </c>
      <c r="G5639" t="s">
        <v>10643</v>
      </c>
      <c r="I5639" t="s">
        <v>45</v>
      </c>
      <c r="J5639" s="13">
        <v>46104</v>
      </c>
      <c r="K5639" s="13">
        <v>46113</v>
      </c>
      <c r="L5639" t="s">
        <v>418</v>
      </c>
      <c r="M5639" t="s">
        <v>59</v>
      </c>
      <c r="N5639">
        <v>76204150</v>
      </c>
    </row>
    <row r="5640" spans="1:14" x14ac:dyDescent="0.25">
      <c r="A5640">
        <v>62096731</v>
      </c>
      <c r="B5640" t="s">
        <v>522</v>
      </c>
      <c r="C5640" t="s">
        <v>3440</v>
      </c>
      <c r="D5640" t="s">
        <v>12215</v>
      </c>
      <c r="E5640">
        <v>5202052375</v>
      </c>
      <c r="F5640" t="s">
        <v>10460</v>
      </c>
      <c r="G5640" t="s">
        <v>6663</v>
      </c>
      <c r="I5640" t="s">
        <v>40</v>
      </c>
      <c r="J5640" s="13">
        <v>46104</v>
      </c>
      <c r="K5640" s="13">
        <v>46113</v>
      </c>
      <c r="L5640" t="s">
        <v>479</v>
      </c>
      <c r="M5640" t="s">
        <v>59</v>
      </c>
      <c r="N5640">
        <v>76204831</v>
      </c>
    </row>
    <row r="5641" spans="1:14" x14ac:dyDescent="0.25">
      <c r="A5641">
        <v>62278182</v>
      </c>
      <c r="B5641" t="s">
        <v>12216</v>
      </c>
      <c r="C5641" t="s">
        <v>768</v>
      </c>
      <c r="D5641" t="s">
        <v>12217</v>
      </c>
      <c r="E5641">
        <v>6026238152</v>
      </c>
      <c r="F5641" t="s">
        <v>807</v>
      </c>
      <c r="G5641" t="s">
        <v>808</v>
      </c>
      <c r="I5641" t="s">
        <v>33</v>
      </c>
      <c r="J5641" s="13">
        <v>46106</v>
      </c>
      <c r="K5641" s="13">
        <v>46113</v>
      </c>
      <c r="L5641" t="s">
        <v>1179</v>
      </c>
      <c r="M5641" t="s">
        <v>54</v>
      </c>
      <c r="N5641">
        <v>76204989</v>
      </c>
    </row>
    <row r="5642" spans="1:14" x14ac:dyDescent="0.25">
      <c r="A5642">
        <v>62094596</v>
      </c>
      <c r="B5642" t="s">
        <v>1448</v>
      </c>
      <c r="C5642" t="s">
        <v>10382</v>
      </c>
      <c r="D5642" t="s">
        <v>12218</v>
      </c>
      <c r="E5642">
        <v>6155731793</v>
      </c>
      <c r="F5642" t="s">
        <v>574</v>
      </c>
      <c r="G5642" t="s">
        <v>575</v>
      </c>
      <c r="I5642" t="s">
        <v>14</v>
      </c>
      <c r="J5642" s="13">
        <v>46104</v>
      </c>
      <c r="K5642" s="13">
        <v>46113</v>
      </c>
      <c r="L5642" t="s">
        <v>479</v>
      </c>
      <c r="M5642" t="s">
        <v>59</v>
      </c>
      <c r="N5642">
        <v>76205140</v>
      </c>
    </row>
    <row r="5643" spans="1:14" x14ac:dyDescent="0.25">
      <c r="A5643">
        <v>62099912</v>
      </c>
      <c r="B5643" t="s">
        <v>1573</v>
      </c>
      <c r="C5643" t="s">
        <v>1702</v>
      </c>
      <c r="D5643" t="s">
        <v>12219</v>
      </c>
      <c r="E5643" t="s">
        <v>12220</v>
      </c>
      <c r="F5643" t="s">
        <v>649</v>
      </c>
      <c r="G5643" t="s">
        <v>650</v>
      </c>
      <c r="I5643" t="s">
        <v>28</v>
      </c>
      <c r="J5643" s="13">
        <v>46104</v>
      </c>
      <c r="K5643" s="13">
        <v>46113</v>
      </c>
      <c r="L5643" t="s">
        <v>490</v>
      </c>
      <c r="M5643" t="s">
        <v>419</v>
      </c>
      <c r="N5643">
        <v>76205158</v>
      </c>
    </row>
    <row r="5644" spans="1:14" x14ac:dyDescent="0.25">
      <c r="A5644">
        <v>62108881</v>
      </c>
      <c r="B5644" t="s">
        <v>480</v>
      </c>
      <c r="C5644" t="s">
        <v>12221</v>
      </c>
      <c r="D5644" t="s">
        <v>12222</v>
      </c>
      <c r="E5644">
        <v>7622078483</v>
      </c>
      <c r="F5644" t="s">
        <v>815</v>
      </c>
      <c r="G5644" t="s">
        <v>816</v>
      </c>
      <c r="I5644" t="s">
        <v>23</v>
      </c>
      <c r="J5644" s="13">
        <v>46104</v>
      </c>
      <c r="K5644" s="13">
        <v>46113</v>
      </c>
      <c r="L5644" t="s">
        <v>621</v>
      </c>
      <c r="M5644" t="s">
        <v>56</v>
      </c>
      <c r="N5644">
        <v>76205306</v>
      </c>
    </row>
    <row r="5645" spans="1:14" x14ac:dyDescent="0.25">
      <c r="A5645">
        <v>62097706</v>
      </c>
      <c r="B5645" t="s">
        <v>431</v>
      </c>
      <c r="C5645" t="s">
        <v>12223</v>
      </c>
      <c r="E5645">
        <v>5205850573</v>
      </c>
      <c r="F5645" t="s">
        <v>10591</v>
      </c>
      <c r="G5645" t="s">
        <v>10215</v>
      </c>
      <c r="I5645" t="s">
        <v>32</v>
      </c>
      <c r="J5645" s="13">
        <v>46104</v>
      </c>
      <c r="K5645" s="13">
        <v>46113</v>
      </c>
      <c r="L5645" t="s">
        <v>1179</v>
      </c>
      <c r="M5645" t="s">
        <v>54</v>
      </c>
      <c r="N5645">
        <v>76205367</v>
      </c>
    </row>
    <row r="5646" spans="1:14" x14ac:dyDescent="0.25">
      <c r="A5646">
        <v>62107638</v>
      </c>
      <c r="B5646" t="s">
        <v>3561</v>
      </c>
      <c r="C5646" t="s">
        <v>12224</v>
      </c>
      <c r="D5646" t="s">
        <v>12225</v>
      </c>
      <c r="E5646">
        <v>3306067366</v>
      </c>
      <c r="F5646" t="s">
        <v>2544</v>
      </c>
      <c r="G5646" t="s">
        <v>4833</v>
      </c>
      <c r="I5646" t="s">
        <v>18</v>
      </c>
      <c r="J5646" s="13">
        <v>46104</v>
      </c>
      <c r="K5646" s="13">
        <v>46113</v>
      </c>
      <c r="L5646" t="s">
        <v>418</v>
      </c>
      <c r="M5646" t="s">
        <v>62</v>
      </c>
      <c r="N5646">
        <v>76205474</v>
      </c>
    </row>
    <row r="5647" spans="1:14" x14ac:dyDescent="0.25">
      <c r="A5647">
        <v>62119818</v>
      </c>
      <c r="B5647" t="s">
        <v>12226</v>
      </c>
      <c r="C5647" t="s">
        <v>12227</v>
      </c>
      <c r="D5647" t="s">
        <v>12228</v>
      </c>
      <c r="F5647" t="s">
        <v>688</v>
      </c>
      <c r="G5647" t="s">
        <v>10291</v>
      </c>
      <c r="I5647" t="s">
        <v>48</v>
      </c>
      <c r="J5647" s="13">
        <v>46104</v>
      </c>
      <c r="K5647" s="13">
        <v>46113</v>
      </c>
      <c r="L5647" t="s">
        <v>434</v>
      </c>
      <c r="M5647" t="s">
        <v>58</v>
      </c>
      <c r="N5647">
        <v>76205650</v>
      </c>
    </row>
    <row r="5648" spans="1:14" x14ac:dyDescent="0.25">
      <c r="A5648">
        <v>62098025</v>
      </c>
      <c r="B5648" t="s">
        <v>1540</v>
      </c>
      <c r="C5648" t="s">
        <v>12229</v>
      </c>
      <c r="D5648" t="s">
        <v>12230</v>
      </c>
      <c r="E5648">
        <v>9363292056</v>
      </c>
      <c r="F5648" t="s">
        <v>1067</v>
      </c>
      <c r="G5648" t="s">
        <v>1068</v>
      </c>
      <c r="I5648" t="s">
        <v>35</v>
      </c>
      <c r="J5648" s="13">
        <v>46104</v>
      </c>
      <c r="K5648" s="13">
        <v>46113</v>
      </c>
      <c r="L5648" t="s">
        <v>444</v>
      </c>
      <c r="M5648" t="s">
        <v>56</v>
      </c>
      <c r="N5648">
        <v>76206018</v>
      </c>
    </row>
    <row r="5649" spans="1:14" x14ac:dyDescent="0.25">
      <c r="A5649">
        <v>62139710</v>
      </c>
      <c r="B5649" t="s">
        <v>12231</v>
      </c>
      <c r="C5649" t="s">
        <v>2488</v>
      </c>
      <c r="D5649" t="s">
        <v>12232</v>
      </c>
      <c r="E5649">
        <v>9043331884</v>
      </c>
      <c r="F5649" t="s">
        <v>416</v>
      </c>
      <c r="G5649" t="s">
        <v>417</v>
      </c>
      <c r="I5649" t="s">
        <v>26</v>
      </c>
      <c r="J5649" s="13">
        <v>46104</v>
      </c>
      <c r="K5649" s="13">
        <v>46113</v>
      </c>
      <c r="L5649" t="s">
        <v>497</v>
      </c>
      <c r="M5649" t="s">
        <v>58</v>
      </c>
      <c r="N5649">
        <v>76206225</v>
      </c>
    </row>
    <row r="5650" spans="1:14" x14ac:dyDescent="0.25">
      <c r="A5650">
        <v>62113080</v>
      </c>
      <c r="B5650" t="s">
        <v>12233</v>
      </c>
      <c r="C5650" t="s">
        <v>515</v>
      </c>
      <c r="D5650" t="s">
        <v>12234</v>
      </c>
      <c r="E5650">
        <v>7273265928</v>
      </c>
      <c r="F5650" t="s">
        <v>1345</v>
      </c>
      <c r="G5650" t="s">
        <v>799</v>
      </c>
      <c r="I5650" t="s">
        <v>47</v>
      </c>
      <c r="J5650" s="13">
        <v>46104</v>
      </c>
      <c r="K5650" s="13">
        <v>46113</v>
      </c>
      <c r="L5650" t="s">
        <v>497</v>
      </c>
      <c r="M5650" t="s">
        <v>56</v>
      </c>
      <c r="N5650">
        <v>76206228</v>
      </c>
    </row>
    <row r="5651" spans="1:14" x14ac:dyDescent="0.25">
      <c r="A5651">
        <v>62115997</v>
      </c>
      <c r="B5651" t="s">
        <v>4769</v>
      </c>
      <c r="C5651" t="s">
        <v>1177</v>
      </c>
      <c r="D5651" t="s">
        <v>12235</v>
      </c>
      <c r="E5651">
        <v>8659514543</v>
      </c>
      <c r="F5651" t="s">
        <v>551</v>
      </c>
      <c r="G5651" t="s">
        <v>552</v>
      </c>
      <c r="I5651" t="s">
        <v>42</v>
      </c>
      <c r="J5651" s="13">
        <v>46104</v>
      </c>
      <c r="K5651" s="13">
        <v>46113</v>
      </c>
      <c r="L5651" t="s">
        <v>479</v>
      </c>
      <c r="M5651" t="s">
        <v>56</v>
      </c>
      <c r="N5651">
        <v>76206509</v>
      </c>
    </row>
    <row r="5652" spans="1:14" x14ac:dyDescent="0.25">
      <c r="A5652">
        <v>62106828</v>
      </c>
      <c r="B5652" t="s">
        <v>4374</v>
      </c>
      <c r="C5652" t="s">
        <v>5593</v>
      </c>
      <c r="D5652" t="s">
        <v>12236</v>
      </c>
      <c r="E5652">
        <v>7209688695</v>
      </c>
      <c r="F5652" t="s">
        <v>574</v>
      </c>
      <c r="G5652" t="s">
        <v>575</v>
      </c>
      <c r="I5652" t="s">
        <v>14</v>
      </c>
      <c r="J5652" s="13">
        <v>46104</v>
      </c>
      <c r="K5652" s="13">
        <v>46113</v>
      </c>
      <c r="L5652" t="s">
        <v>539</v>
      </c>
      <c r="M5652" t="s">
        <v>419</v>
      </c>
      <c r="N5652">
        <v>76207043</v>
      </c>
    </row>
    <row r="5653" spans="1:14" x14ac:dyDescent="0.25">
      <c r="A5653">
        <v>62125104</v>
      </c>
      <c r="B5653" t="s">
        <v>3359</v>
      </c>
      <c r="C5653" t="s">
        <v>12237</v>
      </c>
      <c r="D5653" t="s">
        <v>12238</v>
      </c>
      <c r="E5653">
        <v>4802020135</v>
      </c>
      <c r="F5653" t="s">
        <v>416</v>
      </c>
      <c r="G5653" t="s">
        <v>417</v>
      </c>
      <c r="I5653" t="s">
        <v>26</v>
      </c>
      <c r="J5653" s="13">
        <v>46104</v>
      </c>
      <c r="K5653" s="13">
        <v>46113</v>
      </c>
      <c r="L5653" t="s">
        <v>1179</v>
      </c>
      <c r="M5653" t="s">
        <v>56</v>
      </c>
      <c r="N5653">
        <v>76207569</v>
      </c>
    </row>
    <row r="5654" spans="1:14" x14ac:dyDescent="0.25">
      <c r="A5654">
        <v>62111418</v>
      </c>
      <c r="B5654" t="s">
        <v>873</v>
      </c>
      <c r="C5654" t="s">
        <v>1265</v>
      </c>
      <c r="D5654" t="s">
        <v>12239</v>
      </c>
      <c r="E5654">
        <v>8594868570</v>
      </c>
      <c r="F5654" t="s">
        <v>1067</v>
      </c>
      <c r="G5654" t="s">
        <v>1068</v>
      </c>
      <c r="I5654" t="s">
        <v>35</v>
      </c>
      <c r="J5654" s="13">
        <v>46104</v>
      </c>
      <c r="K5654" s="13">
        <v>46113</v>
      </c>
      <c r="L5654" t="s">
        <v>490</v>
      </c>
      <c r="M5654" t="s">
        <v>56</v>
      </c>
      <c r="N5654">
        <v>76208254</v>
      </c>
    </row>
    <row r="5655" spans="1:14" x14ac:dyDescent="0.25">
      <c r="A5655">
        <v>62127484</v>
      </c>
      <c r="B5655" t="s">
        <v>1316</v>
      </c>
      <c r="C5655" t="s">
        <v>1585</v>
      </c>
      <c r="D5655" t="s">
        <v>12240</v>
      </c>
      <c r="E5655">
        <v>4806517905</v>
      </c>
      <c r="F5655" t="s">
        <v>416</v>
      </c>
      <c r="G5655" t="s">
        <v>417</v>
      </c>
      <c r="I5655" t="s">
        <v>26</v>
      </c>
      <c r="J5655" s="13">
        <v>46104</v>
      </c>
      <c r="K5655" s="13">
        <v>46113</v>
      </c>
      <c r="L5655" t="s">
        <v>1179</v>
      </c>
      <c r="M5655" t="s">
        <v>54</v>
      </c>
      <c r="N5655">
        <v>76212462</v>
      </c>
    </row>
    <row r="5656" spans="1:14" x14ac:dyDescent="0.25">
      <c r="A5656">
        <v>62126254</v>
      </c>
      <c r="B5656" t="s">
        <v>7798</v>
      </c>
      <c r="C5656" t="s">
        <v>3895</v>
      </c>
      <c r="D5656" t="s">
        <v>12241</v>
      </c>
      <c r="E5656">
        <v>4704492303</v>
      </c>
      <c r="F5656" t="s">
        <v>928</v>
      </c>
      <c r="G5656" t="s">
        <v>929</v>
      </c>
      <c r="I5656" t="s">
        <v>30</v>
      </c>
      <c r="J5656" s="13">
        <v>46104</v>
      </c>
      <c r="K5656" s="13">
        <v>46113</v>
      </c>
      <c r="L5656" t="s">
        <v>621</v>
      </c>
      <c r="M5656" t="s">
        <v>59</v>
      </c>
      <c r="N5656">
        <v>76213396</v>
      </c>
    </row>
    <row r="5657" spans="1:14" x14ac:dyDescent="0.25">
      <c r="A5657">
        <v>62128020</v>
      </c>
      <c r="B5657" t="s">
        <v>521</v>
      </c>
      <c r="C5657" t="s">
        <v>12242</v>
      </c>
      <c r="D5657" t="s">
        <v>12243</v>
      </c>
      <c r="E5657">
        <v>7274653618</v>
      </c>
      <c r="F5657" t="s">
        <v>775</v>
      </c>
      <c r="G5657" t="s">
        <v>776</v>
      </c>
      <c r="I5657" t="s">
        <v>22</v>
      </c>
      <c r="J5657" s="13">
        <v>46104</v>
      </c>
      <c r="K5657" s="13">
        <v>46113</v>
      </c>
      <c r="L5657" t="s">
        <v>497</v>
      </c>
      <c r="M5657" t="s">
        <v>56</v>
      </c>
      <c r="N5657">
        <v>76214279</v>
      </c>
    </row>
    <row r="5658" spans="1:14" x14ac:dyDescent="0.25">
      <c r="A5658">
        <v>62133126</v>
      </c>
      <c r="B5658" t="s">
        <v>1297</v>
      </c>
      <c r="C5658" t="s">
        <v>3871</v>
      </c>
      <c r="D5658" t="s">
        <v>12244</v>
      </c>
      <c r="E5658">
        <v>4807380475</v>
      </c>
      <c r="F5658" t="s">
        <v>780</v>
      </c>
      <c r="G5658" t="s">
        <v>781</v>
      </c>
      <c r="I5658" t="s">
        <v>20</v>
      </c>
      <c r="J5658" s="13">
        <v>46104</v>
      </c>
      <c r="K5658" s="13">
        <v>46113</v>
      </c>
      <c r="L5658" t="s">
        <v>1179</v>
      </c>
      <c r="M5658" t="s">
        <v>54</v>
      </c>
      <c r="N5658">
        <v>76215284</v>
      </c>
    </row>
    <row r="5659" spans="1:14" x14ac:dyDescent="0.25">
      <c r="A5659">
        <v>62135543</v>
      </c>
      <c r="B5659" t="s">
        <v>1297</v>
      </c>
      <c r="C5659" t="s">
        <v>12245</v>
      </c>
      <c r="D5659" t="s">
        <v>12246</v>
      </c>
      <c r="E5659">
        <v>3308408696</v>
      </c>
      <c r="F5659" t="s">
        <v>10253</v>
      </c>
      <c r="G5659" t="s">
        <v>781</v>
      </c>
      <c r="I5659" t="s">
        <v>36</v>
      </c>
      <c r="J5659" s="13">
        <v>46104</v>
      </c>
      <c r="K5659" s="13">
        <v>46113</v>
      </c>
      <c r="L5659" t="s">
        <v>418</v>
      </c>
      <c r="M5659" t="s">
        <v>59</v>
      </c>
      <c r="N5659">
        <v>76215461</v>
      </c>
    </row>
    <row r="5660" spans="1:14" x14ac:dyDescent="0.25">
      <c r="A5660">
        <v>62129060</v>
      </c>
      <c r="B5660" t="s">
        <v>12247</v>
      </c>
      <c r="C5660" t="s">
        <v>12248</v>
      </c>
      <c r="D5660" t="s">
        <v>12249</v>
      </c>
      <c r="E5660" t="s">
        <v>12250</v>
      </c>
      <c r="F5660" t="s">
        <v>770</v>
      </c>
      <c r="G5660" t="s">
        <v>771</v>
      </c>
      <c r="I5660" t="s">
        <v>25</v>
      </c>
      <c r="J5660" s="13">
        <v>46104</v>
      </c>
      <c r="K5660" s="13">
        <v>46113</v>
      </c>
      <c r="L5660" t="s">
        <v>1179</v>
      </c>
      <c r="M5660" t="s">
        <v>59</v>
      </c>
      <c r="N5660">
        <v>76217413</v>
      </c>
    </row>
    <row r="5661" spans="1:14" x14ac:dyDescent="0.25">
      <c r="A5661">
        <v>62139420</v>
      </c>
      <c r="B5661" t="s">
        <v>4570</v>
      </c>
      <c r="C5661" t="s">
        <v>12251</v>
      </c>
      <c r="D5661" t="s">
        <v>12252</v>
      </c>
      <c r="E5661">
        <v>7734330111</v>
      </c>
      <c r="F5661" t="s">
        <v>10569</v>
      </c>
      <c r="G5661" t="s">
        <v>10570</v>
      </c>
      <c r="I5661" t="s">
        <v>29</v>
      </c>
      <c r="J5661" s="13">
        <v>46104</v>
      </c>
      <c r="K5661" s="13">
        <v>46113</v>
      </c>
      <c r="L5661" t="s">
        <v>470</v>
      </c>
      <c r="M5661" t="s">
        <v>60</v>
      </c>
      <c r="N5661">
        <v>76221207</v>
      </c>
    </row>
    <row r="5662" spans="1:14" x14ac:dyDescent="0.25">
      <c r="A5662">
        <v>62139663</v>
      </c>
      <c r="B5662" t="s">
        <v>2681</v>
      </c>
      <c r="C5662" t="s">
        <v>12132</v>
      </c>
      <c r="D5662" t="s">
        <v>12253</v>
      </c>
      <c r="E5662" t="s">
        <v>12254</v>
      </c>
      <c r="F5662" t="s">
        <v>649</v>
      </c>
      <c r="G5662" t="s">
        <v>650</v>
      </c>
      <c r="I5662" t="s">
        <v>28</v>
      </c>
      <c r="J5662" s="13">
        <v>46104</v>
      </c>
      <c r="K5662" s="13">
        <v>46113</v>
      </c>
      <c r="L5662" t="s">
        <v>418</v>
      </c>
      <c r="M5662" t="s">
        <v>60</v>
      </c>
      <c r="N5662">
        <v>76221662</v>
      </c>
    </row>
    <row r="5663" spans="1:14" x14ac:dyDescent="0.25">
      <c r="A5663">
        <v>62147444</v>
      </c>
      <c r="B5663" t="s">
        <v>12255</v>
      </c>
      <c r="C5663" t="s">
        <v>12256</v>
      </c>
      <c r="D5663" t="s">
        <v>12257</v>
      </c>
      <c r="E5663">
        <v>4199132344</v>
      </c>
      <c r="F5663" t="s">
        <v>10642</v>
      </c>
      <c r="G5663" t="s">
        <v>10643</v>
      </c>
      <c r="I5663" t="s">
        <v>45</v>
      </c>
      <c r="J5663" s="13">
        <v>46104</v>
      </c>
      <c r="K5663" s="13">
        <v>46113</v>
      </c>
      <c r="L5663" t="s">
        <v>418</v>
      </c>
      <c r="M5663" t="s">
        <v>60</v>
      </c>
      <c r="N5663">
        <v>76223112</v>
      </c>
    </row>
    <row r="5664" spans="1:14" x14ac:dyDescent="0.25">
      <c r="A5664">
        <v>62147516</v>
      </c>
      <c r="B5664" t="s">
        <v>1164</v>
      </c>
      <c r="C5664" t="s">
        <v>12258</v>
      </c>
      <c r="D5664" t="s">
        <v>12259</v>
      </c>
      <c r="E5664">
        <v>7193532609</v>
      </c>
      <c r="F5664" t="s">
        <v>10460</v>
      </c>
      <c r="G5664" t="s">
        <v>6663</v>
      </c>
      <c r="I5664" t="s">
        <v>40</v>
      </c>
      <c r="J5664" s="13">
        <v>46104</v>
      </c>
      <c r="K5664" s="13">
        <v>46113</v>
      </c>
      <c r="L5664" t="s">
        <v>539</v>
      </c>
      <c r="M5664" t="s">
        <v>58</v>
      </c>
      <c r="N5664">
        <v>76223939</v>
      </c>
    </row>
    <row r="5665" spans="1:14" x14ac:dyDescent="0.25">
      <c r="A5665">
        <v>62142318</v>
      </c>
      <c r="B5665" t="s">
        <v>12260</v>
      </c>
      <c r="C5665" t="s">
        <v>564</v>
      </c>
      <c r="D5665" t="s">
        <v>12261</v>
      </c>
      <c r="E5665">
        <v>5673152030</v>
      </c>
      <c r="F5665" t="s">
        <v>2544</v>
      </c>
      <c r="G5665" t="s">
        <v>4833</v>
      </c>
      <c r="I5665" t="s">
        <v>18</v>
      </c>
      <c r="J5665" s="13">
        <v>46104</v>
      </c>
      <c r="K5665" s="13">
        <v>46113</v>
      </c>
      <c r="L5665" t="s">
        <v>418</v>
      </c>
      <c r="M5665" t="s">
        <v>59</v>
      </c>
      <c r="N5665">
        <v>76223957</v>
      </c>
    </row>
    <row r="5666" spans="1:14" x14ac:dyDescent="0.25">
      <c r="A5666">
        <v>62131995</v>
      </c>
      <c r="B5666" t="s">
        <v>1232</v>
      </c>
      <c r="C5666" t="s">
        <v>939</v>
      </c>
      <c r="D5666" t="s">
        <v>12262</v>
      </c>
      <c r="E5666" t="s">
        <v>12263</v>
      </c>
      <c r="F5666" t="s">
        <v>807</v>
      </c>
      <c r="G5666" t="s">
        <v>808</v>
      </c>
      <c r="I5666" t="s">
        <v>33</v>
      </c>
      <c r="J5666" s="13">
        <v>46104</v>
      </c>
      <c r="K5666" s="13">
        <v>46113</v>
      </c>
      <c r="L5666" t="s">
        <v>1179</v>
      </c>
      <c r="M5666" t="s">
        <v>56</v>
      </c>
      <c r="N5666">
        <v>76223988</v>
      </c>
    </row>
    <row r="5667" spans="1:14" x14ac:dyDescent="0.25">
      <c r="A5667">
        <v>62139598</v>
      </c>
      <c r="B5667" t="s">
        <v>1621</v>
      </c>
      <c r="C5667" t="s">
        <v>12264</v>
      </c>
      <c r="D5667" t="s">
        <v>12265</v>
      </c>
      <c r="E5667">
        <v>7192006338</v>
      </c>
      <c r="F5667" t="s">
        <v>474</v>
      </c>
      <c r="G5667" t="s">
        <v>475</v>
      </c>
      <c r="I5667" t="s">
        <v>132</v>
      </c>
      <c r="J5667" s="13">
        <v>46104</v>
      </c>
      <c r="K5667" s="13">
        <v>46113</v>
      </c>
      <c r="L5667" t="s">
        <v>539</v>
      </c>
      <c r="M5667" t="s">
        <v>58</v>
      </c>
      <c r="N5667">
        <v>76224346</v>
      </c>
    </row>
    <row r="5668" spans="1:14" x14ac:dyDescent="0.25">
      <c r="A5668">
        <v>62149095</v>
      </c>
      <c r="B5668" t="s">
        <v>8571</v>
      </c>
      <c r="C5668" t="s">
        <v>9753</v>
      </c>
      <c r="D5668" t="s">
        <v>12266</v>
      </c>
      <c r="E5668">
        <v>6156319113</v>
      </c>
      <c r="F5668" t="s">
        <v>8440</v>
      </c>
      <c r="G5668" t="s">
        <v>12267</v>
      </c>
      <c r="I5668" t="s">
        <v>12268</v>
      </c>
      <c r="J5668" s="13">
        <v>46104</v>
      </c>
      <c r="K5668" s="13">
        <v>46113</v>
      </c>
      <c r="L5668" t="s">
        <v>479</v>
      </c>
      <c r="M5668" t="s">
        <v>59</v>
      </c>
      <c r="N5668">
        <v>76225197</v>
      </c>
    </row>
    <row r="5669" spans="1:14" x14ac:dyDescent="0.25">
      <c r="A5669">
        <v>62184605</v>
      </c>
      <c r="B5669" t="s">
        <v>12269</v>
      </c>
      <c r="C5669" t="s">
        <v>12270</v>
      </c>
      <c r="D5669" t="s">
        <v>12271</v>
      </c>
      <c r="E5669">
        <v>2819199022</v>
      </c>
      <c r="F5669" t="s">
        <v>1067</v>
      </c>
      <c r="G5669" t="s">
        <v>1068</v>
      </c>
      <c r="I5669" t="s">
        <v>35</v>
      </c>
      <c r="J5669" s="13">
        <v>46105</v>
      </c>
      <c r="K5669" s="13">
        <v>46113</v>
      </c>
      <c r="L5669" t="s">
        <v>444</v>
      </c>
      <c r="M5669" t="s">
        <v>56</v>
      </c>
      <c r="N5669">
        <v>76230303</v>
      </c>
    </row>
    <row r="5670" spans="1:14" x14ac:dyDescent="0.25">
      <c r="A5670">
        <v>62183622</v>
      </c>
      <c r="B5670" t="s">
        <v>839</v>
      </c>
      <c r="C5670" t="s">
        <v>1585</v>
      </c>
      <c r="D5670" t="s">
        <v>12272</v>
      </c>
      <c r="E5670">
        <v>2147283388</v>
      </c>
      <c r="F5670" t="s">
        <v>551</v>
      </c>
      <c r="G5670" t="s">
        <v>552</v>
      </c>
      <c r="I5670" t="s">
        <v>42</v>
      </c>
      <c r="J5670" s="13">
        <v>46105</v>
      </c>
      <c r="K5670" s="13">
        <v>46113</v>
      </c>
      <c r="L5670" t="s">
        <v>444</v>
      </c>
      <c r="M5670" t="s">
        <v>56</v>
      </c>
      <c r="N5670">
        <v>76230308</v>
      </c>
    </row>
    <row r="5671" spans="1:14" x14ac:dyDescent="0.25">
      <c r="A5671">
        <v>62190281</v>
      </c>
      <c r="B5671" t="s">
        <v>416</v>
      </c>
      <c r="C5671" t="s">
        <v>1955</v>
      </c>
      <c r="D5671" t="s">
        <v>12273</v>
      </c>
      <c r="E5671">
        <v>7274855880</v>
      </c>
      <c r="F5671" t="s">
        <v>10591</v>
      </c>
      <c r="G5671" t="s">
        <v>10215</v>
      </c>
      <c r="I5671" t="s">
        <v>32</v>
      </c>
      <c r="J5671" s="13">
        <v>46105</v>
      </c>
      <c r="K5671" s="13">
        <v>46113</v>
      </c>
      <c r="L5671" t="s">
        <v>497</v>
      </c>
      <c r="M5671" t="s">
        <v>54</v>
      </c>
      <c r="N5671">
        <v>76230375</v>
      </c>
    </row>
    <row r="5672" spans="1:14" x14ac:dyDescent="0.25">
      <c r="A5672">
        <v>62188557</v>
      </c>
      <c r="B5672" t="s">
        <v>1910</v>
      </c>
      <c r="C5672" t="s">
        <v>12274</v>
      </c>
      <c r="D5672" t="s">
        <v>12275</v>
      </c>
      <c r="E5672">
        <v>4077184566</v>
      </c>
      <c r="F5672" t="s">
        <v>775</v>
      </c>
      <c r="G5672" t="s">
        <v>776</v>
      </c>
      <c r="I5672" t="s">
        <v>22</v>
      </c>
      <c r="J5672" s="13">
        <v>46105</v>
      </c>
      <c r="K5672" s="13">
        <v>46113</v>
      </c>
      <c r="L5672" t="s">
        <v>497</v>
      </c>
      <c r="M5672" t="s">
        <v>56</v>
      </c>
      <c r="N5672">
        <v>76230449</v>
      </c>
    </row>
    <row r="5673" spans="1:14" x14ac:dyDescent="0.25">
      <c r="A5673">
        <v>62196053</v>
      </c>
      <c r="B5673" t="s">
        <v>1675</v>
      </c>
      <c r="C5673" t="s">
        <v>12276</v>
      </c>
      <c r="D5673" t="s">
        <v>12277</v>
      </c>
      <c r="E5673" t="s">
        <v>12278</v>
      </c>
      <c r="F5673" t="s">
        <v>11838</v>
      </c>
      <c r="G5673" t="s">
        <v>11839</v>
      </c>
      <c r="I5673" t="s">
        <v>11840</v>
      </c>
      <c r="J5673" s="13">
        <v>46105</v>
      </c>
      <c r="K5673" s="13">
        <v>46113</v>
      </c>
      <c r="L5673" t="s">
        <v>1179</v>
      </c>
      <c r="M5673" t="s">
        <v>55</v>
      </c>
      <c r="N5673">
        <v>76230673</v>
      </c>
    </row>
    <row r="5674" spans="1:14" x14ac:dyDescent="0.25">
      <c r="A5674">
        <v>62191675</v>
      </c>
      <c r="B5674" t="s">
        <v>548</v>
      </c>
      <c r="C5674" t="s">
        <v>12279</v>
      </c>
      <c r="D5674" t="s">
        <v>12280</v>
      </c>
      <c r="E5674">
        <v>2162887890</v>
      </c>
      <c r="F5674" t="s">
        <v>474</v>
      </c>
      <c r="G5674" t="s">
        <v>475</v>
      </c>
      <c r="I5674" t="s">
        <v>132</v>
      </c>
      <c r="J5674" s="13">
        <v>46105</v>
      </c>
      <c r="K5674" s="13">
        <v>46113</v>
      </c>
      <c r="L5674" t="s">
        <v>418</v>
      </c>
      <c r="M5674" t="s">
        <v>59</v>
      </c>
      <c r="N5674">
        <v>76230907</v>
      </c>
    </row>
    <row r="5675" spans="1:14" x14ac:dyDescent="0.25">
      <c r="A5675">
        <v>62197116</v>
      </c>
      <c r="B5675" t="s">
        <v>3252</v>
      </c>
      <c r="C5675" t="s">
        <v>12281</v>
      </c>
      <c r="D5675" t="s">
        <v>12282</v>
      </c>
      <c r="E5675">
        <v>9374070260</v>
      </c>
      <c r="F5675" t="s">
        <v>574</v>
      </c>
      <c r="G5675" t="s">
        <v>575</v>
      </c>
      <c r="I5675" t="s">
        <v>14</v>
      </c>
      <c r="J5675" s="13">
        <v>46105</v>
      </c>
      <c r="K5675" s="13">
        <v>46113</v>
      </c>
      <c r="L5675" t="s">
        <v>418</v>
      </c>
      <c r="M5675" t="s">
        <v>60</v>
      </c>
      <c r="N5675">
        <v>76231130</v>
      </c>
    </row>
    <row r="5676" spans="1:14" x14ac:dyDescent="0.25">
      <c r="A5676">
        <v>63526206</v>
      </c>
      <c r="B5676" t="s">
        <v>12283</v>
      </c>
      <c r="C5676" t="s">
        <v>576</v>
      </c>
      <c r="D5676" t="s">
        <v>12284</v>
      </c>
      <c r="E5676">
        <v>7543163659</v>
      </c>
      <c r="F5676" t="s">
        <v>416</v>
      </c>
      <c r="G5676" t="s">
        <v>417</v>
      </c>
      <c r="I5676" t="s">
        <v>26</v>
      </c>
      <c r="J5676" s="13">
        <v>46143</v>
      </c>
      <c r="K5676" s="13">
        <v>46174</v>
      </c>
      <c r="L5676" t="s">
        <v>497</v>
      </c>
      <c r="M5676" t="s">
        <v>59</v>
      </c>
      <c r="N5676">
        <v>76232022</v>
      </c>
    </row>
    <row r="5677" spans="1:14" x14ac:dyDescent="0.25">
      <c r="A5677">
        <v>62195656</v>
      </c>
      <c r="B5677" t="s">
        <v>12285</v>
      </c>
      <c r="C5677" t="s">
        <v>9373</v>
      </c>
      <c r="D5677" t="s">
        <v>12286</v>
      </c>
      <c r="E5677">
        <v>9548955237</v>
      </c>
      <c r="F5677" t="s">
        <v>1067</v>
      </c>
      <c r="G5677" t="s">
        <v>1068</v>
      </c>
      <c r="I5677" t="s">
        <v>35</v>
      </c>
      <c r="J5677" s="13">
        <v>46105</v>
      </c>
      <c r="K5677" s="13">
        <v>46113</v>
      </c>
      <c r="L5677" t="s">
        <v>497</v>
      </c>
      <c r="M5677" t="s">
        <v>59</v>
      </c>
      <c r="N5677">
        <v>76232102</v>
      </c>
    </row>
    <row r="5678" spans="1:14" x14ac:dyDescent="0.25">
      <c r="A5678">
        <v>62197757</v>
      </c>
      <c r="B5678" t="s">
        <v>922</v>
      </c>
      <c r="C5678" t="s">
        <v>6591</v>
      </c>
      <c r="D5678" t="s">
        <v>12287</v>
      </c>
      <c r="E5678">
        <v>2193819372</v>
      </c>
      <c r="F5678" t="s">
        <v>705</v>
      </c>
      <c r="G5678" t="s">
        <v>706</v>
      </c>
      <c r="I5678" t="s">
        <v>12</v>
      </c>
      <c r="J5678" s="13">
        <v>46105</v>
      </c>
      <c r="K5678" s="13">
        <v>46113</v>
      </c>
      <c r="L5678" t="s">
        <v>470</v>
      </c>
      <c r="M5678" t="s">
        <v>58</v>
      </c>
      <c r="N5678">
        <v>76232200</v>
      </c>
    </row>
    <row r="5679" spans="1:14" x14ac:dyDescent="0.25">
      <c r="A5679">
        <v>62198602</v>
      </c>
      <c r="B5679" t="s">
        <v>1997</v>
      </c>
      <c r="C5679" t="s">
        <v>12288</v>
      </c>
      <c r="D5679" t="s">
        <v>12289</v>
      </c>
      <c r="E5679" t="s">
        <v>12290</v>
      </c>
      <c r="F5679" t="s">
        <v>928</v>
      </c>
      <c r="G5679" t="s">
        <v>929</v>
      </c>
      <c r="I5679" t="s">
        <v>30</v>
      </c>
      <c r="J5679" s="13">
        <v>46105</v>
      </c>
      <c r="K5679" s="13">
        <v>46113</v>
      </c>
      <c r="L5679" t="s">
        <v>444</v>
      </c>
      <c r="M5679" t="s">
        <v>56</v>
      </c>
      <c r="N5679">
        <v>76232574</v>
      </c>
    </row>
    <row r="5680" spans="1:14" x14ac:dyDescent="0.25">
      <c r="A5680">
        <v>62213647</v>
      </c>
      <c r="B5680" t="s">
        <v>11218</v>
      </c>
      <c r="C5680" t="s">
        <v>12291</v>
      </c>
      <c r="D5680" t="s">
        <v>12292</v>
      </c>
      <c r="E5680">
        <v>4409827704</v>
      </c>
      <c r="F5680" t="s">
        <v>10642</v>
      </c>
      <c r="G5680" t="s">
        <v>10643</v>
      </c>
      <c r="I5680" t="s">
        <v>45</v>
      </c>
      <c r="J5680" s="13">
        <v>46105</v>
      </c>
      <c r="K5680" s="13">
        <v>46113</v>
      </c>
      <c r="L5680" t="s">
        <v>418</v>
      </c>
      <c r="M5680" t="s">
        <v>62</v>
      </c>
      <c r="N5680">
        <v>76233407</v>
      </c>
    </row>
    <row r="5681" spans="1:14" x14ac:dyDescent="0.25">
      <c r="A5681">
        <v>62203891</v>
      </c>
      <c r="B5681" t="s">
        <v>12293</v>
      </c>
      <c r="C5681" t="s">
        <v>477</v>
      </c>
      <c r="D5681" t="s">
        <v>12294</v>
      </c>
      <c r="E5681">
        <v>8108373263</v>
      </c>
      <c r="F5681" t="s">
        <v>569</v>
      </c>
      <c r="G5681" t="s">
        <v>570</v>
      </c>
      <c r="I5681" t="s">
        <v>34</v>
      </c>
      <c r="J5681" s="13">
        <v>46105</v>
      </c>
      <c r="K5681" s="13">
        <v>46113</v>
      </c>
      <c r="L5681" t="s">
        <v>8329</v>
      </c>
      <c r="M5681" t="s">
        <v>56</v>
      </c>
      <c r="N5681">
        <v>76233568</v>
      </c>
    </row>
    <row r="5682" spans="1:14" x14ac:dyDescent="0.25">
      <c r="A5682">
        <v>62196457</v>
      </c>
      <c r="B5682" t="s">
        <v>5965</v>
      </c>
      <c r="C5682" t="s">
        <v>12295</v>
      </c>
      <c r="D5682" t="s">
        <v>12296</v>
      </c>
      <c r="E5682">
        <v>5204317227</v>
      </c>
      <c r="F5682" t="s">
        <v>1345</v>
      </c>
      <c r="G5682" t="s">
        <v>799</v>
      </c>
      <c r="I5682" t="s">
        <v>47</v>
      </c>
      <c r="J5682" s="13">
        <v>46105</v>
      </c>
      <c r="K5682" s="13">
        <v>46113</v>
      </c>
      <c r="L5682" t="s">
        <v>1179</v>
      </c>
      <c r="M5682" t="s">
        <v>54</v>
      </c>
      <c r="N5682">
        <v>76233874</v>
      </c>
    </row>
    <row r="5683" spans="1:14" x14ac:dyDescent="0.25">
      <c r="A5683">
        <v>62207861</v>
      </c>
      <c r="B5683" t="s">
        <v>517</v>
      </c>
      <c r="C5683" t="s">
        <v>11175</v>
      </c>
      <c r="D5683" t="s">
        <v>12297</v>
      </c>
      <c r="E5683">
        <v>7088796653</v>
      </c>
      <c r="F5683" t="s">
        <v>10591</v>
      </c>
      <c r="G5683" t="s">
        <v>10215</v>
      </c>
      <c r="I5683" t="s">
        <v>32</v>
      </c>
      <c r="J5683" s="13">
        <v>46105</v>
      </c>
      <c r="K5683" s="13">
        <v>46113</v>
      </c>
      <c r="L5683" t="s">
        <v>470</v>
      </c>
      <c r="M5683" t="s">
        <v>62</v>
      </c>
      <c r="N5683">
        <v>76234157</v>
      </c>
    </row>
    <row r="5684" spans="1:14" x14ac:dyDescent="0.25">
      <c r="A5684">
        <v>62198255</v>
      </c>
      <c r="B5684" t="s">
        <v>12298</v>
      </c>
      <c r="C5684" t="s">
        <v>12299</v>
      </c>
      <c r="D5684" t="s">
        <v>12300</v>
      </c>
      <c r="E5684">
        <v>4144585045</v>
      </c>
      <c r="F5684" t="s">
        <v>628</v>
      </c>
      <c r="G5684" t="s">
        <v>629</v>
      </c>
      <c r="I5684" t="s">
        <v>24</v>
      </c>
      <c r="J5684" s="13">
        <v>46105</v>
      </c>
      <c r="K5684" s="13">
        <v>46113</v>
      </c>
      <c r="L5684" t="s">
        <v>675</v>
      </c>
      <c r="M5684" t="s">
        <v>58</v>
      </c>
      <c r="N5684">
        <v>76234212</v>
      </c>
    </row>
    <row r="5685" spans="1:14" x14ac:dyDescent="0.25">
      <c r="A5685">
        <v>63435374</v>
      </c>
      <c r="B5685" t="s">
        <v>12301</v>
      </c>
      <c r="C5685" t="s">
        <v>12302</v>
      </c>
      <c r="D5685" t="s">
        <v>12303</v>
      </c>
      <c r="E5685">
        <v>2198880899</v>
      </c>
      <c r="F5685" t="s">
        <v>770</v>
      </c>
      <c r="G5685" t="s">
        <v>771</v>
      </c>
      <c r="I5685" t="s">
        <v>25</v>
      </c>
      <c r="J5685" s="13">
        <v>46140</v>
      </c>
      <c r="K5685" s="13">
        <v>46143</v>
      </c>
      <c r="L5685" t="s">
        <v>440</v>
      </c>
      <c r="M5685" t="s">
        <v>58</v>
      </c>
      <c r="N5685">
        <v>76234276</v>
      </c>
    </row>
    <row r="5686" spans="1:14" x14ac:dyDescent="0.25">
      <c r="A5686">
        <v>62207790</v>
      </c>
      <c r="B5686" t="s">
        <v>6501</v>
      </c>
      <c r="C5686" t="s">
        <v>477</v>
      </c>
      <c r="D5686" t="s">
        <v>12304</v>
      </c>
      <c r="E5686">
        <v>6517556276</v>
      </c>
      <c r="F5686" t="s">
        <v>474</v>
      </c>
      <c r="G5686" t="s">
        <v>475</v>
      </c>
      <c r="I5686" t="s">
        <v>132</v>
      </c>
      <c r="J5686" s="13">
        <v>46105</v>
      </c>
      <c r="K5686" s="13">
        <v>46113</v>
      </c>
      <c r="L5686" t="s">
        <v>470</v>
      </c>
      <c r="M5686" t="s">
        <v>62</v>
      </c>
      <c r="N5686">
        <v>76234613</v>
      </c>
    </row>
    <row r="5687" spans="1:14" x14ac:dyDescent="0.25">
      <c r="A5687">
        <v>62210608</v>
      </c>
      <c r="B5687" t="s">
        <v>12305</v>
      </c>
      <c r="C5687" t="s">
        <v>12306</v>
      </c>
      <c r="D5687" t="s">
        <v>12307</v>
      </c>
      <c r="E5687">
        <v>6238533215</v>
      </c>
      <c r="F5687" t="s">
        <v>1345</v>
      </c>
      <c r="G5687" t="s">
        <v>799</v>
      </c>
      <c r="I5687" t="s">
        <v>47</v>
      </c>
      <c r="J5687" s="13">
        <v>46105</v>
      </c>
      <c r="K5687" s="13">
        <v>46113</v>
      </c>
      <c r="L5687" t="s">
        <v>1179</v>
      </c>
      <c r="M5687" t="s">
        <v>54</v>
      </c>
      <c r="N5687">
        <v>76234713</v>
      </c>
    </row>
    <row r="5688" spans="1:14" x14ac:dyDescent="0.25">
      <c r="A5688">
        <v>63592129</v>
      </c>
      <c r="B5688" t="s">
        <v>1106</v>
      </c>
      <c r="C5688" t="s">
        <v>7469</v>
      </c>
      <c r="D5688" t="s">
        <v>12308</v>
      </c>
      <c r="E5688">
        <v>9042362704</v>
      </c>
      <c r="F5688" t="s">
        <v>1013</v>
      </c>
      <c r="G5688" t="s">
        <v>1014</v>
      </c>
      <c r="I5688" t="s">
        <v>43</v>
      </c>
      <c r="J5688" s="13">
        <v>46148</v>
      </c>
      <c r="K5688" s="13">
        <v>46174</v>
      </c>
      <c r="L5688" t="s">
        <v>497</v>
      </c>
      <c r="M5688" t="s">
        <v>11843</v>
      </c>
      <c r="N5688">
        <v>76234724</v>
      </c>
    </row>
    <row r="5689" spans="1:14" x14ac:dyDescent="0.25">
      <c r="A5689">
        <v>62214237</v>
      </c>
      <c r="B5689" t="s">
        <v>12309</v>
      </c>
      <c r="C5689" t="s">
        <v>1078</v>
      </c>
      <c r="D5689" t="s">
        <v>12310</v>
      </c>
      <c r="E5689">
        <v>3173135988</v>
      </c>
      <c r="F5689" t="s">
        <v>10569</v>
      </c>
      <c r="G5689" t="s">
        <v>10570</v>
      </c>
      <c r="I5689" t="s">
        <v>29</v>
      </c>
      <c r="J5689" s="13">
        <v>46105</v>
      </c>
      <c r="K5689" s="13">
        <v>46113</v>
      </c>
      <c r="L5689" t="s">
        <v>440</v>
      </c>
      <c r="M5689" t="s">
        <v>62</v>
      </c>
      <c r="N5689">
        <v>76234762</v>
      </c>
    </row>
    <row r="5690" spans="1:14" x14ac:dyDescent="0.25">
      <c r="A5690">
        <v>62217557</v>
      </c>
      <c r="B5690" t="s">
        <v>3742</v>
      </c>
      <c r="C5690" t="s">
        <v>12311</v>
      </c>
      <c r="D5690" t="s">
        <v>12312</v>
      </c>
      <c r="E5690">
        <v>6027396812</v>
      </c>
      <c r="F5690" t="s">
        <v>10460</v>
      </c>
      <c r="G5690" t="s">
        <v>6663</v>
      </c>
      <c r="I5690" t="s">
        <v>40</v>
      </c>
      <c r="J5690" s="13">
        <v>46105</v>
      </c>
      <c r="K5690" s="13">
        <v>46113</v>
      </c>
      <c r="L5690" t="s">
        <v>1179</v>
      </c>
      <c r="M5690" t="s">
        <v>56</v>
      </c>
      <c r="N5690">
        <v>76235412</v>
      </c>
    </row>
    <row r="5691" spans="1:14" x14ac:dyDescent="0.25">
      <c r="A5691">
        <v>62220465</v>
      </c>
      <c r="B5691" t="s">
        <v>2413</v>
      </c>
      <c r="C5691" t="s">
        <v>10723</v>
      </c>
      <c r="D5691" t="s">
        <v>12313</v>
      </c>
      <c r="E5691">
        <v>8328869773</v>
      </c>
      <c r="F5691" t="s">
        <v>574</v>
      </c>
      <c r="G5691" t="s">
        <v>575</v>
      </c>
      <c r="I5691" t="s">
        <v>14</v>
      </c>
      <c r="J5691" s="13">
        <v>46105</v>
      </c>
      <c r="K5691" s="13">
        <v>46113</v>
      </c>
      <c r="L5691" t="s">
        <v>444</v>
      </c>
      <c r="M5691" t="s">
        <v>419</v>
      </c>
      <c r="N5691">
        <v>76235599</v>
      </c>
    </row>
    <row r="5692" spans="1:14" x14ac:dyDescent="0.25">
      <c r="A5692">
        <v>62216721</v>
      </c>
      <c r="B5692" t="s">
        <v>1663</v>
      </c>
      <c r="C5692" t="s">
        <v>707</v>
      </c>
      <c r="D5692" t="s">
        <v>12314</v>
      </c>
      <c r="E5692">
        <v>2162872328</v>
      </c>
      <c r="F5692" t="s">
        <v>705</v>
      </c>
      <c r="G5692" t="s">
        <v>706</v>
      </c>
      <c r="I5692" t="s">
        <v>12</v>
      </c>
      <c r="J5692" s="13">
        <v>46105</v>
      </c>
      <c r="K5692" s="13">
        <v>46113</v>
      </c>
      <c r="L5692" t="s">
        <v>418</v>
      </c>
      <c r="M5692" t="s">
        <v>62</v>
      </c>
      <c r="N5692">
        <v>76236025</v>
      </c>
    </row>
    <row r="5693" spans="1:14" x14ac:dyDescent="0.25">
      <c r="A5693">
        <v>62217786</v>
      </c>
      <c r="B5693" t="s">
        <v>12315</v>
      </c>
      <c r="C5693" t="s">
        <v>12316</v>
      </c>
      <c r="D5693" t="s">
        <v>12317</v>
      </c>
      <c r="E5693">
        <v>6025920629</v>
      </c>
      <c r="F5693" t="s">
        <v>775</v>
      </c>
      <c r="G5693" t="s">
        <v>776</v>
      </c>
      <c r="I5693" t="s">
        <v>22</v>
      </c>
      <c r="J5693" s="13">
        <v>46105</v>
      </c>
      <c r="K5693" s="13">
        <v>46113</v>
      </c>
      <c r="L5693" t="s">
        <v>1179</v>
      </c>
      <c r="M5693" t="s">
        <v>55</v>
      </c>
      <c r="N5693">
        <v>76236161</v>
      </c>
    </row>
    <row r="5694" spans="1:14" x14ac:dyDescent="0.25">
      <c r="A5694">
        <v>62218962</v>
      </c>
      <c r="B5694" t="s">
        <v>6011</v>
      </c>
      <c r="C5694" t="s">
        <v>12318</v>
      </c>
      <c r="D5694" t="s">
        <v>12319</v>
      </c>
      <c r="E5694">
        <v>7733971261</v>
      </c>
      <c r="F5694" t="s">
        <v>474</v>
      </c>
      <c r="G5694" t="s">
        <v>475</v>
      </c>
      <c r="I5694" t="s">
        <v>132</v>
      </c>
      <c r="J5694" s="13">
        <v>46105</v>
      </c>
      <c r="K5694" s="13">
        <v>46113</v>
      </c>
      <c r="L5694" t="s">
        <v>470</v>
      </c>
      <c r="M5694" t="s">
        <v>58</v>
      </c>
      <c r="N5694">
        <v>76239453</v>
      </c>
    </row>
    <row r="5695" spans="1:14" x14ac:dyDescent="0.25">
      <c r="A5695">
        <v>62226520</v>
      </c>
      <c r="B5695" t="s">
        <v>4984</v>
      </c>
      <c r="C5695" t="s">
        <v>1917</v>
      </c>
      <c r="D5695" t="s">
        <v>12320</v>
      </c>
      <c r="E5695">
        <v>2163106250</v>
      </c>
      <c r="F5695" t="s">
        <v>2544</v>
      </c>
      <c r="G5695" t="s">
        <v>4833</v>
      </c>
      <c r="I5695" t="s">
        <v>18</v>
      </c>
      <c r="J5695" s="13">
        <v>46105</v>
      </c>
      <c r="K5695" s="13">
        <v>46113</v>
      </c>
      <c r="L5695" t="s">
        <v>418</v>
      </c>
      <c r="M5695" t="s">
        <v>62</v>
      </c>
      <c r="N5695">
        <v>76240332</v>
      </c>
    </row>
    <row r="5696" spans="1:14" x14ac:dyDescent="0.25">
      <c r="A5696">
        <v>62233888</v>
      </c>
      <c r="B5696" t="s">
        <v>12321</v>
      </c>
      <c r="C5696" t="s">
        <v>12322</v>
      </c>
      <c r="D5696" t="s">
        <v>12323</v>
      </c>
      <c r="E5696">
        <v>6232937369</v>
      </c>
      <c r="F5696" t="s">
        <v>1345</v>
      </c>
      <c r="G5696" t="s">
        <v>799</v>
      </c>
      <c r="I5696" t="s">
        <v>47</v>
      </c>
      <c r="J5696" s="13">
        <v>46105</v>
      </c>
      <c r="K5696" s="13">
        <v>46113</v>
      </c>
      <c r="L5696" t="s">
        <v>1179</v>
      </c>
      <c r="M5696" t="s">
        <v>59</v>
      </c>
      <c r="N5696">
        <v>76240689</v>
      </c>
    </row>
    <row r="5697" spans="1:14" x14ac:dyDescent="0.25">
      <c r="A5697">
        <v>62233399</v>
      </c>
      <c r="B5697" t="s">
        <v>8571</v>
      </c>
      <c r="C5697" t="s">
        <v>4741</v>
      </c>
      <c r="D5697" t="s">
        <v>12324</v>
      </c>
      <c r="E5697">
        <v>7082895321</v>
      </c>
      <c r="F5697" t="s">
        <v>815</v>
      </c>
      <c r="G5697" t="s">
        <v>816</v>
      </c>
      <c r="I5697" t="s">
        <v>23</v>
      </c>
      <c r="J5697" s="13">
        <v>46105</v>
      </c>
      <c r="K5697" s="13">
        <v>46113</v>
      </c>
      <c r="L5697" t="s">
        <v>470</v>
      </c>
      <c r="M5697" t="s">
        <v>56</v>
      </c>
      <c r="N5697">
        <v>76241064</v>
      </c>
    </row>
    <row r="5698" spans="1:14" x14ac:dyDescent="0.25">
      <c r="A5698">
        <v>62227363</v>
      </c>
      <c r="B5698" t="s">
        <v>1693</v>
      </c>
      <c r="C5698" t="s">
        <v>1068</v>
      </c>
      <c r="D5698" t="s">
        <v>12325</v>
      </c>
      <c r="E5698">
        <v>8503031059</v>
      </c>
      <c r="F5698" t="s">
        <v>448</v>
      </c>
      <c r="G5698" t="s">
        <v>449</v>
      </c>
      <c r="I5698" t="s">
        <v>31</v>
      </c>
      <c r="J5698" s="13">
        <v>46105</v>
      </c>
      <c r="K5698" s="13">
        <v>46113</v>
      </c>
      <c r="L5698" t="s">
        <v>497</v>
      </c>
      <c r="M5698" t="s">
        <v>58</v>
      </c>
      <c r="N5698">
        <v>76241185</v>
      </c>
    </row>
    <row r="5699" spans="1:14" x14ac:dyDescent="0.25">
      <c r="A5699">
        <v>62228142</v>
      </c>
      <c r="B5699" t="s">
        <v>12326</v>
      </c>
      <c r="C5699" t="s">
        <v>12327</v>
      </c>
      <c r="D5699" t="s">
        <v>12328</v>
      </c>
      <c r="E5699">
        <v>5127847047</v>
      </c>
      <c r="F5699" t="s">
        <v>1067</v>
      </c>
      <c r="G5699" t="s">
        <v>1068</v>
      </c>
      <c r="I5699" t="s">
        <v>35</v>
      </c>
      <c r="J5699" s="13">
        <v>46105</v>
      </c>
      <c r="K5699" s="13">
        <v>46113</v>
      </c>
      <c r="L5699" t="s">
        <v>444</v>
      </c>
      <c r="M5699" t="s">
        <v>56</v>
      </c>
      <c r="N5699">
        <v>76241217</v>
      </c>
    </row>
    <row r="5700" spans="1:14" x14ac:dyDescent="0.25">
      <c r="A5700">
        <v>62236007</v>
      </c>
      <c r="B5700" t="s">
        <v>876</v>
      </c>
      <c r="C5700" t="s">
        <v>4032</v>
      </c>
      <c r="D5700" t="s">
        <v>12329</v>
      </c>
      <c r="E5700" t="s">
        <v>12330</v>
      </c>
      <c r="F5700" t="s">
        <v>649</v>
      </c>
      <c r="G5700" t="s">
        <v>650</v>
      </c>
      <c r="I5700" t="s">
        <v>28</v>
      </c>
      <c r="J5700" s="13">
        <v>46105</v>
      </c>
      <c r="K5700" s="13">
        <v>46113</v>
      </c>
      <c r="L5700" t="s">
        <v>440</v>
      </c>
      <c r="M5700" t="s">
        <v>62</v>
      </c>
      <c r="N5700">
        <v>76241872</v>
      </c>
    </row>
    <row r="5701" spans="1:14" x14ac:dyDescent="0.25">
      <c r="A5701">
        <v>62448056</v>
      </c>
      <c r="B5701" t="s">
        <v>1445</v>
      </c>
      <c r="C5701" t="s">
        <v>3895</v>
      </c>
      <c r="D5701" t="s">
        <v>12331</v>
      </c>
      <c r="F5701" t="s">
        <v>1147</v>
      </c>
      <c r="G5701" t="s">
        <v>1148</v>
      </c>
      <c r="I5701" t="s">
        <v>41</v>
      </c>
      <c r="J5701" s="13">
        <v>46114</v>
      </c>
      <c r="K5701" s="13">
        <v>46204</v>
      </c>
      <c r="L5701" t="s">
        <v>553</v>
      </c>
      <c r="M5701" t="s">
        <v>60</v>
      </c>
      <c r="N5701">
        <v>76244540</v>
      </c>
    </row>
    <row r="5702" spans="1:14" x14ac:dyDescent="0.25">
      <c r="A5702">
        <v>62264193</v>
      </c>
      <c r="B5702" t="s">
        <v>10882</v>
      </c>
      <c r="C5702" t="s">
        <v>12332</v>
      </c>
      <c r="D5702" t="s">
        <v>12333</v>
      </c>
      <c r="E5702">
        <v>4145143543</v>
      </c>
      <c r="F5702" t="s">
        <v>574</v>
      </c>
      <c r="G5702" t="s">
        <v>575</v>
      </c>
      <c r="I5702" t="s">
        <v>14</v>
      </c>
      <c r="J5702" s="13">
        <v>46106</v>
      </c>
      <c r="K5702" s="13">
        <v>46113</v>
      </c>
      <c r="L5702" t="s">
        <v>675</v>
      </c>
      <c r="M5702" t="s">
        <v>58</v>
      </c>
      <c r="N5702">
        <v>76265033</v>
      </c>
    </row>
    <row r="5703" spans="1:14" x14ac:dyDescent="0.25">
      <c r="A5703">
        <v>62270246</v>
      </c>
      <c r="B5703" t="s">
        <v>685</v>
      </c>
      <c r="C5703" t="s">
        <v>8233</v>
      </c>
      <c r="D5703" t="s">
        <v>12334</v>
      </c>
      <c r="E5703">
        <v>3306491434</v>
      </c>
      <c r="F5703" t="s">
        <v>688</v>
      </c>
      <c r="G5703" t="s">
        <v>10291</v>
      </c>
      <c r="I5703" t="s">
        <v>48</v>
      </c>
      <c r="J5703" s="13">
        <v>46106</v>
      </c>
      <c r="K5703" s="13">
        <v>46113</v>
      </c>
      <c r="L5703" t="s">
        <v>418</v>
      </c>
      <c r="M5703" t="s">
        <v>419</v>
      </c>
      <c r="N5703">
        <v>76265107</v>
      </c>
    </row>
    <row r="5704" spans="1:14" x14ac:dyDescent="0.25">
      <c r="A5704">
        <v>62268604</v>
      </c>
      <c r="B5704" t="s">
        <v>4570</v>
      </c>
      <c r="C5704" t="s">
        <v>11802</v>
      </c>
      <c r="D5704" t="s">
        <v>12335</v>
      </c>
      <c r="E5704">
        <v>2107199193</v>
      </c>
      <c r="F5704" t="s">
        <v>828</v>
      </c>
      <c r="G5704" t="s">
        <v>1148</v>
      </c>
      <c r="I5704" t="s">
        <v>17</v>
      </c>
      <c r="J5704" s="13">
        <v>46106</v>
      </c>
      <c r="K5704" s="13">
        <v>46113</v>
      </c>
      <c r="L5704" t="s">
        <v>444</v>
      </c>
      <c r="M5704" t="s">
        <v>59</v>
      </c>
      <c r="N5704">
        <v>76265148</v>
      </c>
    </row>
    <row r="5705" spans="1:14" x14ac:dyDescent="0.25">
      <c r="A5705">
        <v>62261783</v>
      </c>
      <c r="B5705" t="s">
        <v>12336</v>
      </c>
      <c r="C5705" t="s">
        <v>12337</v>
      </c>
      <c r="D5705" t="s">
        <v>12338</v>
      </c>
      <c r="E5705">
        <v>4632806363</v>
      </c>
      <c r="F5705" t="s">
        <v>10569</v>
      </c>
      <c r="G5705" t="s">
        <v>10570</v>
      </c>
      <c r="I5705" t="s">
        <v>29</v>
      </c>
      <c r="J5705" s="13">
        <v>46106</v>
      </c>
      <c r="K5705" s="13">
        <v>46113</v>
      </c>
      <c r="L5705" t="s">
        <v>418</v>
      </c>
      <c r="M5705" t="s">
        <v>62</v>
      </c>
      <c r="N5705">
        <v>76265882</v>
      </c>
    </row>
    <row r="5706" spans="1:14" x14ac:dyDescent="0.25">
      <c r="A5706">
        <v>62260653</v>
      </c>
      <c r="B5706" t="s">
        <v>925</v>
      </c>
      <c r="C5706" t="s">
        <v>1889</v>
      </c>
      <c r="D5706" t="s">
        <v>12339</v>
      </c>
      <c r="E5706">
        <v>7208997274</v>
      </c>
      <c r="F5706" t="s">
        <v>1067</v>
      </c>
      <c r="G5706" t="s">
        <v>1068</v>
      </c>
      <c r="I5706" t="s">
        <v>35</v>
      </c>
      <c r="J5706" s="13">
        <v>46106</v>
      </c>
      <c r="K5706" s="13">
        <v>46113</v>
      </c>
      <c r="L5706" t="s">
        <v>539</v>
      </c>
      <c r="M5706" t="s">
        <v>56</v>
      </c>
      <c r="N5706">
        <v>76266535</v>
      </c>
    </row>
    <row r="5707" spans="1:14" x14ac:dyDescent="0.25">
      <c r="A5707">
        <v>62273221</v>
      </c>
      <c r="B5707" t="s">
        <v>12340</v>
      </c>
      <c r="C5707" t="s">
        <v>4823</v>
      </c>
      <c r="D5707" t="s">
        <v>12341</v>
      </c>
      <c r="E5707" t="s">
        <v>12342</v>
      </c>
      <c r="F5707" t="s">
        <v>649</v>
      </c>
      <c r="G5707" t="s">
        <v>650</v>
      </c>
      <c r="I5707" t="s">
        <v>28</v>
      </c>
      <c r="J5707" s="13">
        <v>46106</v>
      </c>
      <c r="K5707" s="13">
        <v>46113</v>
      </c>
      <c r="L5707" t="s">
        <v>470</v>
      </c>
      <c r="M5707" t="s">
        <v>59</v>
      </c>
      <c r="N5707">
        <v>76266588</v>
      </c>
    </row>
    <row r="5708" spans="1:14" x14ac:dyDescent="0.25">
      <c r="A5708">
        <v>62272810</v>
      </c>
      <c r="B5708" t="s">
        <v>420</v>
      </c>
      <c r="C5708" t="s">
        <v>5159</v>
      </c>
      <c r="D5708" t="s">
        <v>12343</v>
      </c>
      <c r="E5708">
        <v>7542450512</v>
      </c>
      <c r="F5708" t="s">
        <v>780</v>
      </c>
      <c r="G5708" t="s">
        <v>781</v>
      </c>
      <c r="I5708" t="s">
        <v>20</v>
      </c>
      <c r="J5708" s="13">
        <v>46106</v>
      </c>
      <c r="K5708" s="13">
        <v>46113</v>
      </c>
      <c r="L5708" t="s">
        <v>497</v>
      </c>
      <c r="M5708" t="s">
        <v>54</v>
      </c>
      <c r="N5708">
        <v>76267357</v>
      </c>
    </row>
    <row r="5709" spans="1:14" x14ac:dyDescent="0.25">
      <c r="A5709">
        <v>62287235</v>
      </c>
      <c r="B5709" t="s">
        <v>867</v>
      </c>
      <c r="C5709" t="s">
        <v>12344</v>
      </c>
      <c r="D5709" t="s">
        <v>12345</v>
      </c>
      <c r="E5709">
        <v>3302347934</v>
      </c>
      <c r="F5709" t="s">
        <v>474</v>
      </c>
      <c r="G5709" t="s">
        <v>475</v>
      </c>
      <c r="I5709" t="s">
        <v>132</v>
      </c>
      <c r="J5709" s="13">
        <v>46106</v>
      </c>
      <c r="K5709" s="13">
        <v>46113</v>
      </c>
      <c r="L5709" t="s">
        <v>418</v>
      </c>
      <c r="M5709" t="s">
        <v>60</v>
      </c>
      <c r="N5709">
        <v>76267484</v>
      </c>
    </row>
    <row r="5710" spans="1:14" x14ac:dyDescent="0.25">
      <c r="A5710">
        <v>62282166</v>
      </c>
      <c r="B5710" t="s">
        <v>552</v>
      </c>
      <c r="C5710" t="s">
        <v>12346</v>
      </c>
      <c r="D5710" t="s">
        <v>12347</v>
      </c>
      <c r="E5710">
        <v>7277543634</v>
      </c>
      <c r="F5710" t="s">
        <v>628</v>
      </c>
      <c r="G5710" t="s">
        <v>629</v>
      </c>
      <c r="I5710" t="s">
        <v>24</v>
      </c>
      <c r="J5710" s="13">
        <v>46106</v>
      </c>
      <c r="K5710" s="13">
        <v>46113</v>
      </c>
      <c r="L5710" t="s">
        <v>497</v>
      </c>
      <c r="M5710" t="s">
        <v>56</v>
      </c>
      <c r="N5710">
        <v>76267695</v>
      </c>
    </row>
    <row r="5711" spans="1:14" x14ac:dyDescent="0.25">
      <c r="A5711">
        <v>62273598</v>
      </c>
      <c r="B5711" t="s">
        <v>12348</v>
      </c>
      <c r="C5711" t="s">
        <v>1258</v>
      </c>
      <c r="D5711" t="s">
        <v>12349</v>
      </c>
      <c r="E5711">
        <v>9043004506</v>
      </c>
      <c r="F5711" t="s">
        <v>448</v>
      </c>
      <c r="G5711" t="s">
        <v>449</v>
      </c>
      <c r="I5711" t="s">
        <v>31</v>
      </c>
      <c r="J5711" s="13">
        <v>46106</v>
      </c>
      <c r="K5711" s="13">
        <v>46113</v>
      </c>
      <c r="L5711" t="s">
        <v>497</v>
      </c>
      <c r="M5711" t="s">
        <v>59</v>
      </c>
      <c r="N5711">
        <v>76267715</v>
      </c>
    </row>
    <row r="5712" spans="1:14" x14ac:dyDescent="0.25">
      <c r="A5712">
        <v>62280197</v>
      </c>
      <c r="B5712" t="s">
        <v>12350</v>
      </c>
      <c r="C5712" t="s">
        <v>9723</v>
      </c>
      <c r="D5712" t="s">
        <v>12351</v>
      </c>
      <c r="E5712">
        <v>7088288486</v>
      </c>
      <c r="F5712" t="s">
        <v>2544</v>
      </c>
      <c r="G5712" t="s">
        <v>4833</v>
      </c>
      <c r="I5712" t="s">
        <v>18</v>
      </c>
      <c r="J5712" s="13">
        <v>46106</v>
      </c>
      <c r="K5712" s="13">
        <v>46113</v>
      </c>
      <c r="L5712" t="s">
        <v>470</v>
      </c>
      <c r="M5712" t="s">
        <v>59</v>
      </c>
      <c r="N5712">
        <v>76268508</v>
      </c>
    </row>
    <row r="5713" spans="1:14" x14ac:dyDescent="0.25">
      <c r="A5713">
        <v>63486446</v>
      </c>
      <c r="B5713" t="s">
        <v>1213</v>
      </c>
      <c r="C5713" t="s">
        <v>12352</v>
      </c>
      <c r="D5713" t="s">
        <v>12353</v>
      </c>
      <c r="E5713" t="s">
        <v>12354</v>
      </c>
      <c r="F5713" t="s">
        <v>667</v>
      </c>
      <c r="G5713" t="s">
        <v>668</v>
      </c>
      <c r="I5713" t="s">
        <v>37</v>
      </c>
      <c r="J5713" s="13">
        <v>46142</v>
      </c>
      <c r="K5713" s="13">
        <v>46143</v>
      </c>
      <c r="L5713" t="s">
        <v>497</v>
      </c>
      <c r="M5713" t="s">
        <v>56</v>
      </c>
      <c r="N5713">
        <v>76273389</v>
      </c>
    </row>
    <row r="5714" spans="1:14" x14ac:dyDescent="0.25">
      <c r="A5714">
        <v>62281418</v>
      </c>
      <c r="B5714" t="s">
        <v>2624</v>
      </c>
      <c r="C5714" t="s">
        <v>10513</v>
      </c>
      <c r="D5714" t="s">
        <v>12355</v>
      </c>
      <c r="E5714">
        <v>5012586165</v>
      </c>
      <c r="F5714" t="s">
        <v>1067</v>
      </c>
      <c r="G5714" t="s">
        <v>1068</v>
      </c>
      <c r="I5714" t="s">
        <v>35</v>
      </c>
      <c r="J5714" s="13">
        <v>46106</v>
      </c>
      <c r="K5714" s="13">
        <v>46113</v>
      </c>
      <c r="L5714" t="s">
        <v>553</v>
      </c>
      <c r="M5714" t="s">
        <v>56</v>
      </c>
      <c r="N5714">
        <v>76275697</v>
      </c>
    </row>
    <row r="5715" spans="1:14" x14ac:dyDescent="0.25">
      <c r="A5715">
        <v>62289567</v>
      </c>
      <c r="B5715" t="s">
        <v>12356</v>
      </c>
      <c r="C5715" t="s">
        <v>12357</v>
      </c>
      <c r="D5715" t="s">
        <v>12358</v>
      </c>
      <c r="E5715">
        <v>9704127254</v>
      </c>
      <c r="F5715" t="s">
        <v>10460</v>
      </c>
      <c r="G5715" t="s">
        <v>6663</v>
      </c>
      <c r="I5715" t="s">
        <v>40</v>
      </c>
      <c r="J5715" s="13">
        <v>46106</v>
      </c>
      <c r="K5715" s="13">
        <v>46113</v>
      </c>
      <c r="L5715" t="s">
        <v>539</v>
      </c>
      <c r="M5715" t="s">
        <v>56</v>
      </c>
      <c r="N5715">
        <v>76276411</v>
      </c>
    </row>
    <row r="5716" spans="1:14" x14ac:dyDescent="0.25">
      <c r="A5716">
        <v>62285153</v>
      </c>
      <c r="B5716" t="s">
        <v>3561</v>
      </c>
      <c r="C5716" t="s">
        <v>12359</v>
      </c>
      <c r="D5716" t="s">
        <v>12360</v>
      </c>
      <c r="E5716" t="s">
        <v>12361</v>
      </c>
      <c r="F5716" t="s">
        <v>569</v>
      </c>
      <c r="G5716" t="s">
        <v>570</v>
      </c>
      <c r="I5716" t="s">
        <v>34</v>
      </c>
      <c r="J5716" s="13">
        <v>46106</v>
      </c>
      <c r="K5716" s="13">
        <v>46113</v>
      </c>
      <c r="L5716" t="s">
        <v>533</v>
      </c>
      <c r="M5716" t="s">
        <v>56</v>
      </c>
      <c r="N5716">
        <v>76276744</v>
      </c>
    </row>
    <row r="5717" spans="1:14" x14ac:dyDescent="0.25">
      <c r="A5717">
        <v>62284813</v>
      </c>
      <c r="B5717" t="s">
        <v>6245</v>
      </c>
      <c r="C5717" t="s">
        <v>12362</v>
      </c>
      <c r="D5717" t="s">
        <v>12363</v>
      </c>
      <c r="E5717">
        <v>4694746101</v>
      </c>
      <c r="F5717" t="s">
        <v>688</v>
      </c>
      <c r="G5717" t="s">
        <v>10291</v>
      </c>
      <c r="I5717" t="s">
        <v>48</v>
      </c>
      <c r="J5717" s="13">
        <v>46106</v>
      </c>
      <c r="K5717" s="13">
        <v>46113</v>
      </c>
      <c r="L5717" t="s">
        <v>444</v>
      </c>
      <c r="M5717" t="s">
        <v>56</v>
      </c>
      <c r="N5717">
        <v>76277145</v>
      </c>
    </row>
    <row r="5718" spans="1:14" x14ac:dyDescent="0.25">
      <c r="A5718">
        <v>62295158</v>
      </c>
      <c r="B5718" t="s">
        <v>1408</v>
      </c>
      <c r="C5718" t="s">
        <v>576</v>
      </c>
      <c r="D5718" t="s">
        <v>12364</v>
      </c>
      <c r="E5718">
        <v>5137098565</v>
      </c>
      <c r="F5718" t="s">
        <v>958</v>
      </c>
      <c r="G5718" t="s">
        <v>12111</v>
      </c>
      <c r="H5718" t="s">
        <v>10816</v>
      </c>
      <c r="I5718" t="s">
        <v>12112</v>
      </c>
      <c r="J5718" s="13">
        <v>46106</v>
      </c>
      <c r="K5718" s="13">
        <v>46113</v>
      </c>
      <c r="L5718" t="s">
        <v>490</v>
      </c>
      <c r="M5718" t="s">
        <v>59</v>
      </c>
      <c r="N5718">
        <v>76279354</v>
      </c>
    </row>
    <row r="5719" spans="1:14" x14ac:dyDescent="0.25">
      <c r="A5719">
        <v>62289723</v>
      </c>
      <c r="B5719" t="s">
        <v>645</v>
      </c>
      <c r="C5719" t="s">
        <v>4965</v>
      </c>
      <c r="D5719" t="s">
        <v>12365</v>
      </c>
      <c r="E5719">
        <v>5018871544</v>
      </c>
      <c r="F5719" t="s">
        <v>448</v>
      </c>
      <c r="G5719" t="s">
        <v>449</v>
      </c>
      <c r="I5719" t="s">
        <v>31</v>
      </c>
      <c r="J5719" s="13">
        <v>46106</v>
      </c>
      <c r="K5719" s="13">
        <v>46113</v>
      </c>
      <c r="L5719" t="s">
        <v>553</v>
      </c>
      <c r="M5719" t="s">
        <v>60</v>
      </c>
      <c r="N5719">
        <v>76279358</v>
      </c>
    </row>
    <row r="5720" spans="1:14" x14ac:dyDescent="0.25">
      <c r="A5720">
        <v>62290137</v>
      </c>
      <c r="B5720" t="s">
        <v>980</v>
      </c>
      <c r="C5720" t="s">
        <v>12366</v>
      </c>
      <c r="D5720" t="s">
        <v>12367</v>
      </c>
      <c r="E5720">
        <v>9044631666</v>
      </c>
      <c r="F5720" t="s">
        <v>574</v>
      </c>
      <c r="G5720" t="s">
        <v>575</v>
      </c>
      <c r="I5720" t="s">
        <v>14</v>
      </c>
      <c r="J5720" s="13">
        <v>46106</v>
      </c>
      <c r="K5720" s="13">
        <v>46113</v>
      </c>
      <c r="L5720" t="s">
        <v>497</v>
      </c>
      <c r="M5720" t="s">
        <v>56</v>
      </c>
      <c r="N5720">
        <v>76279390</v>
      </c>
    </row>
    <row r="5721" spans="1:14" x14ac:dyDescent="0.25">
      <c r="A5721">
        <v>62289671</v>
      </c>
      <c r="B5721" t="s">
        <v>12368</v>
      </c>
      <c r="C5721" t="s">
        <v>12369</v>
      </c>
      <c r="D5721" t="s">
        <v>12370</v>
      </c>
      <c r="E5721">
        <v>6237644891</v>
      </c>
      <c r="F5721" t="s">
        <v>416</v>
      </c>
      <c r="G5721" t="s">
        <v>417</v>
      </c>
      <c r="I5721" t="s">
        <v>26</v>
      </c>
      <c r="J5721" s="13">
        <v>46106</v>
      </c>
      <c r="K5721" s="13">
        <v>46113</v>
      </c>
      <c r="L5721" t="s">
        <v>1179</v>
      </c>
      <c r="M5721" t="s">
        <v>59</v>
      </c>
      <c r="N5721">
        <v>76280302</v>
      </c>
    </row>
    <row r="5722" spans="1:14" x14ac:dyDescent="0.25">
      <c r="A5722">
        <v>62290912</v>
      </c>
      <c r="B5722" t="s">
        <v>3174</v>
      </c>
      <c r="C5722" t="s">
        <v>12371</v>
      </c>
      <c r="D5722" t="s">
        <v>12372</v>
      </c>
      <c r="E5722">
        <v>6028843883</v>
      </c>
      <c r="F5722" t="s">
        <v>8440</v>
      </c>
      <c r="G5722" t="s">
        <v>12267</v>
      </c>
      <c r="I5722" t="s">
        <v>12268</v>
      </c>
      <c r="J5722" s="13">
        <v>46106</v>
      </c>
      <c r="K5722" s="13">
        <v>46113</v>
      </c>
      <c r="L5722" t="s">
        <v>1179</v>
      </c>
      <c r="M5722" t="s">
        <v>59</v>
      </c>
      <c r="N5722">
        <v>76282680</v>
      </c>
    </row>
    <row r="5723" spans="1:14" x14ac:dyDescent="0.25">
      <c r="A5723">
        <v>62290615</v>
      </c>
      <c r="B5723" t="s">
        <v>4374</v>
      </c>
      <c r="C5723" t="s">
        <v>12373</v>
      </c>
      <c r="D5723" t="s">
        <v>12374</v>
      </c>
      <c r="E5723">
        <v>5865635332</v>
      </c>
      <c r="F5723" t="s">
        <v>667</v>
      </c>
      <c r="G5723" t="s">
        <v>668</v>
      </c>
      <c r="I5723" t="s">
        <v>37</v>
      </c>
      <c r="J5723" s="13">
        <v>46106</v>
      </c>
      <c r="K5723" s="13">
        <v>46113</v>
      </c>
      <c r="L5723" t="s">
        <v>8329</v>
      </c>
      <c r="M5723" t="s">
        <v>56</v>
      </c>
      <c r="N5723">
        <v>76283153</v>
      </c>
    </row>
    <row r="5724" spans="1:14" x14ac:dyDescent="0.25">
      <c r="A5724">
        <v>62292147</v>
      </c>
      <c r="B5724" t="s">
        <v>8666</v>
      </c>
      <c r="C5724" t="s">
        <v>12375</v>
      </c>
      <c r="D5724" t="s">
        <v>12376</v>
      </c>
      <c r="E5724">
        <v>6023034927</v>
      </c>
      <c r="F5724" t="s">
        <v>1345</v>
      </c>
      <c r="G5724" t="s">
        <v>799</v>
      </c>
      <c r="I5724" t="s">
        <v>47</v>
      </c>
      <c r="J5724" s="13">
        <v>46106</v>
      </c>
      <c r="K5724" s="13">
        <v>46113</v>
      </c>
      <c r="L5724" t="s">
        <v>1179</v>
      </c>
      <c r="M5724" t="s">
        <v>54</v>
      </c>
      <c r="N5724">
        <v>76283589</v>
      </c>
    </row>
    <row r="5725" spans="1:14" x14ac:dyDescent="0.25">
      <c r="A5725">
        <v>62296288</v>
      </c>
      <c r="B5725" t="s">
        <v>1941</v>
      </c>
      <c r="C5725" t="s">
        <v>11183</v>
      </c>
      <c r="D5725" t="s">
        <v>12377</v>
      </c>
      <c r="E5725">
        <v>7192532262</v>
      </c>
      <c r="F5725" t="s">
        <v>1067</v>
      </c>
      <c r="G5725" t="s">
        <v>1068</v>
      </c>
      <c r="I5725" t="s">
        <v>35</v>
      </c>
      <c r="J5725" s="13">
        <v>46106</v>
      </c>
      <c r="K5725" s="13">
        <v>46113</v>
      </c>
      <c r="L5725" t="s">
        <v>539</v>
      </c>
      <c r="M5725" t="s">
        <v>58</v>
      </c>
      <c r="N5725">
        <v>76293575</v>
      </c>
    </row>
    <row r="5726" spans="1:14" x14ac:dyDescent="0.25">
      <c r="A5726">
        <v>62297011</v>
      </c>
      <c r="B5726" t="s">
        <v>12378</v>
      </c>
      <c r="C5726" t="s">
        <v>8534</v>
      </c>
      <c r="D5726" t="s">
        <v>12379</v>
      </c>
      <c r="E5726">
        <v>9283998071</v>
      </c>
      <c r="F5726" t="s">
        <v>448</v>
      </c>
      <c r="G5726" t="s">
        <v>449</v>
      </c>
      <c r="I5726" t="s">
        <v>31</v>
      </c>
      <c r="J5726" s="13">
        <v>46106</v>
      </c>
      <c r="K5726" s="13">
        <v>46113</v>
      </c>
      <c r="M5726" t="s">
        <v>54</v>
      </c>
      <c r="N5726">
        <v>76293652</v>
      </c>
    </row>
    <row r="5727" spans="1:14" x14ac:dyDescent="0.25">
      <c r="A5727">
        <v>62294852</v>
      </c>
      <c r="B5727" t="s">
        <v>1100</v>
      </c>
      <c r="C5727" t="s">
        <v>12380</v>
      </c>
      <c r="D5727" t="s">
        <v>12381</v>
      </c>
      <c r="E5727">
        <v>7735432611</v>
      </c>
      <c r="F5727" t="s">
        <v>474</v>
      </c>
      <c r="G5727" t="s">
        <v>475</v>
      </c>
      <c r="I5727" t="s">
        <v>132</v>
      </c>
      <c r="J5727" s="13">
        <v>46106</v>
      </c>
      <c r="K5727" s="13">
        <v>46113</v>
      </c>
      <c r="L5727" t="s">
        <v>440</v>
      </c>
      <c r="M5727" t="s">
        <v>62</v>
      </c>
      <c r="N5727">
        <v>76293706</v>
      </c>
    </row>
    <row r="5728" spans="1:14" x14ac:dyDescent="0.25">
      <c r="A5728">
        <v>62297561</v>
      </c>
      <c r="B5728" t="s">
        <v>464</v>
      </c>
      <c r="C5728" t="s">
        <v>12382</v>
      </c>
      <c r="D5728" t="s">
        <v>12383</v>
      </c>
      <c r="E5728">
        <v>9545488198</v>
      </c>
      <c r="F5728" t="s">
        <v>416</v>
      </c>
      <c r="G5728" t="s">
        <v>417</v>
      </c>
      <c r="I5728" t="s">
        <v>26</v>
      </c>
      <c r="J5728" s="13">
        <v>46106</v>
      </c>
      <c r="K5728" s="13">
        <v>46113</v>
      </c>
      <c r="L5728" t="s">
        <v>497</v>
      </c>
      <c r="M5728" t="s">
        <v>56</v>
      </c>
      <c r="N5728">
        <v>76295474</v>
      </c>
    </row>
    <row r="5729" spans="1:14" x14ac:dyDescent="0.25">
      <c r="A5729">
        <v>62300094</v>
      </c>
      <c r="B5729" t="s">
        <v>1245</v>
      </c>
      <c r="C5729" t="s">
        <v>12384</v>
      </c>
      <c r="D5729" t="s">
        <v>12385</v>
      </c>
      <c r="E5729" t="s">
        <v>12386</v>
      </c>
      <c r="F5729" t="s">
        <v>649</v>
      </c>
      <c r="G5729" t="s">
        <v>650</v>
      </c>
      <c r="I5729" t="s">
        <v>28</v>
      </c>
      <c r="J5729" s="13">
        <v>46106</v>
      </c>
      <c r="K5729" s="13">
        <v>46113</v>
      </c>
      <c r="L5729" t="s">
        <v>470</v>
      </c>
      <c r="M5729" t="s">
        <v>56</v>
      </c>
      <c r="N5729">
        <v>76295561</v>
      </c>
    </row>
    <row r="5730" spans="1:14" x14ac:dyDescent="0.25">
      <c r="A5730">
        <v>62301073</v>
      </c>
      <c r="B5730" t="s">
        <v>3548</v>
      </c>
      <c r="C5730" t="s">
        <v>12387</v>
      </c>
      <c r="D5730" t="s">
        <v>12388</v>
      </c>
      <c r="E5730">
        <v>4175058652</v>
      </c>
      <c r="F5730" t="s">
        <v>2544</v>
      </c>
      <c r="G5730" t="s">
        <v>12389</v>
      </c>
      <c r="I5730" t="s">
        <v>12390</v>
      </c>
      <c r="J5730" s="13">
        <v>46106</v>
      </c>
      <c r="K5730" s="13">
        <v>46113</v>
      </c>
      <c r="L5730" t="s">
        <v>434</v>
      </c>
      <c r="M5730" t="s">
        <v>59</v>
      </c>
      <c r="N5730">
        <v>76295740</v>
      </c>
    </row>
    <row r="5731" spans="1:14" x14ac:dyDescent="0.25">
      <c r="A5731">
        <v>62298291</v>
      </c>
      <c r="B5731" t="s">
        <v>12391</v>
      </c>
      <c r="C5731" t="s">
        <v>12392</v>
      </c>
      <c r="D5731" t="s">
        <v>12393</v>
      </c>
      <c r="E5731">
        <v>8432632548</v>
      </c>
      <c r="F5731" t="s">
        <v>574</v>
      </c>
      <c r="G5731" t="s">
        <v>575</v>
      </c>
      <c r="I5731" t="s">
        <v>14</v>
      </c>
      <c r="J5731" s="13">
        <v>46106</v>
      </c>
      <c r="K5731" s="13">
        <v>46113</v>
      </c>
      <c r="L5731" t="s">
        <v>533</v>
      </c>
      <c r="M5731" t="s">
        <v>56</v>
      </c>
      <c r="N5731">
        <v>76296993</v>
      </c>
    </row>
    <row r="5732" spans="1:14" x14ac:dyDescent="0.25">
      <c r="A5732">
        <v>62300114</v>
      </c>
      <c r="B5732" t="s">
        <v>3866</v>
      </c>
      <c r="C5732" t="s">
        <v>12394</v>
      </c>
      <c r="D5732" t="s">
        <v>12395</v>
      </c>
      <c r="E5732" t="s">
        <v>12396</v>
      </c>
      <c r="F5732" t="s">
        <v>807</v>
      </c>
      <c r="G5732" t="s">
        <v>808</v>
      </c>
      <c r="I5732" t="s">
        <v>33</v>
      </c>
      <c r="J5732" s="13">
        <v>46106</v>
      </c>
      <c r="K5732" s="13">
        <v>46113</v>
      </c>
      <c r="L5732" t="s">
        <v>1179</v>
      </c>
      <c r="M5732" t="s">
        <v>61</v>
      </c>
      <c r="N5732">
        <v>76297180</v>
      </c>
    </row>
    <row r="5733" spans="1:14" x14ac:dyDescent="0.25">
      <c r="A5733">
        <v>62297759</v>
      </c>
      <c r="B5733" t="s">
        <v>1566</v>
      </c>
      <c r="C5733" t="s">
        <v>12397</v>
      </c>
      <c r="D5733" t="s">
        <v>12398</v>
      </c>
      <c r="E5733">
        <v>2076806243</v>
      </c>
      <c r="F5733" t="s">
        <v>928</v>
      </c>
      <c r="G5733" t="s">
        <v>929</v>
      </c>
      <c r="I5733" t="s">
        <v>30</v>
      </c>
      <c r="J5733" s="13">
        <v>46106</v>
      </c>
      <c r="K5733" s="13">
        <v>46113</v>
      </c>
      <c r="L5733" t="s">
        <v>941</v>
      </c>
      <c r="M5733" t="s">
        <v>56</v>
      </c>
      <c r="N5733">
        <v>76297236</v>
      </c>
    </row>
    <row r="5734" spans="1:14" x14ac:dyDescent="0.25">
      <c r="A5734">
        <v>62298444</v>
      </c>
      <c r="B5734" t="s">
        <v>1566</v>
      </c>
      <c r="C5734" t="s">
        <v>12399</v>
      </c>
      <c r="D5734" t="s">
        <v>12400</v>
      </c>
      <c r="E5734">
        <v>3172897528</v>
      </c>
      <c r="F5734" t="s">
        <v>705</v>
      </c>
      <c r="G5734" t="s">
        <v>706</v>
      </c>
      <c r="I5734" t="s">
        <v>12</v>
      </c>
      <c r="J5734" s="13">
        <v>46106</v>
      </c>
      <c r="K5734" s="13">
        <v>46113</v>
      </c>
      <c r="L5734" t="s">
        <v>440</v>
      </c>
      <c r="M5734" t="s">
        <v>62</v>
      </c>
      <c r="N5734">
        <v>76297283</v>
      </c>
    </row>
    <row r="5735" spans="1:14" x14ac:dyDescent="0.25">
      <c r="A5735">
        <v>62302047</v>
      </c>
      <c r="B5735" t="s">
        <v>3615</v>
      </c>
      <c r="C5735" t="s">
        <v>12401</v>
      </c>
      <c r="D5735" t="s">
        <v>12402</v>
      </c>
      <c r="E5735" t="s">
        <v>12403</v>
      </c>
      <c r="F5735" t="s">
        <v>569</v>
      </c>
      <c r="G5735" t="s">
        <v>570</v>
      </c>
      <c r="I5735" t="s">
        <v>34</v>
      </c>
      <c r="J5735" s="13">
        <v>46106</v>
      </c>
      <c r="K5735" s="13">
        <v>46113</v>
      </c>
      <c r="L5735" t="s">
        <v>539</v>
      </c>
      <c r="M5735" t="s">
        <v>55</v>
      </c>
      <c r="N5735">
        <v>76298180</v>
      </c>
    </row>
    <row r="5736" spans="1:14" x14ac:dyDescent="0.25">
      <c r="A5736">
        <v>62313449</v>
      </c>
      <c r="B5736" t="s">
        <v>12404</v>
      </c>
      <c r="C5736" t="s">
        <v>12405</v>
      </c>
      <c r="D5736" t="s">
        <v>12406</v>
      </c>
      <c r="E5736">
        <v>7372803227</v>
      </c>
      <c r="F5736" t="s">
        <v>667</v>
      </c>
      <c r="G5736" t="s">
        <v>668</v>
      </c>
      <c r="I5736" t="s">
        <v>37</v>
      </c>
      <c r="J5736" s="13">
        <v>46107</v>
      </c>
      <c r="K5736" s="13">
        <v>46113</v>
      </c>
      <c r="L5736" t="s">
        <v>444</v>
      </c>
      <c r="M5736" t="s">
        <v>59</v>
      </c>
      <c r="N5736">
        <v>76319614</v>
      </c>
    </row>
    <row r="5737" spans="1:14" x14ac:dyDescent="0.25">
      <c r="A5737">
        <v>62315648</v>
      </c>
      <c r="B5737" t="s">
        <v>11728</v>
      </c>
      <c r="C5737" t="s">
        <v>2482</v>
      </c>
      <c r="D5737" t="s">
        <v>12407</v>
      </c>
      <c r="E5737">
        <v>6065947258</v>
      </c>
      <c r="F5737" t="s">
        <v>928</v>
      </c>
      <c r="G5737" t="s">
        <v>929</v>
      </c>
      <c r="I5737" t="s">
        <v>30</v>
      </c>
      <c r="J5737" s="13">
        <v>46107</v>
      </c>
      <c r="K5737" s="13">
        <v>46113</v>
      </c>
      <c r="L5737" t="s">
        <v>490</v>
      </c>
      <c r="M5737" t="s">
        <v>59</v>
      </c>
      <c r="N5737">
        <v>76323939</v>
      </c>
    </row>
    <row r="5738" spans="1:14" x14ac:dyDescent="0.25">
      <c r="A5738">
        <v>62315950</v>
      </c>
      <c r="B5738" t="s">
        <v>12408</v>
      </c>
      <c r="C5738" t="s">
        <v>12409</v>
      </c>
      <c r="D5738" t="s">
        <v>12410</v>
      </c>
      <c r="E5738">
        <v>6024198791</v>
      </c>
      <c r="F5738" t="s">
        <v>416</v>
      </c>
      <c r="G5738" t="s">
        <v>417</v>
      </c>
      <c r="I5738" t="s">
        <v>26</v>
      </c>
      <c r="J5738" s="13">
        <v>46107</v>
      </c>
      <c r="K5738" s="13">
        <v>46113</v>
      </c>
      <c r="L5738" t="s">
        <v>1179</v>
      </c>
      <c r="M5738" t="s">
        <v>59</v>
      </c>
      <c r="N5738">
        <v>76324043</v>
      </c>
    </row>
    <row r="5739" spans="1:14" x14ac:dyDescent="0.25">
      <c r="A5739">
        <v>62316059</v>
      </c>
      <c r="B5739" t="s">
        <v>12411</v>
      </c>
      <c r="C5739" t="s">
        <v>12412</v>
      </c>
      <c r="D5739" t="s">
        <v>12413</v>
      </c>
      <c r="E5739">
        <v>7738292344</v>
      </c>
      <c r="F5739" t="s">
        <v>474</v>
      </c>
      <c r="G5739" t="s">
        <v>475</v>
      </c>
      <c r="I5739" t="s">
        <v>132</v>
      </c>
      <c r="J5739" s="13">
        <v>46107</v>
      </c>
      <c r="K5739" s="13">
        <v>46113</v>
      </c>
      <c r="L5739" t="s">
        <v>470</v>
      </c>
      <c r="M5739" t="s">
        <v>58</v>
      </c>
      <c r="N5739">
        <v>76324106</v>
      </c>
    </row>
    <row r="5740" spans="1:14" x14ac:dyDescent="0.25">
      <c r="A5740">
        <v>62319661</v>
      </c>
      <c r="B5740" t="s">
        <v>597</v>
      </c>
      <c r="C5740" t="s">
        <v>1598</v>
      </c>
      <c r="D5740" t="s">
        <v>12414</v>
      </c>
      <c r="E5740">
        <v>3034377401</v>
      </c>
      <c r="F5740" t="s">
        <v>628</v>
      </c>
      <c r="G5740" t="s">
        <v>629</v>
      </c>
      <c r="I5740" t="s">
        <v>24</v>
      </c>
      <c r="J5740" s="13">
        <v>46107</v>
      </c>
      <c r="K5740" s="13">
        <v>46113</v>
      </c>
      <c r="L5740" t="s">
        <v>539</v>
      </c>
      <c r="M5740" t="s">
        <v>59</v>
      </c>
      <c r="N5740">
        <v>76324374</v>
      </c>
    </row>
    <row r="5741" spans="1:14" x14ac:dyDescent="0.25">
      <c r="A5741">
        <v>62319507</v>
      </c>
      <c r="B5741" t="s">
        <v>8492</v>
      </c>
      <c r="C5741" t="s">
        <v>1563</v>
      </c>
      <c r="D5741" t="s">
        <v>12415</v>
      </c>
      <c r="E5741">
        <v>6028568690</v>
      </c>
      <c r="F5741" t="s">
        <v>770</v>
      </c>
      <c r="G5741" t="s">
        <v>771</v>
      </c>
      <c r="I5741" t="s">
        <v>25</v>
      </c>
      <c r="J5741" s="13">
        <v>46107</v>
      </c>
      <c r="K5741" s="13">
        <v>46113</v>
      </c>
      <c r="L5741" t="s">
        <v>1179</v>
      </c>
      <c r="M5741" t="s">
        <v>54</v>
      </c>
      <c r="N5741">
        <v>76324852</v>
      </c>
    </row>
    <row r="5742" spans="1:14" x14ac:dyDescent="0.25">
      <c r="A5742">
        <v>62320217</v>
      </c>
      <c r="B5742" t="s">
        <v>1148</v>
      </c>
      <c r="C5742" t="s">
        <v>12416</v>
      </c>
      <c r="D5742" t="s">
        <v>12417</v>
      </c>
      <c r="E5742">
        <v>7199632521</v>
      </c>
      <c r="F5742" t="s">
        <v>1612</v>
      </c>
      <c r="G5742" t="s">
        <v>4811</v>
      </c>
      <c r="I5742" t="s">
        <v>322</v>
      </c>
      <c r="J5742" s="13">
        <v>46107</v>
      </c>
      <c r="K5742" s="13">
        <v>46113</v>
      </c>
      <c r="L5742" t="s">
        <v>539</v>
      </c>
      <c r="M5742" t="s">
        <v>58</v>
      </c>
      <c r="N5742">
        <v>76325511</v>
      </c>
    </row>
    <row r="5743" spans="1:14" x14ac:dyDescent="0.25">
      <c r="A5743">
        <v>62317942</v>
      </c>
      <c r="B5743" t="s">
        <v>7922</v>
      </c>
      <c r="C5743" t="s">
        <v>12418</v>
      </c>
      <c r="D5743" t="s">
        <v>12419</v>
      </c>
      <c r="E5743" t="s">
        <v>12420</v>
      </c>
      <c r="F5743" t="s">
        <v>705</v>
      </c>
      <c r="G5743" t="s">
        <v>706</v>
      </c>
      <c r="I5743" t="s">
        <v>12</v>
      </c>
      <c r="J5743" s="13">
        <v>46107</v>
      </c>
      <c r="K5743" s="13">
        <v>46113</v>
      </c>
      <c r="L5743" t="s">
        <v>418</v>
      </c>
      <c r="M5743" t="s">
        <v>58</v>
      </c>
      <c r="N5743">
        <v>76325819</v>
      </c>
    </row>
    <row r="5744" spans="1:14" x14ac:dyDescent="0.25">
      <c r="A5744">
        <v>62318930</v>
      </c>
      <c r="B5744" t="s">
        <v>2418</v>
      </c>
      <c r="C5744" t="s">
        <v>12421</v>
      </c>
      <c r="D5744" t="s">
        <v>12422</v>
      </c>
      <c r="F5744" t="s">
        <v>688</v>
      </c>
      <c r="G5744" t="s">
        <v>10291</v>
      </c>
      <c r="I5744" t="s">
        <v>48</v>
      </c>
      <c r="J5744" s="13">
        <v>46107</v>
      </c>
      <c r="K5744" s="13">
        <v>46113</v>
      </c>
      <c r="L5744" t="s">
        <v>444</v>
      </c>
      <c r="M5744" t="s">
        <v>56</v>
      </c>
      <c r="N5744">
        <v>76325930</v>
      </c>
    </row>
    <row r="5745" spans="1:14" x14ac:dyDescent="0.25">
      <c r="A5745">
        <v>62336639</v>
      </c>
      <c r="B5745" t="s">
        <v>2674</v>
      </c>
      <c r="C5745" t="s">
        <v>10448</v>
      </c>
      <c r="D5745" t="s">
        <v>12423</v>
      </c>
      <c r="E5745">
        <v>9048600094</v>
      </c>
      <c r="F5745" t="s">
        <v>569</v>
      </c>
      <c r="G5745" t="s">
        <v>570</v>
      </c>
      <c r="I5745" t="s">
        <v>34</v>
      </c>
      <c r="J5745" s="13">
        <v>46108</v>
      </c>
      <c r="K5745" s="13">
        <v>46113</v>
      </c>
      <c r="L5745" t="s">
        <v>497</v>
      </c>
      <c r="M5745" t="s">
        <v>54</v>
      </c>
      <c r="N5745">
        <v>76327252</v>
      </c>
    </row>
    <row r="5746" spans="1:14" x14ac:dyDescent="0.25">
      <c r="A5746">
        <v>62320036</v>
      </c>
      <c r="B5746" t="s">
        <v>1264</v>
      </c>
      <c r="C5746" t="s">
        <v>12424</v>
      </c>
      <c r="D5746" t="s">
        <v>12425</v>
      </c>
      <c r="E5746">
        <v>6303292797</v>
      </c>
      <c r="F5746" t="s">
        <v>474</v>
      </c>
      <c r="G5746" t="s">
        <v>475</v>
      </c>
      <c r="I5746" t="s">
        <v>132</v>
      </c>
      <c r="J5746" s="13">
        <v>46107</v>
      </c>
      <c r="K5746" s="13">
        <v>46113</v>
      </c>
      <c r="L5746" t="s">
        <v>470</v>
      </c>
      <c r="M5746" t="s">
        <v>62</v>
      </c>
      <c r="N5746">
        <v>76327624</v>
      </c>
    </row>
    <row r="5747" spans="1:14" x14ac:dyDescent="0.25">
      <c r="A5747">
        <v>62320735</v>
      </c>
      <c r="B5747" t="s">
        <v>4769</v>
      </c>
      <c r="C5747" t="s">
        <v>12426</v>
      </c>
      <c r="D5747" t="s">
        <v>12427</v>
      </c>
      <c r="E5747">
        <v>6363670595</v>
      </c>
      <c r="F5747" t="s">
        <v>775</v>
      </c>
      <c r="G5747" t="s">
        <v>776</v>
      </c>
      <c r="I5747" t="s">
        <v>22</v>
      </c>
      <c r="J5747" s="13">
        <v>46107</v>
      </c>
      <c r="K5747" s="13">
        <v>46113</v>
      </c>
      <c r="L5747" t="s">
        <v>434</v>
      </c>
      <c r="M5747" t="s">
        <v>56</v>
      </c>
      <c r="N5747">
        <v>76327728</v>
      </c>
    </row>
    <row r="5748" spans="1:14" x14ac:dyDescent="0.25">
      <c r="A5748">
        <v>62321083</v>
      </c>
      <c r="B5748" t="s">
        <v>6581</v>
      </c>
      <c r="C5748" t="s">
        <v>6720</v>
      </c>
      <c r="D5748" t="s">
        <v>12428</v>
      </c>
      <c r="E5748">
        <v>4793081707</v>
      </c>
      <c r="F5748" t="s">
        <v>551</v>
      </c>
      <c r="G5748" t="s">
        <v>552</v>
      </c>
      <c r="I5748" t="s">
        <v>42</v>
      </c>
      <c r="J5748" s="13">
        <v>46107</v>
      </c>
      <c r="K5748" s="13">
        <v>46113</v>
      </c>
      <c r="L5748" t="s">
        <v>553</v>
      </c>
      <c r="M5748" t="s">
        <v>56</v>
      </c>
      <c r="N5748">
        <v>76328566</v>
      </c>
    </row>
    <row r="5749" spans="1:14" x14ac:dyDescent="0.25">
      <c r="A5749">
        <v>62321609</v>
      </c>
      <c r="B5749" t="s">
        <v>5946</v>
      </c>
      <c r="C5749" t="s">
        <v>515</v>
      </c>
      <c r="D5749" t="s">
        <v>12429</v>
      </c>
      <c r="E5749" t="s">
        <v>12430</v>
      </c>
      <c r="F5749" t="s">
        <v>649</v>
      </c>
      <c r="G5749" t="s">
        <v>650</v>
      </c>
      <c r="I5749" t="s">
        <v>28</v>
      </c>
      <c r="J5749" s="13">
        <v>46107</v>
      </c>
      <c r="K5749" s="13">
        <v>46113</v>
      </c>
      <c r="L5749" t="s">
        <v>470</v>
      </c>
      <c r="M5749" t="s">
        <v>59</v>
      </c>
      <c r="N5749">
        <v>76328670</v>
      </c>
    </row>
    <row r="5750" spans="1:14" x14ac:dyDescent="0.25">
      <c r="A5750">
        <v>62322762</v>
      </c>
      <c r="B5750" t="s">
        <v>12431</v>
      </c>
      <c r="C5750" t="s">
        <v>12432</v>
      </c>
      <c r="D5750" t="s">
        <v>12433</v>
      </c>
      <c r="E5750">
        <v>4807819823</v>
      </c>
      <c r="F5750" t="s">
        <v>10460</v>
      </c>
      <c r="G5750" t="s">
        <v>6663</v>
      </c>
      <c r="I5750" t="s">
        <v>40</v>
      </c>
      <c r="J5750" s="13">
        <v>46107</v>
      </c>
      <c r="K5750" s="13">
        <v>46107</v>
      </c>
      <c r="L5750" t="s">
        <v>1179</v>
      </c>
      <c r="M5750" t="s">
        <v>54</v>
      </c>
      <c r="N5750">
        <v>76331043</v>
      </c>
    </row>
    <row r="5751" spans="1:14" x14ac:dyDescent="0.25">
      <c r="A5751">
        <v>62323300</v>
      </c>
      <c r="B5751" t="s">
        <v>445</v>
      </c>
      <c r="C5751" t="s">
        <v>12434</v>
      </c>
      <c r="D5751" t="s">
        <v>12435</v>
      </c>
      <c r="E5751">
        <v>9045100566</v>
      </c>
      <c r="F5751" t="s">
        <v>828</v>
      </c>
      <c r="G5751" t="s">
        <v>1148</v>
      </c>
      <c r="I5751" t="s">
        <v>17</v>
      </c>
      <c r="J5751" s="13">
        <v>46107</v>
      </c>
      <c r="K5751" s="13">
        <v>46113</v>
      </c>
      <c r="L5751" t="s">
        <v>497</v>
      </c>
      <c r="M5751" t="s">
        <v>419</v>
      </c>
      <c r="N5751">
        <v>76331711</v>
      </c>
    </row>
    <row r="5752" spans="1:14" x14ac:dyDescent="0.25">
      <c r="A5752">
        <v>62323062</v>
      </c>
      <c r="B5752" t="s">
        <v>10294</v>
      </c>
      <c r="C5752" t="s">
        <v>1053</v>
      </c>
      <c r="D5752" t="s">
        <v>12436</v>
      </c>
      <c r="E5752">
        <v>9062214151</v>
      </c>
      <c r="F5752" t="s">
        <v>928</v>
      </c>
      <c r="G5752" t="s">
        <v>929</v>
      </c>
      <c r="I5752" t="s">
        <v>30</v>
      </c>
      <c r="J5752" s="13">
        <v>46107</v>
      </c>
      <c r="K5752" s="13">
        <v>46113</v>
      </c>
      <c r="L5752" t="s">
        <v>8329</v>
      </c>
      <c r="M5752" t="s">
        <v>56</v>
      </c>
      <c r="N5752">
        <v>76332059</v>
      </c>
    </row>
    <row r="5753" spans="1:14" x14ac:dyDescent="0.25">
      <c r="A5753">
        <v>62323050</v>
      </c>
      <c r="B5753" t="s">
        <v>6737</v>
      </c>
      <c r="C5753" t="s">
        <v>8933</v>
      </c>
      <c r="E5753">
        <v>3132864679</v>
      </c>
      <c r="F5753" t="s">
        <v>10591</v>
      </c>
      <c r="G5753" t="s">
        <v>10215</v>
      </c>
      <c r="I5753" t="s">
        <v>32</v>
      </c>
      <c r="J5753" s="13">
        <v>46107</v>
      </c>
      <c r="K5753" s="13">
        <v>46113</v>
      </c>
      <c r="L5753" t="s">
        <v>8329</v>
      </c>
      <c r="M5753" t="s">
        <v>62</v>
      </c>
      <c r="N5753">
        <v>76332296</v>
      </c>
    </row>
    <row r="5754" spans="1:14" x14ac:dyDescent="0.25">
      <c r="A5754">
        <v>62322839</v>
      </c>
      <c r="B5754" t="s">
        <v>3228</v>
      </c>
      <c r="C5754" t="s">
        <v>1448</v>
      </c>
      <c r="D5754" t="s">
        <v>12437</v>
      </c>
      <c r="E5754">
        <v>9542402639</v>
      </c>
      <c r="F5754" t="s">
        <v>416</v>
      </c>
      <c r="G5754" t="s">
        <v>417</v>
      </c>
      <c r="I5754" t="s">
        <v>26</v>
      </c>
      <c r="J5754" s="13">
        <v>46107</v>
      </c>
      <c r="K5754" s="13">
        <v>46113</v>
      </c>
      <c r="L5754" t="s">
        <v>497</v>
      </c>
      <c r="M5754" t="s">
        <v>54</v>
      </c>
      <c r="N5754">
        <v>76332390</v>
      </c>
    </row>
    <row r="5755" spans="1:14" x14ac:dyDescent="0.25">
      <c r="A5755">
        <v>62323543</v>
      </c>
      <c r="B5755" t="s">
        <v>12438</v>
      </c>
      <c r="C5755" t="s">
        <v>2558</v>
      </c>
      <c r="D5755" t="s">
        <v>12439</v>
      </c>
      <c r="E5755">
        <v>7085672734</v>
      </c>
      <c r="F5755" t="s">
        <v>474</v>
      </c>
      <c r="G5755" t="s">
        <v>475</v>
      </c>
      <c r="I5755" t="s">
        <v>132</v>
      </c>
      <c r="J5755" s="13">
        <v>46107</v>
      </c>
      <c r="K5755" s="13">
        <v>46113</v>
      </c>
      <c r="L5755" t="s">
        <v>470</v>
      </c>
      <c r="M5755" t="s">
        <v>62</v>
      </c>
      <c r="N5755">
        <v>76334881</v>
      </c>
    </row>
    <row r="5756" spans="1:14" x14ac:dyDescent="0.25">
      <c r="A5756">
        <v>63305143</v>
      </c>
      <c r="B5756" t="s">
        <v>2128</v>
      </c>
      <c r="C5756" t="s">
        <v>12440</v>
      </c>
      <c r="D5756" t="s">
        <v>12441</v>
      </c>
      <c r="E5756">
        <v>5133061314</v>
      </c>
      <c r="F5756" t="s">
        <v>448</v>
      </c>
      <c r="G5756" t="s">
        <v>449</v>
      </c>
      <c r="I5756" t="s">
        <v>31</v>
      </c>
      <c r="J5756" s="13">
        <v>46132</v>
      </c>
      <c r="K5756" s="13">
        <v>46143</v>
      </c>
      <c r="L5756" t="s">
        <v>418</v>
      </c>
      <c r="M5756" t="s">
        <v>59</v>
      </c>
      <c r="N5756">
        <v>76335806</v>
      </c>
    </row>
    <row r="5757" spans="1:14" x14ac:dyDescent="0.25">
      <c r="A5757">
        <v>62377035</v>
      </c>
      <c r="B5757" t="s">
        <v>12442</v>
      </c>
      <c r="C5757" t="s">
        <v>807</v>
      </c>
      <c r="D5757" t="s">
        <v>12443</v>
      </c>
      <c r="E5757">
        <v>3348328026</v>
      </c>
      <c r="F5757" t="s">
        <v>11838</v>
      </c>
      <c r="G5757" t="s">
        <v>11839</v>
      </c>
      <c r="I5757" t="s">
        <v>11840</v>
      </c>
      <c r="J5757" s="13">
        <v>46111</v>
      </c>
      <c r="K5757" s="13">
        <v>46113</v>
      </c>
      <c r="L5757" t="s">
        <v>450</v>
      </c>
      <c r="M5757" t="s">
        <v>58</v>
      </c>
      <c r="N5757">
        <v>76337021</v>
      </c>
    </row>
    <row r="5758" spans="1:14" x14ac:dyDescent="0.25">
      <c r="A5758">
        <v>62326035</v>
      </c>
      <c r="B5758" t="s">
        <v>12444</v>
      </c>
      <c r="C5758" t="s">
        <v>12445</v>
      </c>
      <c r="D5758" t="s">
        <v>12446</v>
      </c>
      <c r="E5758" t="s">
        <v>12447</v>
      </c>
      <c r="F5758" t="s">
        <v>770</v>
      </c>
      <c r="G5758" t="s">
        <v>771</v>
      </c>
      <c r="I5758" t="s">
        <v>25</v>
      </c>
      <c r="J5758" s="13">
        <v>46107</v>
      </c>
      <c r="K5758" s="13">
        <v>46113</v>
      </c>
      <c r="L5758" t="s">
        <v>1179</v>
      </c>
      <c r="M5758" t="s">
        <v>54</v>
      </c>
      <c r="N5758">
        <v>76338096</v>
      </c>
    </row>
    <row r="5759" spans="1:14" x14ac:dyDescent="0.25">
      <c r="A5759">
        <v>62326417</v>
      </c>
      <c r="B5759" t="s">
        <v>2272</v>
      </c>
      <c r="C5759" t="s">
        <v>4364</v>
      </c>
      <c r="D5759" t="s">
        <v>12448</v>
      </c>
      <c r="E5759">
        <v>8473615712</v>
      </c>
      <c r="F5759" t="s">
        <v>2544</v>
      </c>
      <c r="G5759" t="s">
        <v>4833</v>
      </c>
      <c r="I5759" t="s">
        <v>18</v>
      </c>
      <c r="J5759" s="13">
        <v>46107</v>
      </c>
      <c r="K5759" s="13">
        <v>46113</v>
      </c>
      <c r="L5759" t="s">
        <v>470</v>
      </c>
      <c r="M5759" t="s">
        <v>59</v>
      </c>
      <c r="N5759">
        <v>76340321</v>
      </c>
    </row>
    <row r="5760" spans="1:14" x14ac:dyDescent="0.25">
      <c r="A5760">
        <v>62326557</v>
      </c>
      <c r="B5760" t="s">
        <v>1643</v>
      </c>
      <c r="C5760" t="s">
        <v>1598</v>
      </c>
      <c r="D5760" t="s">
        <v>12449</v>
      </c>
      <c r="E5760">
        <v>3035885817</v>
      </c>
      <c r="F5760" t="s">
        <v>4941</v>
      </c>
      <c r="G5760" t="s">
        <v>12450</v>
      </c>
      <c r="I5760" t="s">
        <v>12451</v>
      </c>
      <c r="J5760" s="13">
        <v>46107</v>
      </c>
      <c r="K5760" s="13">
        <v>46113</v>
      </c>
      <c r="L5760" t="s">
        <v>539</v>
      </c>
      <c r="M5760" t="s">
        <v>58</v>
      </c>
      <c r="N5760">
        <v>76340618</v>
      </c>
    </row>
    <row r="5761" spans="1:14" x14ac:dyDescent="0.25">
      <c r="A5761">
        <v>62326298</v>
      </c>
      <c r="B5761" t="s">
        <v>10371</v>
      </c>
      <c r="C5761" t="s">
        <v>12452</v>
      </c>
      <c r="E5761">
        <v>6153101913</v>
      </c>
      <c r="F5761" t="s">
        <v>10591</v>
      </c>
      <c r="G5761" t="s">
        <v>10215</v>
      </c>
      <c r="I5761" t="s">
        <v>32</v>
      </c>
      <c r="J5761" s="13">
        <v>46107</v>
      </c>
      <c r="K5761" s="13">
        <v>46113</v>
      </c>
      <c r="L5761" t="s">
        <v>479</v>
      </c>
      <c r="M5761" t="s">
        <v>55</v>
      </c>
      <c r="N5761">
        <v>76340696</v>
      </c>
    </row>
    <row r="5762" spans="1:14" x14ac:dyDescent="0.25">
      <c r="A5762">
        <v>62326315</v>
      </c>
      <c r="B5762" t="s">
        <v>12453</v>
      </c>
      <c r="C5762" t="s">
        <v>12454</v>
      </c>
      <c r="D5762" t="s">
        <v>12455</v>
      </c>
      <c r="E5762">
        <v>4174831066</v>
      </c>
      <c r="F5762" t="s">
        <v>688</v>
      </c>
      <c r="G5762" t="s">
        <v>10291</v>
      </c>
      <c r="I5762" t="s">
        <v>48</v>
      </c>
      <c r="J5762" s="13">
        <v>46107</v>
      </c>
      <c r="K5762" s="13">
        <v>46113</v>
      </c>
      <c r="L5762" t="s">
        <v>434</v>
      </c>
      <c r="M5762" t="s">
        <v>56</v>
      </c>
      <c r="N5762">
        <v>76340890</v>
      </c>
    </row>
    <row r="5763" spans="1:14" x14ac:dyDescent="0.25">
      <c r="A5763">
        <v>62326548</v>
      </c>
      <c r="B5763" t="s">
        <v>12456</v>
      </c>
      <c r="C5763" t="s">
        <v>12457</v>
      </c>
      <c r="D5763" t="s">
        <v>12458</v>
      </c>
      <c r="E5763">
        <v>8704940180</v>
      </c>
      <c r="F5763" t="s">
        <v>551</v>
      </c>
      <c r="G5763" t="s">
        <v>552</v>
      </c>
      <c r="I5763" t="s">
        <v>42</v>
      </c>
      <c r="J5763" s="13">
        <v>46107</v>
      </c>
      <c r="K5763" s="13">
        <v>46113</v>
      </c>
      <c r="L5763" t="s">
        <v>553</v>
      </c>
      <c r="M5763" t="s">
        <v>59</v>
      </c>
      <c r="N5763">
        <v>76341017</v>
      </c>
    </row>
    <row r="5764" spans="1:14" x14ac:dyDescent="0.25">
      <c r="A5764">
        <v>62327422</v>
      </c>
      <c r="B5764" t="s">
        <v>12340</v>
      </c>
      <c r="C5764" t="s">
        <v>12459</v>
      </c>
      <c r="D5764" t="s">
        <v>12460</v>
      </c>
      <c r="E5764" t="s">
        <v>12461</v>
      </c>
      <c r="F5764" t="s">
        <v>649</v>
      </c>
      <c r="G5764" t="s">
        <v>650</v>
      </c>
      <c r="I5764" t="s">
        <v>28</v>
      </c>
      <c r="J5764" s="13">
        <v>46107</v>
      </c>
      <c r="K5764" s="13">
        <v>46113</v>
      </c>
      <c r="L5764" t="s">
        <v>418</v>
      </c>
      <c r="M5764" t="s">
        <v>59</v>
      </c>
      <c r="N5764">
        <v>76341858</v>
      </c>
    </row>
    <row r="5765" spans="1:14" x14ac:dyDescent="0.25">
      <c r="A5765">
        <v>62411214</v>
      </c>
      <c r="B5765" t="s">
        <v>12462</v>
      </c>
      <c r="C5765" t="s">
        <v>2795</v>
      </c>
      <c r="D5765" t="s">
        <v>12463</v>
      </c>
      <c r="E5765">
        <v>4142357970</v>
      </c>
      <c r="F5765" t="s">
        <v>551</v>
      </c>
      <c r="G5765" t="s">
        <v>552</v>
      </c>
      <c r="I5765" t="s">
        <v>42</v>
      </c>
      <c r="J5765" s="13">
        <v>46113</v>
      </c>
      <c r="K5765" s="13">
        <v>46143</v>
      </c>
      <c r="L5765" t="s">
        <v>675</v>
      </c>
      <c r="M5765" t="s">
        <v>58</v>
      </c>
      <c r="N5765">
        <v>76354673</v>
      </c>
    </row>
    <row r="5766" spans="1:14" x14ac:dyDescent="0.25">
      <c r="A5766">
        <v>62337030</v>
      </c>
      <c r="B5766" t="s">
        <v>951</v>
      </c>
      <c r="C5766" t="s">
        <v>10269</v>
      </c>
      <c r="D5766" t="s">
        <v>12464</v>
      </c>
      <c r="E5766">
        <v>4043964021</v>
      </c>
      <c r="F5766" t="s">
        <v>574</v>
      </c>
      <c r="G5766" t="s">
        <v>575</v>
      </c>
      <c r="I5766" t="s">
        <v>14</v>
      </c>
      <c r="J5766" s="13">
        <v>46108</v>
      </c>
      <c r="K5766" s="13">
        <v>46113</v>
      </c>
      <c r="L5766" t="s">
        <v>621</v>
      </c>
      <c r="M5766" t="s">
        <v>59</v>
      </c>
      <c r="N5766">
        <v>76354702</v>
      </c>
    </row>
    <row r="5767" spans="1:14" x14ac:dyDescent="0.25">
      <c r="A5767">
        <v>62336866</v>
      </c>
      <c r="B5767" t="s">
        <v>1106</v>
      </c>
      <c r="C5767" t="s">
        <v>2207</v>
      </c>
      <c r="D5767" t="s">
        <v>12465</v>
      </c>
      <c r="E5767">
        <v>9042547705</v>
      </c>
      <c r="F5767" t="s">
        <v>448</v>
      </c>
      <c r="G5767" t="s">
        <v>449</v>
      </c>
      <c r="I5767" t="s">
        <v>31</v>
      </c>
      <c r="J5767" s="13">
        <v>46108</v>
      </c>
      <c r="K5767" s="13">
        <v>46113</v>
      </c>
      <c r="L5767" t="s">
        <v>497</v>
      </c>
      <c r="M5767" t="s">
        <v>56</v>
      </c>
      <c r="N5767">
        <v>76354806</v>
      </c>
    </row>
    <row r="5768" spans="1:14" x14ac:dyDescent="0.25">
      <c r="A5768">
        <v>63348590</v>
      </c>
      <c r="B5768" t="s">
        <v>2019</v>
      </c>
      <c r="C5768" t="s">
        <v>12466</v>
      </c>
      <c r="D5768" t="s">
        <v>12467</v>
      </c>
      <c r="E5768">
        <v>6066226284</v>
      </c>
      <c r="F5768" t="s">
        <v>1612</v>
      </c>
      <c r="G5768" t="s">
        <v>4811</v>
      </c>
      <c r="I5768" t="s">
        <v>322</v>
      </c>
      <c r="J5768" s="13">
        <v>46134</v>
      </c>
      <c r="K5768" s="13">
        <v>46143</v>
      </c>
      <c r="L5768" t="s">
        <v>490</v>
      </c>
      <c r="M5768" t="s">
        <v>59</v>
      </c>
      <c r="N5768">
        <v>76355192</v>
      </c>
    </row>
    <row r="5769" spans="1:14" x14ac:dyDescent="0.25">
      <c r="A5769">
        <v>62337392</v>
      </c>
      <c r="B5769" t="s">
        <v>12283</v>
      </c>
      <c r="C5769" t="s">
        <v>12468</v>
      </c>
      <c r="D5769" t="s">
        <v>12469</v>
      </c>
      <c r="E5769">
        <v>3124094466</v>
      </c>
      <c r="F5769" t="s">
        <v>705</v>
      </c>
      <c r="G5769" t="s">
        <v>706</v>
      </c>
      <c r="I5769" t="s">
        <v>12</v>
      </c>
      <c r="J5769" s="13">
        <v>46108</v>
      </c>
      <c r="K5769" s="13">
        <v>46113</v>
      </c>
      <c r="L5769" t="s">
        <v>470</v>
      </c>
      <c r="M5769" t="s">
        <v>58</v>
      </c>
      <c r="N5769">
        <v>76355286</v>
      </c>
    </row>
    <row r="5770" spans="1:14" x14ac:dyDescent="0.25">
      <c r="A5770">
        <v>62337221</v>
      </c>
      <c r="B5770" t="s">
        <v>12470</v>
      </c>
      <c r="C5770" t="s">
        <v>12471</v>
      </c>
      <c r="D5770" t="s">
        <v>12472</v>
      </c>
      <c r="E5770">
        <v>9045632013</v>
      </c>
      <c r="F5770" t="s">
        <v>416</v>
      </c>
      <c r="G5770" t="s">
        <v>417</v>
      </c>
      <c r="I5770" t="s">
        <v>26</v>
      </c>
      <c r="J5770" s="13">
        <v>46108</v>
      </c>
      <c r="K5770" s="13">
        <v>46113</v>
      </c>
      <c r="L5770" t="s">
        <v>497</v>
      </c>
      <c r="M5770" t="s">
        <v>56</v>
      </c>
      <c r="N5770">
        <v>76355583</v>
      </c>
    </row>
    <row r="5771" spans="1:14" x14ac:dyDescent="0.25">
      <c r="A5771">
        <v>62337970</v>
      </c>
      <c r="B5771" t="s">
        <v>445</v>
      </c>
      <c r="C5771" t="s">
        <v>12473</v>
      </c>
      <c r="D5771" t="s">
        <v>12474</v>
      </c>
      <c r="E5771">
        <v>8705171389</v>
      </c>
      <c r="F5771" t="s">
        <v>667</v>
      </c>
      <c r="G5771" t="s">
        <v>668</v>
      </c>
      <c r="I5771" t="s">
        <v>37</v>
      </c>
      <c r="J5771" s="13">
        <v>46108</v>
      </c>
      <c r="K5771" s="13">
        <v>46113</v>
      </c>
      <c r="L5771" t="s">
        <v>553</v>
      </c>
      <c r="M5771" t="s">
        <v>59</v>
      </c>
      <c r="N5771">
        <v>76356714</v>
      </c>
    </row>
    <row r="5772" spans="1:14" x14ac:dyDescent="0.25">
      <c r="A5772">
        <v>62340464</v>
      </c>
      <c r="B5772" t="s">
        <v>1693</v>
      </c>
      <c r="C5772" t="s">
        <v>1168</v>
      </c>
      <c r="D5772" t="s">
        <v>12475</v>
      </c>
      <c r="E5772">
        <v>3348681885</v>
      </c>
      <c r="F5772" t="s">
        <v>11745</v>
      </c>
      <c r="G5772" t="s">
        <v>6544</v>
      </c>
      <c r="I5772" t="s">
        <v>11746</v>
      </c>
      <c r="J5772" s="13">
        <v>46108</v>
      </c>
      <c r="K5772" s="13">
        <v>46113</v>
      </c>
      <c r="L5772" t="s">
        <v>450</v>
      </c>
      <c r="M5772" t="s">
        <v>59</v>
      </c>
      <c r="N5772">
        <v>76356743</v>
      </c>
    </row>
    <row r="5773" spans="1:14" x14ac:dyDescent="0.25">
      <c r="A5773">
        <v>62338459</v>
      </c>
      <c r="B5773" t="s">
        <v>431</v>
      </c>
      <c r="C5773" t="s">
        <v>1036</v>
      </c>
      <c r="D5773" t="s">
        <v>12476</v>
      </c>
      <c r="E5773">
        <v>9042268044</v>
      </c>
      <c r="F5773" t="s">
        <v>628</v>
      </c>
      <c r="G5773" t="s">
        <v>629</v>
      </c>
      <c r="I5773" t="s">
        <v>24</v>
      </c>
      <c r="J5773" s="13">
        <v>46108</v>
      </c>
      <c r="K5773" s="13">
        <v>46113</v>
      </c>
      <c r="L5773" t="s">
        <v>497</v>
      </c>
      <c r="M5773" t="s">
        <v>56</v>
      </c>
      <c r="N5773">
        <v>76356773</v>
      </c>
    </row>
    <row r="5774" spans="1:14" x14ac:dyDescent="0.25">
      <c r="A5774">
        <v>62338345</v>
      </c>
      <c r="B5774" t="s">
        <v>1699</v>
      </c>
      <c r="C5774" t="s">
        <v>12477</v>
      </c>
      <c r="D5774" t="s">
        <v>12478</v>
      </c>
      <c r="E5774">
        <v>7086700498</v>
      </c>
      <c r="F5774" t="s">
        <v>649</v>
      </c>
      <c r="G5774" t="s">
        <v>650</v>
      </c>
      <c r="I5774" t="s">
        <v>28</v>
      </c>
      <c r="J5774" s="13">
        <v>46108</v>
      </c>
      <c r="K5774" s="13">
        <v>46113</v>
      </c>
      <c r="L5774" t="s">
        <v>470</v>
      </c>
      <c r="M5774" t="s">
        <v>59</v>
      </c>
      <c r="N5774">
        <v>76356837</v>
      </c>
    </row>
    <row r="5775" spans="1:14" x14ac:dyDescent="0.25">
      <c r="A5775">
        <v>62338413</v>
      </c>
      <c r="B5775" t="s">
        <v>517</v>
      </c>
      <c r="C5775" t="s">
        <v>4609</v>
      </c>
      <c r="D5775" t="s">
        <v>12479</v>
      </c>
      <c r="E5775">
        <v>8706768413</v>
      </c>
      <c r="F5775" t="s">
        <v>569</v>
      </c>
      <c r="G5775" t="s">
        <v>570</v>
      </c>
      <c r="I5775" t="s">
        <v>34</v>
      </c>
      <c r="J5775" s="13">
        <v>46108</v>
      </c>
      <c r="K5775" s="13">
        <v>46113</v>
      </c>
      <c r="L5775" t="s">
        <v>490</v>
      </c>
      <c r="M5775" t="s">
        <v>56</v>
      </c>
      <c r="N5775">
        <v>76356972</v>
      </c>
    </row>
    <row r="5776" spans="1:14" x14ac:dyDescent="0.25">
      <c r="A5776">
        <v>62339394</v>
      </c>
      <c r="B5776" t="s">
        <v>1038</v>
      </c>
      <c r="C5776" t="s">
        <v>12480</v>
      </c>
      <c r="D5776" t="s">
        <v>12481</v>
      </c>
      <c r="E5776">
        <v>2517692773</v>
      </c>
      <c r="F5776" t="s">
        <v>928</v>
      </c>
      <c r="G5776" t="s">
        <v>929</v>
      </c>
      <c r="I5776" t="s">
        <v>30</v>
      </c>
      <c r="J5776" s="13">
        <v>46108</v>
      </c>
      <c r="K5776" s="13">
        <v>46113</v>
      </c>
      <c r="L5776" t="s">
        <v>603</v>
      </c>
      <c r="M5776" t="s">
        <v>59</v>
      </c>
      <c r="N5776">
        <v>76357863</v>
      </c>
    </row>
    <row r="5777" spans="1:14" x14ac:dyDescent="0.25">
      <c r="A5777">
        <v>62340290</v>
      </c>
      <c r="B5777" t="s">
        <v>12482</v>
      </c>
      <c r="C5777" t="s">
        <v>1721</v>
      </c>
      <c r="D5777" t="s">
        <v>12483</v>
      </c>
      <c r="E5777">
        <v>7735581552</v>
      </c>
      <c r="F5777" t="s">
        <v>474</v>
      </c>
      <c r="G5777" t="s">
        <v>475</v>
      </c>
      <c r="I5777" t="s">
        <v>132</v>
      </c>
      <c r="J5777" s="13">
        <v>46108</v>
      </c>
      <c r="K5777" s="13">
        <v>46113</v>
      </c>
      <c r="L5777" t="s">
        <v>470</v>
      </c>
      <c r="M5777" t="s">
        <v>62</v>
      </c>
      <c r="N5777">
        <v>76358282</v>
      </c>
    </row>
    <row r="5778" spans="1:14" x14ac:dyDescent="0.25">
      <c r="A5778">
        <v>62338739</v>
      </c>
      <c r="B5778" t="s">
        <v>2148</v>
      </c>
      <c r="C5778" t="s">
        <v>4609</v>
      </c>
      <c r="E5778" t="s">
        <v>12484</v>
      </c>
      <c r="F5778" t="s">
        <v>569</v>
      </c>
      <c r="G5778" t="s">
        <v>570</v>
      </c>
      <c r="I5778" t="s">
        <v>34</v>
      </c>
      <c r="J5778" s="13">
        <v>46108</v>
      </c>
      <c r="K5778" s="13">
        <v>46113</v>
      </c>
      <c r="L5778" t="s">
        <v>490</v>
      </c>
      <c r="M5778" t="s">
        <v>56</v>
      </c>
      <c r="N5778">
        <v>76358769</v>
      </c>
    </row>
    <row r="5779" spans="1:14" x14ac:dyDescent="0.25">
      <c r="A5779">
        <v>62342226</v>
      </c>
      <c r="B5779" t="s">
        <v>1658</v>
      </c>
      <c r="C5779" t="s">
        <v>2215</v>
      </c>
      <c r="D5779" t="s">
        <v>12485</v>
      </c>
      <c r="E5779" t="s">
        <v>12486</v>
      </c>
      <c r="F5779" t="s">
        <v>569</v>
      </c>
      <c r="G5779" t="s">
        <v>570</v>
      </c>
      <c r="I5779" t="s">
        <v>34</v>
      </c>
      <c r="J5779" s="13">
        <v>46108</v>
      </c>
      <c r="K5779" s="13">
        <v>46113</v>
      </c>
      <c r="L5779" t="s">
        <v>479</v>
      </c>
      <c r="M5779" t="s">
        <v>56</v>
      </c>
      <c r="N5779">
        <v>76358811</v>
      </c>
    </row>
    <row r="5780" spans="1:14" x14ac:dyDescent="0.25">
      <c r="A5780">
        <v>62345459</v>
      </c>
      <c r="B5780" t="s">
        <v>12487</v>
      </c>
      <c r="C5780" t="s">
        <v>12488</v>
      </c>
      <c r="D5780" t="s">
        <v>12489</v>
      </c>
      <c r="E5780">
        <v>3175405686</v>
      </c>
      <c r="F5780" t="s">
        <v>10253</v>
      </c>
      <c r="G5780" t="s">
        <v>781</v>
      </c>
      <c r="I5780" t="s">
        <v>36</v>
      </c>
      <c r="J5780" s="13">
        <v>46108</v>
      </c>
      <c r="K5780" s="13">
        <v>46113</v>
      </c>
      <c r="L5780" t="s">
        <v>440</v>
      </c>
      <c r="M5780" t="s">
        <v>59</v>
      </c>
      <c r="N5780">
        <v>76360476</v>
      </c>
    </row>
    <row r="5781" spans="1:14" x14ac:dyDescent="0.25">
      <c r="A5781">
        <v>62340833</v>
      </c>
      <c r="B5781" t="s">
        <v>5687</v>
      </c>
      <c r="C5781" t="s">
        <v>12490</v>
      </c>
      <c r="D5781" t="s">
        <v>12491</v>
      </c>
      <c r="E5781">
        <v>2075773650</v>
      </c>
      <c r="F5781" t="s">
        <v>928</v>
      </c>
      <c r="G5781" t="s">
        <v>929</v>
      </c>
      <c r="I5781" t="s">
        <v>30</v>
      </c>
      <c r="J5781" s="13">
        <v>46108</v>
      </c>
      <c r="K5781" s="13">
        <v>46113</v>
      </c>
      <c r="L5781" t="s">
        <v>941</v>
      </c>
      <c r="M5781" t="s">
        <v>56</v>
      </c>
      <c r="N5781">
        <v>76360724</v>
      </c>
    </row>
    <row r="5782" spans="1:14" x14ac:dyDescent="0.25">
      <c r="A5782">
        <v>62345888</v>
      </c>
      <c r="B5782" t="s">
        <v>11121</v>
      </c>
      <c r="C5782" t="s">
        <v>11181</v>
      </c>
      <c r="D5782" t="s">
        <v>12492</v>
      </c>
      <c r="E5782">
        <v>5202723204</v>
      </c>
      <c r="F5782" t="s">
        <v>1345</v>
      </c>
      <c r="G5782" t="s">
        <v>799</v>
      </c>
      <c r="I5782" t="s">
        <v>47</v>
      </c>
      <c r="J5782" s="13">
        <v>46108</v>
      </c>
      <c r="K5782" s="13">
        <v>46113</v>
      </c>
      <c r="L5782" t="s">
        <v>1179</v>
      </c>
      <c r="M5782" t="s">
        <v>54</v>
      </c>
      <c r="N5782">
        <v>76363778</v>
      </c>
    </row>
    <row r="5783" spans="1:14" x14ac:dyDescent="0.25">
      <c r="A5783">
        <v>62343346</v>
      </c>
      <c r="B5783" t="s">
        <v>672</v>
      </c>
      <c r="C5783" t="s">
        <v>4048</v>
      </c>
      <c r="D5783" t="s">
        <v>12493</v>
      </c>
      <c r="E5783">
        <v>6025036478</v>
      </c>
      <c r="F5783" t="s">
        <v>448</v>
      </c>
      <c r="G5783" t="s">
        <v>449</v>
      </c>
      <c r="I5783" t="s">
        <v>31</v>
      </c>
      <c r="J5783" s="13">
        <v>46108</v>
      </c>
      <c r="K5783" s="13">
        <v>46113</v>
      </c>
      <c r="L5783" t="s">
        <v>1179</v>
      </c>
      <c r="M5783" t="s">
        <v>55</v>
      </c>
      <c r="N5783">
        <v>76364665</v>
      </c>
    </row>
    <row r="5784" spans="1:14" x14ac:dyDescent="0.25">
      <c r="A5784">
        <v>62346441</v>
      </c>
      <c r="B5784" t="s">
        <v>1784</v>
      </c>
      <c r="C5784" t="s">
        <v>12494</v>
      </c>
      <c r="D5784" t="s">
        <v>12495</v>
      </c>
      <c r="E5784">
        <v>7084907277</v>
      </c>
      <c r="F5784" t="s">
        <v>649</v>
      </c>
      <c r="G5784" t="s">
        <v>650</v>
      </c>
      <c r="I5784" t="s">
        <v>28</v>
      </c>
      <c r="J5784" s="13">
        <v>46108</v>
      </c>
      <c r="K5784" s="13">
        <v>46113</v>
      </c>
      <c r="L5784" t="s">
        <v>470</v>
      </c>
      <c r="M5784" t="s">
        <v>59</v>
      </c>
      <c r="N5784">
        <v>76366043</v>
      </c>
    </row>
    <row r="5785" spans="1:14" x14ac:dyDescent="0.25">
      <c r="A5785">
        <v>62346208</v>
      </c>
      <c r="B5785" t="s">
        <v>2128</v>
      </c>
      <c r="C5785" t="s">
        <v>12496</v>
      </c>
      <c r="D5785" t="s">
        <v>12497</v>
      </c>
      <c r="E5785">
        <v>3175998892</v>
      </c>
      <c r="F5785" t="s">
        <v>2544</v>
      </c>
      <c r="G5785" t="s">
        <v>4833</v>
      </c>
      <c r="I5785" t="s">
        <v>18</v>
      </c>
      <c r="J5785" s="13">
        <v>46108</v>
      </c>
      <c r="K5785" s="13">
        <v>46113</v>
      </c>
      <c r="L5785" t="s">
        <v>440</v>
      </c>
      <c r="M5785" t="s">
        <v>59</v>
      </c>
      <c r="N5785">
        <v>76366705</v>
      </c>
    </row>
    <row r="5786" spans="1:14" x14ac:dyDescent="0.25">
      <c r="A5786">
        <v>62347929</v>
      </c>
      <c r="B5786" t="s">
        <v>9107</v>
      </c>
      <c r="C5786" t="s">
        <v>6312</v>
      </c>
      <c r="D5786" t="s">
        <v>12498</v>
      </c>
      <c r="E5786">
        <v>6028938094</v>
      </c>
      <c r="F5786" t="s">
        <v>688</v>
      </c>
      <c r="G5786" t="s">
        <v>10291</v>
      </c>
      <c r="I5786" t="s">
        <v>48</v>
      </c>
      <c r="J5786" s="13">
        <v>46108</v>
      </c>
      <c r="K5786" s="13">
        <v>46113</v>
      </c>
      <c r="L5786" t="s">
        <v>1179</v>
      </c>
      <c r="M5786" t="s">
        <v>419</v>
      </c>
      <c r="N5786">
        <v>76367297</v>
      </c>
    </row>
    <row r="5787" spans="1:14" x14ac:dyDescent="0.25">
      <c r="A5787">
        <v>62346604</v>
      </c>
      <c r="B5787" t="s">
        <v>12499</v>
      </c>
      <c r="C5787" t="s">
        <v>10083</v>
      </c>
      <c r="D5787" t="s">
        <v>12500</v>
      </c>
      <c r="E5787" t="s">
        <v>12501</v>
      </c>
      <c r="F5787" t="s">
        <v>8440</v>
      </c>
      <c r="G5787" t="s">
        <v>12267</v>
      </c>
      <c r="I5787" t="s">
        <v>12268</v>
      </c>
      <c r="J5787" s="13">
        <v>46108</v>
      </c>
      <c r="K5787" s="13">
        <v>46113</v>
      </c>
      <c r="L5787" t="s">
        <v>490</v>
      </c>
      <c r="M5787" t="s">
        <v>59</v>
      </c>
      <c r="N5787">
        <v>76367879</v>
      </c>
    </row>
    <row r="5788" spans="1:14" x14ac:dyDescent="0.25">
      <c r="A5788">
        <v>62347552</v>
      </c>
      <c r="B5788" t="s">
        <v>4607</v>
      </c>
      <c r="C5788" t="s">
        <v>429</v>
      </c>
      <c r="D5788" t="s">
        <v>12502</v>
      </c>
      <c r="E5788">
        <v>6152005772</v>
      </c>
      <c r="F5788" t="s">
        <v>10460</v>
      </c>
      <c r="G5788" t="s">
        <v>6663</v>
      </c>
      <c r="I5788" t="s">
        <v>40</v>
      </c>
      <c r="J5788" s="13">
        <v>46108</v>
      </c>
      <c r="K5788" s="13">
        <v>46113</v>
      </c>
      <c r="L5788" t="s">
        <v>479</v>
      </c>
      <c r="M5788" t="s">
        <v>62</v>
      </c>
      <c r="N5788">
        <v>76368990</v>
      </c>
    </row>
    <row r="5789" spans="1:14" x14ac:dyDescent="0.25">
      <c r="A5789">
        <v>62346315</v>
      </c>
      <c r="B5789" t="s">
        <v>593</v>
      </c>
      <c r="C5789" t="s">
        <v>4396</v>
      </c>
      <c r="D5789" t="s">
        <v>12503</v>
      </c>
      <c r="E5789">
        <v>8723557014</v>
      </c>
      <c r="F5789" t="s">
        <v>474</v>
      </c>
      <c r="G5789" t="s">
        <v>475</v>
      </c>
      <c r="I5789" t="s">
        <v>132</v>
      </c>
      <c r="J5789" s="13">
        <v>46108</v>
      </c>
      <c r="K5789" s="13">
        <v>46113</v>
      </c>
      <c r="L5789" t="s">
        <v>470</v>
      </c>
      <c r="M5789" t="s">
        <v>62</v>
      </c>
      <c r="N5789">
        <v>76369237</v>
      </c>
    </row>
    <row r="5790" spans="1:14" x14ac:dyDescent="0.25">
      <c r="A5790">
        <v>62348199</v>
      </c>
      <c r="B5790" t="s">
        <v>12504</v>
      </c>
      <c r="C5790" t="s">
        <v>12505</v>
      </c>
      <c r="D5790" t="s">
        <v>12506</v>
      </c>
      <c r="E5790">
        <v>7272943753</v>
      </c>
      <c r="F5790" t="s">
        <v>828</v>
      </c>
      <c r="G5790" t="s">
        <v>1148</v>
      </c>
      <c r="I5790" t="s">
        <v>17</v>
      </c>
      <c r="J5790" s="13">
        <v>46108</v>
      </c>
      <c r="K5790" s="13">
        <v>46113</v>
      </c>
      <c r="L5790" t="s">
        <v>497</v>
      </c>
      <c r="M5790" t="s">
        <v>59</v>
      </c>
      <c r="N5790">
        <v>76369249</v>
      </c>
    </row>
    <row r="5791" spans="1:14" x14ac:dyDescent="0.25">
      <c r="A5791">
        <v>62347721</v>
      </c>
      <c r="B5791" t="s">
        <v>1784</v>
      </c>
      <c r="C5791" t="s">
        <v>12507</v>
      </c>
      <c r="D5791" t="s">
        <v>12508</v>
      </c>
      <c r="E5791">
        <v>9282055258</v>
      </c>
      <c r="F5791" t="s">
        <v>1612</v>
      </c>
      <c r="G5791" t="s">
        <v>4811</v>
      </c>
      <c r="I5791" t="s">
        <v>322</v>
      </c>
      <c r="J5791" s="13">
        <v>46108</v>
      </c>
      <c r="K5791" s="13">
        <v>46113</v>
      </c>
      <c r="L5791" t="s">
        <v>1179</v>
      </c>
      <c r="M5791" t="s">
        <v>58</v>
      </c>
      <c r="N5791">
        <v>76369540</v>
      </c>
    </row>
    <row r="5792" spans="1:14" x14ac:dyDescent="0.25">
      <c r="A5792">
        <v>62347524</v>
      </c>
      <c r="B5792" t="s">
        <v>9590</v>
      </c>
      <c r="C5792" t="s">
        <v>12509</v>
      </c>
      <c r="D5792" t="s">
        <v>12510</v>
      </c>
      <c r="E5792" t="s">
        <v>12511</v>
      </c>
      <c r="F5792" t="s">
        <v>807</v>
      </c>
      <c r="G5792" t="s">
        <v>808</v>
      </c>
      <c r="I5792" t="s">
        <v>33</v>
      </c>
      <c r="J5792" s="13">
        <v>46108</v>
      </c>
      <c r="K5792" s="13">
        <v>46113</v>
      </c>
      <c r="L5792" t="s">
        <v>1179</v>
      </c>
      <c r="M5792" t="s">
        <v>54</v>
      </c>
      <c r="N5792">
        <v>76369703</v>
      </c>
    </row>
    <row r="5793" spans="1:14" x14ac:dyDescent="0.25">
      <c r="A5793">
        <v>62348096</v>
      </c>
      <c r="B5793" t="s">
        <v>1160</v>
      </c>
      <c r="C5793" t="s">
        <v>9967</v>
      </c>
      <c r="E5793">
        <v>5738192494</v>
      </c>
      <c r="F5793" t="s">
        <v>10591</v>
      </c>
      <c r="G5793" t="s">
        <v>10215</v>
      </c>
      <c r="I5793" t="s">
        <v>32</v>
      </c>
      <c r="J5793" s="13">
        <v>46108</v>
      </c>
      <c r="K5793" s="13">
        <v>46113</v>
      </c>
      <c r="L5793" t="s">
        <v>479</v>
      </c>
      <c r="M5793" t="s">
        <v>62</v>
      </c>
      <c r="N5793">
        <v>76369989</v>
      </c>
    </row>
    <row r="5794" spans="1:14" x14ac:dyDescent="0.25">
      <c r="A5794">
        <v>62348347</v>
      </c>
      <c r="B5794" t="s">
        <v>12512</v>
      </c>
      <c r="C5794" t="s">
        <v>12513</v>
      </c>
      <c r="D5794" t="s">
        <v>12514</v>
      </c>
      <c r="E5794">
        <v>8479517515</v>
      </c>
      <c r="F5794" t="s">
        <v>649</v>
      </c>
      <c r="G5794" t="s">
        <v>650</v>
      </c>
      <c r="I5794" t="s">
        <v>28</v>
      </c>
      <c r="J5794" s="13">
        <v>46108</v>
      </c>
      <c r="K5794" s="13">
        <v>46113</v>
      </c>
      <c r="L5794" t="s">
        <v>470</v>
      </c>
      <c r="M5794" t="s">
        <v>62</v>
      </c>
      <c r="N5794">
        <v>76370228</v>
      </c>
    </row>
    <row r="5795" spans="1:14" x14ac:dyDescent="0.25">
      <c r="A5795">
        <v>62348317</v>
      </c>
      <c r="B5795" t="s">
        <v>1185</v>
      </c>
      <c r="C5795" t="s">
        <v>12515</v>
      </c>
      <c r="D5795" t="s">
        <v>12516</v>
      </c>
      <c r="E5795">
        <v>7276213630</v>
      </c>
      <c r="F5795" t="s">
        <v>1345</v>
      </c>
      <c r="G5795" t="s">
        <v>799</v>
      </c>
      <c r="I5795" t="s">
        <v>47</v>
      </c>
      <c r="J5795" s="13">
        <v>46108</v>
      </c>
      <c r="K5795" s="13">
        <v>46113</v>
      </c>
      <c r="L5795" t="s">
        <v>497</v>
      </c>
      <c r="M5795" t="s">
        <v>56</v>
      </c>
      <c r="N5795">
        <v>76370439</v>
      </c>
    </row>
    <row r="5796" spans="1:14" x14ac:dyDescent="0.25">
      <c r="A5796">
        <v>62357963</v>
      </c>
      <c r="B5796" t="s">
        <v>3443</v>
      </c>
      <c r="C5796" t="s">
        <v>12517</v>
      </c>
      <c r="D5796" t="s">
        <v>12518</v>
      </c>
      <c r="E5796">
        <v>8163347780</v>
      </c>
      <c r="F5796" t="s">
        <v>828</v>
      </c>
      <c r="G5796" t="s">
        <v>1148</v>
      </c>
      <c r="I5796" t="s">
        <v>17</v>
      </c>
      <c r="J5796" s="13">
        <v>46111</v>
      </c>
      <c r="K5796" s="13">
        <v>46113</v>
      </c>
      <c r="L5796" t="s">
        <v>434</v>
      </c>
      <c r="M5796" t="s">
        <v>59</v>
      </c>
      <c r="N5796">
        <v>76399750</v>
      </c>
    </row>
    <row r="5797" spans="1:14" x14ac:dyDescent="0.25">
      <c r="A5797">
        <v>62355253</v>
      </c>
      <c r="B5797" t="s">
        <v>12519</v>
      </c>
      <c r="C5797" t="s">
        <v>12520</v>
      </c>
      <c r="D5797" t="s">
        <v>12521</v>
      </c>
      <c r="E5797">
        <v>3124147431</v>
      </c>
      <c r="F5797" t="s">
        <v>474</v>
      </c>
      <c r="G5797" t="s">
        <v>475</v>
      </c>
      <c r="I5797" t="s">
        <v>132</v>
      </c>
      <c r="J5797" s="13">
        <v>46111</v>
      </c>
      <c r="K5797" s="13">
        <v>46113</v>
      </c>
      <c r="L5797" t="s">
        <v>470</v>
      </c>
      <c r="M5797" t="s">
        <v>62</v>
      </c>
      <c r="N5797">
        <v>76400387</v>
      </c>
    </row>
    <row r="5798" spans="1:14" x14ac:dyDescent="0.25">
      <c r="A5798">
        <v>62356040</v>
      </c>
      <c r="B5798" t="s">
        <v>12470</v>
      </c>
      <c r="C5798" t="s">
        <v>7293</v>
      </c>
      <c r="D5798" t="s">
        <v>12522</v>
      </c>
      <c r="E5798">
        <v>3123169237</v>
      </c>
      <c r="F5798" t="s">
        <v>10569</v>
      </c>
      <c r="G5798" t="s">
        <v>10570</v>
      </c>
      <c r="I5798" t="s">
        <v>29</v>
      </c>
      <c r="J5798" s="13">
        <v>46111</v>
      </c>
      <c r="K5798" s="13">
        <v>46113</v>
      </c>
      <c r="L5798" t="s">
        <v>470</v>
      </c>
      <c r="M5798" t="s">
        <v>62</v>
      </c>
      <c r="N5798">
        <v>76400783</v>
      </c>
    </row>
    <row r="5799" spans="1:14" x14ac:dyDescent="0.25">
      <c r="A5799">
        <v>62356820</v>
      </c>
      <c r="B5799" t="s">
        <v>445</v>
      </c>
      <c r="C5799" t="s">
        <v>12523</v>
      </c>
      <c r="D5799" t="s">
        <v>12524</v>
      </c>
      <c r="E5799">
        <v>6303129321</v>
      </c>
      <c r="F5799" t="s">
        <v>705</v>
      </c>
      <c r="G5799" t="s">
        <v>706</v>
      </c>
      <c r="I5799" t="s">
        <v>12</v>
      </c>
      <c r="J5799" s="13">
        <v>46111</v>
      </c>
      <c r="K5799" s="13">
        <v>46113</v>
      </c>
      <c r="L5799" t="s">
        <v>470</v>
      </c>
      <c r="M5799" t="s">
        <v>62</v>
      </c>
      <c r="N5799">
        <v>76401869</v>
      </c>
    </row>
    <row r="5800" spans="1:14" x14ac:dyDescent="0.25">
      <c r="A5800">
        <v>62359780</v>
      </c>
      <c r="B5800" t="s">
        <v>12525</v>
      </c>
      <c r="C5800" t="s">
        <v>12526</v>
      </c>
      <c r="D5800" t="s">
        <v>12527</v>
      </c>
      <c r="E5800">
        <v>2163133198</v>
      </c>
      <c r="F5800" t="s">
        <v>10253</v>
      </c>
      <c r="G5800" t="s">
        <v>781</v>
      </c>
      <c r="I5800" t="s">
        <v>36</v>
      </c>
      <c r="J5800" s="13">
        <v>46111</v>
      </c>
      <c r="K5800" s="13">
        <v>46113</v>
      </c>
      <c r="L5800" t="s">
        <v>418</v>
      </c>
      <c r="M5800" t="s">
        <v>58</v>
      </c>
      <c r="N5800">
        <v>76402223</v>
      </c>
    </row>
    <row r="5801" spans="1:14" x14ac:dyDescent="0.25">
      <c r="A5801">
        <v>62358041</v>
      </c>
      <c r="B5801" t="s">
        <v>4480</v>
      </c>
      <c r="C5801" t="s">
        <v>5178</v>
      </c>
      <c r="D5801" t="s">
        <v>12528</v>
      </c>
      <c r="E5801">
        <v>2169521907</v>
      </c>
      <c r="F5801" t="s">
        <v>2544</v>
      </c>
      <c r="G5801" t="s">
        <v>4833</v>
      </c>
      <c r="I5801" t="s">
        <v>18</v>
      </c>
      <c r="J5801" s="13">
        <v>46111</v>
      </c>
      <c r="K5801" s="13">
        <v>46113</v>
      </c>
      <c r="L5801" t="s">
        <v>418</v>
      </c>
      <c r="M5801" t="s">
        <v>59</v>
      </c>
      <c r="N5801">
        <v>76402375</v>
      </c>
    </row>
    <row r="5802" spans="1:14" x14ac:dyDescent="0.25">
      <c r="A5802">
        <v>62359570</v>
      </c>
      <c r="B5802" t="s">
        <v>2681</v>
      </c>
      <c r="C5802" t="s">
        <v>12529</v>
      </c>
      <c r="D5802" t="s">
        <v>12530</v>
      </c>
      <c r="E5802" t="s">
        <v>12531</v>
      </c>
      <c r="F5802" t="s">
        <v>569</v>
      </c>
      <c r="G5802" t="s">
        <v>570</v>
      </c>
      <c r="I5802" t="s">
        <v>34</v>
      </c>
      <c r="J5802" s="13">
        <v>46111</v>
      </c>
      <c r="K5802" s="13">
        <v>46113</v>
      </c>
      <c r="L5802" t="s">
        <v>418</v>
      </c>
      <c r="M5802" t="s">
        <v>56</v>
      </c>
      <c r="N5802">
        <v>76405800</v>
      </c>
    </row>
    <row r="5803" spans="1:14" x14ac:dyDescent="0.25">
      <c r="A5803">
        <v>62359722</v>
      </c>
      <c r="B5803" t="s">
        <v>12532</v>
      </c>
      <c r="C5803" t="s">
        <v>12533</v>
      </c>
      <c r="D5803" t="s">
        <v>12534</v>
      </c>
      <c r="E5803">
        <v>8652658472</v>
      </c>
      <c r="F5803" t="s">
        <v>574</v>
      </c>
      <c r="G5803" t="s">
        <v>575</v>
      </c>
      <c r="I5803" t="s">
        <v>14</v>
      </c>
      <c r="J5803" s="13">
        <v>46111</v>
      </c>
      <c r="K5803" s="13">
        <v>46113</v>
      </c>
      <c r="L5803" t="s">
        <v>479</v>
      </c>
      <c r="M5803" t="s">
        <v>59</v>
      </c>
      <c r="N5803">
        <v>76406730</v>
      </c>
    </row>
    <row r="5804" spans="1:14" x14ac:dyDescent="0.25">
      <c r="A5804">
        <v>62359508</v>
      </c>
      <c r="B5804" t="s">
        <v>867</v>
      </c>
      <c r="C5804" t="s">
        <v>12535</v>
      </c>
      <c r="D5804" t="s">
        <v>12536</v>
      </c>
      <c r="E5804">
        <v>8594153900</v>
      </c>
      <c r="F5804" t="s">
        <v>10460</v>
      </c>
      <c r="G5804" t="s">
        <v>6663</v>
      </c>
      <c r="I5804" t="s">
        <v>40</v>
      </c>
      <c r="J5804" s="13">
        <v>46111</v>
      </c>
      <c r="K5804" s="13">
        <v>46113</v>
      </c>
      <c r="L5804" t="s">
        <v>490</v>
      </c>
      <c r="M5804" t="s">
        <v>59</v>
      </c>
      <c r="N5804">
        <v>76409454</v>
      </c>
    </row>
    <row r="5805" spans="1:14" x14ac:dyDescent="0.25">
      <c r="A5805">
        <v>62361829</v>
      </c>
      <c r="B5805" t="s">
        <v>12537</v>
      </c>
      <c r="C5805" t="s">
        <v>12538</v>
      </c>
      <c r="D5805" t="s">
        <v>12539</v>
      </c>
      <c r="E5805">
        <v>6308049981</v>
      </c>
      <c r="F5805" t="s">
        <v>649</v>
      </c>
      <c r="G5805" t="s">
        <v>650</v>
      </c>
      <c r="I5805" t="s">
        <v>28</v>
      </c>
      <c r="J5805" s="13">
        <v>46111</v>
      </c>
      <c r="K5805" s="13">
        <v>46113</v>
      </c>
      <c r="L5805" t="s">
        <v>470</v>
      </c>
      <c r="M5805" t="s">
        <v>59</v>
      </c>
      <c r="N5805">
        <v>76409563</v>
      </c>
    </row>
    <row r="5806" spans="1:14" x14ac:dyDescent="0.25">
      <c r="A5806">
        <v>62362003</v>
      </c>
      <c r="B5806" t="s">
        <v>3754</v>
      </c>
      <c r="C5806" t="s">
        <v>2780</v>
      </c>
      <c r="D5806" t="s">
        <v>12540</v>
      </c>
      <c r="E5806">
        <v>4807034609</v>
      </c>
      <c r="F5806" t="s">
        <v>807</v>
      </c>
      <c r="G5806" t="s">
        <v>808</v>
      </c>
      <c r="I5806" t="s">
        <v>33</v>
      </c>
      <c r="J5806" s="13">
        <v>46111</v>
      </c>
      <c r="K5806" s="13">
        <v>46113</v>
      </c>
      <c r="L5806" t="s">
        <v>1179</v>
      </c>
      <c r="M5806" t="s">
        <v>59</v>
      </c>
      <c r="N5806">
        <v>76409845</v>
      </c>
    </row>
    <row r="5807" spans="1:14" x14ac:dyDescent="0.25">
      <c r="A5807">
        <v>62362812</v>
      </c>
      <c r="B5807" t="s">
        <v>12541</v>
      </c>
      <c r="C5807" t="s">
        <v>3030</v>
      </c>
      <c r="D5807" t="s">
        <v>12542</v>
      </c>
      <c r="E5807">
        <v>6026997048</v>
      </c>
      <c r="F5807" t="s">
        <v>770</v>
      </c>
      <c r="G5807" t="s">
        <v>771</v>
      </c>
      <c r="I5807" t="s">
        <v>25</v>
      </c>
      <c r="J5807" s="13">
        <v>46111</v>
      </c>
      <c r="K5807" s="13">
        <v>46113</v>
      </c>
      <c r="L5807" t="s">
        <v>1179</v>
      </c>
      <c r="M5807" t="s">
        <v>54</v>
      </c>
      <c r="N5807">
        <v>76411401</v>
      </c>
    </row>
    <row r="5808" spans="1:14" x14ac:dyDescent="0.25">
      <c r="A5808">
        <v>62362471</v>
      </c>
      <c r="B5808" t="s">
        <v>12543</v>
      </c>
      <c r="C5808" t="s">
        <v>643</v>
      </c>
      <c r="D5808" t="s">
        <v>12544</v>
      </c>
      <c r="E5808">
        <v>2163708249</v>
      </c>
      <c r="F5808" t="s">
        <v>2544</v>
      </c>
      <c r="G5808" t="s">
        <v>4833</v>
      </c>
      <c r="I5808" t="s">
        <v>18</v>
      </c>
      <c r="J5808" s="13">
        <v>46111</v>
      </c>
      <c r="K5808" s="13">
        <v>46113</v>
      </c>
      <c r="L5808" t="s">
        <v>418</v>
      </c>
      <c r="M5808" t="s">
        <v>62</v>
      </c>
      <c r="N5808">
        <v>76417844</v>
      </c>
    </row>
    <row r="5809" spans="1:14" x14ac:dyDescent="0.25">
      <c r="A5809">
        <v>62393891</v>
      </c>
      <c r="B5809" t="s">
        <v>4614</v>
      </c>
      <c r="C5809" t="s">
        <v>4622</v>
      </c>
      <c r="D5809" t="s">
        <v>12545</v>
      </c>
      <c r="E5809">
        <v>3136200132</v>
      </c>
      <c r="F5809" t="s">
        <v>10591</v>
      </c>
      <c r="G5809" t="s">
        <v>10215</v>
      </c>
      <c r="I5809" t="s">
        <v>32</v>
      </c>
      <c r="J5809" s="13">
        <v>46112</v>
      </c>
      <c r="K5809" s="13">
        <v>46113</v>
      </c>
      <c r="L5809" t="s">
        <v>8329</v>
      </c>
      <c r="M5809" t="s">
        <v>62</v>
      </c>
      <c r="N5809">
        <v>76418042</v>
      </c>
    </row>
    <row r="5810" spans="1:14" x14ac:dyDescent="0.25">
      <c r="A5810">
        <v>62361981</v>
      </c>
      <c r="B5810" t="s">
        <v>12546</v>
      </c>
      <c r="C5810" t="s">
        <v>12547</v>
      </c>
      <c r="D5810" t="s">
        <v>12548</v>
      </c>
      <c r="E5810">
        <v>7734548689</v>
      </c>
      <c r="F5810" t="s">
        <v>474</v>
      </c>
      <c r="G5810" t="s">
        <v>475</v>
      </c>
      <c r="I5810" t="s">
        <v>132</v>
      </c>
      <c r="J5810" s="13">
        <v>46111</v>
      </c>
      <c r="K5810" s="13">
        <v>46113</v>
      </c>
      <c r="L5810" t="s">
        <v>470</v>
      </c>
      <c r="M5810" t="s">
        <v>62</v>
      </c>
      <c r="N5810">
        <v>76420992</v>
      </c>
    </row>
    <row r="5811" spans="1:14" x14ac:dyDescent="0.25">
      <c r="A5811">
        <v>62364585</v>
      </c>
      <c r="B5811" t="s">
        <v>12549</v>
      </c>
      <c r="C5811" t="s">
        <v>1676</v>
      </c>
      <c r="D5811" t="s">
        <v>12550</v>
      </c>
      <c r="E5811">
        <v>8035143595</v>
      </c>
      <c r="F5811" t="s">
        <v>2544</v>
      </c>
      <c r="G5811" t="s">
        <v>12389</v>
      </c>
      <c r="I5811" t="s">
        <v>12390</v>
      </c>
      <c r="J5811" s="13">
        <v>46111</v>
      </c>
      <c r="K5811" s="13">
        <v>46113</v>
      </c>
      <c r="L5811" t="s">
        <v>533</v>
      </c>
      <c r="M5811" t="s">
        <v>58</v>
      </c>
      <c r="N5811">
        <v>76424999</v>
      </c>
    </row>
    <row r="5812" spans="1:14" x14ac:dyDescent="0.25">
      <c r="A5812">
        <v>62365029</v>
      </c>
      <c r="B5812" t="s">
        <v>4374</v>
      </c>
      <c r="C5812" t="s">
        <v>12551</v>
      </c>
      <c r="D5812" t="s">
        <v>12552</v>
      </c>
      <c r="E5812">
        <v>3038804921</v>
      </c>
      <c r="F5812" t="s">
        <v>11776</v>
      </c>
      <c r="G5812" t="s">
        <v>3895</v>
      </c>
      <c r="H5812" t="s">
        <v>11777</v>
      </c>
      <c r="I5812" t="s">
        <v>11778</v>
      </c>
      <c r="J5812" s="13">
        <v>46111</v>
      </c>
      <c r="K5812" s="13">
        <v>46113</v>
      </c>
      <c r="L5812" t="s">
        <v>539</v>
      </c>
      <c r="M5812" t="s">
        <v>58</v>
      </c>
      <c r="N5812">
        <v>76428242</v>
      </c>
    </row>
    <row r="5813" spans="1:14" x14ac:dyDescent="0.25">
      <c r="A5813">
        <v>62364465</v>
      </c>
      <c r="B5813" t="s">
        <v>3548</v>
      </c>
      <c r="C5813" t="s">
        <v>12553</v>
      </c>
      <c r="D5813" t="s">
        <v>12554</v>
      </c>
      <c r="E5813">
        <v>2526551676</v>
      </c>
      <c r="F5813" t="s">
        <v>928</v>
      </c>
      <c r="G5813" t="s">
        <v>929</v>
      </c>
      <c r="I5813" t="s">
        <v>30</v>
      </c>
      <c r="J5813" s="13">
        <v>46111</v>
      </c>
      <c r="K5813" s="13">
        <v>46113</v>
      </c>
      <c r="L5813" t="s">
        <v>603</v>
      </c>
      <c r="M5813" t="s">
        <v>56</v>
      </c>
      <c r="N5813">
        <v>76439837</v>
      </c>
    </row>
    <row r="5814" spans="1:14" x14ac:dyDescent="0.25">
      <c r="A5814">
        <v>62364779</v>
      </c>
      <c r="B5814" t="s">
        <v>12555</v>
      </c>
      <c r="C5814" t="s">
        <v>12556</v>
      </c>
      <c r="D5814" t="s">
        <v>12557</v>
      </c>
      <c r="E5814" t="s">
        <v>12558</v>
      </c>
      <c r="F5814" t="s">
        <v>569</v>
      </c>
      <c r="G5814" t="s">
        <v>570</v>
      </c>
      <c r="I5814" t="s">
        <v>34</v>
      </c>
      <c r="J5814" s="13">
        <v>46111</v>
      </c>
      <c r="K5814" s="13">
        <v>46113</v>
      </c>
      <c r="L5814" t="s">
        <v>497</v>
      </c>
      <c r="M5814" t="s">
        <v>54</v>
      </c>
      <c r="N5814">
        <v>76440667</v>
      </c>
    </row>
    <row r="5815" spans="1:14" x14ac:dyDescent="0.25">
      <c r="A5815">
        <v>62367147</v>
      </c>
      <c r="B5815" t="s">
        <v>431</v>
      </c>
      <c r="C5815" t="s">
        <v>12559</v>
      </c>
      <c r="D5815" t="s">
        <v>12560</v>
      </c>
      <c r="E5815">
        <v>8476369955</v>
      </c>
      <c r="F5815" t="s">
        <v>649</v>
      </c>
      <c r="G5815" t="s">
        <v>650</v>
      </c>
      <c r="I5815" t="s">
        <v>28</v>
      </c>
      <c r="J5815" s="13">
        <v>46111</v>
      </c>
      <c r="K5815" s="13">
        <v>46113</v>
      </c>
      <c r="L5815" t="s">
        <v>470</v>
      </c>
      <c r="M5815" t="s">
        <v>55</v>
      </c>
      <c r="N5815">
        <v>76450100</v>
      </c>
    </row>
    <row r="5816" spans="1:14" x14ac:dyDescent="0.25">
      <c r="A5816">
        <v>62364680</v>
      </c>
      <c r="B5816" t="s">
        <v>715</v>
      </c>
      <c r="C5816" t="s">
        <v>6166</v>
      </c>
      <c r="D5816" t="s">
        <v>12561</v>
      </c>
      <c r="E5816">
        <v>7207890029</v>
      </c>
      <c r="F5816" t="s">
        <v>574</v>
      </c>
      <c r="G5816" t="s">
        <v>575</v>
      </c>
      <c r="I5816" t="s">
        <v>14</v>
      </c>
      <c r="J5816" s="13">
        <v>46111</v>
      </c>
      <c r="K5816" s="13">
        <v>46113</v>
      </c>
      <c r="L5816" t="s">
        <v>539</v>
      </c>
      <c r="M5816" t="s">
        <v>56</v>
      </c>
      <c r="N5816">
        <v>76450122</v>
      </c>
    </row>
    <row r="5817" spans="1:14" x14ac:dyDescent="0.25">
      <c r="A5817">
        <v>62369737</v>
      </c>
      <c r="B5817" t="s">
        <v>12562</v>
      </c>
      <c r="C5817" t="s">
        <v>12563</v>
      </c>
      <c r="D5817" t="s">
        <v>12564</v>
      </c>
      <c r="E5817">
        <v>8179711570</v>
      </c>
      <c r="F5817" t="s">
        <v>828</v>
      </c>
      <c r="G5817" t="s">
        <v>1148</v>
      </c>
      <c r="I5817" t="s">
        <v>17</v>
      </c>
      <c r="J5817" s="13">
        <v>46111</v>
      </c>
      <c r="K5817" s="13">
        <v>46113</v>
      </c>
      <c r="L5817" t="s">
        <v>444</v>
      </c>
      <c r="M5817" t="s">
        <v>55</v>
      </c>
      <c r="N5817">
        <v>76450786</v>
      </c>
    </row>
    <row r="5818" spans="1:14" x14ac:dyDescent="0.25">
      <c r="A5818">
        <v>62375580</v>
      </c>
      <c r="B5818" t="s">
        <v>3833</v>
      </c>
      <c r="C5818" t="s">
        <v>3912</v>
      </c>
      <c r="D5818" t="s">
        <v>12565</v>
      </c>
      <c r="E5818">
        <v>2343529102</v>
      </c>
      <c r="F5818" t="s">
        <v>2544</v>
      </c>
      <c r="G5818" t="s">
        <v>4833</v>
      </c>
      <c r="I5818" t="s">
        <v>18</v>
      </c>
      <c r="J5818" s="13">
        <v>46111</v>
      </c>
      <c r="K5818" s="13">
        <v>46113</v>
      </c>
      <c r="L5818" t="s">
        <v>418</v>
      </c>
      <c r="M5818" t="s">
        <v>59</v>
      </c>
      <c r="N5818">
        <v>76451783</v>
      </c>
    </row>
    <row r="5819" spans="1:14" x14ac:dyDescent="0.25">
      <c r="A5819">
        <v>62584637</v>
      </c>
      <c r="B5819" t="s">
        <v>12566</v>
      </c>
      <c r="C5819" t="s">
        <v>4544</v>
      </c>
      <c r="D5819" t="s">
        <v>12567</v>
      </c>
      <c r="E5819">
        <v>2164036522</v>
      </c>
      <c r="F5819" t="s">
        <v>10253</v>
      </c>
      <c r="G5819" t="s">
        <v>781</v>
      </c>
      <c r="I5819" t="s">
        <v>36</v>
      </c>
      <c r="J5819" s="13">
        <v>46120</v>
      </c>
      <c r="K5819" s="13">
        <v>46143</v>
      </c>
      <c r="L5819" t="s">
        <v>418</v>
      </c>
      <c r="M5819" t="s">
        <v>62</v>
      </c>
      <c r="N5819">
        <v>76451835</v>
      </c>
    </row>
    <row r="5820" spans="1:14" x14ac:dyDescent="0.25">
      <c r="A5820">
        <v>62375265</v>
      </c>
      <c r="B5820" t="s">
        <v>7747</v>
      </c>
      <c r="C5820" t="s">
        <v>6111</v>
      </c>
      <c r="D5820" t="s">
        <v>12568</v>
      </c>
      <c r="E5820">
        <v>6232509569</v>
      </c>
      <c r="F5820" t="s">
        <v>416</v>
      </c>
      <c r="G5820" t="s">
        <v>417</v>
      </c>
      <c r="I5820" t="s">
        <v>26</v>
      </c>
      <c r="J5820" s="13">
        <v>46111</v>
      </c>
      <c r="K5820" s="13">
        <v>46113</v>
      </c>
      <c r="L5820" t="s">
        <v>1179</v>
      </c>
      <c r="M5820" t="s">
        <v>54</v>
      </c>
      <c r="N5820">
        <v>76453054</v>
      </c>
    </row>
    <row r="5821" spans="1:14" x14ac:dyDescent="0.25">
      <c r="A5821">
        <v>62376761</v>
      </c>
      <c r="B5821" t="s">
        <v>8595</v>
      </c>
      <c r="C5821" t="s">
        <v>9140</v>
      </c>
      <c r="D5821" t="s">
        <v>12569</v>
      </c>
      <c r="F5821" t="s">
        <v>569</v>
      </c>
      <c r="G5821" t="s">
        <v>570</v>
      </c>
      <c r="I5821" t="s">
        <v>34</v>
      </c>
      <c r="J5821" s="13">
        <v>46111</v>
      </c>
      <c r="K5821" s="13">
        <v>46113</v>
      </c>
      <c r="L5821" t="s">
        <v>497</v>
      </c>
      <c r="M5821" t="s">
        <v>54</v>
      </c>
      <c r="N5821">
        <v>76457443</v>
      </c>
    </row>
    <row r="5822" spans="1:14" x14ac:dyDescent="0.25">
      <c r="A5822">
        <v>62376871</v>
      </c>
      <c r="B5822" t="s">
        <v>6185</v>
      </c>
      <c r="C5822" t="s">
        <v>3384</v>
      </c>
      <c r="D5822" t="s">
        <v>12570</v>
      </c>
      <c r="E5822" t="s">
        <v>12571</v>
      </c>
      <c r="F5822" t="s">
        <v>815</v>
      </c>
      <c r="G5822" t="s">
        <v>816</v>
      </c>
      <c r="I5822" t="s">
        <v>23</v>
      </c>
      <c r="J5822" s="13">
        <v>46111</v>
      </c>
      <c r="K5822" s="13">
        <v>46113</v>
      </c>
      <c r="L5822" t="s">
        <v>490</v>
      </c>
      <c r="M5822" t="s">
        <v>59</v>
      </c>
      <c r="N5822">
        <v>76458290</v>
      </c>
    </row>
    <row r="5823" spans="1:14" x14ac:dyDescent="0.25">
      <c r="A5823">
        <v>62399773</v>
      </c>
      <c r="B5823" t="s">
        <v>812</v>
      </c>
      <c r="C5823" t="s">
        <v>12572</v>
      </c>
      <c r="D5823" t="s">
        <v>12573</v>
      </c>
      <c r="E5823">
        <v>2283632973</v>
      </c>
      <c r="F5823" t="s">
        <v>10460</v>
      </c>
      <c r="G5823" t="s">
        <v>6663</v>
      </c>
      <c r="I5823" t="s">
        <v>40</v>
      </c>
      <c r="J5823" s="13">
        <v>46112</v>
      </c>
      <c r="K5823" s="13">
        <v>46113</v>
      </c>
      <c r="L5823" t="s">
        <v>8329</v>
      </c>
      <c r="M5823" t="s">
        <v>56</v>
      </c>
      <c r="N5823">
        <v>76458727</v>
      </c>
    </row>
    <row r="5824" spans="1:14" x14ac:dyDescent="0.25">
      <c r="A5824">
        <v>62377018</v>
      </c>
      <c r="B5824" t="s">
        <v>7125</v>
      </c>
      <c r="C5824" t="s">
        <v>12574</v>
      </c>
      <c r="D5824" t="s">
        <v>12575</v>
      </c>
      <c r="E5824">
        <v>5204702113</v>
      </c>
      <c r="F5824" t="s">
        <v>11838</v>
      </c>
      <c r="G5824" t="s">
        <v>11839</v>
      </c>
      <c r="I5824" t="s">
        <v>11840</v>
      </c>
      <c r="K5824" s="13">
        <v>46113</v>
      </c>
      <c r="L5824" t="s">
        <v>1179</v>
      </c>
      <c r="M5824" t="s">
        <v>55</v>
      </c>
      <c r="N5824">
        <v>76461835</v>
      </c>
    </row>
    <row r="5825" spans="1:14" x14ac:dyDescent="0.25">
      <c r="A5825">
        <v>62377185</v>
      </c>
      <c r="B5825" t="s">
        <v>3775</v>
      </c>
      <c r="C5825" t="s">
        <v>12576</v>
      </c>
      <c r="D5825" t="s">
        <v>12577</v>
      </c>
      <c r="E5825">
        <v>8175019403</v>
      </c>
      <c r="F5825" t="s">
        <v>828</v>
      </c>
      <c r="G5825" t="s">
        <v>1148</v>
      </c>
      <c r="I5825" t="s">
        <v>17</v>
      </c>
      <c r="J5825" s="13">
        <v>46111</v>
      </c>
      <c r="K5825" s="13">
        <v>46113</v>
      </c>
      <c r="L5825" t="s">
        <v>444</v>
      </c>
      <c r="M5825" t="s">
        <v>56</v>
      </c>
      <c r="N5825">
        <v>76464152</v>
      </c>
    </row>
    <row r="5826" spans="1:14" x14ac:dyDescent="0.25">
      <c r="A5826">
        <v>62377013</v>
      </c>
      <c r="B5826" t="s">
        <v>5329</v>
      </c>
      <c r="C5826" t="s">
        <v>12578</v>
      </c>
      <c r="D5826" t="s">
        <v>12579</v>
      </c>
      <c r="E5826">
        <v>8176170520</v>
      </c>
      <c r="F5826" t="s">
        <v>958</v>
      </c>
      <c r="G5826" t="s">
        <v>12111</v>
      </c>
      <c r="H5826" t="s">
        <v>10816</v>
      </c>
      <c r="I5826" t="s">
        <v>12112</v>
      </c>
      <c r="J5826" s="13">
        <v>46111</v>
      </c>
      <c r="K5826" s="13">
        <v>46113</v>
      </c>
      <c r="L5826" t="s">
        <v>444</v>
      </c>
      <c r="M5826" t="s">
        <v>55</v>
      </c>
      <c r="N5826">
        <v>76464748</v>
      </c>
    </row>
    <row r="5827" spans="1:14" x14ac:dyDescent="0.25">
      <c r="A5827">
        <v>62377016</v>
      </c>
      <c r="B5827" t="s">
        <v>10839</v>
      </c>
      <c r="C5827" t="s">
        <v>12580</v>
      </c>
      <c r="D5827" t="s">
        <v>12581</v>
      </c>
      <c r="E5827">
        <v>4042132629</v>
      </c>
      <c r="F5827" t="s">
        <v>688</v>
      </c>
      <c r="G5827" t="s">
        <v>10291</v>
      </c>
      <c r="I5827" t="s">
        <v>48</v>
      </c>
      <c r="J5827" s="13">
        <v>46111</v>
      </c>
      <c r="K5827" s="13">
        <v>46113</v>
      </c>
      <c r="L5827" t="s">
        <v>621</v>
      </c>
      <c r="M5827" t="s">
        <v>59</v>
      </c>
      <c r="N5827">
        <v>76469045</v>
      </c>
    </row>
    <row r="5828" spans="1:14" x14ac:dyDescent="0.25">
      <c r="A5828">
        <v>62395025</v>
      </c>
      <c r="B5828" t="s">
        <v>517</v>
      </c>
      <c r="C5828" t="s">
        <v>12582</v>
      </c>
      <c r="D5828" t="s">
        <v>12583</v>
      </c>
      <c r="E5828">
        <v>2197980086</v>
      </c>
      <c r="F5828" t="s">
        <v>474</v>
      </c>
      <c r="G5828" t="s">
        <v>475</v>
      </c>
      <c r="I5828" t="s">
        <v>132</v>
      </c>
      <c r="J5828" s="13">
        <v>46112</v>
      </c>
      <c r="K5828" s="13">
        <v>46113</v>
      </c>
      <c r="L5828" t="s">
        <v>440</v>
      </c>
      <c r="M5828" t="s">
        <v>62</v>
      </c>
      <c r="N5828">
        <v>76469263</v>
      </c>
    </row>
    <row r="5829" spans="1:14" x14ac:dyDescent="0.25">
      <c r="A5829">
        <v>62378066</v>
      </c>
      <c r="B5829" t="s">
        <v>7386</v>
      </c>
      <c r="C5829" t="s">
        <v>2544</v>
      </c>
      <c r="D5829" t="s">
        <v>12584</v>
      </c>
      <c r="F5829" t="s">
        <v>10253</v>
      </c>
      <c r="G5829" t="s">
        <v>781</v>
      </c>
      <c r="I5829" t="s">
        <v>36</v>
      </c>
      <c r="J5829" s="13">
        <v>46111</v>
      </c>
      <c r="K5829" s="13">
        <v>46113</v>
      </c>
      <c r="L5829" t="s">
        <v>479</v>
      </c>
      <c r="M5829" t="s">
        <v>62</v>
      </c>
      <c r="N5829">
        <v>76470742</v>
      </c>
    </row>
    <row r="5830" spans="1:14" x14ac:dyDescent="0.25">
      <c r="A5830">
        <v>62377242</v>
      </c>
      <c r="B5830" t="s">
        <v>530</v>
      </c>
      <c r="C5830" t="s">
        <v>522</v>
      </c>
      <c r="D5830" t="s">
        <v>12585</v>
      </c>
      <c r="E5830">
        <v>2193448462</v>
      </c>
      <c r="F5830" t="s">
        <v>10591</v>
      </c>
      <c r="G5830" t="s">
        <v>10215</v>
      </c>
      <c r="I5830" t="s">
        <v>32</v>
      </c>
      <c r="J5830" s="13">
        <v>46111</v>
      </c>
      <c r="K5830" s="13">
        <v>46113</v>
      </c>
      <c r="L5830" t="s">
        <v>440</v>
      </c>
      <c r="M5830" t="s">
        <v>62</v>
      </c>
      <c r="N5830">
        <v>76471005</v>
      </c>
    </row>
    <row r="5831" spans="1:14" x14ac:dyDescent="0.25">
      <c r="A5831">
        <v>62377515</v>
      </c>
      <c r="B5831" t="s">
        <v>12586</v>
      </c>
      <c r="C5831" t="s">
        <v>12587</v>
      </c>
      <c r="D5831" t="s">
        <v>12588</v>
      </c>
      <c r="E5831">
        <v>9705293215</v>
      </c>
      <c r="F5831" t="s">
        <v>1612</v>
      </c>
      <c r="G5831" t="s">
        <v>4811</v>
      </c>
      <c r="I5831" t="s">
        <v>322</v>
      </c>
      <c r="J5831" s="13">
        <v>46111</v>
      </c>
      <c r="K5831" s="13">
        <v>46113</v>
      </c>
      <c r="M5831" t="s">
        <v>55</v>
      </c>
      <c r="N5831">
        <v>76471115</v>
      </c>
    </row>
    <row r="5832" spans="1:14" x14ac:dyDescent="0.25">
      <c r="A5832">
        <v>62403415</v>
      </c>
      <c r="B5832" t="s">
        <v>604</v>
      </c>
      <c r="C5832" t="s">
        <v>12589</v>
      </c>
      <c r="D5832" t="s">
        <v>12590</v>
      </c>
      <c r="E5832">
        <v>2163375884</v>
      </c>
      <c r="F5832" t="s">
        <v>10642</v>
      </c>
      <c r="G5832" t="s">
        <v>10643</v>
      </c>
      <c r="I5832" t="s">
        <v>45</v>
      </c>
      <c r="J5832" s="13">
        <v>46112</v>
      </c>
      <c r="K5832" s="13">
        <v>46113</v>
      </c>
      <c r="L5832" t="s">
        <v>418</v>
      </c>
      <c r="M5832" t="s">
        <v>60</v>
      </c>
      <c r="N5832">
        <v>76471177</v>
      </c>
    </row>
    <row r="5833" spans="1:14" x14ac:dyDescent="0.25">
      <c r="A5833">
        <v>62378275</v>
      </c>
      <c r="B5833" t="s">
        <v>2418</v>
      </c>
      <c r="C5833" t="s">
        <v>12591</v>
      </c>
      <c r="D5833" t="s">
        <v>12592</v>
      </c>
      <c r="E5833">
        <v>2515911809</v>
      </c>
      <c r="F5833" t="s">
        <v>11745</v>
      </c>
      <c r="G5833" t="s">
        <v>6544</v>
      </c>
      <c r="I5833" t="s">
        <v>11746</v>
      </c>
      <c r="J5833" s="13">
        <v>46111</v>
      </c>
      <c r="K5833" s="13">
        <v>46113</v>
      </c>
      <c r="L5833" t="s">
        <v>450</v>
      </c>
      <c r="M5833" t="s">
        <v>58</v>
      </c>
      <c r="N5833">
        <v>76471231</v>
      </c>
    </row>
    <row r="5834" spans="1:14" x14ac:dyDescent="0.25">
      <c r="A5834">
        <v>62378229</v>
      </c>
      <c r="B5834" t="s">
        <v>867</v>
      </c>
      <c r="C5834" t="s">
        <v>12593</v>
      </c>
      <c r="D5834" t="s">
        <v>12594</v>
      </c>
      <c r="E5834">
        <v>4802386182</v>
      </c>
      <c r="F5834" t="s">
        <v>780</v>
      </c>
      <c r="G5834" t="s">
        <v>781</v>
      </c>
      <c r="I5834" t="s">
        <v>20</v>
      </c>
      <c r="J5834" s="13">
        <v>46111</v>
      </c>
      <c r="K5834" s="13">
        <v>46113</v>
      </c>
      <c r="L5834" t="s">
        <v>1179</v>
      </c>
      <c r="M5834" t="s">
        <v>56</v>
      </c>
      <c r="N5834">
        <v>76471524</v>
      </c>
    </row>
    <row r="5835" spans="1:14" x14ac:dyDescent="0.25">
      <c r="A5835">
        <v>62398656</v>
      </c>
      <c r="B5835" t="s">
        <v>709</v>
      </c>
      <c r="C5835" t="s">
        <v>12595</v>
      </c>
      <c r="D5835" t="s">
        <v>12596</v>
      </c>
      <c r="F5835" t="s">
        <v>2544</v>
      </c>
      <c r="G5835" t="s">
        <v>12389</v>
      </c>
      <c r="I5835" t="s">
        <v>12390</v>
      </c>
      <c r="J5835" s="13">
        <v>46112</v>
      </c>
      <c r="K5835" s="13">
        <v>46113</v>
      </c>
      <c r="L5835" t="s">
        <v>539</v>
      </c>
      <c r="M5835" t="s">
        <v>58</v>
      </c>
      <c r="N5835">
        <v>76471588</v>
      </c>
    </row>
    <row r="5836" spans="1:14" x14ac:dyDescent="0.25">
      <c r="A5836">
        <v>62378020</v>
      </c>
      <c r="B5836" t="s">
        <v>12597</v>
      </c>
      <c r="C5836" t="s">
        <v>12598</v>
      </c>
      <c r="D5836" t="s">
        <v>12599</v>
      </c>
      <c r="E5836">
        <v>5202458663</v>
      </c>
      <c r="F5836" t="s">
        <v>416</v>
      </c>
      <c r="G5836" t="s">
        <v>417</v>
      </c>
      <c r="I5836" t="s">
        <v>26</v>
      </c>
      <c r="J5836" s="13">
        <v>46111</v>
      </c>
      <c r="K5836" s="13">
        <v>46113</v>
      </c>
      <c r="L5836" t="s">
        <v>1179</v>
      </c>
      <c r="M5836" t="s">
        <v>59</v>
      </c>
      <c r="N5836">
        <v>76471680</v>
      </c>
    </row>
    <row r="5837" spans="1:14" x14ac:dyDescent="0.25">
      <c r="A5837">
        <v>62380842</v>
      </c>
      <c r="B5837" t="s">
        <v>2041</v>
      </c>
      <c r="C5837" t="s">
        <v>2544</v>
      </c>
      <c r="D5837" t="s">
        <v>12600</v>
      </c>
      <c r="E5837" t="s">
        <v>12601</v>
      </c>
      <c r="F5837" t="s">
        <v>10253</v>
      </c>
      <c r="G5837" t="s">
        <v>781</v>
      </c>
      <c r="I5837" t="s">
        <v>36</v>
      </c>
      <c r="J5837" s="13">
        <v>46111</v>
      </c>
      <c r="K5837" s="13">
        <v>46113</v>
      </c>
      <c r="L5837" t="s">
        <v>479</v>
      </c>
      <c r="M5837" t="s">
        <v>58</v>
      </c>
      <c r="N5837">
        <v>76481483</v>
      </c>
    </row>
    <row r="5838" spans="1:14" x14ac:dyDescent="0.25">
      <c r="A5838">
        <v>62391097</v>
      </c>
      <c r="B5838" t="s">
        <v>1964</v>
      </c>
      <c r="C5838" t="s">
        <v>12602</v>
      </c>
      <c r="D5838" t="s">
        <v>12603</v>
      </c>
      <c r="E5838">
        <v>2108190041</v>
      </c>
      <c r="F5838" t="s">
        <v>551</v>
      </c>
      <c r="G5838" t="s">
        <v>552</v>
      </c>
      <c r="I5838" t="s">
        <v>42</v>
      </c>
      <c r="J5838" s="13">
        <v>46112</v>
      </c>
      <c r="K5838" s="13">
        <v>46113</v>
      </c>
      <c r="L5838" t="s">
        <v>444</v>
      </c>
      <c r="M5838" t="s">
        <v>55</v>
      </c>
      <c r="N5838">
        <v>76489953</v>
      </c>
    </row>
    <row r="5839" spans="1:14" x14ac:dyDescent="0.25">
      <c r="A5839">
        <v>62391091</v>
      </c>
      <c r="B5839" t="s">
        <v>1925</v>
      </c>
      <c r="C5839" t="s">
        <v>12604</v>
      </c>
      <c r="D5839" t="s">
        <v>12605</v>
      </c>
      <c r="E5839">
        <v>2079516104</v>
      </c>
      <c r="F5839" t="s">
        <v>828</v>
      </c>
      <c r="G5839" t="s">
        <v>1148</v>
      </c>
      <c r="I5839" t="s">
        <v>17</v>
      </c>
      <c r="J5839" s="13">
        <v>46112</v>
      </c>
      <c r="K5839" s="13">
        <v>46113</v>
      </c>
      <c r="L5839" t="s">
        <v>941</v>
      </c>
      <c r="M5839" t="s">
        <v>60</v>
      </c>
      <c r="N5839">
        <v>76489959</v>
      </c>
    </row>
    <row r="5840" spans="1:14" x14ac:dyDescent="0.25">
      <c r="A5840">
        <v>62391613</v>
      </c>
      <c r="B5840" t="s">
        <v>1522</v>
      </c>
      <c r="C5840" t="s">
        <v>1258</v>
      </c>
      <c r="D5840" t="s">
        <v>12606</v>
      </c>
      <c r="E5840">
        <v>8592421285</v>
      </c>
      <c r="F5840" t="s">
        <v>775</v>
      </c>
      <c r="G5840" t="s">
        <v>776</v>
      </c>
      <c r="I5840" t="s">
        <v>22</v>
      </c>
      <c r="J5840" s="13">
        <v>46112</v>
      </c>
      <c r="K5840" s="13">
        <v>46113</v>
      </c>
      <c r="L5840" t="s">
        <v>490</v>
      </c>
      <c r="M5840" t="s">
        <v>56</v>
      </c>
      <c r="N5840">
        <v>76490297</v>
      </c>
    </row>
    <row r="5841" spans="1:14" x14ac:dyDescent="0.25">
      <c r="A5841">
        <v>62394467</v>
      </c>
      <c r="B5841" t="s">
        <v>730</v>
      </c>
      <c r="C5841" t="s">
        <v>12459</v>
      </c>
      <c r="D5841" t="s">
        <v>12607</v>
      </c>
      <c r="E5841">
        <v>9366722599</v>
      </c>
      <c r="F5841" t="s">
        <v>8440</v>
      </c>
      <c r="G5841" t="s">
        <v>12267</v>
      </c>
      <c r="I5841" t="s">
        <v>12268</v>
      </c>
      <c r="J5841" s="13">
        <v>46112</v>
      </c>
      <c r="K5841" s="13">
        <v>46113</v>
      </c>
      <c r="L5841" t="s">
        <v>444</v>
      </c>
      <c r="M5841" t="s">
        <v>55</v>
      </c>
      <c r="N5841">
        <v>76490336</v>
      </c>
    </row>
    <row r="5842" spans="1:14" x14ac:dyDescent="0.25">
      <c r="A5842">
        <v>62392479</v>
      </c>
      <c r="B5842" t="s">
        <v>12608</v>
      </c>
      <c r="C5842" t="s">
        <v>1984</v>
      </c>
      <c r="D5842" t="s">
        <v>12609</v>
      </c>
      <c r="E5842">
        <v>3143796507</v>
      </c>
      <c r="F5842" t="s">
        <v>448</v>
      </c>
      <c r="G5842" t="s">
        <v>449</v>
      </c>
      <c r="I5842" t="s">
        <v>31</v>
      </c>
      <c r="J5842" s="13">
        <v>46112</v>
      </c>
      <c r="K5842" s="13">
        <v>46113</v>
      </c>
      <c r="L5842" t="s">
        <v>434</v>
      </c>
      <c r="M5842" t="s">
        <v>419</v>
      </c>
      <c r="N5842">
        <v>76490811</v>
      </c>
    </row>
    <row r="5843" spans="1:14" x14ac:dyDescent="0.25">
      <c r="A5843">
        <v>63635797</v>
      </c>
      <c r="B5843" t="s">
        <v>10812</v>
      </c>
      <c r="C5843" t="s">
        <v>1068</v>
      </c>
      <c r="D5843" t="s">
        <v>12610</v>
      </c>
      <c r="E5843">
        <v>5737149199</v>
      </c>
      <c r="G5843" t="s">
        <v>12611</v>
      </c>
      <c r="H5843" t="s">
        <v>12612</v>
      </c>
      <c r="I5843" t="s">
        <v>12613</v>
      </c>
      <c r="J5843" s="13">
        <v>46149</v>
      </c>
      <c r="K5843" s="13">
        <v>46174</v>
      </c>
      <c r="L5843" t="s">
        <v>434</v>
      </c>
      <c r="M5843" t="s">
        <v>60</v>
      </c>
      <c r="N5843">
        <v>76490965</v>
      </c>
    </row>
    <row r="5844" spans="1:14" x14ac:dyDescent="0.25">
      <c r="A5844">
        <v>62392321</v>
      </c>
      <c r="B5844" t="s">
        <v>3380</v>
      </c>
      <c r="C5844" t="s">
        <v>12614</v>
      </c>
      <c r="D5844" t="s">
        <v>12615</v>
      </c>
      <c r="E5844">
        <v>4809301715</v>
      </c>
      <c r="F5844" t="s">
        <v>780</v>
      </c>
      <c r="G5844" t="s">
        <v>781</v>
      </c>
      <c r="I5844" t="s">
        <v>20</v>
      </c>
      <c r="J5844" s="13">
        <v>46112</v>
      </c>
      <c r="K5844" s="13">
        <v>46113</v>
      </c>
      <c r="L5844" t="s">
        <v>1179</v>
      </c>
      <c r="M5844" t="s">
        <v>55</v>
      </c>
      <c r="N5844">
        <v>76491180</v>
      </c>
    </row>
    <row r="5845" spans="1:14" x14ac:dyDescent="0.25">
      <c r="A5845">
        <v>62391357</v>
      </c>
      <c r="B5845" t="s">
        <v>867</v>
      </c>
      <c r="C5845" t="s">
        <v>12616</v>
      </c>
      <c r="D5845" t="s">
        <v>12617</v>
      </c>
      <c r="E5845">
        <v>4632613393</v>
      </c>
      <c r="F5845" t="s">
        <v>474</v>
      </c>
      <c r="G5845" t="s">
        <v>475</v>
      </c>
      <c r="I5845" t="s">
        <v>132</v>
      </c>
      <c r="J5845" s="13">
        <v>46112</v>
      </c>
      <c r="K5845" s="13">
        <v>46113</v>
      </c>
      <c r="L5845" t="s">
        <v>440</v>
      </c>
      <c r="M5845" t="s">
        <v>62</v>
      </c>
      <c r="N5845">
        <v>76491441</v>
      </c>
    </row>
    <row r="5846" spans="1:14" x14ac:dyDescent="0.25">
      <c r="A5846">
        <v>62393674</v>
      </c>
      <c r="B5846" t="s">
        <v>8956</v>
      </c>
      <c r="C5846" t="s">
        <v>12618</v>
      </c>
      <c r="D5846" t="s">
        <v>12619</v>
      </c>
      <c r="E5846">
        <v>2705708756</v>
      </c>
      <c r="F5846" t="s">
        <v>10460</v>
      </c>
      <c r="G5846" t="s">
        <v>6663</v>
      </c>
      <c r="I5846" t="s">
        <v>40</v>
      </c>
      <c r="J5846" s="13">
        <v>46112</v>
      </c>
      <c r="K5846" s="13">
        <v>46113</v>
      </c>
      <c r="L5846" t="s">
        <v>490</v>
      </c>
      <c r="M5846" t="s">
        <v>61</v>
      </c>
      <c r="N5846">
        <v>76491576</v>
      </c>
    </row>
    <row r="5847" spans="1:14" x14ac:dyDescent="0.25">
      <c r="A5847">
        <v>62392145</v>
      </c>
      <c r="B5847" t="s">
        <v>873</v>
      </c>
      <c r="C5847" t="s">
        <v>12620</v>
      </c>
      <c r="D5847" t="s">
        <v>12621</v>
      </c>
      <c r="E5847">
        <v>4133107177</v>
      </c>
      <c r="F5847" t="s">
        <v>569</v>
      </c>
      <c r="G5847" t="s">
        <v>570</v>
      </c>
      <c r="I5847" t="s">
        <v>34</v>
      </c>
      <c r="J5847" s="13">
        <v>46112</v>
      </c>
      <c r="K5847" s="13">
        <v>46113</v>
      </c>
      <c r="L5847" t="s">
        <v>1179</v>
      </c>
      <c r="M5847" t="s">
        <v>55</v>
      </c>
      <c r="N5847">
        <v>76491621</v>
      </c>
    </row>
    <row r="5848" spans="1:14" x14ac:dyDescent="0.25">
      <c r="A5848">
        <v>62392401</v>
      </c>
      <c r="B5848" t="s">
        <v>1208</v>
      </c>
      <c r="C5848" t="s">
        <v>12622</v>
      </c>
      <c r="D5848" t="s">
        <v>12623</v>
      </c>
      <c r="E5848">
        <v>3619467292</v>
      </c>
      <c r="F5848" t="s">
        <v>688</v>
      </c>
      <c r="G5848" t="s">
        <v>10291</v>
      </c>
      <c r="I5848" t="s">
        <v>48</v>
      </c>
      <c r="J5848" s="13">
        <v>46112</v>
      </c>
      <c r="K5848" s="13">
        <v>46113</v>
      </c>
      <c r="L5848" t="s">
        <v>444</v>
      </c>
      <c r="M5848" t="s">
        <v>56</v>
      </c>
      <c r="N5848">
        <v>76491736</v>
      </c>
    </row>
    <row r="5849" spans="1:14" x14ac:dyDescent="0.25">
      <c r="A5849">
        <v>62393475</v>
      </c>
      <c r="B5849" t="s">
        <v>8152</v>
      </c>
      <c r="C5849" t="s">
        <v>1598</v>
      </c>
      <c r="D5849" t="s">
        <v>12624</v>
      </c>
      <c r="E5849">
        <v>5623259563</v>
      </c>
      <c r="F5849" t="s">
        <v>416</v>
      </c>
      <c r="G5849" t="s">
        <v>417</v>
      </c>
      <c r="I5849" t="s">
        <v>26</v>
      </c>
      <c r="J5849" s="13">
        <v>46112</v>
      </c>
      <c r="K5849" s="13">
        <v>46113</v>
      </c>
      <c r="L5849" t="s">
        <v>1179</v>
      </c>
      <c r="M5849" t="s">
        <v>55</v>
      </c>
      <c r="N5849">
        <v>76492446</v>
      </c>
    </row>
    <row r="5850" spans="1:14" x14ac:dyDescent="0.25">
      <c r="A5850">
        <v>62394775</v>
      </c>
      <c r="B5850" t="s">
        <v>6510</v>
      </c>
      <c r="C5850" t="s">
        <v>12625</v>
      </c>
      <c r="D5850" t="s">
        <v>12626</v>
      </c>
      <c r="E5850">
        <v>2059535582</v>
      </c>
      <c r="F5850" t="s">
        <v>4941</v>
      </c>
      <c r="G5850" t="s">
        <v>12450</v>
      </c>
      <c r="I5850" t="s">
        <v>12451</v>
      </c>
      <c r="J5850" s="13">
        <v>46112</v>
      </c>
      <c r="K5850" s="13">
        <v>46113</v>
      </c>
      <c r="L5850" t="s">
        <v>450</v>
      </c>
      <c r="M5850" t="s">
        <v>59</v>
      </c>
      <c r="N5850">
        <v>76493457</v>
      </c>
    </row>
    <row r="5851" spans="1:14" x14ac:dyDescent="0.25">
      <c r="A5851">
        <v>62395080</v>
      </c>
      <c r="B5851" t="s">
        <v>2613</v>
      </c>
      <c r="C5851" t="s">
        <v>12627</v>
      </c>
      <c r="D5851" t="s">
        <v>12628</v>
      </c>
      <c r="E5851">
        <v>4794873051</v>
      </c>
      <c r="F5851" t="s">
        <v>828</v>
      </c>
      <c r="G5851" t="s">
        <v>1148</v>
      </c>
      <c r="I5851" t="s">
        <v>17</v>
      </c>
      <c r="J5851" s="13">
        <v>46112</v>
      </c>
      <c r="K5851" s="13">
        <v>46113</v>
      </c>
      <c r="L5851" t="s">
        <v>553</v>
      </c>
      <c r="M5851" t="s">
        <v>56</v>
      </c>
      <c r="N5851">
        <v>76494184</v>
      </c>
    </row>
    <row r="5852" spans="1:14" x14ac:dyDescent="0.25">
      <c r="A5852">
        <v>62401835</v>
      </c>
      <c r="B5852" t="s">
        <v>2036</v>
      </c>
      <c r="C5852" t="s">
        <v>7288</v>
      </c>
      <c r="D5852" t="s">
        <v>12629</v>
      </c>
      <c r="E5852">
        <v>3126866112</v>
      </c>
      <c r="F5852" t="s">
        <v>10642</v>
      </c>
      <c r="G5852" t="s">
        <v>10643</v>
      </c>
      <c r="I5852" t="s">
        <v>45</v>
      </c>
      <c r="J5852" s="13">
        <v>46112</v>
      </c>
      <c r="K5852" s="13">
        <v>46113</v>
      </c>
      <c r="L5852" t="s">
        <v>470</v>
      </c>
      <c r="M5852" t="s">
        <v>60</v>
      </c>
      <c r="N5852">
        <v>76496446</v>
      </c>
    </row>
    <row r="5853" spans="1:14" x14ac:dyDescent="0.25">
      <c r="A5853">
        <v>62396298</v>
      </c>
      <c r="B5853" t="s">
        <v>449</v>
      </c>
      <c r="C5853" t="s">
        <v>12630</v>
      </c>
      <c r="D5853" t="s">
        <v>12631</v>
      </c>
      <c r="E5853">
        <v>3122610168</v>
      </c>
      <c r="F5853" t="s">
        <v>2544</v>
      </c>
      <c r="G5853" t="s">
        <v>12389</v>
      </c>
      <c r="I5853" t="s">
        <v>12390</v>
      </c>
      <c r="J5853" s="13">
        <v>46112</v>
      </c>
      <c r="K5853" s="13">
        <v>46113</v>
      </c>
      <c r="L5853" t="s">
        <v>1179</v>
      </c>
      <c r="M5853" t="s">
        <v>55</v>
      </c>
      <c r="N5853">
        <v>76496570</v>
      </c>
    </row>
    <row r="5854" spans="1:14" x14ac:dyDescent="0.25">
      <c r="A5854">
        <v>62394694</v>
      </c>
      <c r="B5854" t="s">
        <v>1535</v>
      </c>
      <c r="C5854" t="s">
        <v>12632</v>
      </c>
      <c r="D5854" t="s">
        <v>12633</v>
      </c>
      <c r="E5854">
        <v>2109551608</v>
      </c>
      <c r="F5854" t="s">
        <v>448</v>
      </c>
      <c r="G5854" t="s">
        <v>449</v>
      </c>
      <c r="I5854" t="s">
        <v>31</v>
      </c>
      <c r="J5854" s="13">
        <v>46112</v>
      </c>
      <c r="K5854" s="13">
        <v>46113</v>
      </c>
      <c r="L5854" t="s">
        <v>444</v>
      </c>
      <c r="M5854" t="s">
        <v>59</v>
      </c>
      <c r="N5854">
        <v>76496998</v>
      </c>
    </row>
    <row r="5855" spans="1:14" x14ac:dyDescent="0.25">
      <c r="A5855">
        <v>62396546</v>
      </c>
      <c r="B5855" t="s">
        <v>5075</v>
      </c>
      <c r="C5855" t="s">
        <v>12634</v>
      </c>
      <c r="D5855" t="s">
        <v>12635</v>
      </c>
      <c r="E5855" t="s">
        <v>12636</v>
      </c>
      <c r="F5855" t="s">
        <v>780</v>
      </c>
      <c r="G5855" t="s">
        <v>781</v>
      </c>
      <c r="I5855" t="s">
        <v>20</v>
      </c>
      <c r="J5855" s="13">
        <v>46112</v>
      </c>
      <c r="K5855" s="13">
        <v>46113</v>
      </c>
      <c r="L5855" t="s">
        <v>497</v>
      </c>
      <c r="M5855" t="s">
        <v>56</v>
      </c>
      <c r="N5855">
        <v>76497220</v>
      </c>
    </row>
    <row r="5856" spans="1:14" x14ac:dyDescent="0.25">
      <c r="A5856">
        <v>62398710</v>
      </c>
      <c r="B5856" t="s">
        <v>12637</v>
      </c>
      <c r="C5856" t="s">
        <v>12638</v>
      </c>
      <c r="D5856" t="s">
        <v>12639</v>
      </c>
      <c r="E5856">
        <v>5206972889</v>
      </c>
      <c r="F5856" t="s">
        <v>628</v>
      </c>
      <c r="G5856" t="s">
        <v>629</v>
      </c>
      <c r="I5856" t="s">
        <v>24</v>
      </c>
      <c r="J5856" s="13">
        <v>46112</v>
      </c>
      <c r="K5856" s="13">
        <v>46113</v>
      </c>
      <c r="L5856" t="s">
        <v>1179</v>
      </c>
      <c r="M5856" t="s">
        <v>61</v>
      </c>
      <c r="N5856">
        <v>76498015</v>
      </c>
    </row>
    <row r="5857" spans="1:14" x14ac:dyDescent="0.25">
      <c r="A5857">
        <v>62396697</v>
      </c>
      <c r="B5857" t="s">
        <v>791</v>
      </c>
      <c r="C5857" t="s">
        <v>2504</v>
      </c>
      <c r="D5857" t="s">
        <v>12640</v>
      </c>
      <c r="E5857">
        <v>3036472079</v>
      </c>
      <c r="F5857" t="s">
        <v>11334</v>
      </c>
      <c r="G5857" t="s">
        <v>6695</v>
      </c>
      <c r="I5857" t="s">
        <v>12641</v>
      </c>
      <c r="J5857" s="13">
        <v>46112</v>
      </c>
      <c r="K5857" s="13">
        <v>46113</v>
      </c>
      <c r="L5857" t="s">
        <v>539</v>
      </c>
      <c r="M5857" t="s">
        <v>59</v>
      </c>
      <c r="N5857">
        <v>76498171</v>
      </c>
    </row>
    <row r="5858" spans="1:14" x14ac:dyDescent="0.25">
      <c r="A5858">
        <v>62396450</v>
      </c>
      <c r="B5858" t="s">
        <v>2972</v>
      </c>
      <c r="C5858" t="s">
        <v>12642</v>
      </c>
      <c r="D5858" t="s">
        <v>12643</v>
      </c>
      <c r="E5858">
        <v>4406388874</v>
      </c>
      <c r="F5858" t="s">
        <v>2544</v>
      </c>
      <c r="G5858" t="s">
        <v>4833</v>
      </c>
      <c r="I5858" t="s">
        <v>18</v>
      </c>
      <c r="J5858" s="13">
        <v>46112</v>
      </c>
      <c r="K5858" s="13">
        <v>46113</v>
      </c>
      <c r="L5858" t="s">
        <v>418</v>
      </c>
      <c r="M5858" t="s">
        <v>59</v>
      </c>
      <c r="N5858">
        <v>76498195</v>
      </c>
    </row>
    <row r="5859" spans="1:14" x14ac:dyDescent="0.25">
      <c r="A5859">
        <v>62397190</v>
      </c>
      <c r="B5859" t="s">
        <v>7386</v>
      </c>
      <c r="C5859" t="s">
        <v>2084</v>
      </c>
      <c r="D5859" t="s">
        <v>12644</v>
      </c>
      <c r="E5859">
        <v>2705072977</v>
      </c>
      <c r="F5859" t="s">
        <v>1067</v>
      </c>
      <c r="G5859" t="s">
        <v>1068</v>
      </c>
      <c r="I5859" t="s">
        <v>35</v>
      </c>
      <c r="J5859" s="13">
        <v>46112</v>
      </c>
      <c r="K5859" s="13">
        <v>46113</v>
      </c>
      <c r="L5859" t="s">
        <v>490</v>
      </c>
      <c r="M5859" t="s">
        <v>56</v>
      </c>
      <c r="N5859">
        <v>76498664</v>
      </c>
    </row>
    <row r="5860" spans="1:14" x14ac:dyDescent="0.25">
      <c r="A5860">
        <v>62395755</v>
      </c>
      <c r="B5860" t="s">
        <v>1033</v>
      </c>
      <c r="C5860" t="s">
        <v>12645</v>
      </c>
      <c r="D5860" t="s">
        <v>12646</v>
      </c>
      <c r="E5860">
        <v>8608031207</v>
      </c>
      <c r="F5860" t="s">
        <v>416</v>
      </c>
      <c r="G5860" t="s">
        <v>417</v>
      </c>
      <c r="I5860" t="s">
        <v>26</v>
      </c>
      <c r="J5860" s="13">
        <v>46112</v>
      </c>
      <c r="K5860" s="13">
        <v>46113</v>
      </c>
      <c r="L5860" t="s">
        <v>497</v>
      </c>
      <c r="M5860" t="s">
        <v>54</v>
      </c>
      <c r="N5860">
        <v>76498747</v>
      </c>
    </row>
    <row r="5861" spans="1:14" x14ac:dyDescent="0.25">
      <c r="A5861">
        <v>62397699</v>
      </c>
      <c r="B5861" t="s">
        <v>517</v>
      </c>
      <c r="C5861" t="s">
        <v>12647</v>
      </c>
      <c r="D5861" t="s">
        <v>12648</v>
      </c>
      <c r="E5861">
        <v>5202782525</v>
      </c>
      <c r="F5861" t="s">
        <v>770</v>
      </c>
      <c r="G5861" t="s">
        <v>771</v>
      </c>
      <c r="I5861" t="s">
        <v>25</v>
      </c>
      <c r="J5861" s="13">
        <v>46112</v>
      </c>
      <c r="K5861" s="13">
        <v>46113</v>
      </c>
      <c r="L5861" t="s">
        <v>1179</v>
      </c>
      <c r="M5861" t="s">
        <v>59</v>
      </c>
      <c r="N5861">
        <v>76499568</v>
      </c>
    </row>
    <row r="5862" spans="1:14" x14ac:dyDescent="0.25">
      <c r="A5862">
        <v>62398590</v>
      </c>
      <c r="B5862" t="s">
        <v>6008</v>
      </c>
      <c r="C5862" t="s">
        <v>2057</v>
      </c>
      <c r="D5862" t="s">
        <v>12649</v>
      </c>
      <c r="E5862" t="s">
        <v>12650</v>
      </c>
      <c r="F5862" t="s">
        <v>11776</v>
      </c>
      <c r="G5862" t="s">
        <v>3895</v>
      </c>
      <c r="H5862" t="s">
        <v>11777</v>
      </c>
      <c r="I5862" t="s">
        <v>11778</v>
      </c>
      <c r="J5862" s="13">
        <v>46112</v>
      </c>
      <c r="K5862" s="13">
        <v>46113</v>
      </c>
      <c r="L5862" t="s">
        <v>1179</v>
      </c>
      <c r="M5862" t="s">
        <v>58</v>
      </c>
      <c r="N5862">
        <v>76500702</v>
      </c>
    </row>
    <row r="5863" spans="1:14" x14ac:dyDescent="0.25">
      <c r="A5863">
        <v>62402128</v>
      </c>
      <c r="B5863" t="s">
        <v>4128</v>
      </c>
      <c r="C5863" t="s">
        <v>2215</v>
      </c>
      <c r="D5863" t="s">
        <v>12651</v>
      </c>
      <c r="E5863">
        <v>6233990610</v>
      </c>
      <c r="F5863" t="s">
        <v>1345</v>
      </c>
      <c r="G5863" t="s">
        <v>799</v>
      </c>
      <c r="I5863" t="s">
        <v>47</v>
      </c>
      <c r="J5863" s="13">
        <v>46112</v>
      </c>
      <c r="K5863" s="13">
        <v>46113</v>
      </c>
      <c r="L5863" t="s">
        <v>1179</v>
      </c>
      <c r="M5863" t="s">
        <v>59</v>
      </c>
      <c r="N5863">
        <v>76501867</v>
      </c>
    </row>
    <row r="5864" spans="1:14" x14ac:dyDescent="0.25">
      <c r="A5864">
        <v>62400130</v>
      </c>
      <c r="B5864" t="s">
        <v>12652</v>
      </c>
      <c r="C5864" t="s">
        <v>12653</v>
      </c>
      <c r="D5864" t="s">
        <v>12654</v>
      </c>
      <c r="E5864" t="s">
        <v>12655</v>
      </c>
      <c r="F5864" t="s">
        <v>569</v>
      </c>
      <c r="G5864" t="s">
        <v>570</v>
      </c>
      <c r="I5864" t="s">
        <v>34</v>
      </c>
      <c r="J5864" s="13">
        <v>46112</v>
      </c>
      <c r="K5864" s="13">
        <v>46113</v>
      </c>
      <c r="L5864" t="s">
        <v>533</v>
      </c>
      <c r="M5864" t="s">
        <v>56</v>
      </c>
      <c r="N5864">
        <v>76502862</v>
      </c>
    </row>
    <row r="5865" spans="1:14" x14ac:dyDescent="0.25">
      <c r="A5865">
        <v>62403162</v>
      </c>
      <c r="B5865" t="s">
        <v>925</v>
      </c>
      <c r="C5865" t="s">
        <v>12656</v>
      </c>
      <c r="D5865" t="s">
        <v>12657</v>
      </c>
      <c r="E5865">
        <v>6027276567</v>
      </c>
      <c r="F5865" t="s">
        <v>8440</v>
      </c>
      <c r="G5865" t="s">
        <v>12267</v>
      </c>
      <c r="I5865" t="s">
        <v>12268</v>
      </c>
      <c r="J5865" s="13">
        <v>46112</v>
      </c>
      <c r="K5865" s="13">
        <v>46113</v>
      </c>
      <c r="L5865" t="s">
        <v>1179</v>
      </c>
      <c r="M5865" t="s">
        <v>54</v>
      </c>
      <c r="N5865">
        <v>76503377</v>
      </c>
    </row>
    <row r="5866" spans="1:14" x14ac:dyDescent="0.25">
      <c r="A5866">
        <v>62400006</v>
      </c>
      <c r="B5866" t="s">
        <v>5588</v>
      </c>
      <c r="C5866" t="s">
        <v>1702</v>
      </c>
      <c r="D5866" t="s">
        <v>12658</v>
      </c>
      <c r="E5866">
        <v>8106104489</v>
      </c>
      <c r="F5866" t="s">
        <v>928</v>
      </c>
      <c r="G5866" t="s">
        <v>929</v>
      </c>
      <c r="I5866" t="s">
        <v>30</v>
      </c>
      <c r="J5866" s="13">
        <v>46112</v>
      </c>
      <c r="K5866" s="13">
        <v>46113</v>
      </c>
      <c r="L5866" t="s">
        <v>8329</v>
      </c>
      <c r="M5866" t="s">
        <v>56</v>
      </c>
      <c r="N5866">
        <v>76503963</v>
      </c>
    </row>
    <row r="5867" spans="1:14" x14ac:dyDescent="0.25">
      <c r="A5867">
        <v>62400644</v>
      </c>
      <c r="B5867" t="s">
        <v>7386</v>
      </c>
      <c r="C5867" t="s">
        <v>12659</v>
      </c>
      <c r="D5867" t="s">
        <v>12660</v>
      </c>
      <c r="E5867">
        <v>7062399586</v>
      </c>
      <c r="F5867" t="s">
        <v>551</v>
      </c>
      <c r="G5867" t="s">
        <v>552</v>
      </c>
      <c r="I5867" t="s">
        <v>42</v>
      </c>
      <c r="J5867" s="13">
        <v>46112</v>
      </c>
      <c r="K5867" s="13">
        <v>46113</v>
      </c>
      <c r="L5867" t="s">
        <v>621</v>
      </c>
      <c r="M5867" t="s">
        <v>58</v>
      </c>
      <c r="N5867">
        <v>76503987</v>
      </c>
    </row>
    <row r="5868" spans="1:14" x14ac:dyDescent="0.25">
      <c r="A5868">
        <v>62402755</v>
      </c>
      <c r="B5868" t="s">
        <v>593</v>
      </c>
      <c r="C5868" t="s">
        <v>3871</v>
      </c>
      <c r="D5868" t="s">
        <v>12661</v>
      </c>
      <c r="E5868">
        <v>6156014984</v>
      </c>
      <c r="F5868" t="s">
        <v>667</v>
      </c>
      <c r="G5868" t="s">
        <v>668</v>
      </c>
      <c r="I5868" t="s">
        <v>37</v>
      </c>
      <c r="J5868" s="13">
        <v>46112</v>
      </c>
      <c r="K5868" s="13">
        <v>46113</v>
      </c>
      <c r="L5868" t="s">
        <v>479</v>
      </c>
      <c r="M5868" t="s">
        <v>62</v>
      </c>
      <c r="N5868">
        <v>76504264</v>
      </c>
    </row>
    <row r="5869" spans="1:14" x14ac:dyDescent="0.25">
      <c r="A5869">
        <v>62403498</v>
      </c>
      <c r="B5869" t="s">
        <v>1089</v>
      </c>
      <c r="C5869" t="s">
        <v>12662</v>
      </c>
      <c r="D5869" t="s">
        <v>12663</v>
      </c>
      <c r="E5869">
        <v>5205391850</v>
      </c>
      <c r="F5869" t="s">
        <v>807</v>
      </c>
      <c r="G5869" t="s">
        <v>808</v>
      </c>
      <c r="I5869" t="s">
        <v>33</v>
      </c>
      <c r="J5869" s="13">
        <v>46112</v>
      </c>
      <c r="K5869" s="13">
        <v>46113</v>
      </c>
      <c r="L5869" t="s">
        <v>1179</v>
      </c>
      <c r="M5869" t="s">
        <v>59</v>
      </c>
      <c r="N5869">
        <v>76504511</v>
      </c>
    </row>
    <row r="5870" spans="1:14" x14ac:dyDescent="0.25">
      <c r="A5870">
        <v>63369433</v>
      </c>
      <c r="B5870" t="s">
        <v>431</v>
      </c>
      <c r="C5870" t="s">
        <v>12664</v>
      </c>
      <c r="D5870" t="s">
        <v>12665</v>
      </c>
      <c r="E5870">
        <v>9259566556</v>
      </c>
      <c r="F5870" t="s">
        <v>2544</v>
      </c>
      <c r="G5870" t="s">
        <v>12389</v>
      </c>
      <c r="I5870" t="s">
        <v>12390</v>
      </c>
      <c r="J5870" s="13">
        <v>46136</v>
      </c>
      <c r="K5870" s="13">
        <v>46143</v>
      </c>
      <c r="L5870" t="s">
        <v>1179</v>
      </c>
      <c r="M5870" t="s">
        <v>54</v>
      </c>
      <c r="N5870">
        <v>76504675</v>
      </c>
    </row>
    <row r="5871" spans="1:14" x14ac:dyDescent="0.25">
      <c r="A5871">
        <v>62403431</v>
      </c>
      <c r="B5871" t="s">
        <v>467</v>
      </c>
      <c r="C5871" t="s">
        <v>12666</v>
      </c>
      <c r="D5871" t="s">
        <v>12667</v>
      </c>
      <c r="E5871">
        <v>3869560274</v>
      </c>
      <c r="F5871" t="s">
        <v>628</v>
      </c>
      <c r="G5871" t="s">
        <v>629</v>
      </c>
      <c r="I5871" t="s">
        <v>24</v>
      </c>
      <c r="J5871" s="13">
        <v>46112</v>
      </c>
      <c r="K5871" s="13">
        <v>46113</v>
      </c>
      <c r="L5871" t="s">
        <v>497</v>
      </c>
      <c r="M5871" t="s">
        <v>56</v>
      </c>
      <c r="N5871">
        <v>76504851</v>
      </c>
    </row>
    <row r="5872" spans="1:14" x14ac:dyDescent="0.25">
      <c r="A5872">
        <v>62403186</v>
      </c>
      <c r="B5872" t="s">
        <v>4769</v>
      </c>
      <c r="C5872" t="s">
        <v>11194</v>
      </c>
      <c r="D5872" t="s">
        <v>12668</v>
      </c>
      <c r="E5872">
        <v>4234650743</v>
      </c>
      <c r="F5872" t="s">
        <v>11776</v>
      </c>
      <c r="G5872" t="s">
        <v>3895</v>
      </c>
      <c r="H5872" t="s">
        <v>11777</v>
      </c>
      <c r="I5872" t="s">
        <v>11778</v>
      </c>
      <c r="J5872" s="13">
        <v>46112</v>
      </c>
      <c r="K5872" s="13">
        <v>46113</v>
      </c>
      <c r="L5872" t="s">
        <v>479</v>
      </c>
      <c r="M5872" t="s">
        <v>59</v>
      </c>
      <c r="N5872">
        <v>76506111</v>
      </c>
    </row>
    <row r="5873" spans="1:14" x14ac:dyDescent="0.25">
      <c r="A5873">
        <v>62402532</v>
      </c>
      <c r="B5873" t="s">
        <v>11336</v>
      </c>
      <c r="C5873" t="s">
        <v>1702</v>
      </c>
      <c r="D5873" t="s">
        <v>12669</v>
      </c>
      <c r="F5873" t="s">
        <v>928</v>
      </c>
      <c r="G5873" t="s">
        <v>929</v>
      </c>
      <c r="I5873" t="s">
        <v>30</v>
      </c>
      <c r="J5873" s="13">
        <v>46112</v>
      </c>
      <c r="K5873" s="13">
        <v>46113</v>
      </c>
      <c r="L5873" t="s">
        <v>8329</v>
      </c>
      <c r="M5873" t="s">
        <v>56</v>
      </c>
      <c r="N5873">
        <v>76506711</v>
      </c>
    </row>
    <row r="5874" spans="1:14" x14ac:dyDescent="0.25">
      <c r="A5874">
        <v>62411154</v>
      </c>
      <c r="B5874" t="s">
        <v>1941</v>
      </c>
      <c r="C5874" t="s">
        <v>12670</v>
      </c>
      <c r="D5874" t="s">
        <v>12671</v>
      </c>
      <c r="F5874" t="s">
        <v>688</v>
      </c>
      <c r="G5874" t="s">
        <v>10291</v>
      </c>
      <c r="I5874" t="s">
        <v>48</v>
      </c>
      <c r="J5874" s="13">
        <v>46113</v>
      </c>
      <c r="K5874" s="13">
        <v>46143</v>
      </c>
      <c r="L5874" t="s">
        <v>539</v>
      </c>
      <c r="M5874" t="s">
        <v>56</v>
      </c>
      <c r="N5874">
        <v>76512741</v>
      </c>
    </row>
    <row r="5875" spans="1:14" x14ac:dyDescent="0.25">
      <c r="A5875">
        <v>62415149</v>
      </c>
      <c r="B5875" t="s">
        <v>6008</v>
      </c>
      <c r="C5875" t="s">
        <v>1348</v>
      </c>
      <c r="D5875" t="s">
        <v>12672</v>
      </c>
      <c r="E5875">
        <v>6153199907</v>
      </c>
      <c r="F5875" t="s">
        <v>667</v>
      </c>
      <c r="G5875" t="s">
        <v>668</v>
      </c>
      <c r="I5875" t="s">
        <v>37</v>
      </c>
      <c r="J5875" s="13">
        <v>46113</v>
      </c>
      <c r="K5875" s="13">
        <v>46143</v>
      </c>
      <c r="L5875" t="s">
        <v>440</v>
      </c>
      <c r="M5875" t="s">
        <v>56</v>
      </c>
      <c r="N5875">
        <v>76513007</v>
      </c>
    </row>
    <row r="5876" spans="1:14" x14ac:dyDescent="0.25">
      <c r="A5876">
        <v>62411909</v>
      </c>
      <c r="B5876" t="s">
        <v>925</v>
      </c>
      <c r="C5876" t="s">
        <v>11175</v>
      </c>
      <c r="E5876">
        <v>9046139079</v>
      </c>
      <c r="F5876" t="s">
        <v>770</v>
      </c>
      <c r="G5876" t="s">
        <v>771</v>
      </c>
      <c r="I5876" t="s">
        <v>25</v>
      </c>
      <c r="J5876" s="13">
        <v>46113</v>
      </c>
      <c r="K5876" s="13">
        <v>46143</v>
      </c>
      <c r="L5876" t="s">
        <v>497</v>
      </c>
      <c r="M5876" t="s">
        <v>54</v>
      </c>
      <c r="N5876">
        <v>76513219</v>
      </c>
    </row>
    <row r="5877" spans="1:14" x14ac:dyDescent="0.25">
      <c r="A5877">
        <v>62411568</v>
      </c>
      <c r="B5877" t="s">
        <v>5075</v>
      </c>
      <c r="C5877" t="s">
        <v>781</v>
      </c>
      <c r="D5877" t="s">
        <v>12673</v>
      </c>
      <c r="E5877">
        <v>8177606966</v>
      </c>
      <c r="F5877" t="s">
        <v>828</v>
      </c>
      <c r="G5877" t="s">
        <v>1148</v>
      </c>
      <c r="I5877" t="s">
        <v>17</v>
      </c>
      <c r="J5877" s="13">
        <v>46113</v>
      </c>
      <c r="K5877" s="13">
        <v>46143</v>
      </c>
      <c r="L5877" t="s">
        <v>444</v>
      </c>
      <c r="M5877" t="s">
        <v>56</v>
      </c>
      <c r="N5877">
        <v>76513232</v>
      </c>
    </row>
    <row r="5878" spans="1:14" x14ac:dyDescent="0.25">
      <c r="A5878">
        <v>62411063</v>
      </c>
      <c r="B5878" t="s">
        <v>3252</v>
      </c>
      <c r="C5878" t="s">
        <v>2795</v>
      </c>
      <c r="D5878" t="s">
        <v>12674</v>
      </c>
      <c r="E5878">
        <v>6198825155</v>
      </c>
      <c r="F5878" t="s">
        <v>780</v>
      </c>
      <c r="G5878" t="s">
        <v>781</v>
      </c>
      <c r="I5878" t="s">
        <v>20</v>
      </c>
      <c r="J5878" s="13">
        <v>46113</v>
      </c>
      <c r="K5878" s="13">
        <v>46143</v>
      </c>
      <c r="L5878" t="s">
        <v>1179</v>
      </c>
      <c r="M5878" t="s">
        <v>54</v>
      </c>
      <c r="N5878">
        <v>76513328</v>
      </c>
    </row>
    <row r="5879" spans="1:14" x14ac:dyDescent="0.25">
      <c r="A5879">
        <v>62411692</v>
      </c>
      <c r="B5879" t="s">
        <v>12675</v>
      </c>
      <c r="C5879" t="s">
        <v>2932</v>
      </c>
      <c r="D5879" t="s">
        <v>12676</v>
      </c>
      <c r="E5879">
        <v>7736214071</v>
      </c>
      <c r="F5879" t="s">
        <v>705</v>
      </c>
      <c r="G5879" t="s">
        <v>706</v>
      </c>
      <c r="I5879" t="s">
        <v>12</v>
      </c>
      <c r="J5879" s="13">
        <v>46113</v>
      </c>
      <c r="K5879" s="13">
        <v>46143</v>
      </c>
      <c r="L5879" t="s">
        <v>470</v>
      </c>
      <c r="M5879" t="s">
        <v>59</v>
      </c>
      <c r="N5879">
        <v>76513403</v>
      </c>
    </row>
    <row r="5880" spans="1:14" x14ac:dyDescent="0.25">
      <c r="A5880">
        <v>62418625</v>
      </c>
      <c r="B5880" t="s">
        <v>12677</v>
      </c>
      <c r="C5880" t="s">
        <v>12678</v>
      </c>
      <c r="D5880" t="s">
        <v>12679</v>
      </c>
      <c r="E5880">
        <v>3303126029</v>
      </c>
      <c r="F5880" t="s">
        <v>2544</v>
      </c>
      <c r="G5880" t="s">
        <v>12389</v>
      </c>
      <c r="I5880" t="s">
        <v>12390</v>
      </c>
      <c r="J5880" s="13">
        <v>46113</v>
      </c>
      <c r="K5880" s="13">
        <v>46143</v>
      </c>
      <c r="L5880" t="s">
        <v>418</v>
      </c>
      <c r="M5880" t="s">
        <v>58</v>
      </c>
      <c r="N5880">
        <v>76516163</v>
      </c>
    </row>
    <row r="5881" spans="1:14" x14ac:dyDescent="0.25">
      <c r="A5881">
        <v>62412780</v>
      </c>
      <c r="B5881" t="s">
        <v>1167</v>
      </c>
      <c r="C5881" t="s">
        <v>12680</v>
      </c>
      <c r="D5881" t="s">
        <v>12681</v>
      </c>
      <c r="E5881">
        <v>4722612633</v>
      </c>
      <c r="F5881" t="s">
        <v>448</v>
      </c>
      <c r="G5881" t="s">
        <v>449</v>
      </c>
      <c r="I5881" t="s">
        <v>31</v>
      </c>
      <c r="J5881" s="13">
        <v>46113</v>
      </c>
      <c r="K5881" s="13">
        <v>46143</v>
      </c>
      <c r="L5881" t="s">
        <v>603</v>
      </c>
      <c r="M5881" t="s">
        <v>56</v>
      </c>
      <c r="N5881">
        <v>76516438</v>
      </c>
    </row>
    <row r="5882" spans="1:14" x14ac:dyDescent="0.25">
      <c r="A5882">
        <v>62415801</v>
      </c>
      <c r="B5882" t="s">
        <v>12682</v>
      </c>
      <c r="C5882" t="s">
        <v>2978</v>
      </c>
      <c r="E5882">
        <v>3174463857</v>
      </c>
      <c r="F5882" t="s">
        <v>828</v>
      </c>
      <c r="G5882" t="s">
        <v>1148</v>
      </c>
      <c r="I5882" t="s">
        <v>17</v>
      </c>
      <c r="J5882" s="13">
        <v>46113</v>
      </c>
      <c r="K5882" s="13">
        <v>46143</v>
      </c>
      <c r="L5882" t="s">
        <v>440</v>
      </c>
      <c r="M5882" t="s">
        <v>56</v>
      </c>
      <c r="N5882">
        <v>76517572</v>
      </c>
    </row>
    <row r="5883" spans="1:14" x14ac:dyDescent="0.25">
      <c r="A5883">
        <v>62416079</v>
      </c>
      <c r="B5883" t="s">
        <v>12683</v>
      </c>
      <c r="C5883" t="s">
        <v>12684</v>
      </c>
      <c r="D5883" t="s">
        <v>12685</v>
      </c>
      <c r="E5883">
        <v>8159004184</v>
      </c>
      <c r="F5883" t="s">
        <v>10253</v>
      </c>
      <c r="G5883" t="s">
        <v>781</v>
      </c>
      <c r="I5883" t="s">
        <v>36</v>
      </c>
      <c r="J5883" s="13">
        <v>46113</v>
      </c>
      <c r="K5883" s="13">
        <v>46143</v>
      </c>
      <c r="L5883" t="s">
        <v>470</v>
      </c>
      <c r="M5883" t="s">
        <v>62</v>
      </c>
      <c r="N5883">
        <v>76518904</v>
      </c>
    </row>
    <row r="5884" spans="1:14" x14ac:dyDescent="0.25">
      <c r="A5884">
        <v>62420149</v>
      </c>
      <c r="B5884" t="s">
        <v>6855</v>
      </c>
      <c r="C5884" t="s">
        <v>8401</v>
      </c>
      <c r="D5884" t="s">
        <v>12686</v>
      </c>
      <c r="E5884">
        <v>8128990198</v>
      </c>
      <c r="F5884" t="s">
        <v>551</v>
      </c>
      <c r="G5884" t="s">
        <v>552</v>
      </c>
      <c r="I5884" t="s">
        <v>42</v>
      </c>
      <c r="J5884" s="13">
        <v>46113</v>
      </c>
      <c r="K5884" s="13">
        <v>46143</v>
      </c>
      <c r="L5884" t="s">
        <v>440</v>
      </c>
      <c r="M5884" t="s">
        <v>56</v>
      </c>
      <c r="N5884">
        <v>76526895</v>
      </c>
    </row>
    <row r="5885" spans="1:14" x14ac:dyDescent="0.25">
      <c r="A5885">
        <v>62416865</v>
      </c>
      <c r="B5885" t="s">
        <v>1148</v>
      </c>
      <c r="C5885" t="s">
        <v>12687</v>
      </c>
      <c r="D5885" t="s">
        <v>12688</v>
      </c>
      <c r="E5885" t="s">
        <v>12689</v>
      </c>
      <c r="F5885" t="s">
        <v>2544</v>
      </c>
      <c r="G5885" t="s">
        <v>12389</v>
      </c>
      <c r="I5885" t="s">
        <v>12390</v>
      </c>
      <c r="J5885" s="13">
        <v>46113</v>
      </c>
      <c r="K5885" s="13">
        <v>46143</v>
      </c>
      <c r="L5885" t="s">
        <v>621</v>
      </c>
      <c r="M5885" t="s">
        <v>59</v>
      </c>
      <c r="N5885">
        <v>76528596</v>
      </c>
    </row>
    <row r="5886" spans="1:14" x14ac:dyDescent="0.25">
      <c r="A5886">
        <v>62417716</v>
      </c>
      <c r="B5886" t="s">
        <v>12690</v>
      </c>
      <c r="C5886" t="s">
        <v>1702</v>
      </c>
      <c r="D5886" t="s">
        <v>12691</v>
      </c>
      <c r="E5886">
        <v>5043517204</v>
      </c>
      <c r="F5886" t="s">
        <v>628</v>
      </c>
      <c r="G5886" t="s">
        <v>629</v>
      </c>
      <c r="I5886" t="s">
        <v>24</v>
      </c>
      <c r="J5886" s="13">
        <v>46113</v>
      </c>
      <c r="K5886" s="13">
        <v>46143</v>
      </c>
      <c r="L5886" t="s">
        <v>612</v>
      </c>
      <c r="M5886" t="s">
        <v>61</v>
      </c>
      <c r="N5886">
        <v>76529499</v>
      </c>
    </row>
    <row r="5887" spans="1:14" x14ac:dyDescent="0.25">
      <c r="A5887">
        <v>62416069</v>
      </c>
      <c r="B5887" t="s">
        <v>604</v>
      </c>
      <c r="C5887" t="s">
        <v>12692</v>
      </c>
      <c r="D5887" t="s">
        <v>12693</v>
      </c>
      <c r="E5887">
        <v>5135946892</v>
      </c>
      <c r="F5887" t="s">
        <v>928</v>
      </c>
      <c r="G5887" t="s">
        <v>929</v>
      </c>
      <c r="I5887" t="s">
        <v>30</v>
      </c>
      <c r="J5887" s="13">
        <v>46113</v>
      </c>
      <c r="K5887" s="13">
        <v>46143</v>
      </c>
      <c r="L5887" t="s">
        <v>497</v>
      </c>
      <c r="M5887" t="s">
        <v>56</v>
      </c>
      <c r="N5887">
        <v>76530779</v>
      </c>
    </row>
    <row r="5888" spans="1:14" x14ac:dyDescent="0.25">
      <c r="A5888">
        <v>62989626</v>
      </c>
      <c r="B5888" t="s">
        <v>12694</v>
      </c>
      <c r="C5888" t="s">
        <v>12695</v>
      </c>
      <c r="D5888" t="s">
        <v>12696</v>
      </c>
      <c r="E5888">
        <v>3303103029</v>
      </c>
      <c r="F5888" t="s">
        <v>649</v>
      </c>
      <c r="G5888" t="s">
        <v>650</v>
      </c>
      <c r="I5888" t="s">
        <v>28</v>
      </c>
      <c r="J5888" s="13">
        <v>46126</v>
      </c>
      <c r="K5888" s="13">
        <v>46143</v>
      </c>
      <c r="L5888" t="s">
        <v>418</v>
      </c>
      <c r="M5888" t="s">
        <v>58</v>
      </c>
      <c r="N5888">
        <v>76535268</v>
      </c>
    </row>
    <row r="5889" spans="1:14" x14ac:dyDescent="0.25">
      <c r="A5889">
        <v>62447756</v>
      </c>
      <c r="B5889" t="s">
        <v>799</v>
      </c>
      <c r="C5889" t="s">
        <v>12697</v>
      </c>
      <c r="D5889" t="s">
        <v>12698</v>
      </c>
      <c r="E5889">
        <v>4806880991</v>
      </c>
      <c r="F5889" t="s">
        <v>780</v>
      </c>
      <c r="G5889" t="s">
        <v>781</v>
      </c>
      <c r="I5889" t="s">
        <v>20</v>
      </c>
      <c r="J5889" s="13">
        <v>46114</v>
      </c>
      <c r="K5889" s="13">
        <v>46143</v>
      </c>
      <c r="L5889" t="s">
        <v>1179</v>
      </c>
      <c r="M5889" t="s">
        <v>56</v>
      </c>
      <c r="N5889">
        <v>76537461</v>
      </c>
    </row>
    <row r="5890" spans="1:14" x14ac:dyDescent="0.25">
      <c r="A5890">
        <v>62420468</v>
      </c>
      <c r="B5890" t="s">
        <v>3535</v>
      </c>
      <c r="C5890" t="s">
        <v>5992</v>
      </c>
      <c r="D5890" t="s">
        <v>12699</v>
      </c>
      <c r="E5890">
        <v>3308028127</v>
      </c>
      <c r="F5890" t="s">
        <v>448</v>
      </c>
      <c r="G5890" t="s">
        <v>449</v>
      </c>
      <c r="I5890" t="s">
        <v>31</v>
      </c>
      <c r="J5890" s="13">
        <v>46113</v>
      </c>
      <c r="K5890" s="13">
        <v>46113</v>
      </c>
      <c r="L5890" t="s">
        <v>418</v>
      </c>
      <c r="M5890" t="s">
        <v>59</v>
      </c>
      <c r="N5890">
        <v>76537551</v>
      </c>
    </row>
    <row r="5891" spans="1:14" x14ac:dyDescent="0.25">
      <c r="A5891">
        <v>62420690</v>
      </c>
      <c r="B5891" t="s">
        <v>1445</v>
      </c>
      <c r="C5891" t="s">
        <v>12700</v>
      </c>
      <c r="D5891" t="s">
        <v>12701</v>
      </c>
      <c r="E5891">
        <v>4802859623</v>
      </c>
      <c r="F5891" t="s">
        <v>770</v>
      </c>
      <c r="G5891" t="s">
        <v>771</v>
      </c>
      <c r="I5891" t="s">
        <v>25</v>
      </c>
      <c r="J5891" s="13">
        <v>46113</v>
      </c>
      <c r="K5891" s="13">
        <v>46143</v>
      </c>
      <c r="L5891" t="s">
        <v>1179</v>
      </c>
      <c r="M5891" t="s">
        <v>54</v>
      </c>
      <c r="N5891">
        <v>76537861</v>
      </c>
    </row>
    <row r="5892" spans="1:14" x14ac:dyDescent="0.25">
      <c r="A5892">
        <v>62418786</v>
      </c>
      <c r="B5892" t="s">
        <v>10962</v>
      </c>
      <c r="C5892" t="s">
        <v>12684</v>
      </c>
      <c r="D5892" t="s">
        <v>12702</v>
      </c>
      <c r="E5892">
        <v>7085131225</v>
      </c>
      <c r="F5892" t="s">
        <v>10253</v>
      </c>
      <c r="G5892" t="s">
        <v>781</v>
      </c>
      <c r="I5892" t="s">
        <v>36</v>
      </c>
      <c r="J5892" s="13">
        <v>46113</v>
      </c>
      <c r="K5892" s="13">
        <v>46143</v>
      </c>
      <c r="L5892" t="s">
        <v>470</v>
      </c>
      <c r="M5892" t="s">
        <v>62</v>
      </c>
      <c r="N5892">
        <v>76538043</v>
      </c>
    </row>
    <row r="5893" spans="1:14" x14ac:dyDescent="0.25">
      <c r="A5893">
        <v>62421392</v>
      </c>
      <c r="B5893" t="s">
        <v>1106</v>
      </c>
      <c r="C5893" t="s">
        <v>1448</v>
      </c>
      <c r="D5893" t="s">
        <v>12703</v>
      </c>
      <c r="E5893">
        <v>6232604923</v>
      </c>
      <c r="F5893" t="s">
        <v>416</v>
      </c>
      <c r="G5893" t="s">
        <v>417</v>
      </c>
      <c r="I5893" t="s">
        <v>26</v>
      </c>
      <c r="J5893" s="13">
        <v>46113</v>
      </c>
      <c r="K5893" s="13">
        <v>46143</v>
      </c>
      <c r="L5893" t="s">
        <v>1179</v>
      </c>
      <c r="M5893" t="s">
        <v>59</v>
      </c>
      <c r="N5893">
        <v>76538711</v>
      </c>
    </row>
    <row r="5894" spans="1:14" x14ac:dyDescent="0.25">
      <c r="A5894">
        <v>63580228</v>
      </c>
      <c r="B5894" t="s">
        <v>1106</v>
      </c>
      <c r="C5894" t="s">
        <v>772</v>
      </c>
      <c r="D5894" t="s">
        <v>12704</v>
      </c>
      <c r="E5894">
        <v>5023792108</v>
      </c>
      <c r="F5894" t="s">
        <v>1612</v>
      </c>
      <c r="G5894" t="s">
        <v>4811</v>
      </c>
      <c r="I5894" t="s">
        <v>322</v>
      </c>
      <c r="J5894" s="13">
        <v>46147</v>
      </c>
      <c r="K5894" s="13">
        <v>46174</v>
      </c>
      <c r="L5894" t="s">
        <v>490</v>
      </c>
      <c r="M5894" t="s">
        <v>60</v>
      </c>
      <c r="N5894">
        <v>76539089</v>
      </c>
    </row>
    <row r="5895" spans="1:14" x14ac:dyDescent="0.25">
      <c r="A5895">
        <v>62431434</v>
      </c>
      <c r="B5895" t="s">
        <v>12705</v>
      </c>
      <c r="C5895" t="s">
        <v>12706</v>
      </c>
      <c r="D5895" t="s">
        <v>12707</v>
      </c>
      <c r="E5895">
        <v>4806188262</v>
      </c>
      <c r="F5895" t="s">
        <v>770</v>
      </c>
      <c r="G5895" t="s">
        <v>771</v>
      </c>
      <c r="I5895" t="s">
        <v>25</v>
      </c>
      <c r="J5895" s="13">
        <v>46113</v>
      </c>
      <c r="K5895" s="13">
        <v>46143</v>
      </c>
      <c r="L5895" t="s">
        <v>1179</v>
      </c>
      <c r="M5895" t="s">
        <v>54</v>
      </c>
      <c r="N5895">
        <v>76541205</v>
      </c>
    </row>
    <row r="5896" spans="1:14" x14ac:dyDescent="0.25">
      <c r="A5896">
        <v>62422042</v>
      </c>
      <c r="B5896" t="s">
        <v>4811</v>
      </c>
      <c r="C5896" t="s">
        <v>619</v>
      </c>
      <c r="D5896" t="s">
        <v>12708</v>
      </c>
      <c r="E5896">
        <v>4193773415</v>
      </c>
      <c r="F5896" t="s">
        <v>10569</v>
      </c>
      <c r="G5896" t="s">
        <v>10570</v>
      </c>
      <c r="I5896" t="s">
        <v>29</v>
      </c>
      <c r="J5896" s="13">
        <v>46113</v>
      </c>
      <c r="K5896" s="13">
        <v>46143</v>
      </c>
      <c r="L5896" t="s">
        <v>418</v>
      </c>
      <c r="M5896" t="s">
        <v>62</v>
      </c>
      <c r="N5896">
        <v>76541744</v>
      </c>
    </row>
    <row r="5897" spans="1:14" x14ac:dyDescent="0.25">
      <c r="A5897">
        <v>62422693</v>
      </c>
      <c r="B5897" t="s">
        <v>1643</v>
      </c>
      <c r="C5897" t="s">
        <v>12709</v>
      </c>
      <c r="D5897" t="s">
        <v>12710</v>
      </c>
      <c r="F5897" t="s">
        <v>8440</v>
      </c>
      <c r="G5897" t="s">
        <v>12267</v>
      </c>
      <c r="I5897" t="s">
        <v>12268</v>
      </c>
      <c r="J5897" s="13">
        <v>46113</v>
      </c>
      <c r="K5897" s="13">
        <v>46143</v>
      </c>
      <c r="L5897" t="s">
        <v>444</v>
      </c>
      <c r="M5897" t="s">
        <v>58</v>
      </c>
      <c r="N5897">
        <v>76542778</v>
      </c>
    </row>
    <row r="5898" spans="1:14" x14ac:dyDescent="0.25">
      <c r="A5898">
        <v>62435729</v>
      </c>
      <c r="B5898" t="s">
        <v>1643</v>
      </c>
      <c r="C5898" t="s">
        <v>3583</v>
      </c>
      <c r="D5898" t="s">
        <v>12711</v>
      </c>
      <c r="E5898">
        <v>7406517563</v>
      </c>
      <c r="F5898" t="s">
        <v>11838</v>
      </c>
      <c r="G5898" t="s">
        <v>11839</v>
      </c>
      <c r="I5898" t="s">
        <v>11840</v>
      </c>
      <c r="J5898" s="13">
        <v>46114</v>
      </c>
      <c r="K5898" s="13">
        <v>46143</v>
      </c>
      <c r="L5898" t="s">
        <v>418</v>
      </c>
      <c r="M5898" t="s">
        <v>60</v>
      </c>
      <c r="N5898">
        <v>76558846</v>
      </c>
    </row>
    <row r="5899" spans="1:14" x14ac:dyDescent="0.25">
      <c r="A5899">
        <v>62434908</v>
      </c>
      <c r="B5899" t="s">
        <v>816</v>
      </c>
      <c r="C5899" t="s">
        <v>12712</v>
      </c>
      <c r="D5899" t="s">
        <v>12713</v>
      </c>
      <c r="E5899">
        <v>2166991029</v>
      </c>
      <c r="F5899" t="s">
        <v>10591</v>
      </c>
      <c r="G5899" t="s">
        <v>10215</v>
      </c>
      <c r="I5899" t="s">
        <v>32</v>
      </c>
      <c r="J5899" s="13">
        <v>46114</v>
      </c>
      <c r="K5899" s="13">
        <v>46143</v>
      </c>
      <c r="L5899" t="s">
        <v>418</v>
      </c>
      <c r="M5899" t="s">
        <v>59</v>
      </c>
      <c r="N5899">
        <v>76559166</v>
      </c>
    </row>
    <row r="5900" spans="1:14" x14ac:dyDescent="0.25">
      <c r="A5900">
        <v>62448674</v>
      </c>
      <c r="B5900" t="s">
        <v>12714</v>
      </c>
      <c r="C5900" t="s">
        <v>2488</v>
      </c>
      <c r="D5900" t="s">
        <v>12715</v>
      </c>
      <c r="E5900">
        <v>3524434670</v>
      </c>
      <c r="F5900" t="s">
        <v>551</v>
      </c>
      <c r="G5900" t="s">
        <v>552</v>
      </c>
      <c r="I5900" t="s">
        <v>42</v>
      </c>
      <c r="J5900" s="13">
        <v>46114</v>
      </c>
      <c r="K5900" s="13">
        <v>46143</v>
      </c>
      <c r="L5900" t="s">
        <v>497</v>
      </c>
      <c r="M5900" t="s">
        <v>56</v>
      </c>
      <c r="N5900">
        <v>76561039</v>
      </c>
    </row>
    <row r="5901" spans="1:14" x14ac:dyDescent="0.25">
      <c r="A5901">
        <v>62436131</v>
      </c>
      <c r="B5901" t="s">
        <v>2994</v>
      </c>
      <c r="C5901" t="s">
        <v>12716</v>
      </c>
      <c r="D5901" t="s">
        <v>12717</v>
      </c>
      <c r="E5901">
        <v>5203058089</v>
      </c>
      <c r="F5901" t="s">
        <v>1345</v>
      </c>
      <c r="G5901" t="s">
        <v>799</v>
      </c>
      <c r="I5901" t="s">
        <v>47</v>
      </c>
      <c r="J5901" s="13">
        <v>46114</v>
      </c>
      <c r="K5901" s="13">
        <v>46143</v>
      </c>
      <c r="L5901" t="s">
        <v>1179</v>
      </c>
      <c r="M5901" t="s">
        <v>54</v>
      </c>
      <c r="N5901">
        <v>76562962</v>
      </c>
    </row>
    <row r="5902" spans="1:14" x14ac:dyDescent="0.25">
      <c r="A5902">
        <v>62436738</v>
      </c>
      <c r="B5902" t="s">
        <v>3438</v>
      </c>
      <c r="C5902" t="s">
        <v>12718</v>
      </c>
      <c r="D5902" t="s">
        <v>12719</v>
      </c>
      <c r="E5902">
        <v>9548545410</v>
      </c>
      <c r="F5902" t="s">
        <v>770</v>
      </c>
      <c r="G5902" t="s">
        <v>771</v>
      </c>
      <c r="I5902" t="s">
        <v>25</v>
      </c>
      <c r="J5902" s="13">
        <v>46114</v>
      </c>
      <c r="K5902" s="13">
        <v>46143</v>
      </c>
      <c r="L5902" t="s">
        <v>497</v>
      </c>
      <c r="M5902" t="s">
        <v>56</v>
      </c>
      <c r="N5902">
        <v>76563536</v>
      </c>
    </row>
    <row r="5903" spans="1:14" x14ac:dyDescent="0.25">
      <c r="A5903">
        <v>62436372</v>
      </c>
      <c r="B5903" t="s">
        <v>12720</v>
      </c>
      <c r="C5903" t="s">
        <v>12721</v>
      </c>
      <c r="D5903" t="s">
        <v>12722</v>
      </c>
      <c r="E5903">
        <v>4196041513</v>
      </c>
      <c r="F5903" t="s">
        <v>448</v>
      </c>
      <c r="G5903" t="s">
        <v>449</v>
      </c>
      <c r="I5903" t="s">
        <v>31</v>
      </c>
      <c r="J5903" s="13">
        <v>46114</v>
      </c>
      <c r="K5903" s="13">
        <v>46143</v>
      </c>
      <c r="L5903" t="s">
        <v>418</v>
      </c>
      <c r="M5903" t="s">
        <v>59</v>
      </c>
      <c r="N5903">
        <v>76563769</v>
      </c>
    </row>
    <row r="5904" spans="1:14" x14ac:dyDescent="0.25">
      <c r="A5904">
        <v>62448658</v>
      </c>
      <c r="B5904" t="s">
        <v>8542</v>
      </c>
      <c r="C5904" t="s">
        <v>12723</v>
      </c>
      <c r="D5904" t="s">
        <v>12724</v>
      </c>
      <c r="E5904">
        <v>7733317469</v>
      </c>
      <c r="F5904" t="s">
        <v>10642</v>
      </c>
      <c r="G5904" t="s">
        <v>10643</v>
      </c>
      <c r="I5904" t="s">
        <v>45</v>
      </c>
      <c r="J5904" s="13">
        <v>46114</v>
      </c>
      <c r="K5904" s="13">
        <v>46143</v>
      </c>
      <c r="L5904" t="s">
        <v>470</v>
      </c>
      <c r="M5904" t="s">
        <v>62</v>
      </c>
      <c r="N5904">
        <v>76564065</v>
      </c>
    </row>
    <row r="5905" spans="1:14" x14ac:dyDescent="0.25">
      <c r="A5905">
        <v>62438429</v>
      </c>
      <c r="B5905" t="s">
        <v>2658</v>
      </c>
      <c r="C5905" t="s">
        <v>12725</v>
      </c>
      <c r="D5905" t="s">
        <v>12726</v>
      </c>
      <c r="F5905" t="s">
        <v>8440</v>
      </c>
      <c r="G5905" t="s">
        <v>12267</v>
      </c>
      <c r="I5905" t="s">
        <v>12268</v>
      </c>
      <c r="J5905" s="13">
        <v>46114</v>
      </c>
      <c r="K5905" s="13">
        <v>46143</v>
      </c>
      <c r="L5905" t="s">
        <v>440</v>
      </c>
      <c r="M5905" t="s">
        <v>59</v>
      </c>
      <c r="N5905">
        <v>76564131</v>
      </c>
    </row>
    <row r="5906" spans="1:14" x14ac:dyDescent="0.25">
      <c r="A5906">
        <v>62440170</v>
      </c>
      <c r="B5906" t="s">
        <v>7972</v>
      </c>
      <c r="C5906" t="s">
        <v>12727</v>
      </c>
      <c r="D5906" t="s">
        <v>12728</v>
      </c>
      <c r="E5906">
        <v>7347652354</v>
      </c>
      <c r="F5906" t="s">
        <v>815</v>
      </c>
      <c r="G5906" t="s">
        <v>816</v>
      </c>
      <c r="I5906" t="s">
        <v>23</v>
      </c>
      <c r="J5906" s="13">
        <v>46114</v>
      </c>
      <c r="K5906" s="13">
        <v>46143</v>
      </c>
      <c r="L5906" t="s">
        <v>8329</v>
      </c>
      <c r="M5906" t="s">
        <v>56</v>
      </c>
      <c r="N5906">
        <v>76564391</v>
      </c>
    </row>
    <row r="5907" spans="1:14" x14ac:dyDescent="0.25">
      <c r="A5907">
        <v>62438140</v>
      </c>
      <c r="B5907" t="s">
        <v>2972</v>
      </c>
      <c r="C5907" t="s">
        <v>4610</v>
      </c>
      <c r="D5907" t="s">
        <v>12729</v>
      </c>
      <c r="E5907">
        <v>2548556715</v>
      </c>
      <c r="F5907" t="s">
        <v>574</v>
      </c>
      <c r="G5907" t="s">
        <v>575</v>
      </c>
      <c r="I5907" t="s">
        <v>14</v>
      </c>
      <c r="J5907" s="13">
        <v>46114</v>
      </c>
      <c r="K5907" s="13">
        <v>46143</v>
      </c>
      <c r="L5907" t="s">
        <v>444</v>
      </c>
      <c r="M5907" t="s">
        <v>58</v>
      </c>
      <c r="N5907">
        <v>76565014</v>
      </c>
    </row>
    <row r="5908" spans="1:14" x14ac:dyDescent="0.25">
      <c r="A5908">
        <v>62438139</v>
      </c>
      <c r="B5908" t="s">
        <v>1589</v>
      </c>
      <c r="C5908" t="s">
        <v>12730</v>
      </c>
      <c r="D5908" t="s">
        <v>12731</v>
      </c>
      <c r="E5908">
        <v>8122236399</v>
      </c>
      <c r="F5908" t="s">
        <v>474</v>
      </c>
      <c r="G5908" t="s">
        <v>475</v>
      </c>
      <c r="I5908" t="s">
        <v>132</v>
      </c>
      <c r="J5908" s="13">
        <v>46114</v>
      </c>
      <c r="K5908" s="13">
        <v>46143</v>
      </c>
      <c r="L5908" t="s">
        <v>440</v>
      </c>
      <c r="M5908" t="s">
        <v>56</v>
      </c>
      <c r="N5908">
        <v>76567189</v>
      </c>
    </row>
    <row r="5909" spans="1:14" x14ac:dyDescent="0.25">
      <c r="A5909">
        <v>62438676</v>
      </c>
      <c r="B5909" t="s">
        <v>1699</v>
      </c>
      <c r="C5909" t="s">
        <v>12732</v>
      </c>
      <c r="D5909" t="s">
        <v>12733</v>
      </c>
      <c r="E5909">
        <v>6027413489</v>
      </c>
      <c r="F5909" t="s">
        <v>807</v>
      </c>
      <c r="G5909" t="s">
        <v>808</v>
      </c>
      <c r="I5909" t="s">
        <v>33</v>
      </c>
      <c r="J5909" s="13">
        <v>46114</v>
      </c>
      <c r="K5909" s="13">
        <v>46143</v>
      </c>
      <c r="L5909" t="s">
        <v>1179</v>
      </c>
      <c r="M5909" t="s">
        <v>54</v>
      </c>
      <c r="N5909">
        <v>76567718</v>
      </c>
    </row>
    <row r="5910" spans="1:14" x14ac:dyDescent="0.25">
      <c r="A5910">
        <v>62439527</v>
      </c>
      <c r="B5910" t="s">
        <v>5744</v>
      </c>
      <c r="C5910" t="s">
        <v>1702</v>
      </c>
      <c r="D5910" t="s">
        <v>12734</v>
      </c>
      <c r="E5910">
        <v>9192649920</v>
      </c>
      <c r="F5910" t="s">
        <v>569</v>
      </c>
      <c r="G5910" t="s">
        <v>570</v>
      </c>
      <c r="I5910" t="s">
        <v>34</v>
      </c>
      <c r="J5910" s="13">
        <v>46114</v>
      </c>
      <c r="K5910" s="13">
        <v>46143</v>
      </c>
      <c r="L5910" t="s">
        <v>603</v>
      </c>
      <c r="M5910" t="s">
        <v>56</v>
      </c>
      <c r="N5910">
        <v>76570502</v>
      </c>
    </row>
    <row r="5911" spans="1:14" x14ac:dyDescent="0.25">
      <c r="A5911">
        <v>62440636</v>
      </c>
      <c r="B5911" t="s">
        <v>3459</v>
      </c>
      <c r="C5911" t="s">
        <v>8917</v>
      </c>
      <c r="D5911" t="s">
        <v>12735</v>
      </c>
      <c r="E5911">
        <v>8104841168</v>
      </c>
      <c r="F5911" t="s">
        <v>10569</v>
      </c>
      <c r="G5911" t="s">
        <v>10570</v>
      </c>
      <c r="I5911" t="s">
        <v>29</v>
      </c>
      <c r="J5911" s="13">
        <v>46114</v>
      </c>
      <c r="K5911" s="13">
        <v>46143</v>
      </c>
      <c r="L5911" t="s">
        <v>8329</v>
      </c>
      <c r="M5911" t="s">
        <v>62</v>
      </c>
      <c r="N5911">
        <v>76571279</v>
      </c>
    </row>
    <row r="5912" spans="1:14" x14ac:dyDescent="0.25">
      <c r="A5912">
        <v>62440689</v>
      </c>
      <c r="B5912" t="s">
        <v>2272</v>
      </c>
      <c r="C5912" t="s">
        <v>6077</v>
      </c>
      <c r="D5912" t="s">
        <v>12736</v>
      </c>
      <c r="E5912">
        <v>2028055383</v>
      </c>
      <c r="F5912" t="s">
        <v>1067</v>
      </c>
      <c r="G5912" t="s">
        <v>1068</v>
      </c>
      <c r="I5912" t="s">
        <v>35</v>
      </c>
      <c r="J5912" s="13">
        <v>46114</v>
      </c>
      <c r="K5912" s="13">
        <v>46143</v>
      </c>
      <c r="L5912" t="s">
        <v>603</v>
      </c>
      <c r="M5912" t="s">
        <v>56</v>
      </c>
      <c r="N5912">
        <v>76576377</v>
      </c>
    </row>
    <row r="5913" spans="1:14" x14ac:dyDescent="0.25">
      <c r="A5913">
        <v>62456107</v>
      </c>
      <c r="B5913" t="s">
        <v>521</v>
      </c>
      <c r="C5913" t="s">
        <v>12737</v>
      </c>
      <c r="D5913" t="s">
        <v>12738</v>
      </c>
      <c r="E5913">
        <v>6153748423</v>
      </c>
      <c r="F5913" t="s">
        <v>10591</v>
      </c>
      <c r="G5913" t="s">
        <v>10215</v>
      </c>
      <c r="I5913" t="s">
        <v>32</v>
      </c>
      <c r="J5913" s="13">
        <v>46115</v>
      </c>
      <c r="K5913" s="13">
        <v>46143</v>
      </c>
      <c r="L5913" t="s">
        <v>479</v>
      </c>
      <c r="M5913" t="s">
        <v>62</v>
      </c>
      <c r="N5913">
        <v>76584777</v>
      </c>
    </row>
    <row r="5914" spans="1:14" x14ac:dyDescent="0.25">
      <c r="A5914">
        <v>62447736</v>
      </c>
      <c r="B5914" t="s">
        <v>12739</v>
      </c>
      <c r="C5914" t="s">
        <v>12740</v>
      </c>
      <c r="D5914" t="s">
        <v>12741</v>
      </c>
      <c r="E5914">
        <v>6023840950</v>
      </c>
      <c r="F5914" t="s">
        <v>807</v>
      </c>
      <c r="G5914" t="s">
        <v>808</v>
      </c>
      <c r="I5914" t="s">
        <v>33</v>
      </c>
      <c r="J5914" s="13">
        <v>46114</v>
      </c>
      <c r="K5914" s="13">
        <v>46143</v>
      </c>
      <c r="L5914" t="s">
        <v>1179</v>
      </c>
      <c r="M5914" t="s">
        <v>56</v>
      </c>
      <c r="N5914">
        <v>76585673</v>
      </c>
    </row>
    <row r="5915" spans="1:14" x14ac:dyDescent="0.25">
      <c r="A5915">
        <v>62448027</v>
      </c>
      <c r="B5915" t="s">
        <v>12742</v>
      </c>
      <c r="C5915" t="s">
        <v>12743</v>
      </c>
      <c r="D5915" t="s">
        <v>12744</v>
      </c>
      <c r="E5915">
        <v>4802363233</v>
      </c>
      <c r="F5915" t="s">
        <v>770</v>
      </c>
      <c r="G5915" t="s">
        <v>771</v>
      </c>
      <c r="I5915" t="s">
        <v>25</v>
      </c>
      <c r="J5915" s="13">
        <v>46114</v>
      </c>
      <c r="K5915" s="13">
        <v>46143</v>
      </c>
      <c r="L5915" t="s">
        <v>1179</v>
      </c>
      <c r="M5915" t="s">
        <v>54</v>
      </c>
      <c r="N5915">
        <v>76585759</v>
      </c>
    </row>
    <row r="5916" spans="1:14" x14ac:dyDescent="0.25">
      <c r="A5916">
        <v>62448177</v>
      </c>
      <c r="B5916" t="s">
        <v>12745</v>
      </c>
      <c r="C5916" t="s">
        <v>12746</v>
      </c>
      <c r="D5916" t="s">
        <v>12747</v>
      </c>
      <c r="E5916">
        <v>9289409799</v>
      </c>
      <c r="F5916" t="s">
        <v>416</v>
      </c>
      <c r="G5916" t="s">
        <v>417</v>
      </c>
      <c r="I5916" t="s">
        <v>26</v>
      </c>
      <c r="J5916" s="13">
        <v>46114</v>
      </c>
      <c r="K5916" s="13">
        <v>46143</v>
      </c>
      <c r="L5916" t="s">
        <v>1179</v>
      </c>
      <c r="M5916" t="s">
        <v>54</v>
      </c>
      <c r="N5916">
        <v>76586213</v>
      </c>
    </row>
    <row r="5917" spans="1:14" x14ac:dyDescent="0.25">
      <c r="A5917">
        <v>62447670</v>
      </c>
      <c r="B5917" t="s">
        <v>12748</v>
      </c>
      <c r="C5917" t="s">
        <v>12749</v>
      </c>
      <c r="D5917" t="s">
        <v>12750</v>
      </c>
      <c r="E5917">
        <v>7604752340</v>
      </c>
      <c r="F5917" t="s">
        <v>448</v>
      </c>
      <c r="G5917" t="s">
        <v>449</v>
      </c>
      <c r="I5917" t="s">
        <v>31</v>
      </c>
      <c r="J5917" s="13">
        <v>46114</v>
      </c>
      <c r="K5917" s="13">
        <v>46143</v>
      </c>
      <c r="L5917" t="s">
        <v>444</v>
      </c>
      <c r="M5917" t="s">
        <v>56</v>
      </c>
      <c r="N5917">
        <v>76586248</v>
      </c>
    </row>
    <row r="5918" spans="1:14" x14ac:dyDescent="0.25">
      <c r="A5918">
        <v>62448295</v>
      </c>
      <c r="B5918" t="s">
        <v>12751</v>
      </c>
      <c r="C5918" t="s">
        <v>12752</v>
      </c>
      <c r="D5918" t="s">
        <v>12753</v>
      </c>
      <c r="E5918">
        <v>4406686062</v>
      </c>
      <c r="F5918" t="s">
        <v>10569</v>
      </c>
      <c r="G5918" t="s">
        <v>10570</v>
      </c>
      <c r="I5918" t="s">
        <v>29</v>
      </c>
      <c r="J5918" s="13">
        <v>46114</v>
      </c>
      <c r="K5918" s="13">
        <v>46143</v>
      </c>
      <c r="L5918" t="s">
        <v>418</v>
      </c>
      <c r="M5918" t="s">
        <v>59</v>
      </c>
      <c r="N5918">
        <v>76587602</v>
      </c>
    </row>
    <row r="5919" spans="1:14" x14ac:dyDescent="0.25">
      <c r="A5919">
        <v>62448246</v>
      </c>
      <c r="B5919" t="s">
        <v>7125</v>
      </c>
      <c r="C5919" t="s">
        <v>10574</v>
      </c>
      <c r="D5919" t="s">
        <v>12754</v>
      </c>
      <c r="E5919">
        <v>8163724690</v>
      </c>
      <c r="F5919" t="s">
        <v>1612</v>
      </c>
      <c r="G5919" t="s">
        <v>4811</v>
      </c>
      <c r="I5919" t="s">
        <v>322</v>
      </c>
      <c r="J5919" s="13">
        <v>46114</v>
      </c>
      <c r="K5919" s="13">
        <v>46143</v>
      </c>
      <c r="L5919" t="s">
        <v>434</v>
      </c>
      <c r="M5919" t="s">
        <v>60</v>
      </c>
      <c r="N5919">
        <v>76588533</v>
      </c>
    </row>
    <row r="5920" spans="1:14" x14ac:dyDescent="0.25">
      <c r="A5920">
        <v>62448604</v>
      </c>
      <c r="B5920" t="s">
        <v>3193</v>
      </c>
      <c r="C5920" t="s">
        <v>12755</v>
      </c>
      <c r="D5920" t="s">
        <v>12756</v>
      </c>
      <c r="E5920">
        <v>7063888659</v>
      </c>
      <c r="F5920" t="s">
        <v>569</v>
      </c>
      <c r="G5920" t="s">
        <v>570</v>
      </c>
      <c r="I5920" t="s">
        <v>34</v>
      </c>
      <c r="J5920" s="13">
        <v>46114</v>
      </c>
      <c r="K5920" s="13">
        <v>46143</v>
      </c>
      <c r="L5920" t="s">
        <v>621</v>
      </c>
      <c r="M5920" t="s">
        <v>56</v>
      </c>
      <c r="N5920">
        <v>76592764</v>
      </c>
    </row>
    <row r="5921" spans="1:14" x14ac:dyDescent="0.25">
      <c r="A5921">
        <v>62448596</v>
      </c>
      <c r="B5921" t="s">
        <v>784</v>
      </c>
      <c r="C5921" t="s">
        <v>12757</v>
      </c>
      <c r="D5921" t="s">
        <v>12758</v>
      </c>
      <c r="E5921">
        <v>5023102994</v>
      </c>
      <c r="F5921" t="s">
        <v>10460</v>
      </c>
      <c r="G5921" t="s">
        <v>6663</v>
      </c>
      <c r="I5921" t="s">
        <v>40</v>
      </c>
      <c r="J5921" s="13">
        <v>46114</v>
      </c>
      <c r="K5921" s="13">
        <v>46143</v>
      </c>
      <c r="L5921" t="s">
        <v>490</v>
      </c>
      <c r="M5921" t="s">
        <v>59</v>
      </c>
      <c r="N5921">
        <v>76592899</v>
      </c>
    </row>
    <row r="5922" spans="1:14" x14ac:dyDescent="0.25">
      <c r="A5922">
        <v>62447991</v>
      </c>
      <c r="B5922" t="s">
        <v>593</v>
      </c>
      <c r="C5922" t="s">
        <v>12759</v>
      </c>
      <c r="D5922" t="s">
        <v>12760</v>
      </c>
      <c r="E5922">
        <v>7702941276</v>
      </c>
      <c r="F5922" t="s">
        <v>828</v>
      </c>
      <c r="G5922" t="s">
        <v>1148</v>
      </c>
      <c r="I5922" t="s">
        <v>17</v>
      </c>
      <c r="J5922" s="13">
        <v>46114</v>
      </c>
      <c r="K5922" s="13">
        <v>46143</v>
      </c>
      <c r="L5922" t="s">
        <v>621</v>
      </c>
      <c r="M5922" t="s">
        <v>59</v>
      </c>
      <c r="N5922">
        <v>76593070</v>
      </c>
    </row>
    <row r="5923" spans="1:14" x14ac:dyDescent="0.25">
      <c r="A5923">
        <v>62456054</v>
      </c>
      <c r="B5923" t="s">
        <v>3252</v>
      </c>
      <c r="C5923" t="s">
        <v>12761</v>
      </c>
      <c r="D5923" t="s">
        <v>12762</v>
      </c>
      <c r="E5923">
        <v>7402963058</v>
      </c>
      <c r="F5923" t="s">
        <v>474</v>
      </c>
      <c r="G5923" t="s">
        <v>475</v>
      </c>
      <c r="I5923" t="s">
        <v>132</v>
      </c>
      <c r="J5923" s="13">
        <v>46115</v>
      </c>
      <c r="K5923" s="13">
        <v>46143</v>
      </c>
      <c r="L5923" t="s">
        <v>418</v>
      </c>
      <c r="M5923" t="s">
        <v>59</v>
      </c>
      <c r="N5923">
        <v>76597457</v>
      </c>
    </row>
    <row r="5924" spans="1:14" x14ac:dyDescent="0.25">
      <c r="A5924">
        <v>62458184</v>
      </c>
      <c r="B5924" t="s">
        <v>1751</v>
      </c>
      <c r="C5924" t="s">
        <v>1587</v>
      </c>
      <c r="D5924" t="s">
        <v>12763</v>
      </c>
      <c r="E5924">
        <v>9045363595</v>
      </c>
      <c r="F5924" t="s">
        <v>780</v>
      </c>
      <c r="G5924" t="s">
        <v>781</v>
      </c>
      <c r="I5924" t="s">
        <v>20</v>
      </c>
      <c r="J5924" s="13">
        <v>46115</v>
      </c>
      <c r="K5924" s="13">
        <v>46143</v>
      </c>
      <c r="L5924" t="s">
        <v>497</v>
      </c>
      <c r="M5924" t="s">
        <v>59</v>
      </c>
      <c r="N5924">
        <v>76599616</v>
      </c>
    </row>
    <row r="5925" spans="1:14" x14ac:dyDescent="0.25">
      <c r="A5925">
        <v>62456958</v>
      </c>
      <c r="B5925" t="s">
        <v>1115</v>
      </c>
      <c r="C5925" t="s">
        <v>12175</v>
      </c>
      <c r="D5925" t="s">
        <v>12764</v>
      </c>
      <c r="E5925">
        <v>8037166940</v>
      </c>
      <c r="F5925" t="s">
        <v>551</v>
      </c>
      <c r="G5925" t="s">
        <v>552</v>
      </c>
      <c r="I5925" t="s">
        <v>42</v>
      </c>
      <c r="J5925" s="13">
        <v>46115</v>
      </c>
      <c r="K5925" s="13">
        <v>46143</v>
      </c>
      <c r="L5925" t="s">
        <v>533</v>
      </c>
      <c r="M5925" t="s">
        <v>58</v>
      </c>
      <c r="N5925">
        <v>76600169</v>
      </c>
    </row>
    <row r="5926" spans="1:14" x14ac:dyDescent="0.25">
      <c r="A5926">
        <v>62457230</v>
      </c>
      <c r="B5926" t="s">
        <v>1160</v>
      </c>
      <c r="C5926" t="s">
        <v>12765</v>
      </c>
      <c r="D5926" t="s">
        <v>12766</v>
      </c>
      <c r="E5926">
        <v>2708320023</v>
      </c>
      <c r="F5926" t="s">
        <v>815</v>
      </c>
      <c r="G5926" t="s">
        <v>816</v>
      </c>
      <c r="I5926" t="s">
        <v>23</v>
      </c>
      <c r="J5926" s="13">
        <v>46115</v>
      </c>
      <c r="K5926" s="13">
        <v>46143</v>
      </c>
      <c r="L5926" t="s">
        <v>490</v>
      </c>
      <c r="M5926" t="s">
        <v>61</v>
      </c>
      <c r="N5926">
        <v>76600804</v>
      </c>
    </row>
    <row r="5927" spans="1:14" x14ac:dyDescent="0.25">
      <c r="A5927">
        <v>62458102</v>
      </c>
      <c r="B5927" t="s">
        <v>3775</v>
      </c>
      <c r="C5927" t="s">
        <v>12767</v>
      </c>
      <c r="D5927" t="s">
        <v>12768</v>
      </c>
      <c r="E5927">
        <v>9362839259</v>
      </c>
      <c r="F5927" t="s">
        <v>574</v>
      </c>
      <c r="G5927" t="s">
        <v>575</v>
      </c>
      <c r="I5927" t="s">
        <v>14</v>
      </c>
      <c r="J5927" s="13">
        <v>46115</v>
      </c>
      <c r="K5927" s="13">
        <v>46143</v>
      </c>
      <c r="L5927" t="s">
        <v>444</v>
      </c>
      <c r="M5927" t="s">
        <v>59</v>
      </c>
      <c r="N5927">
        <v>76601849</v>
      </c>
    </row>
    <row r="5928" spans="1:14" x14ac:dyDescent="0.25">
      <c r="A5928">
        <v>62458137</v>
      </c>
      <c r="B5928" t="s">
        <v>12769</v>
      </c>
      <c r="C5928" t="s">
        <v>4853</v>
      </c>
      <c r="D5928" t="s">
        <v>12770</v>
      </c>
      <c r="E5928" t="s">
        <v>12771</v>
      </c>
      <c r="F5928" t="s">
        <v>775</v>
      </c>
      <c r="G5928" t="s">
        <v>776</v>
      </c>
      <c r="I5928" t="s">
        <v>22</v>
      </c>
      <c r="J5928" s="13">
        <v>46115</v>
      </c>
      <c r="K5928" s="13">
        <v>46143</v>
      </c>
      <c r="L5928" t="s">
        <v>533</v>
      </c>
      <c r="M5928" t="s">
        <v>56</v>
      </c>
      <c r="N5928">
        <v>76602218</v>
      </c>
    </row>
    <row r="5929" spans="1:14" x14ac:dyDescent="0.25">
      <c r="A5929">
        <v>62457518</v>
      </c>
      <c r="B5929" t="s">
        <v>12772</v>
      </c>
      <c r="C5929" t="s">
        <v>12773</v>
      </c>
      <c r="D5929" t="s">
        <v>12774</v>
      </c>
      <c r="E5929">
        <v>4402255517</v>
      </c>
      <c r="F5929" t="s">
        <v>474</v>
      </c>
      <c r="G5929" t="s">
        <v>475</v>
      </c>
      <c r="I5929" t="s">
        <v>132</v>
      </c>
      <c r="J5929" s="13">
        <v>46115</v>
      </c>
      <c r="K5929" s="13">
        <v>46143</v>
      </c>
      <c r="L5929" t="s">
        <v>418</v>
      </c>
      <c r="M5929" t="s">
        <v>62</v>
      </c>
      <c r="N5929">
        <v>76603201</v>
      </c>
    </row>
    <row r="5930" spans="1:14" x14ac:dyDescent="0.25">
      <c r="A5930">
        <v>62458152</v>
      </c>
      <c r="B5930" t="s">
        <v>3561</v>
      </c>
      <c r="C5930" t="s">
        <v>12775</v>
      </c>
      <c r="D5930" t="s">
        <v>12776</v>
      </c>
      <c r="E5930">
        <v>9805311340</v>
      </c>
      <c r="F5930" t="s">
        <v>1067</v>
      </c>
      <c r="G5930" t="s">
        <v>1068</v>
      </c>
      <c r="I5930" t="s">
        <v>35</v>
      </c>
      <c r="J5930" s="13">
        <v>46115</v>
      </c>
      <c r="K5930" s="13">
        <v>46143</v>
      </c>
      <c r="L5930" t="s">
        <v>603</v>
      </c>
      <c r="M5930" t="s">
        <v>59</v>
      </c>
      <c r="N5930">
        <v>76603815</v>
      </c>
    </row>
    <row r="5931" spans="1:14" x14ac:dyDescent="0.25">
      <c r="A5931">
        <v>62460138</v>
      </c>
      <c r="B5931" t="s">
        <v>1772</v>
      </c>
      <c r="C5931" t="s">
        <v>12777</v>
      </c>
      <c r="D5931" t="s">
        <v>12778</v>
      </c>
      <c r="E5931">
        <v>4806002922</v>
      </c>
      <c r="F5931" t="s">
        <v>770</v>
      </c>
      <c r="G5931" t="s">
        <v>771</v>
      </c>
      <c r="I5931" t="s">
        <v>25</v>
      </c>
      <c r="J5931" s="13">
        <v>46115</v>
      </c>
      <c r="K5931" s="13">
        <v>46143</v>
      </c>
      <c r="L5931" t="s">
        <v>1179</v>
      </c>
      <c r="M5931" t="s">
        <v>54</v>
      </c>
      <c r="N5931">
        <v>76605019</v>
      </c>
    </row>
    <row r="5932" spans="1:14" x14ac:dyDescent="0.25">
      <c r="A5932">
        <v>62775765</v>
      </c>
      <c r="B5932" t="s">
        <v>3742</v>
      </c>
      <c r="C5932" t="s">
        <v>2850</v>
      </c>
      <c r="D5932" t="s">
        <v>12779</v>
      </c>
      <c r="E5932">
        <v>3133186179</v>
      </c>
      <c r="F5932" t="s">
        <v>574</v>
      </c>
      <c r="G5932" t="s">
        <v>575</v>
      </c>
      <c r="I5932" t="s">
        <v>14</v>
      </c>
      <c r="J5932" s="13">
        <v>46125</v>
      </c>
      <c r="K5932" s="13">
        <v>46143</v>
      </c>
      <c r="L5932" t="s">
        <v>8329</v>
      </c>
      <c r="M5932" t="s">
        <v>56</v>
      </c>
      <c r="N5932">
        <v>76607219</v>
      </c>
    </row>
    <row r="5933" spans="1:14" x14ac:dyDescent="0.25">
      <c r="A5933">
        <v>62461060</v>
      </c>
      <c r="B5933" t="s">
        <v>1916</v>
      </c>
      <c r="C5933" t="s">
        <v>1078</v>
      </c>
      <c r="D5933" t="s">
        <v>12780</v>
      </c>
      <c r="E5933">
        <v>3318030117</v>
      </c>
      <c r="F5933" t="s">
        <v>10569</v>
      </c>
      <c r="G5933" t="s">
        <v>10570</v>
      </c>
      <c r="I5933" t="s">
        <v>29</v>
      </c>
      <c r="J5933" s="13">
        <v>46115</v>
      </c>
      <c r="K5933" s="13">
        <v>46143</v>
      </c>
      <c r="L5933" t="s">
        <v>470</v>
      </c>
      <c r="M5933" t="s">
        <v>62</v>
      </c>
      <c r="N5933">
        <v>76611164</v>
      </c>
    </row>
    <row r="5934" spans="1:14" x14ac:dyDescent="0.25">
      <c r="A5934">
        <v>62461619</v>
      </c>
      <c r="B5934" t="s">
        <v>2263</v>
      </c>
      <c r="C5934" t="s">
        <v>12781</v>
      </c>
      <c r="D5934" t="s">
        <v>12782</v>
      </c>
      <c r="E5934">
        <v>5203658647</v>
      </c>
      <c r="F5934" t="s">
        <v>807</v>
      </c>
      <c r="G5934" t="s">
        <v>808</v>
      </c>
      <c r="I5934" t="s">
        <v>33</v>
      </c>
      <c r="J5934" s="13">
        <v>46115</v>
      </c>
      <c r="K5934" s="13">
        <v>46143</v>
      </c>
      <c r="L5934" t="s">
        <v>1179</v>
      </c>
      <c r="M5934" t="s">
        <v>54</v>
      </c>
      <c r="N5934">
        <v>76612036</v>
      </c>
    </row>
    <row r="5935" spans="1:14" x14ac:dyDescent="0.25">
      <c r="A5935">
        <v>62461400</v>
      </c>
      <c r="B5935" t="s">
        <v>3326</v>
      </c>
      <c r="C5935" t="s">
        <v>12783</v>
      </c>
      <c r="E5935">
        <v>3175383296</v>
      </c>
      <c r="F5935" t="s">
        <v>10591</v>
      </c>
      <c r="G5935" t="s">
        <v>10215</v>
      </c>
      <c r="I5935" t="s">
        <v>32</v>
      </c>
      <c r="J5935" s="13">
        <v>46115</v>
      </c>
      <c r="K5935" s="13">
        <v>46143</v>
      </c>
      <c r="L5935" t="s">
        <v>440</v>
      </c>
      <c r="M5935" t="s">
        <v>62</v>
      </c>
      <c r="N5935">
        <v>76612417</v>
      </c>
    </row>
    <row r="5936" spans="1:14" x14ac:dyDescent="0.25">
      <c r="A5936">
        <v>62461323</v>
      </c>
      <c r="B5936" t="s">
        <v>9800</v>
      </c>
      <c r="C5936" t="s">
        <v>12784</v>
      </c>
      <c r="D5936" t="s">
        <v>12785</v>
      </c>
      <c r="E5936">
        <v>4349606156</v>
      </c>
      <c r="F5936" t="s">
        <v>928</v>
      </c>
      <c r="G5936" t="s">
        <v>929</v>
      </c>
      <c r="I5936" t="s">
        <v>30</v>
      </c>
      <c r="J5936" s="13">
        <v>46115</v>
      </c>
      <c r="K5936" s="13">
        <v>46143</v>
      </c>
      <c r="L5936" t="s">
        <v>454</v>
      </c>
      <c r="M5936" t="s">
        <v>58</v>
      </c>
      <c r="N5936">
        <v>76613319</v>
      </c>
    </row>
    <row r="5937" spans="1:14" x14ac:dyDescent="0.25">
      <c r="A5937">
        <v>62463385</v>
      </c>
      <c r="B5937" t="s">
        <v>2600</v>
      </c>
      <c r="C5937" t="s">
        <v>12786</v>
      </c>
      <c r="D5937" t="s">
        <v>12787</v>
      </c>
      <c r="E5937">
        <v>6083592100</v>
      </c>
      <c r="F5937" t="s">
        <v>828</v>
      </c>
      <c r="G5937" t="s">
        <v>1148</v>
      </c>
      <c r="I5937" t="s">
        <v>17</v>
      </c>
      <c r="J5937" s="13">
        <v>46115</v>
      </c>
      <c r="K5937" s="13">
        <v>46143</v>
      </c>
      <c r="L5937" t="s">
        <v>675</v>
      </c>
      <c r="M5937" t="s">
        <v>58</v>
      </c>
      <c r="N5937">
        <v>76614698</v>
      </c>
    </row>
    <row r="5938" spans="1:14" x14ac:dyDescent="0.25">
      <c r="A5938">
        <v>62463461</v>
      </c>
      <c r="B5938" t="s">
        <v>12283</v>
      </c>
      <c r="C5938" t="s">
        <v>1053</v>
      </c>
      <c r="D5938" t="s">
        <v>12788</v>
      </c>
      <c r="E5938">
        <v>3137688446</v>
      </c>
      <c r="F5938" t="s">
        <v>1612</v>
      </c>
      <c r="G5938" t="s">
        <v>4811</v>
      </c>
      <c r="I5938" t="s">
        <v>322</v>
      </c>
      <c r="J5938" s="13">
        <v>46115</v>
      </c>
      <c r="K5938" s="13">
        <v>46143</v>
      </c>
      <c r="L5938" t="s">
        <v>8329</v>
      </c>
      <c r="M5938" t="s">
        <v>62</v>
      </c>
      <c r="N5938">
        <v>76615498</v>
      </c>
    </row>
    <row r="5939" spans="1:14" x14ac:dyDescent="0.25">
      <c r="A5939">
        <v>62463428</v>
      </c>
      <c r="B5939" t="s">
        <v>2399</v>
      </c>
      <c r="C5939" t="s">
        <v>12789</v>
      </c>
      <c r="D5939" t="s">
        <v>12790</v>
      </c>
      <c r="E5939">
        <v>3177484836</v>
      </c>
      <c r="F5939" t="s">
        <v>474</v>
      </c>
      <c r="G5939" t="s">
        <v>475</v>
      </c>
      <c r="I5939" t="s">
        <v>132</v>
      </c>
      <c r="J5939" s="13">
        <v>46115</v>
      </c>
      <c r="K5939" s="13">
        <v>46143</v>
      </c>
      <c r="L5939" t="s">
        <v>440</v>
      </c>
      <c r="M5939" t="s">
        <v>62</v>
      </c>
      <c r="N5939">
        <v>76615618</v>
      </c>
    </row>
    <row r="5940" spans="1:14" x14ac:dyDescent="0.25">
      <c r="A5940">
        <v>62464483</v>
      </c>
      <c r="B5940" t="s">
        <v>6128</v>
      </c>
      <c r="C5940" t="s">
        <v>8269</v>
      </c>
      <c r="D5940" t="s">
        <v>12791</v>
      </c>
      <c r="E5940">
        <v>9545157400</v>
      </c>
      <c r="F5940" t="s">
        <v>815</v>
      </c>
      <c r="G5940" t="s">
        <v>816</v>
      </c>
      <c r="I5940" t="s">
        <v>23</v>
      </c>
      <c r="J5940" s="13">
        <v>46115</v>
      </c>
      <c r="K5940" s="13">
        <v>46143</v>
      </c>
      <c r="L5940" t="s">
        <v>497</v>
      </c>
      <c r="M5940" t="s">
        <v>54</v>
      </c>
      <c r="N5940">
        <v>76617754</v>
      </c>
    </row>
    <row r="5941" spans="1:14" x14ac:dyDescent="0.25">
      <c r="A5941">
        <v>62464567</v>
      </c>
      <c r="B5941" t="s">
        <v>1038</v>
      </c>
      <c r="C5941" t="s">
        <v>10382</v>
      </c>
      <c r="D5941" t="s">
        <v>12792</v>
      </c>
      <c r="E5941">
        <v>6026902016</v>
      </c>
      <c r="F5941" t="s">
        <v>770</v>
      </c>
      <c r="G5941" t="s">
        <v>771</v>
      </c>
      <c r="I5941" t="s">
        <v>25</v>
      </c>
      <c r="J5941" s="13">
        <v>46115</v>
      </c>
      <c r="K5941" s="13">
        <v>46143</v>
      </c>
      <c r="M5941" t="s">
        <v>56</v>
      </c>
      <c r="N5941">
        <v>76618801</v>
      </c>
    </row>
    <row r="5942" spans="1:14" x14ac:dyDescent="0.25">
      <c r="A5942">
        <v>62464445</v>
      </c>
      <c r="B5942" t="s">
        <v>2636</v>
      </c>
      <c r="C5942" t="s">
        <v>477</v>
      </c>
      <c r="D5942" t="s">
        <v>12793</v>
      </c>
      <c r="E5942">
        <v>3129611257</v>
      </c>
      <c r="F5942" t="s">
        <v>667</v>
      </c>
      <c r="G5942" t="s">
        <v>668</v>
      </c>
      <c r="I5942" t="s">
        <v>37</v>
      </c>
      <c r="J5942" s="13">
        <v>46115</v>
      </c>
      <c r="K5942" s="13">
        <v>46143</v>
      </c>
      <c r="L5942" t="s">
        <v>440</v>
      </c>
      <c r="M5942" t="s">
        <v>56</v>
      </c>
      <c r="N5942">
        <v>76618832</v>
      </c>
    </row>
    <row r="5943" spans="1:14" x14ac:dyDescent="0.25">
      <c r="A5943">
        <v>62466412</v>
      </c>
      <c r="B5943" t="s">
        <v>554</v>
      </c>
      <c r="C5943" t="s">
        <v>12794</v>
      </c>
      <c r="D5943" t="s">
        <v>12795</v>
      </c>
      <c r="E5943">
        <v>6023737964</v>
      </c>
      <c r="F5943" t="s">
        <v>780</v>
      </c>
      <c r="G5943" t="s">
        <v>781</v>
      </c>
      <c r="I5943" t="s">
        <v>20</v>
      </c>
      <c r="J5943" s="13">
        <v>46115</v>
      </c>
      <c r="K5943" s="13">
        <v>46143</v>
      </c>
      <c r="L5943" t="s">
        <v>1179</v>
      </c>
      <c r="M5943" t="s">
        <v>55</v>
      </c>
      <c r="N5943">
        <v>76619914</v>
      </c>
    </row>
    <row r="5944" spans="1:14" x14ac:dyDescent="0.25">
      <c r="A5944">
        <v>62494589</v>
      </c>
      <c r="B5944" t="s">
        <v>12796</v>
      </c>
      <c r="C5944" t="s">
        <v>12797</v>
      </c>
      <c r="D5944" t="s">
        <v>12798</v>
      </c>
      <c r="E5944">
        <v>3137588200</v>
      </c>
      <c r="F5944" t="s">
        <v>667</v>
      </c>
      <c r="G5944" t="s">
        <v>668</v>
      </c>
      <c r="I5944" t="s">
        <v>37</v>
      </c>
      <c r="J5944" s="13">
        <v>46118</v>
      </c>
      <c r="K5944" s="13">
        <v>46143</v>
      </c>
      <c r="L5944" t="s">
        <v>8329</v>
      </c>
      <c r="M5944" t="s">
        <v>56</v>
      </c>
      <c r="N5944">
        <v>76624376</v>
      </c>
    </row>
    <row r="5945" spans="1:14" x14ac:dyDescent="0.25">
      <c r="A5945">
        <v>62512635</v>
      </c>
      <c r="B5945" t="s">
        <v>1167</v>
      </c>
      <c r="C5945" t="s">
        <v>12799</v>
      </c>
      <c r="D5945" t="s">
        <v>12800</v>
      </c>
      <c r="E5945">
        <v>5043130436</v>
      </c>
      <c r="F5945" t="s">
        <v>815</v>
      </c>
      <c r="G5945" t="s">
        <v>816</v>
      </c>
      <c r="I5945" t="s">
        <v>23</v>
      </c>
      <c r="J5945" s="13">
        <v>46119</v>
      </c>
      <c r="K5945" s="13">
        <v>46143</v>
      </c>
      <c r="L5945" t="s">
        <v>612</v>
      </c>
      <c r="M5945" t="s">
        <v>58</v>
      </c>
      <c r="N5945">
        <v>76669927</v>
      </c>
    </row>
    <row r="5946" spans="1:14" x14ac:dyDescent="0.25">
      <c r="A5946">
        <v>62487072</v>
      </c>
      <c r="B5946" t="s">
        <v>772</v>
      </c>
      <c r="C5946" t="s">
        <v>12801</v>
      </c>
      <c r="D5946" t="s">
        <v>12802</v>
      </c>
      <c r="E5946">
        <v>7434446813</v>
      </c>
      <c r="F5946" t="s">
        <v>628</v>
      </c>
      <c r="G5946" t="s">
        <v>629</v>
      </c>
      <c r="I5946" t="s">
        <v>24</v>
      </c>
      <c r="J5946" s="13">
        <v>46118</v>
      </c>
      <c r="K5946" s="13">
        <v>46143</v>
      </c>
      <c r="L5946" t="s">
        <v>603</v>
      </c>
      <c r="M5946" t="s">
        <v>56</v>
      </c>
      <c r="N5946">
        <v>76669974</v>
      </c>
    </row>
    <row r="5947" spans="1:14" x14ac:dyDescent="0.25">
      <c r="A5947">
        <v>62484278</v>
      </c>
      <c r="B5947" t="s">
        <v>1167</v>
      </c>
      <c r="C5947" t="s">
        <v>12803</v>
      </c>
      <c r="D5947" t="s">
        <v>12804</v>
      </c>
      <c r="E5947">
        <v>4149158191</v>
      </c>
      <c r="F5947" t="s">
        <v>551</v>
      </c>
      <c r="G5947" t="s">
        <v>552</v>
      </c>
      <c r="I5947" t="s">
        <v>42</v>
      </c>
      <c r="J5947" s="13">
        <v>46118</v>
      </c>
      <c r="K5947" s="13">
        <v>46143</v>
      </c>
      <c r="L5947" t="s">
        <v>675</v>
      </c>
      <c r="M5947" t="s">
        <v>58</v>
      </c>
      <c r="N5947">
        <v>76669981</v>
      </c>
    </row>
    <row r="5948" spans="1:14" x14ac:dyDescent="0.25">
      <c r="A5948">
        <v>62507237</v>
      </c>
      <c r="B5948" t="s">
        <v>1160</v>
      </c>
      <c r="C5948" t="s">
        <v>12805</v>
      </c>
      <c r="D5948" t="s">
        <v>12806</v>
      </c>
      <c r="E5948">
        <v>4803431455</v>
      </c>
      <c r="F5948" t="s">
        <v>807</v>
      </c>
      <c r="G5948" t="s">
        <v>808</v>
      </c>
      <c r="I5948" t="s">
        <v>33</v>
      </c>
      <c r="J5948" s="13">
        <v>46119</v>
      </c>
      <c r="K5948" s="13">
        <v>46143</v>
      </c>
      <c r="L5948" t="s">
        <v>1179</v>
      </c>
      <c r="M5948" t="s">
        <v>56</v>
      </c>
      <c r="N5948">
        <v>76670168</v>
      </c>
    </row>
    <row r="5949" spans="1:14" x14ac:dyDescent="0.25">
      <c r="A5949">
        <v>62485396</v>
      </c>
      <c r="B5949" t="s">
        <v>760</v>
      </c>
      <c r="C5949" t="s">
        <v>12807</v>
      </c>
      <c r="D5949" t="s">
        <v>12808</v>
      </c>
      <c r="E5949">
        <v>6144029015</v>
      </c>
      <c r="F5949" t="s">
        <v>2544</v>
      </c>
      <c r="G5949" t="s">
        <v>12389</v>
      </c>
      <c r="I5949" t="s">
        <v>12390</v>
      </c>
      <c r="J5949" s="13">
        <v>46118</v>
      </c>
      <c r="K5949" s="13">
        <v>46143</v>
      </c>
      <c r="L5949" t="s">
        <v>418</v>
      </c>
      <c r="M5949" t="s">
        <v>59</v>
      </c>
      <c r="N5949">
        <v>76670169</v>
      </c>
    </row>
    <row r="5950" spans="1:14" x14ac:dyDescent="0.25">
      <c r="A5950">
        <v>62485405</v>
      </c>
      <c r="B5950" t="s">
        <v>1658</v>
      </c>
      <c r="C5950" t="s">
        <v>12809</v>
      </c>
      <c r="D5950" t="s">
        <v>12810</v>
      </c>
      <c r="E5950">
        <v>6188080101</v>
      </c>
      <c r="F5950" t="s">
        <v>775</v>
      </c>
      <c r="G5950" t="s">
        <v>776</v>
      </c>
      <c r="I5950" t="s">
        <v>22</v>
      </c>
      <c r="J5950" s="13">
        <v>46118</v>
      </c>
      <c r="K5950" s="13">
        <v>46143</v>
      </c>
      <c r="L5950" t="s">
        <v>470</v>
      </c>
      <c r="M5950" t="s">
        <v>56</v>
      </c>
      <c r="N5950">
        <v>76670269</v>
      </c>
    </row>
    <row r="5951" spans="1:14" x14ac:dyDescent="0.25">
      <c r="A5951">
        <v>62486021</v>
      </c>
      <c r="B5951" t="s">
        <v>1033</v>
      </c>
      <c r="C5951" t="s">
        <v>2611</v>
      </c>
      <c r="D5951" t="s">
        <v>12811</v>
      </c>
      <c r="E5951">
        <v>4632833070</v>
      </c>
      <c r="F5951" t="s">
        <v>2544</v>
      </c>
      <c r="G5951" t="s">
        <v>4833</v>
      </c>
      <c r="I5951" t="s">
        <v>18</v>
      </c>
      <c r="J5951" s="13">
        <v>46118</v>
      </c>
      <c r="K5951" s="13">
        <v>46143</v>
      </c>
      <c r="L5951" t="s">
        <v>440</v>
      </c>
      <c r="M5951" t="s">
        <v>62</v>
      </c>
      <c r="N5951">
        <v>76670868</v>
      </c>
    </row>
    <row r="5952" spans="1:14" x14ac:dyDescent="0.25">
      <c r="A5952">
        <v>62485586</v>
      </c>
      <c r="B5952" t="s">
        <v>12812</v>
      </c>
      <c r="C5952" t="s">
        <v>477</v>
      </c>
      <c r="D5952" t="s">
        <v>12813</v>
      </c>
      <c r="E5952">
        <v>9094373762</v>
      </c>
      <c r="F5952" t="s">
        <v>416</v>
      </c>
      <c r="G5952" t="s">
        <v>417</v>
      </c>
      <c r="I5952" t="s">
        <v>26</v>
      </c>
      <c r="J5952" s="13">
        <v>46118</v>
      </c>
      <c r="K5952" s="13">
        <v>46143</v>
      </c>
      <c r="L5952" t="s">
        <v>1179</v>
      </c>
      <c r="M5952" t="s">
        <v>56</v>
      </c>
      <c r="N5952">
        <v>76671184</v>
      </c>
    </row>
    <row r="5953" spans="1:14" x14ac:dyDescent="0.25">
      <c r="A5953">
        <v>62487515</v>
      </c>
      <c r="B5953" t="s">
        <v>10028</v>
      </c>
      <c r="C5953" t="s">
        <v>12814</v>
      </c>
      <c r="D5953" t="s">
        <v>12815</v>
      </c>
      <c r="E5953">
        <v>9799222261</v>
      </c>
      <c r="F5953" t="s">
        <v>11838</v>
      </c>
      <c r="G5953" t="s">
        <v>11839</v>
      </c>
      <c r="I5953" t="s">
        <v>11840</v>
      </c>
      <c r="J5953" s="13">
        <v>46118</v>
      </c>
      <c r="K5953" s="13">
        <v>46143</v>
      </c>
      <c r="L5953" t="s">
        <v>444</v>
      </c>
      <c r="M5953" t="s">
        <v>59</v>
      </c>
      <c r="N5953">
        <v>76673108</v>
      </c>
    </row>
    <row r="5954" spans="1:14" x14ac:dyDescent="0.25">
      <c r="A5954">
        <v>62486143</v>
      </c>
      <c r="B5954" t="s">
        <v>12816</v>
      </c>
      <c r="C5954" t="s">
        <v>1220</v>
      </c>
      <c r="D5954" t="s">
        <v>12817</v>
      </c>
      <c r="E5954">
        <v>9373008356</v>
      </c>
      <c r="F5954" t="s">
        <v>688</v>
      </c>
      <c r="G5954" t="s">
        <v>10291</v>
      </c>
      <c r="I5954" t="s">
        <v>48</v>
      </c>
      <c r="J5954" s="13">
        <v>46118</v>
      </c>
      <c r="K5954" s="13">
        <v>46143</v>
      </c>
      <c r="L5954" t="s">
        <v>418</v>
      </c>
      <c r="M5954" t="s">
        <v>60</v>
      </c>
      <c r="N5954">
        <v>76674610</v>
      </c>
    </row>
    <row r="5955" spans="1:14" x14ac:dyDescent="0.25">
      <c r="A5955">
        <v>62487065</v>
      </c>
      <c r="B5955" t="s">
        <v>3191</v>
      </c>
      <c r="C5955" t="s">
        <v>12818</v>
      </c>
      <c r="D5955" t="s">
        <v>12819</v>
      </c>
      <c r="E5955">
        <v>9284522658</v>
      </c>
      <c r="F5955" t="s">
        <v>1013</v>
      </c>
      <c r="G5955" t="s">
        <v>1014</v>
      </c>
      <c r="I5955" t="s">
        <v>43</v>
      </c>
      <c r="J5955" s="13">
        <v>46118</v>
      </c>
      <c r="K5955" s="13">
        <v>46143</v>
      </c>
      <c r="L5955" t="s">
        <v>1179</v>
      </c>
      <c r="M5955" t="s">
        <v>59</v>
      </c>
      <c r="N5955">
        <v>76686349</v>
      </c>
    </row>
    <row r="5956" spans="1:14" x14ac:dyDescent="0.25">
      <c r="A5956">
        <v>62492276</v>
      </c>
      <c r="B5956" t="s">
        <v>2269</v>
      </c>
      <c r="C5956" t="s">
        <v>12820</v>
      </c>
      <c r="D5956" t="s">
        <v>12821</v>
      </c>
      <c r="E5956">
        <v>5044420966</v>
      </c>
      <c r="F5956" t="s">
        <v>815</v>
      </c>
      <c r="G5956" t="s">
        <v>816</v>
      </c>
      <c r="I5956" t="s">
        <v>23</v>
      </c>
      <c r="J5956" s="13">
        <v>46118</v>
      </c>
      <c r="K5956" s="13">
        <v>46143</v>
      </c>
      <c r="L5956" t="s">
        <v>612</v>
      </c>
      <c r="M5956" t="s">
        <v>59</v>
      </c>
      <c r="N5956">
        <v>76689220</v>
      </c>
    </row>
    <row r="5957" spans="1:14" x14ac:dyDescent="0.25">
      <c r="A5957">
        <v>62491493</v>
      </c>
      <c r="B5957" t="s">
        <v>9742</v>
      </c>
      <c r="C5957" t="s">
        <v>12822</v>
      </c>
      <c r="D5957" t="s">
        <v>12823</v>
      </c>
      <c r="E5957">
        <v>9704852702</v>
      </c>
      <c r="F5957" t="s">
        <v>11776</v>
      </c>
      <c r="G5957" t="s">
        <v>3895</v>
      </c>
      <c r="H5957" t="s">
        <v>11777</v>
      </c>
      <c r="I5957" t="s">
        <v>11778</v>
      </c>
      <c r="J5957" s="13">
        <v>46118</v>
      </c>
      <c r="K5957" s="13">
        <v>46143</v>
      </c>
      <c r="L5957" t="s">
        <v>539</v>
      </c>
      <c r="M5957" t="s">
        <v>59</v>
      </c>
      <c r="N5957">
        <v>76689972</v>
      </c>
    </row>
    <row r="5958" spans="1:14" x14ac:dyDescent="0.25">
      <c r="A5958">
        <v>62490048</v>
      </c>
      <c r="B5958" t="s">
        <v>12824</v>
      </c>
      <c r="C5958" t="s">
        <v>1917</v>
      </c>
      <c r="D5958" t="s">
        <v>12825</v>
      </c>
      <c r="E5958">
        <v>6187020097</v>
      </c>
      <c r="F5958" t="s">
        <v>1345</v>
      </c>
      <c r="G5958" t="s">
        <v>799</v>
      </c>
      <c r="I5958" t="s">
        <v>47</v>
      </c>
      <c r="J5958" s="13">
        <v>46118</v>
      </c>
      <c r="K5958" s="13">
        <v>46143</v>
      </c>
      <c r="L5958" t="s">
        <v>1179</v>
      </c>
      <c r="M5958" t="s">
        <v>54</v>
      </c>
      <c r="N5958">
        <v>76694662</v>
      </c>
    </row>
    <row r="5959" spans="1:14" x14ac:dyDescent="0.25">
      <c r="A5959">
        <v>62492472</v>
      </c>
      <c r="B5959" t="s">
        <v>5087</v>
      </c>
      <c r="C5959" t="s">
        <v>12826</v>
      </c>
      <c r="D5959" t="s">
        <v>12827</v>
      </c>
      <c r="E5959">
        <v>8037618445</v>
      </c>
      <c r="F5959" t="s">
        <v>828</v>
      </c>
      <c r="G5959" t="s">
        <v>1148</v>
      </c>
      <c r="I5959" t="s">
        <v>17</v>
      </c>
      <c r="J5959" s="13">
        <v>46118</v>
      </c>
      <c r="K5959" s="13">
        <v>46143</v>
      </c>
      <c r="L5959" t="s">
        <v>621</v>
      </c>
      <c r="M5959" t="s">
        <v>58</v>
      </c>
      <c r="N5959">
        <v>76698814</v>
      </c>
    </row>
    <row r="5960" spans="1:14" x14ac:dyDescent="0.25">
      <c r="A5960">
        <v>62539940</v>
      </c>
      <c r="B5960" t="s">
        <v>12828</v>
      </c>
      <c r="C5960" t="s">
        <v>2621</v>
      </c>
      <c r="D5960" t="s">
        <v>12829</v>
      </c>
      <c r="E5960" t="s">
        <v>12830</v>
      </c>
      <c r="F5960" t="s">
        <v>10642</v>
      </c>
      <c r="G5960" t="s">
        <v>10643</v>
      </c>
      <c r="I5960" t="s">
        <v>45</v>
      </c>
      <c r="J5960" s="13">
        <v>46120</v>
      </c>
      <c r="K5960" s="13">
        <v>46143</v>
      </c>
      <c r="L5960" t="s">
        <v>418</v>
      </c>
      <c r="M5960" t="s">
        <v>59</v>
      </c>
      <c r="N5960">
        <v>76699413</v>
      </c>
    </row>
    <row r="5961" spans="1:14" x14ac:dyDescent="0.25">
      <c r="A5961">
        <v>62498138</v>
      </c>
      <c r="B5961" t="s">
        <v>12831</v>
      </c>
      <c r="C5961" t="s">
        <v>12832</v>
      </c>
      <c r="D5961" t="s">
        <v>12833</v>
      </c>
      <c r="E5961">
        <v>2053883698</v>
      </c>
      <c r="F5961" t="s">
        <v>11838</v>
      </c>
      <c r="G5961" t="s">
        <v>11839</v>
      </c>
      <c r="I5961" t="s">
        <v>11840</v>
      </c>
      <c r="J5961" s="13">
        <v>46118</v>
      </c>
      <c r="K5961" s="13">
        <v>46143</v>
      </c>
      <c r="L5961" t="s">
        <v>450</v>
      </c>
      <c r="M5961" t="s">
        <v>59</v>
      </c>
      <c r="N5961">
        <v>76699989</v>
      </c>
    </row>
    <row r="5962" spans="1:14" x14ac:dyDescent="0.25">
      <c r="A5962">
        <v>62498298</v>
      </c>
      <c r="B5962" t="s">
        <v>867</v>
      </c>
      <c r="C5962" t="s">
        <v>1368</v>
      </c>
      <c r="D5962" t="s">
        <v>12834</v>
      </c>
      <c r="E5962">
        <v>5203593755</v>
      </c>
      <c r="F5962" t="s">
        <v>780</v>
      </c>
      <c r="G5962" t="s">
        <v>781</v>
      </c>
      <c r="I5962" t="s">
        <v>20</v>
      </c>
      <c r="J5962" s="13">
        <v>46118</v>
      </c>
      <c r="K5962" s="13">
        <v>46143</v>
      </c>
      <c r="L5962" t="s">
        <v>1179</v>
      </c>
      <c r="M5962" t="s">
        <v>59</v>
      </c>
      <c r="N5962">
        <v>76700460</v>
      </c>
    </row>
    <row r="5963" spans="1:14" x14ac:dyDescent="0.25">
      <c r="A5963">
        <v>62497511</v>
      </c>
      <c r="B5963" t="s">
        <v>1535</v>
      </c>
      <c r="C5963" t="s">
        <v>12835</v>
      </c>
      <c r="D5963" t="s">
        <v>12836</v>
      </c>
      <c r="E5963">
        <v>3146042253</v>
      </c>
      <c r="F5963" t="s">
        <v>2544</v>
      </c>
      <c r="G5963" t="s">
        <v>12389</v>
      </c>
      <c r="I5963" t="s">
        <v>12390</v>
      </c>
      <c r="J5963" s="13">
        <v>46118</v>
      </c>
      <c r="K5963" s="13">
        <v>46143</v>
      </c>
      <c r="L5963" t="s">
        <v>434</v>
      </c>
      <c r="M5963" t="s">
        <v>59</v>
      </c>
      <c r="N5963">
        <v>76700804</v>
      </c>
    </row>
    <row r="5964" spans="1:14" x14ac:dyDescent="0.25">
      <c r="A5964">
        <v>62497965</v>
      </c>
      <c r="B5964" t="s">
        <v>12440</v>
      </c>
      <c r="C5964" t="s">
        <v>12837</v>
      </c>
      <c r="D5964" t="s">
        <v>12838</v>
      </c>
      <c r="E5964">
        <v>3613021257</v>
      </c>
      <c r="F5964" t="s">
        <v>628</v>
      </c>
      <c r="G5964" t="s">
        <v>629</v>
      </c>
      <c r="I5964" t="s">
        <v>24</v>
      </c>
      <c r="J5964" s="13">
        <v>46118</v>
      </c>
      <c r="K5964" s="13">
        <v>46143</v>
      </c>
      <c r="L5964" t="s">
        <v>444</v>
      </c>
      <c r="M5964" t="s">
        <v>55</v>
      </c>
      <c r="N5964">
        <v>76702598</v>
      </c>
    </row>
    <row r="5965" spans="1:14" x14ac:dyDescent="0.25">
      <c r="A5965">
        <v>62492404</v>
      </c>
      <c r="B5965" t="s">
        <v>12839</v>
      </c>
      <c r="C5965" t="s">
        <v>8864</v>
      </c>
      <c r="D5965" t="s">
        <v>12840</v>
      </c>
      <c r="E5965">
        <v>4092677533</v>
      </c>
      <c r="F5965" t="s">
        <v>1013</v>
      </c>
      <c r="G5965" t="s">
        <v>1014</v>
      </c>
      <c r="I5965" t="s">
        <v>43</v>
      </c>
      <c r="J5965" s="13">
        <v>46118</v>
      </c>
      <c r="K5965" s="13">
        <v>46143</v>
      </c>
      <c r="L5965" t="s">
        <v>603</v>
      </c>
      <c r="M5965" t="s">
        <v>56</v>
      </c>
      <c r="N5965">
        <v>76703359</v>
      </c>
    </row>
    <row r="5966" spans="1:14" x14ac:dyDescent="0.25">
      <c r="A5966">
        <v>62498502</v>
      </c>
      <c r="B5966" t="s">
        <v>12841</v>
      </c>
      <c r="C5966" t="s">
        <v>1065</v>
      </c>
      <c r="D5966" t="s">
        <v>12842</v>
      </c>
      <c r="E5966">
        <v>9546078449</v>
      </c>
      <c r="F5966" t="s">
        <v>11745</v>
      </c>
      <c r="G5966" t="s">
        <v>6544</v>
      </c>
      <c r="I5966" t="s">
        <v>11746</v>
      </c>
      <c r="J5966" s="13">
        <v>46118</v>
      </c>
      <c r="K5966" s="13">
        <v>46143</v>
      </c>
      <c r="L5966" t="s">
        <v>497</v>
      </c>
      <c r="M5966" t="s">
        <v>59</v>
      </c>
      <c r="N5966">
        <v>76707446</v>
      </c>
    </row>
    <row r="5967" spans="1:14" x14ac:dyDescent="0.25">
      <c r="A5967">
        <v>62497895</v>
      </c>
      <c r="B5967" t="s">
        <v>12843</v>
      </c>
      <c r="C5967" t="s">
        <v>5735</v>
      </c>
      <c r="D5967" t="s">
        <v>12844</v>
      </c>
      <c r="E5967">
        <v>3304818625</v>
      </c>
      <c r="F5967" t="s">
        <v>688</v>
      </c>
      <c r="G5967" t="s">
        <v>10291</v>
      </c>
      <c r="I5967" t="s">
        <v>48</v>
      </c>
      <c r="J5967" s="13">
        <v>46118</v>
      </c>
      <c r="K5967" s="13">
        <v>46143</v>
      </c>
      <c r="L5967" t="s">
        <v>418</v>
      </c>
      <c r="M5967" t="s">
        <v>59</v>
      </c>
      <c r="N5967">
        <v>76707645</v>
      </c>
    </row>
    <row r="5968" spans="1:14" x14ac:dyDescent="0.25">
      <c r="A5968">
        <v>62519044</v>
      </c>
      <c r="B5968" t="s">
        <v>8203</v>
      </c>
      <c r="C5968" t="s">
        <v>12845</v>
      </c>
      <c r="D5968" t="s">
        <v>12846</v>
      </c>
      <c r="E5968">
        <v>5127186624</v>
      </c>
      <c r="F5968" t="s">
        <v>815</v>
      </c>
      <c r="G5968" t="s">
        <v>816</v>
      </c>
      <c r="I5968" t="s">
        <v>23</v>
      </c>
      <c r="J5968" s="13">
        <v>46119</v>
      </c>
      <c r="K5968" s="13">
        <v>46143</v>
      </c>
      <c r="L5968" t="s">
        <v>444</v>
      </c>
      <c r="M5968" t="s">
        <v>56</v>
      </c>
      <c r="N5968">
        <v>76707792</v>
      </c>
    </row>
    <row r="5969" spans="1:14" x14ac:dyDescent="0.25">
      <c r="A5969">
        <v>62498652</v>
      </c>
      <c r="B5969" t="s">
        <v>449</v>
      </c>
      <c r="C5969" t="s">
        <v>12847</v>
      </c>
      <c r="D5969" t="s">
        <v>12848</v>
      </c>
      <c r="E5969">
        <v>7203535851</v>
      </c>
      <c r="F5969" t="s">
        <v>1067</v>
      </c>
      <c r="G5969" t="s">
        <v>1068</v>
      </c>
      <c r="I5969" t="s">
        <v>35</v>
      </c>
      <c r="J5969" s="13">
        <v>46118</v>
      </c>
      <c r="K5969" s="13">
        <v>46143</v>
      </c>
      <c r="L5969" t="s">
        <v>539</v>
      </c>
      <c r="M5969" t="s">
        <v>58</v>
      </c>
      <c r="N5969">
        <v>76711054</v>
      </c>
    </row>
    <row r="5970" spans="1:14" x14ac:dyDescent="0.25">
      <c r="A5970">
        <v>62514369</v>
      </c>
      <c r="B5970" t="s">
        <v>458</v>
      </c>
      <c r="C5970" t="s">
        <v>12849</v>
      </c>
      <c r="D5970" t="s">
        <v>12850</v>
      </c>
      <c r="E5970">
        <v>5205997711</v>
      </c>
      <c r="F5970" t="s">
        <v>1013</v>
      </c>
      <c r="G5970" t="s">
        <v>1014</v>
      </c>
      <c r="I5970" t="s">
        <v>43</v>
      </c>
      <c r="J5970" s="13">
        <v>46119</v>
      </c>
      <c r="K5970" s="13">
        <v>46143</v>
      </c>
      <c r="L5970" t="s">
        <v>1179</v>
      </c>
      <c r="M5970" t="s">
        <v>54</v>
      </c>
      <c r="N5970">
        <v>76715670</v>
      </c>
    </row>
    <row r="5971" spans="1:14" x14ac:dyDescent="0.25">
      <c r="A5971">
        <v>62507336</v>
      </c>
      <c r="B5971" t="s">
        <v>651</v>
      </c>
      <c r="C5971" t="s">
        <v>12851</v>
      </c>
      <c r="D5971" t="s">
        <v>12852</v>
      </c>
      <c r="E5971" t="s">
        <v>12853</v>
      </c>
      <c r="F5971" t="s">
        <v>10460</v>
      </c>
      <c r="G5971" t="s">
        <v>6663</v>
      </c>
      <c r="I5971" t="s">
        <v>40</v>
      </c>
      <c r="J5971" s="13">
        <v>46119</v>
      </c>
      <c r="K5971" s="13">
        <v>46143</v>
      </c>
      <c r="L5971" t="s">
        <v>418</v>
      </c>
      <c r="M5971" t="s">
        <v>58</v>
      </c>
      <c r="N5971">
        <v>76761332</v>
      </c>
    </row>
    <row r="5972" spans="1:14" x14ac:dyDescent="0.25">
      <c r="A5972">
        <v>62506732</v>
      </c>
      <c r="B5972" t="s">
        <v>471</v>
      </c>
      <c r="C5972" t="s">
        <v>12854</v>
      </c>
      <c r="D5972" t="s">
        <v>12855</v>
      </c>
      <c r="E5972">
        <v>7042936078</v>
      </c>
      <c r="F5972" t="s">
        <v>1067</v>
      </c>
      <c r="G5972" t="s">
        <v>1068</v>
      </c>
      <c r="I5972" t="s">
        <v>35</v>
      </c>
      <c r="J5972" s="13">
        <v>46119</v>
      </c>
      <c r="K5972" s="13">
        <v>46143</v>
      </c>
      <c r="L5972" t="s">
        <v>603</v>
      </c>
      <c r="M5972" t="s">
        <v>56</v>
      </c>
      <c r="N5972">
        <v>76763569</v>
      </c>
    </row>
    <row r="5973" spans="1:14" x14ac:dyDescent="0.25">
      <c r="A5973">
        <v>62507356</v>
      </c>
      <c r="B5973" t="s">
        <v>2900</v>
      </c>
      <c r="C5973" t="s">
        <v>12856</v>
      </c>
      <c r="D5973" t="s">
        <v>12857</v>
      </c>
      <c r="E5973">
        <v>6155616374</v>
      </c>
      <c r="F5973" t="s">
        <v>705</v>
      </c>
      <c r="G5973" t="s">
        <v>706</v>
      </c>
      <c r="I5973" t="s">
        <v>12</v>
      </c>
      <c r="J5973" s="13">
        <v>46119</v>
      </c>
      <c r="K5973" s="13">
        <v>46143</v>
      </c>
      <c r="L5973" t="s">
        <v>479</v>
      </c>
      <c r="M5973" t="s">
        <v>55</v>
      </c>
      <c r="N5973">
        <v>76764090</v>
      </c>
    </row>
    <row r="5974" spans="1:14" x14ac:dyDescent="0.25">
      <c r="A5974">
        <v>62508113</v>
      </c>
      <c r="B5974" t="s">
        <v>9675</v>
      </c>
      <c r="C5974" t="s">
        <v>12858</v>
      </c>
      <c r="D5974" t="s">
        <v>12859</v>
      </c>
      <c r="E5974" t="s">
        <v>12860</v>
      </c>
      <c r="F5974" t="s">
        <v>628</v>
      </c>
      <c r="G5974" t="s">
        <v>629</v>
      </c>
      <c r="I5974" t="s">
        <v>24</v>
      </c>
      <c r="J5974" s="13">
        <v>46119</v>
      </c>
      <c r="K5974" s="13">
        <v>46143</v>
      </c>
      <c r="L5974" t="s">
        <v>454</v>
      </c>
      <c r="M5974" t="s">
        <v>56</v>
      </c>
      <c r="N5974">
        <v>76764264</v>
      </c>
    </row>
    <row r="5975" spans="1:14" x14ac:dyDescent="0.25">
      <c r="A5975">
        <v>62507635</v>
      </c>
      <c r="B5975" t="s">
        <v>1089</v>
      </c>
      <c r="C5975" t="s">
        <v>12861</v>
      </c>
      <c r="D5975" t="s">
        <v>12862</v>
      </c>
      <c r="E5975">
        <v>3179896024</v>
      </c>
      <c r="F5975" t="s">
        <v>2544</v>
      </c>
      <c r="G5975" t="s">
        <v>4833</v>
      </c>
      <c r="I5975" t="s">
        <v>18</v>
      </c>
      <c r="J5975" s="13">
        <v>46119</v>
      </c>
      <c r="K5975" s="13">
        <v>46143</v>
      </c>
      <c r="L5975" t="s">
        <v>440</v>
      </c>
      <c r="M5975" t="s">
        <v>419</v>
      </c>
      <c r="N5975">
        <v>76765052</v>
      </c>
    </row>
    <row r="5976" spans="1:14" x14ac:dyDescent="0.25">
      <c r="A5976">
        <v>62512517</v>
      </c>
      <c r="B5976" t="s">
        <v>11589</v>
      </c>
      <c r="C5976" t="s">
        <v>4054</v>
      </c>
      <c r="D5976" t="s">
        <v>12863</v>
      </c>
      <c r="E5976">
        <v>3055907385</v>
      </c>
      <c r="F5976" t="s">
        <v>416</v>
      </c>
      <c r="G5976" t="s">
        <v>417</v>
      </c>
      <c r="I5976" t="s">
        <v>26</v>
      </c>
      <c r="J5976" s="13">
        <v>46119</v>
      </c>
      <c r="K5976" s="13">
        <v>46143</v>
      </c>
      <c r="L5976" t="s">
        <v>497</v>
      </c>
      <c r="M5976" t="s">
        <v>58</v>
      </c>
      <c r="N5976">
        <v>76767028</v>
      </c>
    </row>
    <row r="5977" spans="1:14" x14ac:dyDescent="0.25">
      <c r="A5977">
        <v>62507012</v>
      </c>
      <c r="B5977" t="s">
        <v>1532</v>
      </c>
      <c r="C5977" t="s">
        <v>2133</v>
      </c>
      <c r="D5977" t="s">
        <v>12864</v>
      </c>
      <c r="E5977">
        <v>5673298684</v>
      </c>
      <c r="F5977" t="s">
        <v>474</v>
      </c>
      <c r="G5977" t="s">
        <v>475</v>
      </c>
      <c r="I5977" t="s">
        <v>132</v>
      </c>
      <c r="J5977" s="13">
        <v>46119</v>
      </c>
      <c r="K5977" s="13">
        <v>46143</v>
      </c>
      <c r="L5977" t="s">
        <v>418</v>
      </c>
      <c r="M5977" t="s">
        <v>60</v>
      </c>
      <c r="N5977">
        <v>76768640</v>
      </c>
    </row>
    <row r="5978" spans="1:14" x14ac:dyDescent="0.25">
      <c r="A5978">
        <v>62508471</v>
      </c>
      <c r="B5978" t="s">
        <v>2896</v>
      </c>
      <c r="C5978" t="s">
        <v>12865</v>
      </c>
      <c r="D5978" t="s">
        <v>12866</v>
      </c>
      <c r="E5978">
        <v>9048332163</v>
      </c>
      <c r="F5978" t="s">
        <v>574</v>
      </c>
      <c r="G5978" t="s">
        <v>575</v>
      </c>
      <c r="I5978" t="s">
        <v>14</v>
      </c>
      <c r="J5978" s="13">
        <v>46119</v>
      </c>
      <c r="K5978" s="13">
        <v>46143</v>
      </c>
      <c r="L5978" t="s">
        <v>612</v>
      </c>
      <c r="M5978" t="s">
        <v>59</v>
      </c>
      <c r="N5978">
        <v>76772366</v>
      </c>
    </row>
    <row r="5979" spans="1:14" x14ac:dyDescent="0.25">
      <c r="A5979">
        <v>62508638</v>
      </c>
      <c r="B5979" t="s">
        <v>12867</v>
      </c>
      <c r="C5979" t="s">
        <v>12868</v>
      </c>
      <c r="D5979" t="s">
        <v>12869</v>
      </c>
      <c r="E5979">
        <v>7727791572</v>
      </c>
      <c r="F5979" t="s">
        <v>10253</v>
      </c>
      <c r="G5979" t="s">
        <v>781</v>
      </c>
      <c r="I5979" t="s">
        <v>36</v>
      </c>
      <c r="J5979" s="13">
        <v>46119</v>
      </c>
      <c r="K5979" s="13">
        <v>46143</v>
      </c>
      <c r="L5979" t="s">
        <v>418</v>
      </c>
      <c r="M5979" t="s">
        <v>59</v>
      </c>
      <c r="N5979">
        <v>76774170</v>
      </c>
    </row>
    <row r="5980" spans="1:14" x14ac:dyDescent="0.25">
      <c r="A5980">
        <v>62508963</v>
      </c>
      <c r="B5980" t="s">
        <v>12870</v>
      </c>
      <c r="C5980" t="s">
        <v>12871</v>
      </c>
      <c r="D5980" t="s">
        <v>12872</v>
      </c>
      <c r="E5980">
        <v>8729019862</v>
      </c>
      <c r="F5980" t="s">
        <v>1013</v>
      </c>
      <c r="G5980" t="s">
        <v>1014</v>
      </c>
      <c r="I5980" t="s">
        <v>43</v>
      </c>
      <c r="J5980" s="13">
        <v>46119</v>
      </c>
      <c r="K5980" s="13">
        <v>46143</v>
      </c>
      <c r="L5980" t="s">
        <v>470</v>
      </c>
      <c r="M5980" t="s">
        <v>56</v>
      </c>
      <c r="N5980">
        <v>76775871</v>
      </c>
    </row>
    <row r="5981" spans="1:14" x14ac:dyDescent="0.25">
      <c r="A5981">
        <v>62510079</v>
      </c>
      <c r="B5981" t="s">
        <v>1041</v>
      </c>
      <c r="C5981" t="s">
        <v>12873</v>
      </c>
      <c r="D5981" t="s">
        <v>12874</v>
      </c>
      <c r="E5981">
        <v>3093710120</v>
      </c>
      <c r="F5981" t="s">
        <v>828</v>
      </c>
      <c r="G5981" t="s">
        <v>1148</v>
      </c>
      <c r="I5981" t="s">
        <v>17</v>
      </c>
      <c r="J5981" s="13">
        <v>46119</v>
      </c>
      <c r="K5981" s="13">
        <v>46143</v>
      </c>
      <c r="L5981" t="s">
        <v>470</v>
      </c>
      <c r="M5981" t="s">
        <v>56</v>
      </c>
      <c r="N5981">
        <v>76776269</v>
      </c>
    </row>
    <row r="5982" spans="1:14" x14ac:dyDescent="0.25">
      <c r="A5982">
        <v>62510073</v>
      </c>
      <c r="B5982" t="s">
        <v>2254</v>
      </c>
      <c r="C5982" t="s">
        <v>2795</v>
      </c>
      <c r="D5982" t="s">
        <v>12875</v>
      </c>
      <c r="E5982">
        <v>3303125280</v>
      </c>
      <c r="F5982" t="s">
        <v>688</v>
      </c>
      <c r="G5982" t="s">
        <v>10291</v>
      </c>
      <c r="I5982" t="s">
        <v>48</v>
      </c>
      <c r="J5982" s="13">
        <v>46119</v>
      </c>
      <c r="K5982" s="13">
        <v>46143</v>
      </c>
      <c r="L5982" t="s">
        <v>418</v>
      </c>
      <c r="M5982" t="s">
        <v>58</v>
      </c>
      <c r="N5982">
        <v>76778424</v>
      </c>
    </row>
    <row r="5983" spans="1:14" x14ac:dyDescent="0.25">
      <c r="A5983">
        <v>62511042</v>
      </c>
      <c r="B5983" t="s">
        <v>3532</v>
      </c>
      <c r="C5983" t="s">
        <v>12876</v>
      </c>
      <c r="D5983" t="s">
        <v>12877</v>
      </c>
      <c r="E5983">
        <v>4407870294</v>
      </c>
      <c r="F5983" t="s">
        <v>1612</v>
      </c>
      <c r="G5983" t="s">
        <v>4811</v>
      </c>
      <c r="I5983" t="s">
        <v>322</v>
      </c>
      <c r="J5983" s="13">
        <v>46119</v>
      </c>
      <c r="K5983" s="13">
        <v>46143</v>
      </c>
      <c r="L5983" t="s">
        <v>418</v>
      </c>
      <c r="M5983" t="s">
        <v>59</v>
      </c>
      <c r="N5983">
        <v>76779388</v>
      </c>
    </row>
    <row r="5984" spans="1:14" x14ac:dyDescent="0.25">
      <c r="A5984">
        <v>62511945</v>
      </c>
      <c r="B5984" t="s">
        <v>2188</v>
      </c>
      <c r="C5984" t="s">
        <v>12878</v>
      </c>
      <c r="D5984" t="s">
        <v>12879</v>
      </c>
      <c r="E5984" t="s">
        <v>12880</v>
      </c>
      <c r="F5984" t="s">
        <v>8440</v>
      </c>
      <c r="G5984" t="s">
        <v>12267</v>
      </c>
      <c r="I5984" t="s">
        <v>12268</v>
      </c>
      <c r="J5984" s="13">
        <v>46119</v>
      </c>
      <c r="K5984" s="13">
        <v>46143</v>
      </c>
      <c r="L5984" t="s">
        <v>444</v>
      </c>
      <c r="M5984" t="s">
        <v>59</v>
      </c>
      <c r="N5984">
        <v>76780078</v>
      </c>
    </row>
    <row r="5985" spans="1:14" x14ac:dyDescent="0.25">
      <c r="A5985">
        <v>62511278</v>
      </c>
      <c r="B5985" t="s">
        <v>1797</v>
      </c>
      <c r="C5985" t="s">
        <v>12881</v>
      </c>
      <c r="D5985" t="s">
        <v>12882</v>
      </c>
      <c r="E5985">
        <v>4406236082</v>
      </c>
      <c r="F5985" t="s">
        <v>416</v>
      </c>
      <c r="G5985" t="s">
        <v>417</v>
      </c>
      <c r="I5985" t="s">
        <v>26</v>
      </c>
      <c r="J5985" s="13">
        <v>46119</v>
      </c>
      <c r="K5985" s="13">
        <v>46143</v>
      </c>
      <c r="L5985" t="s">
        <v>1179</v>
      </c>
      <c r="M5985" t="s">
        <v>56</v>
      </c>
      <c r="N5985">
        <v>76781454</v>
      </c>
    </row>
    <row r="5986" spans="1:14" x14ac:dyDescent="0.25">
      <c r="A5986">
        <v>62510950</v>
      </c>
      <c r="B5986" t="s">
        <v>1242</v>
      </c>
      <c r="C5986" t="s">
        <v>12883</v>
      </c>
      <c r="D5986" t="s">
        <v>12884</v>
      </c>
      <c r="E5986">
        <v>9542586779</v>
      </c>
      <c r="F5986" t="s">
        <v>770</v>
      </c>
      <c r="G5986" t="s">
        <v>771</v>
      </c>
      <c r="I5986" t="s">
        <v>25</v>
      </c>
      <c r="J5986" s="13">
        <v>46119</v>
      </c>
      <c r="K5986" s="13">
        <v>46143</v>
      </c>
      <c r="L5986" t="s">
        <v>497</v>
      </c>
      <c r="M5986" t="s">
        <v>54</v>
      </c>
      <c r="N5986">
        <v>76782299</v>
      </c>
    </row>
    <row r="5987" spans="1:14" x14ac:dyDescent="0.25">
      <c r="A5987">
        <v>62510793</v>
      </c>
      <c r="B5987" t="s">
        <v>12885</v>
      </c>
      <c r="C5987" t="s">
        <v>576</v>
      </c>
      <c r="D5987" t="s">
        <v>12886</v>
      </c>
      <c r="E5987">
        <v>7732176512</v>
      </c>
      <c r="F5987" t="s">
        <v>705</v>
      </c>
      <c r="G5987" t="s">
        <v>706</v>
      </c>
      <c r="I5987" t="s">
        <v>12</v>
      </c>
      <c r="J5987" s="13">
        <v>46119</v>
      </c>
      <c r="K5987" s="13">
        <v>46143</v>
      </c>
      <c r="L5987" t="s">
        <v>470</v>
      </c>
      <c r="M5987" t="s">
        <v>62</v>
      </c>
      <c r="N5987">
        <v>76786476</v>
      </c>
    </row>
    <row r="5988" spans="1:14" x14ac:dyDescent="0.25">
      <c r="A5988">
        <v>62510895</v>
      </c>
      <c r="B5988" t="s">
        <v>6544</v>
      </c>
      <c r="C5988" t="s">
        <v>4260</v>
      </c>
      <c r="D5988" t="s">
        <v>12887</v>
      </c>
      <c r="E5988">
        <v>4174082800</v>
      </c>
      <c r="F5988" t="s">
        <v>448</v>
      </c>
      <c r="G5988" t="s">
        <v>449</v>
      </c>
      <c r="I5988" t="s">
        <v>31</v>
      </c>
      <c r="J5988" s="13">
        <v>46119</v>
      </c>
      <c r="K5988" s="13">
        <v>46143</v>
      </c>
      <c r="L5988" t="s">
        <v>434</v>
      </c>
      <c r="M5988" t="s">
        <v>59</v>
      </c>
      <c r="N5988">
        <v>76787310</v>
      </c>
    </row>
    <row r="5989" spans="1:14" x14ac:dyDescent="0.25">
      <c r="A5989">
        <v>62511701</v>
      </c>
      <c r="B5989" t="s">
        <v>12888</v>
      </c>
      <c r="C5989" t="s">
        <v>2795</v>
      </c>
      <c r="D5989" t="s">
        <v>12889</v>
      </c>
      <c r="E5989">
        <v>9285490772</v>
      </c>
      <c r="F5989" t="s">
        <v>1345</v>
      </c>
      <c r="G5989" t="s">
        <v>799</v>
      </c>
      <c r="I5989" t="s">
        <v>47</v>
      </c>
      <c r="J5989" s="13">
        <v>46119</v>
      </c>
      <c r="K5989" s="13">
        <v>46143</v>
      </c>
      <c r="L5989" t="s">
        <v>1179</v>
      </c>
      <c r="M5989" t="s">
        <v>59</v>
      </c>
      <c r="N5989">
        <v>76787934</v>
      </c>
    </row>
    <row r="5990" spans="1:14" x14ac:dyDescent="0.25">
      <c r="A5990">
        <v>62511572</v>
      </c>
      <c r="B5990" t="s">
        <v>12890</v>
      </c>
      <c r="C5990" t="s">
        <v>4054</v>
      </c>
      <c r="D5990" t="s">
        <v>12891</v>
      </c>
      <c r="E5990">
        <v>8329896973</v>
      </c>
      <c r="F5990" t="s">
        <v>1067</v>
      </c>
      <c r="G5990" t="s">
        <v>1068</v>
      </c>
      <c r="I5990" t="s">
        <v>35</v>
      </c>
      <c r="J5990" s="13">
        <v>46119</v>
      </c>
      <c r="K5990" s="13">
        <v>46143</v>
      </c>
      <c r="L5990" t="s">
        <v>444</v>
      </c>
      <c r="M5990" t="s">
        <v>56</v>
      </c>
      <c r="N5990">
        <v>76791240</v>
      </c>
    </row>
    <row r="5991" spans="1:14" x14ac:dyDescent="0.25">
      <c r="A5991">
        <v>62513269</v>
      </c>
      <c r="B5991" t="s">
        <v>6294</v>
      </c>
      <c r="C5991" t="s">
        <v>12892</v>
      </c>
      <c r="D5991" t="s">
        <v>12893</v>
      </c>
      <c r="E5991" t="s">
        <v>12894</v>
      </c>
      <c r="F5991" t="s">
        <v>2544</v>
      </c>
      <c r="G5991" t="s">
        <v>4833</v>
      </c>
      <c r="I5991" t="s">
        <v>18</v>
      </c>
      <c r="J5991" s="13">
        <v>46119</v>
      </c>
      <c r="K5991" s="13">
        <v>46143</v>
      </c>
      <c r="L5991" t="s">
        <v>470</v>
      </c>
      <c r="M5991" t="s">
        <v>60</v>
      </c>
      <c r="N5991">
        <v>76800369</v>
      </c>
    </row>
    <row r="5992" spans="1:14" x14ac:dyDescent="0.25">
      <c r="A5992">
        <v>62515028</v>
      </c>
      <c r="B5992" t="s">
        <v>1747</v>
      </c>
      <c r="C5992" t="s">
        <v>1830</v>
      </c>
      <c r="D5992" t="s">
        <v>12895</v>
      </c>
      <c r="E5992">
        <v>5012421397</v>
      </c>
      <c r="F5992" t="s">
        <v>569</v>
      </c>
      <c r="G5992" t="s">
        <v>570</v>
      </c>
      <c r="I5992" t="s">
        <v>34</v>
      </c>
      <c r="J5992" s="13">
        <v>46119</v>
      </c>
      <c r="K5992" s="13">
        <v>46143</v>
      </c>
      <c r="L5992" t="s">
        <v>553</v>
      </c>
      <c r="M5992" t="s">
        <v>56</v>
      </c>
      <c r="N5992">
        <v>76800467</v>
      </c>
    </row>
    <row r="5993" spans="1:14" x14ac:dyDescent="0.25">
      <c r="A5993">
        <v>62515168</v>
      </c>
      <c r="B5993" t="s">
        <v>3737</v>
      </c>
      <c r="C5993" t="s">
        <v>2469</v>
      </c>
      <c r="D5993" t="s">
        <v>12896</v>
      </c>
      <c r="E5993">
        <v>3365239280</v>
      </c>
      <c r="F5993" t="s">
        <v>688</v>
      </c>
      <c r="G5993" t="s">
        <v>10291</v>
      </c>
      <c r="I5993" t="s">
        <v>48</v>
      </c>
      <c r="J5993" s="13">
        <v>46119</v>
      </c>
      <c r="K5993" s="13">
        <v>46143</v>
      </c>
      <c r="L5993" t="s">
        <v>603</v>
      </c>
      <c r="M5993" t="s">
        <v>59</v>
      </c>
      <c r="N5993">
        <v>76800864</v>
      </c>
    </row>
    <row r="5994" spans="1:14" x14ac:dyDescent="0.25">
      <c r="A5994">
        <v>62516396</v>
      </c>
      <c r="B5994" t="s">
        <v>4735</v>
      </c>
      <c r="C5994" t="s">
        <v>12897</v>
      </c>
      <c r="D5994" t="s">
        <v>12898</v>
      </c>
      <c r="E5994">
        <v>9043529778</v>
      </c>
      <c r="F5994" t="s">
        <v>780</v>
      </c>
      <c r="G5994" t="s">
        <v>781</v>
      </c>
      <c r="I5994" t="s">
        <v>20</v>
      </c>
      <c r="J5994" s="13">
        <v>46119</v>
      </c>
      <c r="K5994" s="13">
        <v>46143</v>
      </c>
      <c r="L5994" t="s">
        <v>497</v>
      </c>
      <c r="M5994" t="s">
        <v>56</v>
      </c>
      <c r="N5994">
        <v>76801068</v>
      </c>
    </row>
    <row r="5995" spans="1:14" x14ac:dyDescent="0.25">
      <c r="A5995">
        <v>62516601</v>
      </c>
      <c r="B5995" t="s">
        <v>1406</v>
      </c>
      <c r="C5995" t="s">
        <v>12899</v>
      </c>
      <c r="D5995" t="s">
        <v>12900</v>
      </c>
      <c r="E5995">
        <v>2162883804</v>
      </c>
      <c r="F5995" t="s">
        <v>10253</v>
      </c>
      <c r="G5995" t="s">
        <v>781</v>
      </c>
      <c r="I5995" t="s">
        <v>36</v>
      </c>
      <c r="J5995" s="13">
        <v>46119</v>
      </c>
      <c r="K5995" s="13">
        <v>46143</v>
      </c>
      <c r="L5995" t="s">
        <v>418</v>
      </c>
      <c r="M5995" t="s">
        <v>59</v>
      </c>
      <c r="N5995">
        <v>76801120</v>
      </c>
    </row>
    <row r="5996" spans="1:14" x14ac:dyDescent="0.25">
      <c r="A5996">
        <v>62514610</v>
      </c>
      <c r="B5996" t="s">
        <v>12901</v>
      </c>
      <c r="C5996" t="s">
        <v>12902</v>
      </c>
      <c r="D5996" t="s">
        <v>12903</v>
      </c>
      <c r="E5996">
        <v>8177246007</v>
      </c>
      <c r="F5996" t="s">
        <v>448</v>
      </c>
      <c r="G5996" t="s">
        <v>449</v>
      </c>
      <c r="I5996" t="s">
        <v>31</v>
      </c>
      <c r="J5996" s="13">
        <v>46119</v>
      </c>
      <c r="K5996" s="13">
        <v>46143</v>
      </c>
      <c r="L5996" t="s">
        <v>444</v>
      </c>
      <c r="M5996" t="s">
        <v>58</v>
      </c>
      <c r="N5996">
        <v>76801351</v>
      </c>
    </row>
    <row r="5997" spans="1:14" x14ac:dyDescent="0.25">
      <c r="A5997">
        <v>62516424</v>
      </c>
      <c r="B5997" t="s">
        <v>925</v>
      </c>
      <c r="C5997" t="s">
        <v>1422</v>
      </c>
      <c r="D5997" t="s">
        <v>12904</v>
      </c>
      <c r="E5997">
        <v>7048072873</v>
      </c>
      <c r="F5997" t="s">
        <v>10460</v>
      </c>
      <c r="G5997" t="s">
        <v>6663</v>
      </c>
      <c r="I5997" t="s">
        <v>40</v>
      </c>
      <c r="J5997" s="13">
        <v>46119</v>
      </c>
      <c r="K5997" s="13">
        <v>46143</v>
      </c>
      <c r="L5997" t="s">
        <v>603</v>
      </c>
      <c r="M5997" t="s">
        <v>59</v>
      </c>
      <c r="N5997">
        <v>76802450</v>
      </c>
    </row>
    <row r="5998" spans="1:14" x14ac:dyDescent="0.25">
      <c r="A5998">
        <v>62516693</v>
      </c>
      <c r="B5998" t="s">
        <v>2614</v>
      </c>
      <c r="C5998" t="s">
        <v>12905</v>
      </c>
      <c r="D5998" t="s">
        <v>12906</v>
      </c>
      <c r="E5998" t="s">
        <v>12907</v>
      </c>
      <c r="F5998" t="s">
        <v>1612</v>
      </c>
      <c r="G5998" t="s">
        <v>4811</v>
      </c>
      <c r="I5998" t="s">
        <v>322</v>
      </c>
      <c r="J5998" s="13">
        <v>46119</v>
      </c>
      <c r="K5998" s="13">
        <v>46143</v>
      </c>
      <c r="L5998" t="s">
        <v>470</v>
      </c>
      <c r="M5998" t="s">
        <v>60</v>
      </c>
      <c r="N5998">
        <v>76802491</v>
      </c>
    </row>
    <row r="5999" spans="1:14" x14ac:dyDescent="0.25">
      <c r="A5999">
        <v>62516699</v>
      </c>
      <c r="B5999" t="s">
        <v>1784</v>
      </c>
      <c r="C5999" t="s">
        <v>12908</v>
      </c>
      <c r="D5999" t="s">
        <v>12909</v>
      </c>
      <c r="F5999" t="s">
        <v>8440</v>
      </c>
      <c r="G5999" t="s">
        <v>12267</v>
      </c>
      <c r="I5999" t="s">
        <v>12268</v>
      </c>
      <c r="J5999" s="13">
        <v>46119</v>
      </c>
      <c r="K5999" s="13">
        <v>46143</v>
      </c>
      <c r="L5999" t="s">
        <v>418</v>
      </c>
      <c r="M5999" t="s">
        <v>59</v>
      </c>
      <c r="N5999">
        <v>76805490</v>
      </c>
    </row>
    <row r="6000" spans="1:14" x14ac:dyDescent="0.25">
      <c r="A6000">
        <v>62516327</v>
      </c>
      <c r="B6000" t="s">
        <v>10969</v>
      </c>
      <c r="C6000" t="s">
        <v>12910</v>
      </c>
      <c r="D6000" t="s">
        <v>12911</v>
      </c>
      <c r="E6000">
        <v>7736733019</v>
      </c>
      <c r="F6000" t="s">
        <v>10569</v>
      </c>
      <c r="G6000" t="s">
        <v>10570</v>
      </c>
      <c r="I6000" t="s">
        <v>29</v>
      </c>
      <c r="J6000" s="13">
        <v>46119</v>
      </c>
      <c r="K6000" s="13">
        <v>46143</v>
      </c>
      <c r="L6000" t="s">
        <v>470</v>
      </c>
      <c r="M6000" t="s">
        <v>59</v>
      </c>
      <c r="N6000">
        <v>76805675</v>
      </c>
    </row>
    <row r="6001" spans="1:14" x14ac:dyDescent="0.25">
      <c r="A6001">
        <v>62516819</v>
      </c>
      <c r="B6001" t="s">
        <v>1408</v>
      </c>
      <c r="C6001" t="s">
        <v>12767</v>
      </c>
      <c r="D6001" t="s">
        <v>12912</v>
      </c>
      <c r="E6001">
        <v>3122571585</v>
      </c>
      <c r="F6001" t="s">
        <v>705</v>
      </c>
      <c r="G6001" t="s">
        <v>706</v>
      </c>
      <c r="I6001" t="s">
        <v>12</v>
      </c>
      <c r="J6001" s="13">
        <v>46119</v>
      </c>
      <c r="K6001" s="13">
        <v>46143</v>
      </c>
      <c r="L6001" t="s">
        <v>470</v>
      </c>
      <c r="M6001" t="s">
        <v>62</v>
      </c>
      <c r="N6001">
        <v>76807382</v>
      </c>
    </row>
    <row r="6002" spans="1:14" x14ac:dyDescent="0.25">
      <c r="A6002">
        <v>62517808</v>
      </c>
      <c r="B6002" t="s">
        <v>3530</v>
      </c>
      <c r="C6002" t="s">
        <v>4669</v>
      </c>
      <c r="D6002" t="s">
        <v>12913</v>
      </c>
      <c r="E6002">
        <v>5207595044</v>
      </c>
      <c r="F6002" t="s">
        <v>11745</v>
      </c>
      <c r="G6002" t="s">
        <v>6544</v>
      </c>
      <c r="I6002" t="s">
        <v>11746</v>
      </c>
      <c r="J6002" s="13">
        <v>46119</v>
      </c>
      <c r="K6002" s="13">
        <v>46143</v>
      </c>
      <c r="L6002" t="s">
        <v>1179</v>
      </c>
      <c r="M6002" t="s">
        <v>59</v>
      </c>
      <c r="N6002">
        <v>76826497</v>
      </c>
    </row>
    <row r="6003" spans="1:14" x14ac:dyDescent="0.25">
      <c r="A6003">
        <v>62516679</v>
      </c>
      <c r="B6003" t="s">
        <v>12914</v>
      </c>
      <c r="C6003" t="s">
        <v>760</v>
      </c>
      <c r="D6003" t="s">
        <v>12915</v>
      </c>
      <c r="E6003">
        <v>8652569802</v>
      </c>
      <c r="F6003" t="s">
        <v>448</v>
      </c>
      <c r="G6003" t="s">
        <v>449</v>
      </c>
      <c r="I6003" t="s">
        <v>31</v>
      </c>
      <c r="J6003" s="13">
        <v>46119</v>
      </c>
      <c r="K6003" s="13">
        <v>46143</v>
      </c>
      <c r="L6003" t="s">
        <v>479</v>
      </c>
      <c r="M6003" t="s">
        <v>58</v>
      </c>
      <c r="N6003">
        <v>76828343</v>
      </c>
    </row>
    <row r="6004" spans="1:14" x14ac:dyDescent="0.25">
      <c r="A6004">
        <v>62517594</v>
      </c>
      <c r="B6004" t="s">
        <v>2387</v>
      </c>
      <c r="C6004" t="s">
        <v>12916</v>
      </c>
      <c r="D6004" t="s">
        <v>12917</v>
      </c>
      <c r="E6004">
        <v>9545899124</v>
      </c>
      <c r="F6004" t="s">
        <v>770</v>
      </c>
      <c r="G6004" t="s">
        <v>771</v>
      </c>
      <c r="I6004" t="s">
        <v>25</v>
      </c>
      <c r="J6004" s="13">
        <v>46119</v>
      </c>
      <c r="K6004" s="13">
        <v>46143</v>
      </c>
      <c r="L6004" t="s">
        <v>497</v>
      </c>
      <c r="M6004" t="s">
        <v>54</v>
      </c>
      <c r="N6004">
        <v>76828890</v>
      </c>
    </row>
    <row r="6005" spans="1:14" x14ac:dyDescent="0.25">
      <c r="A6005">
        <v>62518778</v>
      </c>
      <c r="B6005" t="s">
        <v>10485</v>
      </c>
      <c r="C6005" t="s">
        <v>12856</v>
      </c>
      <c r="D6005" t="s">
        <v>12918</v>
      </c>
      <c r="E6005">
        <v>5132644232</v>
      </c>
      <c r="F6005" t="s">
        <v>11838</v>
      </c>
      <c r="G6005" t="s">
        <v>11839</v>
      </c>
      <c r="I6005" t="s">
        <v>11840</v>
      </c>
      <c r="J6005" s="13">
        <v>46119</v>
      </c>
      <c r="K6005" s="13">
        <v>46143</v>
      </c>
      <c r="L6005" t="s">
        <v>418</v>
      </c>
      <c r="M6005" t="s">
        <v>59</v>
      </c>
      <c r="N6005">
        <v>76830692</v>
      </c>
    </row>
    <row r="6006" spans="1:14" x14ac:dyDescent="0.25">
      <c r="A6006">
        <v>62518658</v>
      </c>
      <c r="B6006" t="s">
        <v>12919</v>
      </c>
      <c r="C6006" t="s">
        <v>1203</v>
      </c>
      <c r="D6006" t="s">
        <v>12920</v>
      </c>
      <c r="E6006">
        <v>4149754336</v>
      </c>
      <c r="F6006" t="s">
        <v>11776</v>
      </c>
      <c r="G6006" t="s">
        <v>3895</v>
      </c>
      <c r="H6006" t="s">
        <v>11777</v>
      </c>
      <c r="I6006" t="s">
        <v>11778</v>
      </c>
      <c r="J6006" s="13">
        <v>46119</v>
      </c>
      <c r="K6006" s="13">
        <v>46143</v>
      </c>
      <c r="L6006" t="s">
        <v>1179</v>
      </c>
      <c r="M6006" t="s">
        <v>54</v>
      </c>
      <c r="N6006">
        <v>76837957</v>
      </c>
    </row>
    <row r="6007" spans="1:14" x14ac:dyDescent="0.25">
      <c r="A6007">
        <v>62526850</v>
      </c>
      <c r="B6007" t="s">
        <v>5329</v>
      </c>
      <c r="C6007" t="s">
        <v>12921</v>
      </c>
      <c r="E6007">
        <v>8139978786</v>
      </c>
      <c r="F6007" t="s">
        <v>828</v>
      </c>
      <c r="G6007" t="s">
        <v>1148</v>
      </c>
      <c r="I6007" t="s">
        <v>17</v>
      </c>
      <c r="J6007" s="13">
        <v>46120</v>
      </c>
      <c r="K6007" s="13">
        <v>46143</v>
      </c>
      <c r="L6007" t="s">
        <v>497</v>
      </c>
      <c r="M6007" t="s">
        <v>59</v>
      </c>
      <c r="N6007">
        <v>76888927</v>
      </c>
    </row>
    <row r="6008" spans="1:14" x14ac:dyDescent="0.25">
      <c r="A6008">
        <v>62526496</v>
      </c>
      <c r="B6008" t="s">
        <v>548</v>
      </c>
      <c r="C6008" t="s">
        <v>2888</v>
      </c>
      <c r="D6008" t="s">
        <v>12922</v>
      </c>
      <c r="E6008">
        <v>8134319774</v>
      </c>
      <c r="F6008" t="s">
        <v>688</v>
      </c>
      <c r="G6008" t="s">
        <v>10291</v>
      </c>
      <c r="I6008" t="s">
        <v>48</v>
      </c>
      <c r="J6008" s="13">
        <v>46120</v>
      </c>
      <c r="K6008" s="13">
        <v>46143</v>
      </c>
      <c r="L6008" t="s">
        <v>497</v>
      </c>
      <c r="M6008" t="s">
        <v>61</v>
      </c>
      <c r="N6008">
        <v>76888944</v>
      </c>
    </row>
    <row r="6009" spans="1:14" x14ac:dyDescent="0.25">
      <c r="A6009">
        <v>63357893</v>
      </c>
      <c r="B6009" t="s">
        <v>909</v>
      </c>
      <c r="C6009" t="s">
        <v>12923</v>
      </c>
      <c r="D6009" t="s">
        <v>12924</v>
      </c>
      <c r="E6009">
        <v>7046226439</v>
      </c>
      <c r="F6009" t="s">
        <v>10460</v>
      </c>
      <c r="G6009" t="s">
        <v>6663</v>
      </c>
      <c r="I6009" t="s">
        <v>40</v>
      </c>
      <c r="J6009" s="13">
        <v>46135</v>
      </c>
      <c r="K6009" s="13">
        <v>46143</v>
      </c>
      <c r="L6009" t="s">
        <v>603</v>
      </c>
      <c r="M6009" t="s">
        <v>56</v>
      </c>
      <c r="N6009">
        <v>76891239</v>
      </c>
    </row>
    <row r="6010" spans="1:14" x14ac:dyDescent="0.25">
      <c r="A6010">
        <v>62528150</v>
      </c>
      <c r="B6010" t="s">
        <v>7615</v>
      </c>
      <c r="C6010" t="s">
        <v>12925</v>
      </c>
      <c r="D6010" t="s">
        <v>12926</v>
      </c>
      <c r="E6010">
        <v>4699848828</v>
      </c>
      <c r="F6010" t="s">
        <v>775</v>
      </c>
      <c r="G6010" t="s">
        <v>776</v>
      </c>
      <c r="I6010" t="s">
        <v>22</v>
      </c>
      <c r="J6010" s="13">
        <v>46120</v>
      </c>
      <c r="K6010" s="13">
        <v>46143</v>
      </c>
      <c r="L6010" t="s">
        <v>444</v>
      </c>
      <c r="M6010" t="s">
        <v>56</v>
      </c>
      <c r="N6010">
        <v>76892403</v>
      </c>
    </row>
    <row r="6011" spans="1:14" x14ac:dyDescent="0.25">
      <c r="A6011">
        <v>62528743</v>
      </c>
      <c r="B6011" t="s">
        <v>1905</v>
      </c>
      <c r="C6011" t="s">
        <v>3284</v>
      </c>
      <c r="D6011" t="s">
        <v>12927</v>
      </c>
      <c r="E6011">
        <v>9017156571</v>
      </c>
      <c r="F6011" t="s">
        <v>667</v>
      </c>
      <c r="G6011" t="s">
        <v>668</v>
      </c>
      <c r="I6011" t="s">
        <v>37</v>
      </c>
      <c r="J6011" s="13">
        <v>46120</v>
      </c>
      <c r="K6011" s="13">
        <v>46143</v>
      </c>
      <c r="L6011" t="s">
        <v>479</v>
      </c>
      <c r="M6011" t="s">
        <v>56</v>
      </c>
      <c r="N6011">
        <v>76894820</v>
      </c>
    </row>
    <row r="6012" spans="1:14" x14ac:dyDescent="0.25">
      <c r="A6012">
        <v>62528191</v>
      </c>
      <c r="B6012" t="s">
        <v>629</v>
      </c>
      <c r="C6012" t="s">
        <v>12928</v>
      </c>
      <c r="D6012" t="s">
        <v>12929</v>
      </c>
      <c r="E6012">
        <v>4406875268</v>
      </c>
      <c r="F6012" t="s">
        <v>574</v>
      </c>
      <c r="G6012" t="s">
        <v>575</v>
      </c>
      <c r="I6012" t="s">
        <v>14</v>
      </c>
      <c r="J6012" s="13">
        <v>46120</v>
      </c>
      <c r="K6012" s="13">
        <v>46143</v>
      </c>
      <c r="L6012" t="s">
        <v>418</v>
      </c>
      <c r="M6012" t="s">
        <v>59</v>
      </c>
      <c r="N6012">
        <v>76896260</v>
      </c>
    </row>
    <row r="6013" spans="1:14" x14ac:dyDescent="0.25">
      <c r="A6013">
        <v>62529740</v>
      </c>
      <c r="B6013" t="s">
        <v>12930</v>
      </c>
      <c r="C6013" t="s">
        <v>2614</v>
      </c>
      <c r="D6013" t="s">
        <v>12931</v>
      </c>
      <c r="E6013">
        <v>6025659373</v>
      </c>
      <c r="F6013" t="s">
        <v>807</v>
      </c>
      <c r="G6013" t="s">
        <v>808</v>
      </c>
      <c r="I6013" t="s">
        <v>33</v>
      </c>
      <c r="J6013" s="13">
        <v>46120</v>
      </c>
      <c r="K6013" s="13">
        <v>46143</v>
      </c>
      <c r="L6013" t="s">
        <v>1179</v>
      </c>
      <c r="M6013" t="s">
        <v>56</v>
      </c>
      <c r="N6013">
        <v>76897286</v>
      </c>
    </row>
    <row r="6014" spans="1:14" x14ac:dyDescent="0.25">
      <c r="A6014">
        <v>62529024</v>
      </c>
      <c r="B6014" t="s">
        <v>12932</v>
      </c>
      <c r="C6014" t="s">
        <v>546</v>
      </c>
      <c r="D6014" t="s">
        <v>12933</v>
      </c>
      <c r="E6014">
        <v>2164216415</v>
      </c>
      <c r="F6014" t="s">
        <v>10569</v>
      </c>
      <c r="G6014" t="s">
        <v>10570</v>
      </c>
      <c r="I6014" t="s">
        <v>29</v>
      </c>
      <c r="J6014" s="13">
        <v>46120</v>
      </c>
      <c r="K6014" s="13">
        <v>46143</v>
      </c>
      <c r="L6014" t="s">
        <v>418</v>
      </c>
      <c r="M6014" t="s">
        <v>59</v>
      </c>
      <c r="N6014">
        <v>76898550</v>
      </c>
    </row>
    <row r="6015" spans="1:14" x14ac:dyDescent="0.25">
      <c r="A6015">
        <v>62531872</v>
      </c>
      <c r="B6015" t="s">
        <v>1406</v>
      </c>
      <c r="C6015" t="s">
        <v>12934</v>
      </c>
      <c r="D6015" t="s">
        <v>12935</v>
      </c>
      <c r="E6015">
        <v>7576513322</v>
      </c>
      <c r="F6015" t="s">
        <v>628</v>
      </c>
      <c r="G6015" t="s">
        <v>629</v>
      </c>
      <c r="I6015" t="s">
        <v>24</v>
      </c>
      <c r="J6015" s="13">
        <v>46120</v>
      </c>
      <c r="K6015" s="13">
        <v>46143</v>
      </c>
      <c r="L6015" t="s">
        <v>454</v>
      </c>
      <c r="M6015" t="s">
        <v>56</v>
      </c>
      <c r="N6015">
        <v>76898767</v>
      </c>
    </row>
    <row r="6016" spans="1:14" x14ac:dyDescent="0.25">
      <c r="A6016">
        <v>62529224</v>
      </c>
      <c r="B6016" t="s">
        <v>1029</v>
      </c>
      <c r="C6016" t="s">
        <v>12936</v>
      </c>
      <c r="D6016" t="s">
        <v>12937</v>
      </c>
      <c r="E6016">
        <v>7574061345</v>
      </c>
      <c r="F6016" t="s">
        <v>448</v>
      </c>
      <c r="G6016" t="s">
        <v>449</v>
      </c>
      <c r="I6016" t="s">
        <v>31</v>
      </c>
      <c r="J6016" s="13">
        <v>46120</v>
      </c>
      <c r="K6016" s="13">
        <v>46143</v>
      </c>
      <c r="L6016" t="s">
        <v>454</v>
      </c>
      <c r="M6016" t="s">
        <v>56</v>
      </c>
      <c r="N6016">
        <v>76898918</v>
      </c>
    </row>
    <row r="6017" spans="1:14" x14ac:dyDescent="0.25">
      <c r="A6017">
        <v>62529359</v>
      </c>
      <c r="B6017" t="s">
        <v>12938</v>
      </c>
      <c r="C6017" t="s">
        <v>12939</v>
      </c>
      <c r="D6017" t="s">
        <v>12940</v>
      </c>
      <c r="E6017">
        <v>6786379405</v>
      </c>
      <c r="F6017" t="s">
        <v>928</v>
      </c>
      <c r="G6017" t="s">
        <v>929</v>
      </c>
      <c r="I6017" t="s">
        <v>30</v>
      </c>
      <c r="J6017" s="13">
        <v>46120</v>
      </c>
      <c r="K6017" s="13">
        <v>46143</v>
      </c>
      <c r="L6017" t="s">
        <v>621</v>
      </c>
      <c r="M6017" t="s">
        <v>59</v>
      </c>
      <c r="N6017">
        <v>76901087</v>
      </c>
    </row>
    <row r="6018" spans="1:14" x14ac:dyDescent="0.25">
      <c r="A6018">
        <v>62529368</v>
      </c>
      <c r="B6018" t="s">
        <v>2071</v>
      </c>
      <c r="C6018" t="s">
        <v>12941</v>
      </c>
      <c r="D6018" t="s">
        <v>12942</v>
      </c>
      <c r="E6018">
        <v>2192407240</v>
      </c>
      <c r="F6018" t="s">
        <v>2544</v>
      </c>
      <c r="G6018" t="s">
        <v>4833</v>
      </c>
      <c r="I6018" t="s">
        <v>18</v>
      </c>
      <c r="J6018" s="13">
        <v>46120</v>
      </c>
      <c r="K6018" s="13">
        <v>46143</v>
      </c>
      <c r="L6018" t="s">
        <v>440</v>
      </c>
      <c r="M6018" t="s">
        <v>59</v>
      </c>
      <c r="N6018">
        <v>76901718</v>
      </c>
    </row>
    <row r="6019" spans="1:14" x14ac:dyDescent="0.25">
      <c r="A6019">
        <v>62529344</v>
      </c>
      <c r="B6019" t="s">
        <v>876</v>
      </c>
      <c r="C6019" t="s">
        <v>12943</v>
      </c>
      <c r="D6019" t="s">
        <v>12944</v>
      </c>
      <c r="E6019">
        <v>8329068369</v>
      </c>
      <c r="F6019" t="s">
        <v>1067</v>
      </c>
      <c r="G6019" t="s">
        <v>1068</v>
      </c>
      <c r="I6019" t="s">
        <v>35</v>
      </c>
      <c r="J6019" s="13">
        <v>46120</v>
      </c>
      <c r="K6019" s="13">
        <v>46143</v>
      </c>
      <c r="L6019" t="s">
        <v>444</v>
      </c>
      <c r="M6019" t="s">
        <v>58</v>
      </c>
      <c r="N6019">
        <v>76904618</v>
      </c>
    </row>
    <row r="6020" spans="1:14" x14ac:dyDescent="0.25">
      <c r="A6020">
        <v>62530858</v>
      </c>
      <c r="B6020" t="s">
        <v>2893</v>
      </c>
      <c r="C6020" t="s">
        <v>12945</v>
      </c>
      <c r="D6020" t="s">
        <v>12946</v>
      </c>
      <c r="E6020">
        <v>7275643101</v>
      </c>
      <c r="F6020" t="s">
        <v>770</v>
      </c>
      <c r="G6020" t="s">
        <v>771</v>
      </c>
      <c r="I6020" t="s">
        <v>25</v>
      </c>
      <c r="J6020" s="13">
        <v>46120</v>
      </c>
      <c r="K6020" s="13">
        <v>46143</v>
      </c>
      <c r="L6020" t="s">
        <v>497</v>
      </c>
      <c r="M6020" t="s">
        <v>58</v>
      </c>
      <c r="N6020">
        <v>76905701</v>
      </c>
    </row>
    <row r="6021" spans="1:14" x14ac:dyDescent="0.25">
      <c r="A6021">
        <v>62532002</v>
      </c>
      <c r="B6021" t="s">
        <v>12947</v>
      </c>
      <c r="C6021" t="s">
        <v>1195</v>
      </c>
      <c r="D6021" t="s">
        <v>12948</v>
      </c>
      <c r="E6021">
        <v>7868972464</v>
      </c>
      <c r="F6021" t="s">
        <v>828</v>
      </c>
      <c r="G6021" t="s">
        <v>1148</v>
      </c>
      <c r="I6021" t="s">
        <v>17</v>
      </c>
      <c r="J6021" s="13">
        <v>46120</v>
      </c>
      <c r="K6021" s="13">
        <v>46143</v>
      </c>
      <c r="L6021" t="s">
        <v>490</v>
      </c>
      <c r="M6021" t="s">
        <v>56</v>
      </c>
      <c r="N6021">
        <v>76912863</v>
      </c>
    </row>
    <row r="6022" spans="1:14" x14ac:dyDescent="0.25">
      <c r="A6022">
        <v>62532029</v>
      </c>
      <c r="B6022" t="s">
        <v>3561</v>
      </c>
      <c r="C6022" t="s">
        <v>7179</v>
      </c>
      <c r="D6022" t="s">
        <v>12949</v>
      </c>
      <c r="E6022">
        <v>8645250562</v>
      </c>
      <c r="F6022" t="s">
        <v>1067</v>
      </c>
      <c r="G6022" t="s">
        <v>1068</v>
      </c>
      <c r="I6022" t="s">
        <v>35</v>
      </c>
      <c r="J6022" s="13">
        <v>46120</v>
      </c>
      <c r="K6022" s="13">
        <v>46143</v>
      </c>
      <c r="L6022" t="s">
        <v>533</v>
      </c>
      <c r="M6022" t="s">
        <v>56</v>
      </c>
      <c r="N6022">
        <v>76959502</v>
      </c>
    </row>
    <row r="6023" spans="1:14" x14ac:dyDescent="0.25">
      <c r="A6023">
        <v>62532094</v>
      </c>
      <c r="B6023" t="s">
        <v>669</v>
      </c>
      <c r="C6023" t="s">
        <v>12950</v>
      </c>
      <c r="D6023" t="s">
        <v>12951</v>
      </c>
      <c r="E6023">
        <v>3307199991</v>
      </c>
      <c r="F6023" t="s">
        <v>11838</v>
      </c>
      <c r="G6023" t="s">
        <v>11839</v>
      </c>
      <c r="I6023" t="s">
        <v>11840</v>
      </c>
      <c r="J6023" s="13">
        <v>46120</v>
      </c>
      <c r="K6023" s="13">
        <v>46143</v>
      </c>
      <c r="L6023" t="s">
        <v>418</v>
      </c>
      <c r="M6023" t="s">
        <v>59</v>
      </c>
      <c r="N6023">
        <v>76963489</v>
      </c>
    </row>
    <row r="6024" spans="1:14" x14ac:dyDescent="0.25">
      <c r="A6024">
        <v>62533052</v>
      </c>
      <c r="B6024" t="s">
        <v>3025</v>
      </c>
      <c r="C6024" t="s">
        <v>12952</v>
      </c>
      <c r="D6024" t="s">
        <v>12953</v>
      </c>
      <c r="E6024">
        <v>7655248381</v>
      </c>
      <c r="F6024" t="s">
        <v>2544</v>
      </c>
      <c r="G6024" t="s">
        <v>4833</v>
      </c>
      <c r="I6024" t="s">
        <v>18</v>
      </c>
      <c r="J6024" s="13">
        <v>46120</v>
      </c>
      <c r="K6024" s="13">
        <v>46143</v>
      </c>
      <c r="L6024" t="s">
        <v>440</v>
      </c>
      <c r="M6024" t="s">
        <v>59</v>
      </c>
      <c r="N6024">
        <v>76979797</v>
      </c>
    </row>
    <row r="6025" spans="1:14" x14ac:dyDescent="0.25">
      <c r="A6025">
        <v>62533519</v>
      </c>
      <c r="B6025" t="s">
        <v>12816</v>
      </c>
      <c r="C6025" t="s">
        <v>12954</v>
      </c>
      <c r="D6025" t="s">
        <v>12955</v>
      </c>
      <c r="E6025">
        <v>4408133079</v>
      </c>
      <c r="F6025" t="s">
        <v>705</v>
      </c>
      <c r="G6025" t="s">
        <v>706</v>
      </c>
      <c r="I6025" t="s">
        <v>12</v>
      </c>
      <c r="J6025" s="13">
        <v>46120</v>
      </c>
      <c r="K6025" s="13">
        <v>46143</v>
      </c>
      <c r="L6025" t="s">
        <v>418</v>
      </c>
      <c r="M6025" t="s">
        <v>58</v>
      </c>
      <c r="N6025">
        <v>76989469</v>
      </c>
    </row>
    <row r="6026" spans="1:14" x14ac:dyDescent="0.25">
      <c r="A6026">
        <v>62534692</v>
      </c>
      <c r="B6026" t="s">
        <v>12956</v>
      </c>
      <c r="C6026" t="s">
        <v>12957</v>
      </c>
      <c r="D6026" t="s">
        <v>12958</v>
      </c>
      <c r="E6026">
        <v>3173546855</v>
      </c>
      <c r="F6026" t="s">
        <v>574</v>
      </c>
      <c r="G6026" t="s">
        <v>575</v>
      </c>
      <c r="I6026" t="s">
        <v>14</v>
      </c>
      <c r="J6026" s="13">
        <v>46120</v>
      </c>
      <c r="K6026" s="13">
        <v>46143</v>
      </c>
      <c r="L6026" t="s">
        <v>440</v>
      </c>
      <c r="M6026" t="s">
        <v>59</v>
      </c>
      <c r="N6026">
        <v>76994861</v>
      </c>
    </row>
    <row r="6027" spans="1:14" x14ac:dyDescent="0.25">
      <c r="A6027">
        <v>62536521</v>
      </c>
      <c r="B6027" t="s">
        <v>12959</v>
      </c>
      <c r="C6027" t="s">
        <v>12960</v>
      </c>
      <c r="D6027" t="s">
        <v>12961</v>
      </c>
      <c r="E6027" t="s">
        <v>12962</v>
      </c>
      <c r="F6027" t="s">
        <v>649</v>
      </c>
      <c r="G6027" t="s">
        <v>650</v>
      </c>
      <c r="I6027" t="s">
        <v>28</v>
      </c>
      <c r="J6027" s="13">
        <v>46120</v>
      </c>
      <c r="K6027" s="13">
        <v>46143</v>
      </c>
      <c r="L6027" t="s">
        <v>470</v>
      </c>
      <c r="M6027" t="s">
        <v>62</v>
      </c>
      <c r="N6027">
        <v>77010881</v>
      </c>
    </row>
    <row r="6028" spans="1:14" x14ac:dyDescent="0.25">
      <c r="A6028">
        <v>62545182</v>
      </c>
      <c r="B6028" t="s">
        <v>12963</v>
      </c>
      <c r="C6028" t="s">
        <v>12964</v>
      </c>
      <c r="D6028" t="s">
        <v>12965</v>
      </c>
      <c r="E6028">
        <v>4043458366</v>
      </c>
      <c r="F6028" t="s">
        <v>628</v>
      </c>
      <c r="G6028" t="s">
        <v>629</v>
      </c>
      <c r="I6028" t="s">
        <v>24</v>
      </c>
      <c r="J6028" s="13">
        <v>46120</v>
      </c>
      <c r="K6028" s="13">
        <v>46143</v>
      </c>
      <c r="L6028" t="s">
        <v>621</v>
      </c>
      <c r="M6028" t="s">
        <v>55</v>
      </c>
      <c r="N6028">
        <v>77011004</v>
      </c>
    </row>
    <row r="6029" spans="1:14" x14ac:dyDescent="0.25">
      <c r="A6029">
        <v>62548300</v>
      </c>
      <c r="B6029" t="s">
        <v>709</v>
      </c>
      <c r="C6029" t="s">
        <v>12966</v>
      </c>
      <c r="D6029" t="s">
        <v>12967</v>
      </c>
      <c r="E6029">
        <v>7205564912</v>
      </c>
      <c r="F6029" t="s">
        <v>11745</v>
      </c>
      <c r="G6029" t="s">
        <v>6544</v>
      </c>
      <c r="I6029" t="s">
        <v>11746</v>
      </c>
      <c r="J6029" s="13">
        <v>46120</v>
      </c>
      <c r="K6029" s="13">
        <v>46143</v>
      </c>
      <c r="L6029" t="s">
        <v>1179</v>
      </c>
      <c r="M6029" t="s">
        <v>54</v>
      </c>
      <c r="N6029">
        <v>77011034</v>
      </c>
    </row>
    <row r="6030" spans="1:14" x14ac:dyDescent="0.25">
      <c r="A6030">
        <v>62546644</v>
      </c>
      <c r="B6030" t="s">
        <v>3032</v>
      </c>
      <c r="C6030" t="s">
        <v>12968</v>
      </c>
      <c r="D6030" t="s">
        <v>12969</v>
      </c>
      <c r="E6030">
        <v>9044709149</v>
      </c>
      <c r="F6030" t="s">
        <v>1345</v>
      </c>
      <c r="G6030" t="s">
        <v>799</v>
      </c>
      <c r="I6030" t="s">
        <v>47</v>
      </c>
      <c r="J6030" s="13">
        <v>46120</v>
      </c>
      <c r="K6030" s="13">
        <v>46143</v>
      </c>
      <c r="L6030" t="s">
        <v>497</v>
      </c>
      <c r="M6030" t="s">
        <v>58</v>
      </c>
      <c r="N6030">
        <v>77011545</v>
      </c>
    </row>
    <row r="6031" spans="1:14" x14ac:dyDescent="0.25">
      <c r="A6031">
        <v>62558860</v>
      </c>
      <c r="B6031" t="s">
        <v>10028</v>
      </c>
      <c r="C6031" t="s">
        <v>12576</v>
      </c>
      <c r="D6031" t="s">
        <v>12970</v>
      </c>
      <c r="E6031">
        <v>7085131554</v>
      </c>
      <c r="F6031" t="s">
        <v>10253</v>
      </c>
      <c r="G6031" t="s">
        <v>781</v>
      </c>
      <c r="I6031" t="s">
        <v>36</v>
      </c>
      <c r="J6031" s="13">
        <v>46120</v>
      </c>
      <c r="K6031" s="13">
        <v>46143</v>
      </c>
      <c r="L6031" t="s">
        <v>470</v>
      </c>
      <c r="M6031" t="s">
        <v>59</v>
      </c>
      <c r="N6031">
        <v>77012728</v>
      </c>
    </row>
    <row r="6032" spans="1:14" x14ac:dyDescent="0.25">
      <c r="A6032">
        <v>62563664</v>
      </c>
      <c r="B6032" t="s">
        <v>12971</v>
      </c>
      <c r="C6032" t="s">
        <v>12972</v>
      </c>
      <c r="D6032" t="s">
        <v>12973</v>
      </c>
      <c r="E6032">
        <v>5202735918</v>
      </c>
      <c r="F6032" t="s">
        <v>2544</v>
      </c>
      <c r="G6032" t="s">
        <v>12389</v>
      </c>
      <c r="I6032" t="s">
        <v>12390</v>
      </c>
      <c r="J6032" s="13">
        <v>46120</v>
      </c>
      <c r="K6032" s="13">
        <v>46143</v>
      </c>
      <c r="L6032" t="s">
        <v>1179</v>
      </c>
      <c r="M6032" t="s">
        <v>54</v>
      </c>
      <c r="N6032">
        <v>77021318</v>
      </c>
    </row>
    <row r="6033" spans="1:14" x14ac:dyDescent="0.25">
      <c r="A6033">
        <v>62570706</v>
      </c>
      <c r="B6033" t="s">
        <v>1170</v>
      </c>
      <c r="C6033" t="s">
        <v>12974</v>
      </c>
      <c r="D6033" t="s">
        <v>12975</v>
      </c>
      <c r="E6033">
        <v>9284018327</v>
      </c>
      <c r="F6033" t="s">
        <v>780</v>
      </c>
      <c r="G6033" t="s">
        <v>781</v>
      </c>
      <c r="I6033" t="s">
        <v>20</v>
      </c>
      <c r="J6033" s="13">
        <v>46120</v>
      </c>
      <c r="K6033" s="13">
        <v>46143</v>
      </c>
      <c r="L6033" t="s">
        <v>1179</v>
      </c>
      <c r="M6033" t="s">
        <v>54</v>
      </c>
      <c r="N6033">
        <v>77021917</v>
      </c>
    </row>
    <row r="6034" spans="1:14" x14ac:dyDescent="0.25">
      <c r="A6034">
        <v>62540019</v>
      </c>
      <c r="B6034" t="s">
        <v>1699</v>
      </c>
      <c r="C6034" t="s">
        <v>12976</v>
      </c>
      <c r="D6034" t="s">
        <v>12977</v>
      </c>
      <c r="E6034">
        <v>8593409679</v>
      </c>
      <c r="F6034" t="s">
        <v>448</v>
      </c>
      <c r="G6034" t="s">
        <v>449</v>
      </c>
      <c r="I6034" t="s">
        <v>31</v>
      </c>
      <c r="J6034" s="13">
        <v>46120</v>
      </c>
      <c r="K6034" s="13">
        <v>46143</v>
      </c>
      <c r="L6034" t="s">
        <v>490</v>
      </c>
      <c r="M6034" t="s">
        <v>61</v>
      </c>
      <c r="N6034">
        <v>77022185</v>
      </c>
    </row>
    <row r="6035" spans="1:14" x14ac:dyDescent="0.25">
      <c r="A6035">
        <v>62556606</v>
      </c>
      <c r="B6035" t="s">
        <v>1041</v>
      </c>
      <c r="C6035" t="s">
        <v>8824</v>
      </c>
      <c r="D6035" t="s">
        <v>12978</v>
      </c>
      <c r="E6035">
        <v>4192104544</v>
      </c>
      <c r="F6035" t="s">
        <v>474</v>
      </c>
      <c r="G6035" t="s">
        <v>475</v>
      </c>
      <c r="I6035" t="s">
        <v>132</v>
      </c>
      <c r="J6035" s="13">
        <v>46120</v>
      </c>
      <c r="K6035" s="13">
        <v>46143</v>
      </c>
      <c r="L6035" t="s">
        <v>418</v>
      </c>
      <c r="M6035" t="s">
        <v>56</v>
      </c>
      <c r="N6035">
        <v>77024354</v>
      </c>
    </row>
    <row r="6036" spans="1:14" x14ac:dyDescent="0.25">
      <c r="A6036">
        <v>62565245</v>
      </c>
      <c r="B6036" t="s">
        <v>3561</v>
      </c>
      <c r="C6036" t="s">
        <v>8646</v>
      </c>
      <c r="D6036" t="s">
        <v>12979</v>
      </c>
      <c r="E6036">
        <v>7733015462</v>
      </c>
      <c r="F6036" t="s">
        <v>667</v>
      </c>
      <c r="G6036" t="s">
        <v>668</v>
      </c>
      <c r="I6036" t="s">
        <v>37</v>
      </c>
      <c r="J6036" s="13">
        <v>46120</v>
      </c>
      <c r="K6036" s="13">
        <v>46143</v>
      </c>
      <c r="L6036" t="s">
        <v>470</v>
      </c>
      <c r="M6036" t="s">
        <v>56</v>
      </c>
      <c r="N6036">
        <v>77024440</v>
      </c>
    </row>
    <row r="6037" spans="1:14" x14ac:dyDescent="0.25">
      <c r="A6037">
        <v>62568328</v>
      </c>
      <c r="B6037" t="s">
        <v>1472</v>
      </c>
      <c r="C6037" t="s">
        <v>12980</v>
      </c>
      <c r="D6037" t="s">
        <v>12981</v>
      </c>
      <c r="E6037">
        <v>6304403707</v>
      </c>
      <c r="F6037" t="s">
        <v>10591</v>
      </c>
      <c r="G6037" t="s">
        <v>10215</v>
      </c>
      <c r="I6037" t="s">
        <v>32</v>
      </c>
      <c r="J6037" s="13">
        <v>46120</v>
      </c>
      <c r="K6037" s="13">
        <v>46143</v>
      </c>
      <c r="L6037" t="s">
        <v>470</v>
      </c>
      <c r="M6037" t="s">
        <v>62</v>
      </c>
      <c r="N6037">
        <v>77029708</v>
      </c>
    </row>
    <row r="6038" spans="1:14" x14ac:dyDescent="0.25">
      <c r="A6038">
        <v>62575590</v>
      </c>
      <c r="B6038" t="s">
        <v>12982</v>
      </c>
      <c r="C6038" t="s">
        <v>10848</v>
      </c>
      <c r="D6038" t="s">
        <v>12983</v>
      </c>
      <c r="E6038">
        <v>2146299331</v>
      </c>
      <c r="F6038" t="s">
        <v>688</v>
      </c>
      <c r="G6038" t="s">
        <v>10291</v>
      </c>
      <c r="I6038" t="s">
        <v>48</v>
      </c>
      <c r="J6038" s="13">
        <v>46120</v>
      </c>
      <c r="K6038" s="13">
        <v>46143</v>
      </c>
      <c r="L6038" t="s">
        <v>444</v>
      </c>
      <c r="M6038" t="s">
        <v>56</v>
      </c>
      <c r="N6038">
        <v>77031516</v>
      </c>
    </row>
    <row r="6039" spans="1:14" x14ac:dyDescent="0.25">
      <c r="A6039">
        <v>62578326</v>
      </c>
      <c r="B6039" t="s">
        <v>2323</v>
      </c>
      <c r="C6039" t="s">
        <v>12984</v>
      </c>
      <c r="D6039" t="s">
        <v>12985</v>
      </c>
      <c r="E6039">
        <v>3369091163</v>
      </c>
      <c r="F6039" t="s">
        <v>705</v>
      </c>
      <c r="G6039" t="s">
        <v>706</v>
      </c>
      <c r="I6039" t="s">
        <v>12</v>
      </c>
      <c r="J6039" s="13">
        <v>46120</v>
      </c>
      <c r="K6039" s="13">
        <v>46143</v>
      </c>
      <c r="L6039" t="s">
        <v>603</v>
      </c>
      <c r="M6039" t="s">
        <v>56</v>
      </c>
      <c r="N6039">
        <v>77033420</v>
      </c>
    </row>
    <row r="6040" spans="1:14" x14ac:dyDescent="0.25">
      <c r="A6040">
        <v>62608512</v>
      </c>
      <c r="B6040" t="s">
        <v>1024</v>
      </c>
      <c r="C6040" t="s">
        <v>12986</v>
      </c>
      <c r="D6040" t="s">
        <v>12987</v>
      </c>
      <c r="E6040">
        <v>4802494101</v>
      </c>
      <c r="F6040" t="s">
        <v>1013</v>
      </c>
      <c r="G6040" t="s">
        <v>1014</v>
      </c>
      <c r="I6040" t="s">
        <v>43</v>
      </c>
      <c r="J6040" s="13">
        <v>46121</v>
      </c>
      <c r="K6040" s="13">
        <v>46143</v>
      </c>
      <c r="L6040" t="s">
        <v>1179</v>
      </c>
      <c r="M6040" t="s">
        <v>54</v>
      </c>
      <c r="N6040">
        <v>77039985</v>
      </c>
    </row>
    <row r="6041" spans="1:14" x14ac:dyDescent="0.25">
      <c r="A6041">
        <v>62604058</v>
      </c>
      <c r="B6041" t="s">
        <v>609</v>
      </c>
      <c r="C6041" t="s">
        <v>3002</v>
      </c>
      <c r="D6041" t="s">
        <v>12988</v>
      </c>
      <c r="E6041" t="s">
        <v>12989</v>
      </c>
      <c r="F6041" t="s">
        <v>2544</v>
      </c>
      <c r="G6041" t="s">
        <v>12389</v>
      </c>
      <c r="I6041" t="s">
        <v>12390</v>
      </c>
      <c r="J6041" s="13">
        <v>46121</v>
      </c>
      <c r="K6041" s="13">
        <v>46143</v>
      </c>
      <c r="L6041" t="s">
        <v>1179</v>
      </c>
      <c r="M6041" t="s">
        <v>54</v>
      </c>
      <c r="N6041">
        <v>77040740</v>
      </c>
    </row>
    <row r="6042" spans="1:14" x14ac:dyDescent="0.25">
      <c r="A6042">
        <v>62579178</v>
      </c>
      <c r="B6042" t="s">
        <v>1089</v>
      </c>
      <c r="C6042" t="s">
        <v>12990</v>
      </c>
      <c r="D6042" t="s">
        <v>12991</v>
      </c>
      <c r="E6042">
        <v>7276319985</v>
      </c>
      <c r="F6042" t="s">
        <v>416</v>
      </c>
      <c r="G6042" t="s">
        <v>417</v>
      </c>
      <c r="I6042" t="s">
        <v>26</v>
      </c>
      <c r="J6042" s="13">
        <v>46120</v>
      </c>
      <c r="K6042" s="13">
        <v>46143</v>
      </c>
      <c r="L6042" t="s">
        <v>497</v>
      </c>
      <c r="M6042" t="s">
        <v>54</v>
      </c>
      <c r="N6042">
        <v>77042455</v>
      </c>
    </row>
    <row r="6043" spans="1:14" x14ac:dyDescent="0.25">
      <c r="A6043">
        <v>62581957</v>
      </c>
      <c r="B6043" t="s">
        <v>609</v>
      </c>
      <c r="C6043" t="s">
        <v>12992</v>
      </c>
      <c r="D6043" t="s">
        <v>12993</v>
      </c>
      <c r="F6043" t="s">
        <v>10591</v>
      </c>
      <c r="G6043" t="s">
        <v>10215</v>
      </c>
      <c r="I6043" t="s">
        <v>32</v>
      </c>
      <c r="J6043" s="13">
        <v>46120</v>
      </c>
      <c r="K6043" s="13">
        <v>46143</v>
      </c>
      <c r="L6043" t="s">
        <v>470</v>
      </c>
      <c r="M6043" t="s">
        <v>62</v>
      </c>
      <c r="N6043">
        <v>77045357</v>
      </c>
    </row>
    <row r="6044" spans="1:14" x14ac:dyDescent="0.25">
      <c r="A6044">
        <v>62597509</v>
      </c>
      <c r="B6044" t="s">
        <v>5221</v>
      </c>
      <c r="C6044" t="s">
        <v>12994</v>
      </c>
      <c r="D6044" t="s">
        <v>12995</v>
      </c>
      <c r="E6044">
        <v>5734767639</v>
      </c>
      <c r="F6044" t="s">
        <v>1067</v>
      </c>
      <c r="G6044" t="s">
        <v>1068</v>
      </c>
      <c r="I6044" t="s">
        <v>35</v>
      </c>
      <c r="J6044" s="13">
        <v>46121</v>
      </c>
      <c r="K6044" s="13">
        <v>46143</v>
      </c>
      <c r="L6044" t="s">
        <v>479</v>
      </c>
      <c r="M6044" t="s">
        <v>59</v>
      </c>
      <c r="N6044">
        <v>77048804</v>
      </c>
    </row>
    <row r="6045" spans="1:14" x14ac:dyDescent="0.25">
      <c r="A6045">
        <v>62597039</v>
      </c>
      <c r="B6045" t="s">
        <v>12996</v>
      </c>
      <c r="C6045" t="s">
        <v>12997</v>
      </c>
      <c r="D6045" t="s">
        <v>12998</v>
      </c>
      <c r="E6045">
        <v>8598941189</v>
      </c>
      <c r="F6045" t="s">
        <v>928</v>
      </c>
      <c r="G6045" t="s">
        <v>929</v>
      </c>
      <c r="I6045" t="s">
        <v>30</v>
      </c>
      <c r="J6045" s="13">
        <v>46121</v>
      </c>
      <c r="K6045" s="13">
        <v>46143</v>
      </c>
      <c r="L6045" t="s">
        <v>490</v>
      </c>
      <c r="M6045" t="s">
        <v>56</v>
      </c>
      <c r="N6045">
        <v>77049134</v>
      </c>
    </row>
    <row r="6046" spans="1:14" x14ac:dyDescent="0.25">
      <c r="A6046">
        <v>62596294</v>
      </c>
      <c r="B6046" t="s">
        <v>12999</v>
      </c>
      <c r="C6046" t="s">
        <v>13000</v>
      </c>
      <c r="D6046" t="s">
        <v>13001</v>
      </c>
      <c r="E6046">
        <v>3616885096</v>
      </c>
      <c r="F6046" t="s">
        <v>551</v>
      </c>
      <c r="G6046" t="s">
        <v>552</v>
      </c>
      <c r="I6046" t="s">
        <v>42</v>
      </c>
      <c r="J6046" s="13">
        <v>46121</v>
      </c>
      <c r="K6046" s="13">
        <v>46143</v>
      </c>
      <c r="L6046" t="s">
        <v>444</v>
      </c>
      <c r="M6046" t="s">
        <v>58</v>
      </c>
      <c r="N6046">
        <v>77049152</v>
      </c>
    </row>
    <row r="6047" spans="1:14" x14ac:dyDescent="0.25">
      <c r="A6047">
        <v>62598985</v>
      </c>
      <c r="B6047" t="s">
        <v>799</v>
      </c>
      <c r="C6047" t="s">
        <v>13002</v>
      </c>
      <c r="D6047" t="s">
        <v>13003</v>
      </c>
      <c r="E6047">
        <v>8392685702</v>
      </c>
      <c r="F6047" t="s">
        <v>775</v>
      </c>
      <c r="G6047" t="s">
        <v>776</v>
      </c>
      <c r="I6047" t="s">
        <v>22</v>
      </c>
      <c r="J6047" s="13">
        <v>46121</v>
      </c>
      <c r="K6047" s="13">
        <v>46143</v>
      </c>
      <c r="L6047" t="s">
        <v>533</v>
      </c>
      <c r="M6047" t="s">
        <v>56</v>
      </c>
      <c r="N6047">
        <v>77050225</v>
      </c>
    </row>
    <row r="6048" spans="1:14" x14ac:dyDescent="0.25">
      <c r="A6048">
        <v>62599276</v>
      </c>
      <c r="B6048" t="s">
        <v>13004</v>
      </c>
      <c r="C6048" t="s">
        <v>13005</v>
      </c>
      <c r="D6048" t="s">
        <v>13006</v>
      </c>
      <c r="E6048">
        <v>2165077530</v>
      </c>
      <c r="F6048" t="s">
        <v>574</v>
      </c>
      <c r="G6048" t="s">
        <v>575</v>
      </c>
      <c r="I6048" t="s">
        <v>14</v>
      </c>
      <c r="J6048" s="13">
        <v>46121</v>
      </c>
      <c r="K6048" s="13">
        <v>46143</v>
      </c>
      <c r="L6048" t="s">
        <v>418</v>
      </c>
      <c r="M6048" t="s">
        <v>60</v>
      </c>
      <c r="N6048">
        <v>77050757</v>
      </c>
    </row>
    <row r="6049" spans="1:14" x14ac:dyDescent="0.25">
      <c r="A6049">
        <v>62599632</v>
      </c>
      <c r="B6049" t="s">
        <v>2523</v>
      </c>
      <c r="C6049" t="s">
        <v>8467</v>
      </c>
      <c r="D6049" t="s">
        <v>13007</v>
      </c>
      <c r="E6049">
        <v>8043199154</v>
      </c>
      <c r="F6049" t="s">
        <v>2544</v>
      </c>
      <c r="G6049" t="s">
        <v>4833</v>
      </c>
      <c r="I6049" t="s">
        <v>18</v>
      </c>
      <c r="J6049" s="13">
        <v>46121</v>
      </c>
      <c r="K6049" s="13">
        <v>46143</v>
      </c>
      <c r="L6049" t="s">
        <v>418</v>
      </c>
      <c r="M6049" t="s">
        <v>59</v>
      </c>
      <c r="N6049">
        <v>77052462</v>
      </c>
    </row>
    <row r="6050" spans="1:14" x14ac:dyDescent="0.25">
      <c r="A6050">
        <v>62599635</v>
      </c>
      <c r="B6050" t="s">
        <v>10669</v>
      </c>
      <c r="C6050" t="s">
        <v>13008</v>
      </c>
      <c r="D6050" t="s">
        <v>13009</v>
      </c>
      <c r="E6050">
        <v>3477768896</v>
      </c>
      <c r="F6050" t="s">
        <v>448</v>
      </c>
      <c r="G6050" t="s">
        <v>449</v>
      </c>
      <c r="I6050" t="s">
        <v>31</v>
      </c>
      <c r="J6050" s="13">
        <v>46121</v>
      </c>
      <c r="K6050" s="13">
        <v>46143</v>
      </c>
      <c r="L6050" t="s">
        <v>497</v>
      </c>
      <c r="M6050" t="s">
        <v>58</v>
      </c>
      <c r="N6050">
        <v>77053813</v>
      </c>
    </row>
    <row r="6051" spans="1:14" x14ac:dyDescent="0.25">
      <c r="A6051">
        <v>62601508</v>
      </c>
      <c r="B6051" t="s">
        <v>4201</v>
      </c>
      <c r="C6051" t="s">
        <v>2918</v>
      </c>
      <c r="D6051" t="s">
        <v>13010</v>
      </c>
      <c r="E6051" t="s">
        <v>13011</v>
      </c>
      <c r="F6051" t="s">
        <v>705</v>
      </c>
      <c r="G6051" t="s">
        <v>706</v>
      </c>
      <c r="I6051" t="s">
        <v>12</v>
      </c>
      <c r="J6051" s="13">
        <v>46121</v>
      </c>
      <c r="K6051" s="13">
        <v>46143</v>
      </c>
      <c r="L6051" t="s">
        <v>470</v>
      </c>
      <c r="M6051" t="s">
        <v>56</v>
      </c>
      <c r="N6051">
        <v>77054292</v>
      </c>
    </row>
    <row r="6052" spans="1:14" x14ac:dyDescent="0.25">
      <c r="A6052">
        <v>62602495</v>
      </c>
      <c r="B6052" t="s">
        <v>3014</v>
      </c>
      <c r="C6052" t="s">
        <v>13012</v>
      </c>
      <c r="D6052" t="s">
        <v>13013</v>
      </c>
      <c r="E6052">
        <v>7202463326</v>
      </c>
      <c r="F6052" t="s">
        <v>1612</v>
      </c>
      <c r="G6052" t="s">
        <v>4811</v>
      </c>
      <c r="I6052" t="s">
        <v>322</v>
      </c>
      <c r="J6052" s="13">
        <v>46121</v>
      </c>
      <c r="K6052" s="13">
        <v>46143</v>
      </c>
      <c r="L6052" t="s">
        <v>539</v>
      </c>
      <c r="M6052" t="s">
        <v>59</v>
      </c>
      <c r="N6052">
        <v>77057348</v>
      </c>
    </row>
    <row r="6053" spans="1:14" x14ac:dyDescent="0.25">
      <c r="A6053">
        <v>63484842</v>
      </c>
      <c r="B6053" t="s">
        <v>672</v>
      </c>
      <c r="C6053" t="s">
        <v>8211</v>
      </c>
      <c r="D6053" t="s">
        <v>13014</v>
      </c>
      <c r="E6053">
        <v>2294065065</v>
      </c>
      <c r="F6053" t="s">
        <v>688</v>
      </c>
      <c r="G6053" t="s">
        <v>10291</v>
      </c>
      <c r="I6053" t="s">
        <v>48</v>
      </c>
      <c r="J6053" s="13">
        <v>46142</v>
      </c>
      <c r="K6053" s="13">
        <v>46143</v>
      </c>
      <c r="L6053" t="s">
        <v>621</v>
      </c>
      <c r="M6053" t="s">
        <v>13015</v>
      </c>
      <c r="N6053">
        <v>77057487</v>
      </c>
    </row>
    <row r="6054" spans="1:14" x14ac:dyDescent="0.25">
      <c r="A6054">
        <v>62602651</v>
      </c>
      <c r="B6054" t="s">
        <v>13016</v>
      </c>
      <c r="C6054" t="s">
        <v>13017</v>
      </c>
      <c r="D6054" t="s">
        <v>13018</v>
      </c>
      <c r="E6054">
        <v>6304563858</v>
      </c>
      <c r="F6054" t="s">
        <v>667</v>
      </c>
      <c r="G6054" t="s">
        <v>668</v>
      </c>
      <c r="I6054" t="s">
        <v>37</v>
      </c>
      <c r="J6054" s="13">
        <v>46121</v>
      </c>
      <c r="K6054" s="13">
        <v>46143</v>
      </c>
      <c r="L6054" t="s">
        <v>470</v>
      </c>
      <c r="M6054" t="s">
        <v>62</v>
      </c>
      <c r="N6054">
        <v>77057673</v>
      </c>
    </row>
    <row r="6055" spans="1:14" x14ac:dyDescent="0.25">
      <c r="A6055">
        <v>62601810</v>
      </c>
      <c r="B6055" t="s">
        <v>3754</v>
      </c>
      <c r="C6055" t="s">
        <v>13019</v>
      </c>
      <c r="D6055" t="s">
        <v>13020</v>
      </c>
      <c r="E6055">
        <v>8646025153</v>
      </c>
      <c r="F6055" t="s">
        <v>4941</v>
      </c>
      <c r="G6055" t="s">
        <v>12450</v>
      </c>
      <c r="I6055" t="s">
        <v>12451</v>
      </c>
      <c r="J6055" s="13">
        <v>46121</v>
      </c>
      <c r="K6055" s="13">
        <v>46143</v>
      </c>
      <c r="L6055" t="s">
        <v>533</v>
      </c>
      <c r="M6055" t="s">
        <v>59</v>
      </c>
      <c r="N6055">
        <v>77057835</v>
      </c>
    </row>
    <row r="6056" spans="1:14" x14ac:dyDescent="0.25">
      <c r="A6056">
        <v>62603433</v>
      </c>
      <c r="B6056" t="s">
        <v>13021</v>
      </c>
      <c r="C6056" t="s">
        <v>5330</v>
      </c>
      <c r="D6056" t="s">
        <v>13022</v>
      </c>
      <c r="E6056" t="s">
        <v>13023</v>
      </c>
      <c r="F6056" t="s">
        <v>569</v>
      </c>
      <c r="G6056" t="s">
        <v>570</v>
      </c>
      <c r="I6056" t="s">
        <v>34</v>
      </c>
      <c r="J6056" s="13">
        <v>46121</v>
      </c>
      <c r="K6056" s="13">
        <v>46143</v>
      </c>
      <c r="L6056" t="s">
        <v>470</v>
      </c>
      <c r="M6056" t="s">
        <v>56</v>
      </c>
      <c r="N6056">
        <v>77058487</v>
      </c>
    </row>
    <row r="6057" spans="1:14" x14ac:dyDescent="0.25">
      <c r="A6057">
        <v>62602856</v>
      </c>
      <c r="B6057" t="s">
        <v>7386</v>
      </c>
      <c r="C6057" t="s">
        <v>11412</v>
      </c>
      <c r="D6057" t="s">
        <v>13024</v>
      </c>
      <c r="E6057">
        <v>4357577243</v>
      </c>
      <c r="F6057" t="s">
        <v>1013</v>
      </c>
      <c r="G6057" t="s">
        <v>1014</v>
      </c>
      <c r="I6057" t="s">
        <v>43</v>
      </c>
      <c r="J6057" s="13">
        <v>46121</v>
      </c>
      <c r="K6057" s="13">
        <v>46143</v>
      </c>
      <c r="L6057" t="s">
        <v>1179</v>
      </c>
      <c r="M6057" t="s">
        <v>56</v>
      </c>
      <c r="N6057">
        <v>77059742</v>
      </c>
    </row>
    <row r="6058" spans="1:14" x14ac:dyDescent="0.25">
      <c r="A6058">
        <v>62604861</v>
      </c>
      <c r="B6058" t="s">
        <v>13025</v>
      </c>
      <c r="C6058" t="s">
        <v>13026</v>
      </c>
      <c r="D6058" t="s">
        <v>13027</v>
      </c>
      <c r="E6058">
        <v>7733170581</v>
      </c>
      <c r="F6058" t="s">
        <v>815</v>
      </c>
      <c r="G6058" t="s">
        <v>816</v>
      </c>
      <c r="I6058" t="s">
        <v>23</v>
      </c>
      <c r="J6058" s="13">
        <v>46121</v>
      </c>
      <c r="K6058" s="13">
        <v>46143</v>
      </c>
      <c r="L6058" t="s">
        <v>470</v>
      </c>
      <c r="M6058" t="s">
        <v>56</v>
      </c>
      <c r="N6058">
        <v>77061226</v>
      </c>
    </row>
    <row r="6059" spans="1:14" x14ac:dyDescent="0.25">
      <c r="A6059">
        <v>62603851</v>
      </c>
      <c r="B6059" t="s">
        <v>672</v>
      </c>
      <c r="C6059" t="s">
        <v>13028</v>
      </c>
      <c r="D6059" t="s">
        <v>13029</v>
      </c>
      <c r="E6059">
        <v>2162336866</v>
      </c>
      <c r="F6059" t="s">
        <v>705</v>
      </c>
      <c r="G6059" t="s">
        <v>706</v>
      </c>
      <c r="I6059" t="s">
        <v>12</v>
      </c>
      <c r="J6059" s="13">
        <v>46121</v>
      </c>
      <c r="K6059" s="13">
        <v>46143</v>
      </c>
      <c r="L6059" t="s">
        <v>418</v>
      </c>
      <c r="M6059" t="s">
        <v>58</v>
      </c>
      <c r="N6059">
        <v>77061418</v>
      </c>
    </row>
    <row r="6060" spans="1:14" x14ac:dyDescent="0.25">
      <c r="A6060">
        <v>62604489</v>
      </c>
      <c r="B6060" t="s">
        <v>517</v>
      </c>
      <c r="C6060" t="s">
        <v>5056</v>
      </c>
      <c r="D6060" t="s">
        <v>13030</v>
      </c>
      <c r="E6060" t="s">
        <v>13031</v>
      </c>
      <c r="F6060" t="s">
        <v>649</v>
      </c>
      <c r="G6060" t="s">
        <v>650</v>
      </c>
      <c r="I6060" t="s">
        <v>28</v>
      </c>
      <c r="J6060" s="13">
        <v>46121</v>
      </c>
      <c r="K6060" s="13">
        <v>46143</v>
      </c>
      <c r="L6060" t="s">
        <v>479</v>
      </c>
      <c r="M6060" t="s">
        <v>62</v>
      </c>
      <c r="N6060">
        <v>77061754</v>
      </c>
    </row>
    <row r="6061" spans="1:14" x14ac:dyDescent="0.25">
      <c r="A6061">
        <v>62604220</v>
      </c>
      <c r="B6061" t="s">
        <v>3311</v>
      </c>
      <c r="C6061" t="s">
        <v>13032</v>
      </c>
      <c r="D6061" t="s">
        <v>13033</v>
      </c>
      <c r="E6061" t="s">
        <v>13034</v>
      </c>
      <c r="F6061" t="s">
        <v>448</v>
      </c>
      <c r="G6061" t="s">
        <v>449</v>
      </c>
      <c r="I6061" t="s">
        <v>31</v>
      </c>
      <c r="J6061" s="13">
        <v>46121</v>
      </c>
      <c r="K6061" s="13">
        <v>46143</v>
      </c>
      <c r="L6061" t="s">
        <v>553</v>
      </c>
      <c r="M6061" t="s">
        <v>58</v>
      </c>
      <c r="N6061">
        <v>77061843</v>
      </c>
    </row>
    <row r="6062" spans="1:14" x14ac:dyDescent="0.25">
      <c r="A6062">
        <v>62605672</v>
      </c>
      <c r="B6062" t="s">
        <v>3561</v>
      </c>
      <c r="C6062" t="s">
        <v>13035</v>
      </c>
      <c r="D6062" t="s">
        <v>13036</v>
      </c>
      <c r="E6062">
        <v>5133653943</v>
      </c>
      <c r="F6062" t="s">
        <v>628</v>
      </c>
      <c r="G6062" t="s">
        <v>629</v>
      </c>
      <c r="I6062" t="s">
        <v>24</v>
      </c>
      <c r="J6062" s="13">
        <v>46121</v>
      </c>
      <c r="K6062" s="13">
        <v>46143</v>
      </c>
      <c r="L6062" t="s">
        <v>418</v>
      </c>
      <c r="M6062" t="s">
        <v>58</v>
      </c>
      <c r="N6062">
        <v>77061860</v>
      </c>
    </row>
    <row r="6063" spans="1:14" x14ac:dyDescent="0.25">
      <c r="A6063">
        <v>62604625</v>
      </c>
      <c r="B6063" t="s">
        <v>1148</v>
      </c>
      <c r="C6063" t="s">
        <v>13037</v>
      </c>
      <c r="D6063" t="s">
        <v>13038</v>
      </c>
      <c r="E6063">
        <v>7736477948</v>
      </c>
      <c r="F6063" t="s">
        <v>574</v>
      </c>
      <c r="G6063" t="s">
        <v>575</v>
      </c>
      <c r="I6063" t="s">
        <v>14</v>
      </c>
      <c r="J6063" s="13">
        <v>46121</v>
      </c>
      <c r="K6063" s="13">
        <v>46143</v>
      </c>
      <c r="L6063" t="s">
        <v>470</v>
      </c>
      <c r="M6063" t="s">
        <v>59</v>
      </c>
      <c r="N6063">
        <v>77062063</v>
      </c>
    </row>
    <row r="6064" spans="1:14" x14ac:dyDescent="0.25">
      <c r="A6064">
        <v>62605679</v>
      </c>
      <c r="B6064" t="s">
        <v>791</v>
      </c>
      <c r="C6064" t="s">
        <v>13039</v>
      </c>
      <c r="D6064" t="s">
        <v>13040</v>
      </c>
      <c r="E6064">
        <v>2194088001</v>
      </c>
      <c r="F6064" t="s">
        <v>10253</v>
      </c>
      <c r="G6064" t="s">
        <v>781</v>
      </c>
      <c r="I6064" t="s">
        <v>36</v>
      </c>
      <c r="J6064" s="13">
        <v>46121</v>
      </c>
      <c r="K6064" s="13">
        <v>46143</v>
      </c>
      <c r="L6064" t="s">
        <v>440</v>
      </c>
      <c r="M6064" t="s">
        <v>59</v>
      </c>
      <c r="N6064">
        <v>77062093</v>
      </c>
    </row>
    <row r="6065" spans="1:14" x14ac:dyDescent="0.25">
      <c r="A6065">
        <v>62604849</v>
      </c>
      <c r="B6065" t="s">
        <v>13041</v>
      </c>
      <c r="C6065" t="s">
        <v>5593</v>
      </c>
      <c r="D6065" t="s">
        <v>13042</v>
      </c>
      <c r="E6065">
        <v>7736636086</v>
      </c>
      <c r="F6065" t="s">
        <v>667</v>
      </c>
      <c r="G6065" t="s">
        <v>668</v>
      </c>
      <c r="I6065" t="s">
        <v>37</v>
      </c>
      <c r="J6065" s="13">
        <v>46121</v>
      </c>
      <c r="K6065" s="13">
        <v>46143</v>
      </c>
      <c r="L6065" t="s">
        <v>470</v>
      </c>
      <c r="M6065" t="s">
        <v>56</v>
      </c>
      <c r="N6065">
        <v>77062398</v>
      </c>
    </row>
    <row r="6066" spans="1:14" x14ac:dyDescent="0.25">
      <c r="A6066">
        <v>62605155</v>
      </c>
      <c r="B6066" t="s">
        <v>1144</v>
      </c>
      <c r="C6066" t="s">
        <v>13043</v>
      </c>
      <c r="D6066" t="s">
        <v>13044</v>
      </c>
      <c r="E6066" t="s">
        <v>13045</v>
      </c>
      <c r="F6066" t="s">
        <v>1013</v>
      </c>
      <c r="G6066" t="s">
        <v>1014</v>
      </c>
      <c r="I6066" t="s">
        <v>43</v>
      </c>
      <c r="J6066" s="13">
        <v>46121</v>
      </c>
      <c r="K6066" s="13">
        <v>46143</v>
      </c>
      <c r="L6066" t="s">
        <v>1179</v>
      </c>
      <c r="M6066" t="s">
        <v>56</v>
      </c>
      <c r="N6066">
        <v>77062459</v>
      </c>
    </row>
    <row r="6067" spans="1:14" x14ac:dyDescent="0.25">
      <c r="A6067">
        <v>62605639</v>
      </c>
      <c r="B6067" t="s">
        <v>5067</v>
      </c>
      <c r="C6067" t="s">
        <v>13046</v>
      </c>
      <c r="D6067" t="s">
        <v>13047</v>
      </c>
      <c r="E6067">
        <v>7744543213</v>
      </c>
      <c r="F6067" t="s">
        <v>780</v>
      </c>
      <c r="G6067" t="s">
        <v>781</v>
      </c>
      <c r="I6067" t="s">
        <v>20</v>
      </c>
      <c r="J6067" s="13">
        <v>46121</v>
      </c>
      <c r="K6067" s="13">
        <v>46143</v>
      </c>
      <c r="L6067" t="s">
        <v>1179</v>
      </c>
      <c r="M6067" t="s">
        <v>54</v>
      </c>
      <c r="N6067">
        <v>77062476</v>
      </c>
    </row>
    <row r="6068" spans="1:14" x14ac:dyDescent="0.25">
      <c r="A6068">
        <v>62606101</v>
      </c>
      <c r="B6068" t="s">
        <v>5091</v>
      </c>
      <c r="C6068" t="s">
        <v>13048</v>
      </c>
      <c r="D6068" t="s">
        <v>13049</v>
      </c>
      <c r="E6068">
        <v>6123559351</v>
      </c>
      <c r="F6068" t="s">
        <v>11745</v>
      </c>
      <c r="G6068" t="s">
        <v>6544</v>
      </c>
      <c r="I6068" t="s">
        <v>11746</v>
      </c>
      <c r="J6068" s="13">
        <v>46121</v>
      </c>
      <c r="K6068" s="13">
        <v>46143</v>
      </c>
      <c r="L6068" t="s">
        <v>1179</v>
      </c>
      <c r="M6068" t="s">
        <v>59</v>
      </c>
      <c r="N6068">
        <v>77062542</v>
      </c>
    </row>
    <row r="6069" spans="1:14" x14ac:dyDescent="0.25">
      <c r="A6069">
        <v>62606418</v>
      </c>
      <c r="B6069" t="s">
        <v>11360</v>
      </c>
      <c r="C6069" t="s">
        <v>13050</v>
      </c>
      <c r="D6069" t="s">
        <v>13051</v>
      </c>
      <c r="E6069">
        <v>7014214517</v>
      </c>
      <c r="F6069" t="s">
        <v>770</v>
      </c>
      <c r="G6069" t="s">
        <v>771</v>
      </c>
      <c r="I6069" t="s">
        <v>25</v>
      </c>
      <c r="J6069" s="13">
        <v>46121</v>
      </c>
      <c r="K6069" s="13">
        <v>46143</v>
      </c>
      <c r="L6069" t="s">
        <v>1179</v>
      </c>
      <c r="M6069" t="s">
        <v>54</v>
      </c>
      <c r="N6069">
        <v>77062551</v>
      </c>
    </row>
    <row r="6070" spans="1:14" x14ac:dyDescent="0.25">
      <c r="A6070">
        <v>62605070</v>
      </c>
      <c r="B6070" t="s">
        <v>1373</v>
      </c>
      <c r="C6070" t="s">
        <v>13052</v>
      </c>
      <c r="D6070" t="s">
        <v>13053</v>
      </c>
      <c r="E6070">
        <v>5023149576</v>
      </c>
      <c r="F6070" t="s">
        <v>1067</v>
      </c>
      <c r="G6070" t="s">
        <v>1068</v>
      </c>
      <c r="I6070" t="s">
        <v>35</v>
      </c>
      <c r="J6070" s="13">
        <v>46121</v>
      </c>
      <c r="K6070" s="13">
        <v>46143</v>
      </c>
      <c r="L6070" t="s">
        <v>490</v>
      </c>
      <c r="M6070" t="s">
        <v>56</v>
      </c>
      <c r="N6070">
        <v>77062741</v>
      </c>
    </row>
    <row r="6071" spans="1:14" x14ac:dyDescent="0.25">
      <c r="A6071">
        <v>62605649</v>
      </c>
      <c r="B6071" t="s">
        <v>4252</v>
      </c>
      <c r="C6071" t="s">
        <v>1644</v>
      </c>
      <c r="D6071" t="s">
        <v>13054</v>
      </c>
      <c r="E6071">
        <v>7089552122</v>
      </c>
      <c r="F6071" t="s">
        <v>705</v>
      </c>
      <c r="G6071" t="s">
        <v>706</v>
      </c>
      <c r="I6071" t="s">
        <v>12</v>
      </c>
      <c r="J6071" s="13">
        <v>46121</v>
      </c>
      <c r="K6071" s="13">
        <v>46143</v>
      </c>
      <c r="L6071" t="s">
        <v>470</v>
      </c>
      <c r="M6071" t="s">
        <v>56</v>
      </c>
      <c r="N6071">
        <v>77063027</v>
      </c>
    </row>
    <row r="6072" spans="1:14" x14ac:dyDescent="0.25">
      <c r="A6072">
        <v>62608109</v>
      </c>
      <c r="B6072" t="s">
        <v>2272</v>
      </c>
      <c r="C6072" t="s">
        <v>13055</v>
      </c>
      <c r="D6072" t="s">
        <v>13056</v>
      </c>
      <c r="E6072">
        <v>6026903095</v>
      </c>
      <c r="F6072" t="s">
        <v>416</v>
      </c>
      <c r="G6072" t="s">
        <v>417</v>
      </c>
      <c r="I6072" t="s">
        <v>26</v>
      </c>
      <c r="J6072" s="13">
        <v>46121</v>
      </c>
      <c r="K6072" s="13">
        <v>46143</v>
      </c>
      <c r="L6072" t="s">
        <v>1179</v>
      </c>
      <c r="M6072" t="s">
        <v>58</v>
      </c>
      <c r="N6072">
        <v>77063094</v>
      </c>
    </row>
    <row r="6073" spans="1:14" x14ac:dyDescent="0.25">
      <c r="A6073">
        <v>62608561</v>
      </c>
      <c r="B6073" t="s">
        <v>13057</v>
      </c>
      <c r="C6073" t="s">
        <v>13058</v>
      </c>
      <c r="D6073" t="s">
        <v>13059</v>
      </c>
      <c r="E6073">
        <v>7732026058</v>
      </c>
      <c r="F6073" t="s">
        <v>574</v>
      </c>
      <c r="G6073" t="s">
        <v>575</v>
      </c>
      <c r="I6073" t="s">
        <v>14</v>
      </c>
      <c r="J6073" s="13">
        <v>46121</v>
      </c>
      <c r="K6073" s="13">
        <v>46143</v>
      </c>
      <c r="L6073" t="s">
        <v>470</v>
      </c>
      <c r="M6073" t="s">
        <v>59</v>
      </c>
      <c r="N6073">
        <v>77063400</v>
      </c>
    </row>
    <row r="6074" spans="1:14" x14ac:dyDescent="0.25">
      <c r="A6074">
        <v>62608648</v>
      </c>
      <c r="B6074" t="s">
        <v>13060</v>
      </c>
      <c r="C6074" t="s">
        <v>13061</v>
      </c>
      <c r="D6074" t="s">
        <v>13062</v>
      </c>
      <c r="E6074">
        <v>3307603922</v>
      </c>
      <c r="F6074" t="s">
        <v>2544</v>
      </c>
      <c r="G6074" t="s">
        <v>12389</v>
      </c>
      <c r="I6074" t="s">
        <v>12390</v>
      </c>
      <c r="J6074" s="13">
        <v>46121</v>
      </c>
      <c r="K6074" s="13">
        <v>46143</v>
      </c>
      <c r="L6074" t="s">
        <v>418</v>
      </c>
      <c r="M6074" t="s">
        <v>58</v>
      </c>
      <c r="N6074">
        <v>77063551</v>
      </c>
    </row>
    <row r="6075" spans="1:14" x14ac:dyDescent="0.25">
      <c r="A6075">
        <v>62608783</v>
      </c>
      <c r="B6075" t="s">
        <v>13063</v>
      </c>
      <c r="C6075" t="s">
        <v>13064</v>
      </c>
      <c r="E6075">
        <v>2163237404</v>
      </c>
      <c r="F6075" t="s">
        <v>10591</v>
      </c>
      <c r="G6075" t="s">
        <v>10215</v>
      </c>
      <c r="I6075" t="s">
        <v>32</v>
      </c>
      <c r="J6075" s="13">
        <v>46121</v>
      </c>
      <c r="K6075" s="13">
        <v>46143</v>
      </c>
      <c r="L6075" t="s">
        <v>418</v>
      </c>
      <c r="M6075" t="s">
        <v>62</v>
      </c>
      <c r="N6075">
        <v>77063592</v>
      </c>
    </row>
    <row r="6076" spans="1:14" x14ac:dyDescent="0.25">
      <c r="A6076">
        <v>62609125</v>
      </c>
      <c r="B6076" t="s">
        <v>799</v>
      </c>
      <c r="C6076" t="s">
        <v>3895</v>
      </c>
      <c r="D6076" t="s">
        <v>13065</v>
      </c>
      <c r="E6076">
        <v>9379261552</v>
      </c>
      <c r="F6076" t="s">
        <v>1612</v>
      </c>
      <c r="G6076" t="s">
        <v>4811</v>
      </c>
      <c r="I6076" t="s">
        <v>322</v>
      </c>
      <c r="J6076" s="13">
        <v>46121</v>
      </c>
      <c r="K6076" s="13">
        <v>46143</v>
      </c>
      <c r="L6076" t="s">
        <v>418</v>
      </c>
      <c r="M6076" t="s">
        <v>60</v>
      </c>
      <c r="N6076">
        <v>77063901</v>
      </c>
    </row>
    <row r="6077" spans="1:14" x14ac:dyDescent="0.25">
      <c r="A6077">
        <v>62609458</v>
      </c>
      <c r="B6077" t="s">
        <v>3490</v>
      </c>
      <c r="C6077" t="s">
        <v>13066</v>
      </c>
      <c r="D6077" t="s">
        <v>13067</v>
      </c>
      <c r="E6077">
        <v>9724676859</v>
      </c>
      <c r="F6077" t="s">
        <v>815</v>
      </c>
      <c r="G6077" t="s">
        <v>816</v>
      </c>
      <c r="I6077" t="s">
        <v>23</v>
      </c>
      <c r="J6077" s="13">
        <v>46121</v>
      </c>
      <c r="K6077" s="13">
        <v>46143</v>
      </c>
      <c r="L6077" t="s">
        <v>444</v>
      </c>
      <c r="M6077" t="s">
        <v>56</v>
      </c>
      <c r="N6077">
        <v>77064038</v>
      </c>
    </row>
    <row r="6078" spans="1:14" x14ac:dyDescent="0.25">
      <c r="A6078">
        <v>62615867</v>
      </c>
      <c r="B6078" t="s">
        <v>467</v>
      </c>
      <c r="C6078" t="s">
        <v>1886</v>
      </c>
      <c r="D6078" t="s">
        <v>13068</v>
      </c>
      <c r="E6078">
        <v>5135929577</v>
      </c>
      <c r="F6078" t="s">
        <v>10460</v>
      </c>
      <c r="G6078" t="s">
        <v>6663</v>
      </c>
      <c r="I6078" t="s">
        <v>40</v>
      </c>
      <c r="J6078" s="13">
        <v>46122</v>
      </c>
      <c r="K6078" s="13">
        <v>46143</v>
      </c>
      <c r="L6078" t="s">
        <v>418</v>
      </c>
      <c r="M6078" t="s">
        <v>59</v>
      </c>
      <c r="N6078">
        <v>77068578</v>
      </c>
    </row>
    <row r="6079" spans="1:14" x14ac:dyDescent="0.25">
      <c r="A6079">
        <v>62613129</v>
      </c>
      <c r="B6079" t="s">
        <v>1445</v>
      </c>
      <c r="C6079" t="s">
        <v>2482</v>
      </c>
      <c r="D6079" t="s">
        <v>13069</v>
      </c>
      <c r="E6079">
        <v>4633085678</v>
      </c>
      <c r="F6079" t="s">
        <v>705</v>
      </c>
      <c r="G6079" t="s">
        <v>706</v>
      </c>
      <c r="I6079" t="s">
        <v>12</v>
      </c>
      <c r="J6079" s="13">
        <v>46122</v>
      </c>
      <c r="K6079" s="13">
        <v>46143</v>
      </c>
      <c r="L6079" t="s">
        <v>440</v>
      </c>
      <c r="M6079" t="s">
        <v>62</v>
      </c>
      <c r="N6079">
        <v>77068599</v>
      </c>
    </row>
    <row r="6080" spans="1:14" x14ac:dyDescent="0.25">
      <c r="A6080">
        <v>62614255</v>
      </c>
      <c r="B6080" t="s">
        <v>1978</v>
      </c>
      <c r="C6080" t="s">
        <v>1203</v>
      </c>
      <c r="D6080" t="s">
        <v>13070</v>
      </c>
      <c r="E6080">
        <v>3308007247</v>
      </c>
      <c r="F6080" t="s">
        <v>2544</v>
      </c>
      <c r="G6080" t="s">
        <v>4833</v>
      </c>
      <c r="I6080" t="s">
        <v>18</v>
      </c>
      <c r="J6080" s="13">
        <v>46122</v>
      </c>
      <c r="K6080" s="13">
        <v>46143</v>
      </c>
      <c r="L6080" t="s">
        <v>418</v>
      </c>
      <c r="M6080" t="s">
        <v>62</v>
      </c>
      <c r="N6080">
        <v>77068658</v>
      </c>
    </row>
    <row r="6081" spans="1:14" x14ac:dyDescent="0.25">
      <c r="A6081">
        <v>62615632</v>
      </c>
      <c r="B6081" t="s">
        <v>2613</v>
      </c>
      <c r="C6081" t="s">
        <v>3426</v>
      </c>
      <c r="D6081" t="s">
        <v>13071</v>
      </c>
      <c r="E6081">
        <v>9288530003</v>
      </c>
      <c r="F6081" t="s">
        <v>11745</v>
      </c>
      <c r="G6081" t="s">
        <v>6544</v>
      </c>
      <c r="I6081" t="s">
        <v>11746</v>
      </c>
      <c r="J6081" s="13">
        <v>46122</v>
      </c>
      <c r="K6081" s="13">
        <v>46143</v>
      </c>
      <c r="L6081" t="s">
        <v>1179</v>
      </c>
      <c r="M6081" t="s">
        <v>59</v>
      </c>
      <c r="N6081">
        <v>77068743</v>
      </c>
    </row>
    <row r="6082" spans="1:14" x14ac:dyDescent="0.25">
      <c r="A6082">
        <v>62614302</v>
      </c>
      <c r="B6082" t="s">
        <v>1679</v>
      </c>
      <c r="C6082" t="s">
        <v>13072</v>
      </c>
      <c r="D6082" t="s">
        <v>13073</v>
      </c>
      <c r="E6082">
        <v>7276558281</v>
      </c>
      <c r="F6082" t="s">
        <v>928</v>
      </c>
      <c r="G6082" t="s">
        <v>929</v>
      </c>
      <c r="I6082" t="s">
        <v>30</v>
      </c>
      <c r="J6082" s="13">
        <v>46122</v>
      </c>
      <c r="K6082" s="13">
        <v>46143</v>
      </c>
      <c r="L6082" t="s">
        <v>497</v>
      </c>
      <c r="M6082" t="s">
        <v>58</v>
      </c>
      <c r="N6082">
        <v>77068838</v>
      </c>
    </row>
    <row r="6083" spans="1:14" x14ac:dyDescent="0.25">
      <c r="A6083">
        <v>62615269</v>
      </c>
      <c r="B6083" t="s">
        <v>873</v>
      </c>
      <c r="C6083" t="s">
        <v>13074</v>
      </c>
      <c r="D6083" t="s">
        <v>13075</v>
      </c>
      <c r="E6083">
        <v>2142981868</v>
      </c>
      <c r="F6083" t="s">
        <v>551</v>
      </c>
      <c r="G6083" t="s">
        <v>552</v>
      </c>
      <c r="I6083" t="s">
        <v>42</v>
      </c>
      <c r="J6083" s="13">
        <v>46122</v>
      </c>
      <c r="K6083" s="13">
        <v>46143</v>
      </c>
      <c r="L6083" t="s">
        <v>444</v>
      </c>
      <c r="M6083" t="s">
        <v>58</v>
      </c>
      <c r="N6083">
        <v>77068866</v>
      </c>
    </row>
    <row r="6084" spans="1:14" x14ac:dyDescent="0.25">
      <c r="A6084">
        <v>62618191</v>
      </c>
      <c r="B6084" t="s">
        <v>975</v>
      </c>
      <c r="C6084" t="s">
        <v>4451</v>
      </c>
      <c r="D6084" t="s">
        <v>13076</v>
      </c>
      <c r="E6084">
        <v>6619005482</v>
      </c>
      <c r="F6084" t="s">
        <v>416</v>
      </c>
      <c r="G6084" t="s">
        <v>417</v>
      </c>
      <c r="I6084" t="s">
        <v>26</v>
      </c>
      <c r="J6084" s="13">
        <v>46122</v>
      </c>
      <c r="K6084" s="13">
        <v>46143</v>
      </c>
      <c r="L6084" t="s">
        <v>1179</v>
      </c>
      <c r="M6084" t="s">
        <v>54</v>
      </c>
      <c r="N6084">
        <v>77069005</v>
      </c>
    </row>
    <row r="6085" spans="1:14" x14ac:dyDescent="0.25">
      <c r="A6085">
        <v>62616494</v>
      </c>
      <c r="B6085" t="s">
        <v>2774</v>
      </c>
      <c r="C6085" t="s">
        <v>2482</v>
      </c>
      <c r="F6085" t="s">
        <v>10591</v>
      </c>
      <c r="G6085" t="s">
        <v>10215</v>
      </c>
      <c r="I6085" t="s">
        <v>32</v>
      </c>
      <c r="J6085" s="13">
        <v>46122</v>
      </c>
      <c r="K6085" s="13">
        <v>46143</v>
      </c>
      <c r="L6085" t="s">
        <v>497</v>
      </c>
      <c r="M6085" t="s">
        <v>54</v>
      </c>
      <c r="N6085">
        <v>77069311</v>
      </c>
    </row>
    <row r="6086" spans="1:14" x14ac:dyDescent="0.25">
      <c r="A6086">
        <v>62617566</v>
      </c>
      <c r="B6086" t="s">
        <v>7508</v>
      </c>
      <c r="C6086" t="s">
        <v>13077</v>
      </c>
      <c r="D6086" t="s">
        <v>13078</v>
      </c>
      <c r="E6086">
        <v>5204819432</v>
      </c>
      <c r="F6086" t="s">
        <v>1345</v>
      </c>
      <c r="G6086" t="s">
        <v>799</v>
      </c>
      <c r="I6086" t="s">
        <v>47</v>
      </c>
      <c r="J6086" s="13">
        <v>46122</v>
      </c>
      <c r="K6086" s="13">
        <v>46143</v>
      </c>
      <c r="L6086" t="s">
        <v>1179</v>
      </c>
      <c r="M6086" t="s">
        <v>54</v>
      </c>
      <c r="N6086">
        <v>77070170</v>
      </c>
    </row>
    <row r="6087" spans="1:14" x14ac:dyDescent="0.25">
      <c r="A6087">
        <v>62617617</v>
      </c>
      <c r="B6087" t="s">
        <v>1527</v>
      </c>
      <c r="C6087" t="s">
        <v>13079</v>
      </c>
      <c r="D6087" t="s">
        <v>13080</v>
      </c>
      <c r="E6087">
        <v>4404534453</v>
      </c>
      <c r="F6087" t="s">
        <v>705</v>
      </c>
      <c r="G6087" t="s">
        <v>706</v>
      </c>
      <c r="I6087" t="s">
        <v>12</v>
      </c>
      <c r="J6087" s="13">
        <v>46122</v>
      </c>
      <c r="K6087" s="13">
        <v>46143</v>
      </c>
      <c r="L6087" t="s">
        <v>418</v>
      </c>
      <c r="M6087" t="s">
        <v>62</v>
      </c>
      <c r="N6087">
        <v>77070616</v>
      </c>
    </row>
    <row r="6088" spans="1:14" x14ac:dyDescent="0.25">
      <c r="A6088">
        <v>62616471</v>
      </c>
      <c r="B6088" t="s">
        <v>1699</v>
      </c>
      <c r="C6088" t="s">
        <v>4107</v>
      </c>
      <c r="D6088" t="s">
        <v>13081</v>
      </c>
      <c r="E6088">
        <v>6233449928</v>
      </c>
      <c r="F6088" t="s">
        <v>416</v>
      </c>
      <c r="G6088" t="s">
        <v>417</v>
      </c>
      <c r="I6088" t="s">
        <v>26</v>
      </c>
      <c r="J6088" s="13">
        <v>46122</v>
      </c>
      <c r="K6088" s="13">
        <v>46143</v>
      </c>
      <c r="L6088" t="s">
        <v>1179</v>
      </c>
      <c r="M6088" t="s">
        <v>56</v>
      </c>
      <c r="N6088">
        <v>77070653</v>
      </c>
    </row>
    <row r="6089" spans="1:14" x14ac:dyDescent="0.25">
      <c r="A6089">
        <v>62618549</v>
      </c>
      <c r="B6089" t="s">
        <v>8203</v>
      </c>
      <c r="C6089" t="s">
        <v>13082</v>
      </c>
      <c r="D6089" t="s">
        <v>13083</v>
      </c>
      <c r="E6089">
        <v>7542522165</v>
      </c>
      <c r="F6089" t="s">
        <v>775</v>
      </c>
      <c r="G6089" t="s">
        <v>776</v>
      </c>
      <c r="I6089" t="s">
        <v>22</v>
      </c>
      <c r="J6089" s="13">
        <v>46122</v>
      </c>
      <c r="K6089" s="13">
        <v>46143</v>
      </c>
      <c r="L6089" t="s">
        <v>497</v>
      </c>
      <c r="M6089" t="s">
        <v>54</v>
      </c>
      <c r="N6089">
        <v>77071568</v>
      </c>
    </row>
    <row r="6090" spans="1:14" x14ac:dyDescent="0.25">
      <c r="A6090">
        <v>62618485</v>
      </c>
      <c r="B6090" t="s">
        <v>5625</v>
      </c>
      <c r="C6090" t="s">
        <v>6436</v>
      </c>
      <c r="D6090" t="s">
        <v>13084</v>
      </c>
      <c r="E6090">
        <v>9706324243</v>
      </c>
      <c r="F6090" t="s">
        <v>1612</v>
      </c>
      <c r="G6090" t="s">
        <v>4811</v>
      </c>
      <c r="I6090" t="s">
        <v>322</v>
      </c>
      <c r="J6090" s="13">
        <v>46122</v>
      </c>
      <c r="K6090" s="13">
        <v>46143</v>
      </c>
      <c r="L6090" t="s">
        <v>539</v>
      </c>
      <c r="M6090" t="s">
        <v>59</v>
      </c>
      <c r="N6090">
        <v>77071670</v>
      </c>
    </row>
    <row r="6091" spans="1:14" x14ac:dyDescent="0.25">
      <c r="A6091">
        <v>62618589</v>
      </c>
      <c r="B6091" t="s">
        <v>3451</v>
      </c>
      <c r="C6091" t="s">
        <v>13085</v>
      </c>
      <c r="D6091" t="s">
        <v>13086</v>
      </c>
      <c r="E6091">
        <v>7088331343</v>
      </c>
      <c r="F6091" t="s">
        <v>649</v>
      </c>
      <c r="G6091" t="s">
        <v>650</v>
      </c>
      <c r="I6091" t="s">
        <v>28</v>
      </c>
      <c r="J6091" s="13">
        <v>46122</v>
      </c>
      <c r="K6091" s="13">
        <v>46143</v>
      </c>
      <c r="L6091" t="s">
        <v>470</v>
      </c>
      <c r="M6091" t="s">
        <v>62</v>
      </c>
      <c r="N6091">
        <v>77071856</v>
      </c>
    </row>
    <row r="6092" spans="1:14" x14ac:dyDescent="0.25">
      <c r="A6092">
        <v>62618408</v>
      </c>
      <c r="B6092" t="s">
        <v>13087</v>
      </c>
      <c r="C6092" t="s">
        <v>13088</v>
      </c>
      <c r="D6092" t="s">
        <v>13089</v>
      </c>
      <c r="E6092">
        <v>9018718719</v>
      </c>
      <c r="F6092" t="s">
        <v>11838</v>
      </c>
      <c r="G6092" t="s">
        <v>11839</v>
      </c>
      <c r="I6092" t="s">
        <v>11840</v>
      </c>
      <c r="J6092" s="13">
        <v>46122</v>
      </c>
      <c r="K6092" s="13">
        <v>46143</v>
      </c>
      <c r="L6092" t="s">
        <v>479</v>
      </c>
      <c r="M6092" t="s">
        <v>59</v>
      </c>
      <c r="N6092">
        <v>77071931</v>
      </c>
    </row>
    <row r="6093" spans="1:14" x14ac:dyDescent="0.25">
      <c r="A6093">
        <v>62618199</v>
      </c>
      <c r="B6093" t="s">
        <v>2972</v>
      </c>
      <c r="C6093" t="s">
        <v>799</v>
      </c>
      <c r="D6093" t="s">
        <v>13090</v>
      </c>
      <c r="E6093">
        <v>2343763836</v>
      </c>
      <c r="F6093" t="s">
        <v>474</v>
      </c>
      <c r="G6093" t="s">
        <v>475</v>
      </c>
      <c r="I6093" t="s">
        <v>132</v>
      </c>
      <c r="J6093" s="13">
        <v>46122</v>
      </c>
      <c r="K6093" s="13">
        <v>46143</v>
      </c>
      <c r="L6093" t="s">
        <v>418</v>
      </c>
      <c r="M6093" t="s">
        <v>56</v>
      </c>
      <c r="N6093">
        <v>77072098</v>
      </c>
    </row>
    <row r="6094" spans="1:14" x14ac:dyDescent="0.25">
      <c r="A6094">
        <v>63114131</v>
      </c>
      <c r="B6094" t="s">
        <v>6071</v>
      </c>
      <c r="C6094" t="s">
        <v>1036</v>
      </c>
      <c r="D6094" t="s">
        <v>13091</v>
      </c>
      <c r="E6094">
        <v>4142070885</v>
      </c>
      <c r="F6094" t="s">
        <v>551</v>
      </c>
      <c r="G6094" t="s">
        <v>552</v>
      </c>
      <c r="I6094" t="s">
        <v>42</v>
      </c>
      <c r="J6094" s="13">
        <v>46127</v>
      </c>
      <c r="K6094" s="13">
        <v>46204</v>
      </c>
      <c r="L6094" t="s">
        <v>675</v>
      </c>
      <c r="M6094" t="s">
        <v>56</v>
      </c>
      <c r="N6094">
        <v>77072111</v>
      </c>
    </row>
    <row r="6095" spans="1:14" x14ac:dyDescent="0.25">
      <c r="A6095">
        <v>62622361</v>
      </c>
      <c r="B6095" t="s">
        <v>1643</v>
      </c>
      <c r="C6095" t="s">
        <v>13092</v>
      </c>
      <c r="D6095" t="s">
        <v>13093</v>
      </c>
      <c r="F6095" t="s">
        <v>8440</v>
      </c>
      <c r="G6095" t="s">
        <v>12267</v>
      </c>
      <c r="I6095" t="s">
        <v>12268</v>
      </c>
      <c r="J6095" s="13">
        <v>46122</v>
      </c>
      <c r="K6095" s="13">
        <v>46143</v>
      </c>
      <c r="L6095" t="s">
        <v>418</v>
      </c>
      <c r="M6095" t="s">
        <v>62</v>
      </c>
      <c r="N6095">
        <v>77072580</v>
      </c>
    </row>
    <row r="6096" spans="1:14" x14ac:dyDescent="0.25">
      <c r="A6096">
        <v>62623978</v>
      </c>
      <c r="B6096" t="s">
        <v>13094</v>
      </c>
      <c r="C6096" t="s">
        <v>13095</v>
      </c>
      <c r="D6096" t="s">
        <v>13096</v>
      </c>
      <c r="E6096">
        <v>7547796434</v>
      </c>
      <c r="F6096" t="s">
        <v>780</v>
      </c>
      <c r="G6096" t="s">
        <v>781</v>
      </c>
      <c r="I6096" t="s">
        <v>20</v>
      </c>
      <c r="J6096" s="13">
        <v>46122</v>
      </c>
      <c r="K6096" s="13">
        <v>46122</v>
      </c>
      <c r="L6096" t="s">
        <v>497</v>
      </c>
      <c r="M6096" t="s">
        <v>59</v>
      </c>
      <c r="N6096">
        <v>77072862</v>
      </c>
    </row>
    <row r="6097" spans="1:14" x14ac:dyDescent="0.25">
      <c r="A6097">
        <v>62621081</v>
      </c>
      <c r="B6097" t="s">
        <v>1973</v>
      </c>
      <c r="C6097" t="s">
        <v>13097</v>
      </c>
      <c r="D6097" t="s">
        <v>13098</v>
      </c>
      <c r="E6097">
        <v>9047050826</v>
      </c>
      <c r="F6097" t="s">
        <v>1067</v>
      </c>
      <c r="G6097" t="s">
        <v>1068</v>
      </c>
      <c r="I6097" t="s">
        <v>35</v>
      </c>
      <c r="J6097" s="13">
        <v>46122</v>
      </c>
      <c r="K6097" s="13">
        <v>46143</v>
      </c>
      <c r="L6097" t="s">
        <v>497</v>
      </c>
      <c r="M6097" t="s">
        <v>56</v>
      </c>
      <c r="N6097">
        <v>77072982</v>
      </c>
    </row>
    <row r="6098" spans="1:14" x14ac:dyDescent="0.25">
      <c r="A6098">
        <v>62622725</v>
      </c>
      <c r="B6098" t="s">
        <v>9543</v>
      </c>
      <c r="C6098" t="s">
        <v>12678</v>
      </c>
      <c r="D6098" t="s">
        <v>13099</v>
      </c>
      <c r="E6098">
        <v>9379907162</v>
      </c>
      <c r="F6098" t="s">
        <v>4941</v>
      </c>
      <c r="G6098" t="s">
        <v>12450</v>
      </c>
      <c r="I6098" t="s">
        <v>12451</v>
      </c>
      <c r="J6098" s="13">
        <v>46122</v>
      </c>
      <c r="K6098" s="13">
        <v>46143</v>
      </c>
      <c r="L6098" t="s">
        <v>418</v>
      </c>
      <c r="M6098" t="s">
        <v>60</v>
      </c>
      <c r="N6098">
        <v>77073188</v>
      </c>
    </row>
    <row r="6099" spans="1:14" x14ac:dyDescent="0.25">
      <c r="A6099">
        <v>62623538</v>
      </c>
      <c r="B6099" t="s">
        <v>517</v>
      </c>
      <c r="C6099" t="s">
        <v>9454</v>
      </c>
      <c r="D6099" t="s">
        <v>13100</v>
      </c>
      <c r="E6099">
        <v>5023211398</v>
      </c>
      <c r="F6099" t="s">
        <v>828</v>
      </c>
      <c r="G6099" t="s">
        <v>1148</v>
      </c>
      <c r="I6099" t="s">
        <v>17</v>
      </c>
      <c r="J6099" s="13">
        <v>46122</v>
      </c>
      <c r="K6099" s="13">
        <v>46143</v>
      </c>
      <c r="L6099" t="s">
        <v>490</v>
      </c>
      <c r="M6099" t="s">
        <v>56</v>
      </c>
      <c r="N6099">
        <v>77073950</v>
      </c>
    </row>
    <row r="6100" spans="1:14" x14ac:dyDescent="0.25">
      <c r="A6100">
        <v>62622206</v>
      </c>
      <c r="B6100" t="s">
        <v>431</v>
      </c>
      <c r="C6100" t="s">
        <v>13101</v>
      </c>
      <c r="D6100" t="s">
        <v>13102</v>
      </c>
      <c r="E6100">
        <v>5204866335</v>
      </c>
      <c r="F6100" t="s">
        <v>807</v>
      </c>
      <c r="G6100" t="s">
        <v>808</v>
      </c>
      <c r="I6100" t="s">
        <v>33</v>
      </c>
      <c r="J6100" s="13">
        <v>46122</v>
      </c>
      <c r="K6100" s="13">
        <v>46143</v>
      </c>
      <c r="L6100" t="s">
        <v>1179</v>
      </c>
      <c r="M6100" t="s">
        <v>61</v>
      </c>
      <c r="N6100">
        <v>77074062</v>
      </c>
    </row>
    <row r="6101" spans="1:14" x14ac:dyDescent="0.25">
      <c r="A6101">
        <v>62628250</v>
      </c>
      <c r="B6101" t="s">
        <v>4387</v>
      </c>
      <c r="C6101" t="s">
        <v>13103</v>
      </c>
      <c r="D6101" t="s">
        <v>13104</v>
      </c>
      <c r="E6101">
        <v>2348026106</v>
      </c>
      <c r="F6101" t="s">
        <v>649</v>
      </c>
      <c r="G6101" t="s">
        <v>650</v>
      </c>
      <c r="I6101" t="s">
        <v>28</v>
      </c>
      <c r="J6101" s="13">
        <v>46122</v>
      </c>
      <c r="K6101" s="13">
        <v>46143</v>
      </c>
      <c r="L6101" t="s">
        <v>418</v>
      </c>
      <c r="M6101" t="s">
        <v>62</v>
      </c>
      <c r="N6101">
        <v>77074752</v>
      </c>
    </row>
    <row r="6102" spans="1:14" x14ac:dyDescent="0.25">
      <c r="A6102">
        <v>62625651</v>
      </c>
      <c r="B6102" t="s">
        <v>1160</v>
      </c>
      <c r="C6102" t="s">
        <v>8901</v>
      </c>
      <c r="D6102" t="s">
        <v>13105</v>
      </c>
      <c r="E6102">
        <v>8283783914</v>
      </c>
      <c r="F6102" t="s">
        <v>928</v>
      </c>
      <c r="G6102" t="s">
        <v>929</v>
      </c>
      <c r="I6102" t="s">
        <v>30</v>
      </c>
      <c r="J6102" s="13">
        <v>46122</v>
      </c>
      <c r="K6102" s="13">
        <v>46143</v>
      </c>
      <c r="L6102" t="s">
        <v>603</v>
      </c>
      <c r="M6102" t="s">
        <v>56</v>
      </c>
      <c r="N6102">
        <v>77075410</v>
      </c>
    </row>
    <row r="6103" spans="1:14" x14ac:dyDescent="0.25">
      <c r="A6103">
        <v>62626387</v>
      </c>
      <c r="B6103" t="s">
        <v>4480</v>
      </c>
      <c r="C6103" t="s">
        <v>6751</v>
      </c>
      <c r="D6103" t="s">
        <v>13106</v>
      </c>
      <c r="E6103">
        <v>3177771094</v>
      </c>
      <c r="F6103" t="s">
        <v>474</v>
      </c>
      <c r="G6103" t="s">
        <v>475</v>
      </c>
      <c r="I6103" t="s">
        <v>132</v>
      </c>
      <c r="J6103" s="13">
        <v>46122</v>
      </c>
      <c r="K6103" s="13">
        <v>46143</v>
      </c>
      <c r="L6103" t="s">
        <v>440</v>
      </c>
      <c r="M6103" t="s">
        <v>58</v>
      </c>
      <c r="N6103">
        <v>77075595</v>
      </c>
    </row>
    <row r="6104" spans="1:14" x14ac:dyDescent="0.25">
      <c r="A6104">
        <v>62636432</v>
      </c>
      <c r="B6104" t="s">
        <v>10879</v>
      </c>
      <c r="C6104" t="s">
        <v>13107</v>
      </c>
      <c r="D6104" t="s">
        <v>13108</v>
      </c>
      <c r="E6104">
        <v>5205964044</v>
      </c>
      <c r="F6104" t="s">
        <v>10569</v>
      </c>
      <c r="G6104" t="s">
        <v>10570</v>
      </c>
      <c r="I6104" t="s">
        <v>29</v>
      </c>
      <c r="J6104" s="13">
        <v>46122</v>
      </c>
      <c r="K6104" s="13">
        <v>46143</v>
      </c>
      <c r="L6104" t="s">
        <v>1179</v>
      </c>
      <c r="M6104" t="s">
        <v>59</v>
      </c>
      <c r="N6104">
        <v>77076137</v>
      </c>
    </row>
    <row r="6105" spans="1:14" x14ac:dyDescent="0.25">
      <c r="A6105">
        <v>62634926</v>
      </c>
      <c r="B6105" t="s">
        <v>6760</v>
      </c>
      <c r="C6105" t="s">
        <v>4099</v>
      </c>
      <c r="D6105" t="s">
        <v>13109</v>
      </c>
      <c r="E6105">
        <v>7733280724</v>
      </c>
      <c r="F6105" t="s">
        <v>474</v>
      </c>
      <c r="G6105" t="s">
        <v>475</v>
      </c>
      <c r="I6105" t="s">
        <v>132</v>
      </c>
      <c r="J6105" s="13">
        <v>46122</v>
      </c>
      <c r="K6105" s="13">
        <v>46143</v>
      </c>
      <c r="L6105" t="s">
        <v>470</v>
      </c>
      <c r="M6105" t="s">
        <v>62</v>
      </c>
      <c r="N6105">
        <v>77076817</v>
      </c>
    </row>
    <row r="6106" spans="1:14" x14ac:dyDescent="0.25">
      <c r="A6106">
        <v>62643902</v>
      </c>
      <c r="B6106" t="s">
        <v>13110</v>
      </c>
      <c r="C6106" t="s">
        <v>788</v>
      </c>
      <c r="D6106" t="s">
        <v>13111</v>
      </c>
      <c r="E6106">
        <v>6028501608</v>
      </c>
      <c r="F6106" t="s">
        <v>11745</v>
      </c>
      <c r="G6106" t="s">
        <v>6544</v>
      </c>
      <c r="I6106" t="s">
        <v>11746</v>
      </c>
      <c r="J6106" s="13">
        <v>46122</v>
      </c>
      <c r="K6106" s="13">
        <v>46143</v>
      </c>
      <c r="L6106" t="s">
        <v>1179</v>
      </c>
      <c r="M6106" t="s">
        <v>54</v>
      </c>
      <c r="N6106">
        <v>77077774</v>
      </c>
    </row>
    <row r="6107" spans="1:14" x14ac:dyDescent="0.25">
      <c r="A6107">
        <v>62646401</v>
      </c>
      <c r="B6107" t="s">
        <v>4667</v>
      </c>
      <c r="C6107" t="s">
        <v>1598</v>
      </c>
      <c r="D6107" t="s">
        <v>13112</v>
      </c>
      <c r="E6107">
        <v>3312868355</v>
      </c>
      <c r="F6107" t="s">
        <v>649</v>
      </c>
      <c r="G6107" t="s">
        <v>650</v>
      </c>
      <c r="I6107" t="s">
        <v>28</v>
      </c>
      <c r="J6107" s="13">
        <v>46122</v>
      </c>
      <c r="K6107" s="13">
        <v>46143</v>
      </c>
      <c r="L6107" t="s">
        <v>470</v>
      </c>
      <c r="M6107" t="s">
        <v>62</v>
      </c>
      <c r="N6107">
        <v>77078509</v>
      </c>
    </row>
    <row r="6108" spans="1:14" x14ac:dyDescent="0.25">
      <c r="A6108">
        <v>62648603</v>
      </c>
      <c r="B6108" t="s">
        <v>3459</v>
      </c>
      <c r="C6108" t="s">
        <v>13113</v>
      </c>
      <c r="D6108" t="s">
        <v>13114</v>
      </c>
      <c r="E6108" t="s">
        <v>13115</v>
      </c>
      <c r="F6108" t="s">
        <v>1345</v>
      </c>
      <c r="G6108" t="s">
        <v>799</v>
      </c>
      <c r="I6108" t="s">
        <v>47</v>
      </c>
      <c r="J6108" s="13">
        <v>46122</v>
      </c>
      <c r="K6108" s="13">
        <v>46143</v>
      </c>
      <c r="L6108" t="s">
        <v>1179</v>
      </c>
      <c r="M6108" t="s">
        <v>56</v>
      </c>
      <c r="N6108">
        <v>77080382</v>
      </c>
    </row>
    <row r="6109" spans="1:14" x14ac:dyDescent="0.25">
      <c r="A6109">
        <v>62648743</v>
      </c>
      <c r="B6109" t="s">
        <v>13116</v>
      </c>
      <c r="C6109" t="s">
        <v>13117</v>
      </c>
      <c r="D6109" t="s">
        <v>13118</v>
      </c>
      <c r="E6109">
        <v>4436217433</v>
      </c>
      <c r="F6109" t="s">
        <v>10642</v>
      </c>
      <c r="G6109" t="s">
        <v>10643</v>
      </c>
      <c r="I6109" t="s">
        <v>45</v>
      </c>
      <c r="J6109" s="13">
        <v>46122</v>
      </c>
      <c r="K6109" s="13">
        <v>46143</v>
      </c>
      <c r="L6109" t="s">
        <v>497</v>
      </c>
      <c r="M6109" t="s">
        <v>54</v>
      </c>
      <c r="N6109">
        <v>77086021</v>
      </c>
    </row>
    <row r="6110" spans="1:14" x14ac:dyDescent="0.25">
      <c r="A6110">
        <v>62755035</v>
      </c>
      <c r="B6110" t="s">
        <v>1527</v>
      </c>
      <c r="C6110" t="s">
        <v>13119</v>
      </c>
      <c r="D6110" t="s">
        <v>13120</v>
      </c>
      <c r="E6110">
        <v>3124017022</v>
      </c>
      <c r="F6110" t="s">
        <v>474</v>
      </c>
      <c r="G6110" t="s">
        <v>475</v>
      </c>
      <c r="I6110" t="s">
        <v>132</v>
      </c>
      <c r="J6110" s="13">
        <v>46125</v>
      </c>
      <c r="K6110" s="13">
        <v>46143</v>
      </c>
      <c r="L6110" t="s">
        <v>470</v>
      </c>
      <c r="M6110" t="s">
        <v>62</v>
      </c>
      <c r="N6110">
        <v>77156965</v>
      </c>
    </row>
    <row r="6111" spans="1:14" x14ac:dyDescent="0.25">
      <c r="A6111">
        <v>62770944</v>
      </c>
      <c r="B6111" t="s">
        <v>1643</v>
      </c>
      <c r="C6111" t="s">
        <v>13121</v>
      </c>
      <c r="D6111" t="s">
        <v>13122</v>
      </c>
      <c r="E6111">
        <v>7273583981</v>
      </c>
      <c r="F6111" t="s">
        <v>1013</v>
      </c>
      <c r="G6111" t="s">
        <v>1014</v>
      </c>
      <c r="I6111" t="s">
        <v>43</v>
      </c>
      <c r="J6111" s="13">
        <v>46125</v>
      </c>
      <c r="K6111" s="13">
        <v>46143</v>
      </c>
      <c r="L6111" t="s">
        <v>497</v>
      </c>
      <c r="M6111" t="s">
        <v>58</v>
      </c>
      <c r="N6111">
        <v>77156988</v>
      </c>
    </row>
    <row r="6112" spans="1:14" x14ac:dyDescent="0.25">
      <c r="A6112">
        <v>62765729</v>
      </c>
      <c r="B6112" t="s">
        <v>604</v>
      </c>
      <c r="C6112" t="s">
        <v>506</v>
      </c>
      <c r="D6112" t="s">
        <v>13123</v>
      </c>
      <c r="E6112">
        <v>7542264082</v>
      </c>
      <c r="F6112" t="s">
        <v>2544</v>
      </c>
      <c r="G6112" t="s">
        <v>12389</v>
      </c>
      <c r="I6112" t="s">
        <v>12390</v>
      </c>
      <c r="J6112" s="13">
        <v>46125</v>
      </c>
      <c r="K6112" s="13">
        <v>46143</v>
      </c>
      <c r="L6112" t="s">
        <v>497</v>
      </c>
      <c r="M6112" t="s">
        <v>59</v>
      </c>
      <c r="N6112">
        <v>77156997</v>
      </c>
    </row>
    <row r="6113" spans="1:14" x14ac:dyDescent="0.25">
      <c r="A6113">
        <v>62765526</v>
      </c>
      <c r="B6113" t="s">
        <v>13124</v>
      </c>
      <c r="C6113" t="s">
        <v>8917</v>
      </c>
      <c r="D6113" t="s">
        <v>13125</v>
      </c>
      <c r="E6113">
        <v>7262481495</v>
      </c>
      <c r="F6113" t="s">
        <v>11838</v>
      </c>
      <c r="G6113" t="s">
        <v>11839</v>
      </c>
      <c r="I6113" t="s">
        <v>11840</v>
      </c>
      <c r="J6113" s="13">
        <v>46125</v>
      </c>
      <c r="K6113" s="13">
        <v>46143</v>
      </c>
      <c r="L6113" t="s">
        <v>444</v>
      </c>
      <c r="M6113" t="s">
        <v>59</v>
      </c>
      <c r="N6113">
        <v>77157009</v>
      </c>
    </row>
    <row r="6114" spans="1:14" x14ac:dyDescent="0.25">
      <c r="A6114">
        <v>62779666</v>
      </c>
      <c r="B6114" t="s">
        <v>13126</v>
      </c>
      <c r="C6114" t="s">
        <v>13127</v>
      </c>
      <c r="D6114" t="s">
        <v>13128</v>
      </c>
      <c r="E6114">
        <v>6026007744</v>
      </c>
      <c r="F6114" t="s">
        <v>780</v>
      </c>
      <c r="G6114" t="s">
        <v>781</v>
      </c>
      <c r="I6114" t="s">
        <v>20</v>
      </c>
      <c r="J6114" s="13">
        <v>46125</v>
      </c>
      <c r="K6114" s="13">
        <v>46143</v>
      </c>
      <c r="L6114" t="s">
        <v>1179</v>
      </c>
      <c r="M6114" t="s">
        <v>59</v>
      </c>
      <c r="N6114">
        <v>77157010</v>
      </c>
    </row>
    <row r="6115" spans="1:14" x14ac:dyDescent="0.25">
      <c r="A6115">
        <v>62793033</v>
      </c>
      <c r="B6115" t="s">
        <v>1160</v>
      </c>
      <c r="C6115" t="s">
        <v>13129</v>
      </c>
      <c r="D6115" t="s">
        <v>13130</v>
      </c>
      <c r="E6115">
        <v>4143097206</v>
      </c>
      <c r="F6115" t="s">
        <v>628</v>
      </c>
      <c r="G6115" t="s">
        <v>629</v>
      </c>
      <c r="I6115" t="s">
        <v>24</v>
      </c>
      <c r="J6115" s="13">
        <v>46125</v>
      </c>
      <c r="K6115" s="13">
        <v>46143</v>
      </c>
      <c r="L6115" t="s">
        <v>675</v>
      </c>
      <c r="M6115" t="s">
        <v>58</v>
      </c>
      <c r="N6115">
        <v>77157258</v>
      </c>
    </row>
    <row r="6116" spans="1:14" x14ac:dyDescent="0.25">
      <c r="A6116">
        <v>62788952</v>
      </c>
      <c r="B6116" t="s">
        <v>604</v>
      </c>
      <c r="C6116" t="s">
        <v>13131</v>
      </c>
      <c r="D6116" t="s">
        <v>13132</v>
      </c>
      <c r="E6116">
        <v>9013908271</v>
      </c>
      <c r="F6116" t="s">
        <v>667</v>
      </c>
      <c r="G6116" t="s">
        <v>668</v>
      </c>
      <c r="I6116" t="s">
        <v>37</v>
      </c>
      <c r="J6116" s="13">
        <v>46125</v>
      </c>
      <c r="K6116" s="13">
        <v>46143</v>
      </c>
      <c r="L6116" t="s">
        <v>479</v>
      </c>
      <c r="M6116" t="s">
        <v>59</v>
      </c>
      <c r="N6116">
        <v>77160050</v>
      </c>
    </row>
    <row r="6117" spans="1:14" x14ac:dyDescent="0.25">
      <c r="A6117">
        <v>63485681</v>
      </c>
      <c r="B6117" t="s">
        <v>9609</v>
      </c>
      <c r="C6117" t="s">
        <v>13133</v>
      </c>
      <c r="D6117" t="s">
        <v>13134</v>
      </c>
      <c r="E6117">
        <v>3032049121</v>
      </c>
      <c r="F6117" t="s">
        <v>1345</v>
      </c>
      <c r="G6117" t="s">
        <v>799</v>
      </c>
      <c r="I6117" t="s">
        <v>47</v>
      </c>
      <c r="J6117" s="13">
        <v>46142</v>
      </c>
      <c r="K6117" s="13">
        <v>46143</v>
      </c>
      <c r="L6117" t="s">
        <v>1179</v>
      </c>
      <c r="M6117" t="s">
        <v>54</v>
      </c>
      <c r="N6117">
        <v>77161406</v>
      </c>
    </row>
    <row r="6118" spans="1:14" x14ac:dyDescent="0.25">
      <c r="A6118">
        <v>62791818</v>
      </c>
      <c r="B6118" t="s">
        <v>867</v>
      </c>
      <c r="C6118" t="s">
        <v>13135</v>
      </c>
      <c r="D6118" t="s">
        <v>13136</v>
      </c>
      <c r="E6118">
        <v>8179375342</v>
      </c>
      <c r="F6118" t="s">
        <v>474</v>
      </c>
      <c r="G6118" t="s">
        <v>475</v>
      </c>
      <c r="I6118" t="s">
        <v>132</v>
      </c>
      <c r="J6118" s="13">
        <v>46125</v>
      </c>
      <c r="K6118" s="13">
        <v>46143</v>
      </c>
      <c r="L6118" t="s">
        <v>444</v>
      </c>
      <c r="M6118" t="s">
        <v>56</v>
      </c>
      <c r="N6118">
        <v>77163050</v>
      </c>
    </row>
    <row r="6119" spans="1:14" x14ac:dyDescent="0.25">
      <c r="A6119">
        <v>62804435</v>
      </c>
      <c r="B6119" t="s">
        <v>13137</v>
      </c>
      <c r="C6119" t="s">
        <v>2079</v>
      </c>
      <c r="D6119" t="s">
        <v>13138</v>
      </c>
      <c r="E6119">
        <v>6194492622</v>
      </c>
      <c r="F6119" t="s">
        <v>416</v>
      </c>
      <c r="G6119" t="s">
        <v>417</v>
      </c>
      <c r="I6119" t="s">
        <v>26</v>
      </c>
      <c r="J6119" s="13">
        <v>46125</v>
      </c>
      <c r="K6119" s="13">
        <v>46143</v>
      </c>
      <c r="L6119" t="s">
        <v>1179</v>
      </c>
      <c r="M6119" t="s">
        <v>54</v>
      </c>
      <c r="N6119">
        <v>77167354</v>
      </c>
    </row>
    <row r="6120" spans="1:14" x14ac:dyDescent="0.25">
      <c r="A6120">
        <v>62805157</v>
      </c>
      <c r="B6120" t="s">
        <v>3144</v>
      </c>
      <c r="C6120" t="s">
        <v>10923</v>
      </c>
      <c r="D6120" t="s">
        <v>13139</v>
      </c>
      <c r="E6120">
        <v>5205918573</v>
      </c>
      <c r="F6120" t="s">
        <v>1013</v>
      </c>
      <c r="G6120" t="s">
        <v>1014</v>
      </c>
      <c r="I6120" t="s">
        <v>43</v>
      </c>
      <c r="J6120" s="13">
        <v>46125</v>
      </c>
      <c r="K6120" s="13">
        <v>46143</v>
      </c>
      <c r="L6120" t="s">
        <v>1179</v>
      </c>
      <c r="M6120" t="s">
        <v>54</v>
      </c>
      <c r="N6120">
        <v>77176090</v>
      </c>
    </row>
    <row r="6121" spans="1:14" x14ac:dyDescent="0.25">
      <c r="A6121">
        <v>62817302</v>
      </c>
      <c r="B6121" t="s">
        <v>867</v>
      </c>
      <c r="C6121" t="s">
        <v>13140</v>
      </c>
      <c r="D6121" t="s">
        <v>13141</v>
      </c>
      <c r="E6121">
        <v>2253941943</v>
      </c>
      <c r="F6121" t="s">
        <v>8440</v>
      </c>
      <c r="G6121" t="s">
        <v>12267</v>
      </c>
      <c r="I6121" t="s">
        <v>12268</v>
      </c>
      <c r="J6121" s="13">
        <v>46125</v>
      </c>
      <c r="K6121" s="13">
        <v>46143</v>
      </c>
      <c r="L6121" t="s">
        <v>479</v>
      </c>
      <c r="M6121" t="s">
        <v>62</v>
      </c>
      <c r="N6121">
        <v>77178235</v>
      </c>
    </row>
    <row r="6122" spans="1:14" x14ac:dyDescent="0.25">
      <c r="A6122">
        <v>62817826</v>
      </c>
      <c r="B6122" t="s">
        <v>13142</v>
      </c>
      <c r="C6122" t="s">
        <v>5114</v>
      </c>
      <c r="D6122" t="s">
        <v>13143</v>
      </c>
      <c r="E6122">
        <v>3126137640</v>
      </c>
      <c r="F6122" t="s">
        <v>705</v>
      </c>
      <c r="G6122" t="s">
        <v>706</v>
      </c>
      <c r="I6122" t="s">
        <v>12</v>
      </c>
      <c r="J6122" s="13">
        <v>46125</v>
      </c>
      <c r="K6122" s="13">
        <v>46143</v>
      </c>
      <c r="L6122" t="s">
        <v>470</v>
      </c>
      <c r="M6122" t="s">
        <v>59</v>
      </c>
      <c r="N6122">
        <v>77179282</v>
      </c>
    </row>
    <row r="6123" spans="1:14" x14ac:dyDescent="0.25">
      <c r="A6123">
        <v>63557933</v>
      </c>
      <c r="B6123" t="s">
        <v>6888</v>
      </c>
      <c r="C6123" t="s">
        <v>13144</v>
      </c>
      <c r="D6123" t="s">
        <v>13145</v>
      </c>
      <c r="E6123">
        <v>4804507657</v>
      </c>
      <c r="F6123" t="s">
        <v>11776</v>
      </c>
      <c r="G6123" t="s">
        <v>3895</v>
      </c>
      <c r="H6123" t="s">
        <v>11777</v>
      </c>
      <c r="I6123" t="s">
        <v>11778</v>
      </c>
      <c r="J6123" s="13">
        <v>46146</v>
      </c>
      <c r="K6123" s="13">
        <v>46174</v>
      </c>
      <c r="L6123" t="s">
        <v>1179</v>
      </c>
      <c r="M6123" t="s">
        <v>54</v>
      </c>
      <c r="N6123">
        <v>77186734</v>
      </c>
    </row>
    <row r="6124" spans="1:14" x14ac:dyDescent="0.25">
      <c r="A6124">
        <v>62824705</v>
      </c>
      <c r="B6124" t="s">
        <v>1772</v>
      </c>
      <c r="C6124" t="s">
        <v>6680</v>
      </c>
      <c r="D6124" t="s">
        <v>13146</v>
      </c>
      <c r="E6124">
        <v>6023010875</v>
      </c>
      <c r="F6124" t="s">
        <v>2544</v>
      </c>
      <c r="G6124" t="s">
        <v>12389</v>
      </c>
      <c r="I6124" t="s">
        <v>12390</v>
      </c>
      <c r="J6124" s="13">
        <v>46125</v>
      </c>
      <c r="K6124" s="13">
        <v>46143</v>
      </c>
      <c r="L6124" t="s">
        <v>1179</v>
      </c>
      <c r="M6124" t="s">
        <v>59</v>
      </c>
      <c r="N6124">
        <v>77186887</v>
      </c>
    </row>
    <row r="6125" spans="1:14" x14ac:dyDescent="0.25">
      <c r="A6125">
        <v>62827206</v>
      </c>
      <c r="B6125" t="s">
        <v>777</v>
      </c>
      <c r="C6125" t="s">
        <v>416</v>
      </c>
      <c r="D6125" t="s">
        <v>13147</v>
      </c>
      <c r="E6125">
        <v>8178529386</v>
      </c>
      <c r="F6125" t="s">
        <v>11838</v>
      </c>
      <c r="G6125" t="s">
        <v>11839</v>
      </c>
      <c r="I6125" t="s">
        <v>11840</v>
      </c>
      <c r="J6125" s="13">
        <v>46125</v>
      </c>
      <c r="K6125" s="13">
        <v>46143</v>
      </c>
      <c r="L6125" t="s">
        <v>444</v>
      </c>
      <c r="M6125" t="s">
        <v>55</v>
      </c>
      <c r="N6125">
        <v>77187205</v>
      </c>
    </row>
    <row r="6126" spans="1:14" x14ac:dyDescent="0.25">
      <c r="A6126">
        <v>62829144</v>
      </c>
      <c r="B6126" t="s">
        <v>7131</v>
      </c>
      <c r="C6126" t="s">
        <v>13148</v>
      </c>
      <c r="D6126" t="s">
        <v>13149</v>
      </c>
      <c r="E6126">
        <v>7086027721</v>
      </c>
      <c r="F6126" t="s">
        <v>474</v>
      </c>
      <c r="G6126" t="s">
        <v>475</v>
      </c>
      <c r="I6126" t="s">
        <v>132</v>
      </c>
      <c r="J6126" s="13">
        <v>46125</v>
      </c>
      <c r="K6126" s="13">
        <v>46143</v>
      </c>
      <c r="L6126" t="s">
        <v>470</v>
      </c>
      <c r="M6126" t="s">
        <v>56</v>
      </c>
      <c r="N6126">
        <v>77199749</v>
      </c>
    </row>
    <row r="6127" spans="1:14" x14ac:dyDescent="0.25">
      <c r="A6127">
        <v>62834232</v>
      </c>
      <c r="B6127" t="s">
        <v>13150</v>
      </c>
      <c r="C6127" t="s">
        <v>13151</v>
      </c>
      <c r="D6127" t="s">
        <v>13152</v>
      </c>
      <c r="E6127">
        <v>7727080924</v>
      </c>
      <c r="F6127" t="s">
        <v>1013</v>
      </c>
      <c r="G6127" t="s">
        <v>1014</v>
      </c>
      <c r="I6127" t="s">
        <v>43</v>
      </c>
      <c r="J6127" s="13">
        <v>46125</v>
      </c>
      <c r="K6127" s="13">
        <v>46143</v>
      </c>
      <c r="L6127" t="s">
        <v>497</v>
      </c>
      <c r="M6127" t="s">
        <v>54</v>
      </c>
      <c r="N6127">
        <v>77200930</v>
      </c>
    </row>
    <row r="6128" spans="1:14" x14ac:dyDescent="0.25">
      <c r="A6128">
        <v>62841449</v>
      </c>
      <c r="B6128" t="s">
        <v>2771</v>
      </c>
      <c r="C6128" t="s">
        <v>770</v>
      </c>
      <c r="D6128" t="s">
        <v>13153</v>
      </c>
      <c r="E6128">
        <v>7738538768</v>
      </c>
      <c r="F6128" t="s">
        <v>474</v>
      </c>
      <c r="G6128" t="s">
        <v>475</v>
      </c>
      <c r="I6128" t="s">
        <v>132</v>
      </c>
      <c r="J6128" s="13">
        <v>46125</v>
      </c>
      <c r="K6128" s="13">
        <v>46143</v>
      </c>
      <c r="L6128" t="s">
        <v>470</v>
      </c>
      <c r="M6128" t="s">
        <v>62</v>
      </c>
      <c r="N6128">
        <v>77204052</v>
      </c>
    </row>
    <row r="6129" spans="1:14" x14ac:dyDescent="0.25">
      <c r="A6129">
        <v>62849649</v>
      </c>
      <c r="B6129" t="s">
        <v>13154</v>
      </c>
      <c r="C6129" t="s">
        <v>13155</v>
      </c>
      <c r="D6129" t="s">
        <v>13156</v>
      </c>
      <c r="E6129">
        <v>4802711710</v>
      </c>
      <c r="F6129" t="s">
        <v>2544</v>
      </c>
      <c r="G6129" t="s">
        <v>12389</v>
      </c>
      <c r="I6129" t="s">
        <v>12390</v>
      </c>
      <c r="J6129" s="13">
        <v>46125</v>
      </c>
      <c r="K6129" s="13">
        <v>46143</v>
      </c>
      <c r="L6129" t="s">
        <v>1179</v>
      </c>
      <c r="M6129" t="s">
        <v>54</v>
      </c>
      <c r="N6129">
        <v>77204899</v>
      </c>
    </row>
    <row r="6130" spans="1:14" x14ac:dyDescent="0.25">
      <c r="A6130">
        <v>62931682</v>
      </c>
      <c r="B6130" t="s">
        <v>4570</v>
      </c>
      <c r="C6130" t="s">
        <v>8013</v>
      </c>
      <c r="D6130" t="s">
        <v>13157</v>
      </c>
      <c r="E6130">
        <v>4402589441</v>
      </c>
      <c r="F6130" t="s">
        <v>8440</v>
      </c>
      <c r="G6130" t="s">
        <v>12267</v>
      </c>
      <c r="I6130" t="s">
        <v>12268</v>
      </c>
      <c r="J6130" s="13">
        <v>46126</v>
      </c>
      <c r="K6130" s="13">
        <v>46143</v>
      </c>
      <c r="L6130" t="s">
        <v>418</v>
      </c>
      <c r="M6130" t="s">
        <v>59</v>
      </c>
      <c r="N6130">
        <v>77218435</v>
      </c>
    </row>
    <row r="6131" spans="1:14" x14ac:dyDescent="0.25">
      <c r="A6131">
        <v>62936284</v>
      </c>
      <c r="B6131" t="s">
        <v>7386</v>
      </c>
      <c r="C6131" t="s">
        <v>13158</v>
      </c>
      <c r="D6131" t="s">
        <v>13159</v>
      </c>
      <c r="E6131">
        <v>9124314445</v>
      </c>
      <c r="F6131" t="s">
        <v>10642</v>
      </c>
      <c r="G6131" t="s">
        <v>10643</v>
      </c>
      <c r="I6131" t="s">
        <v>45</v>
      </c>
      <c r="J6131" s="13">
        <v>46126</v>
      </c>
      <c r="K6131" s="13">
        <v>46143</v>
      </c>
      <c r="L6131" t="s">
        <v>621</v>
      </c>
      <c r="M6131" t="s">
        <v>59</v>
      </c>
      <c r="N6131">
        <v>77219751</v>
      </c>
    </row>
    <row r="6132" spans="1:14" x14ac:dyDescent="0.25">
      <c r="A6132">
        <v>62921326</v>
      </c>
      <c r="B6132" t="s">
        <v>1148</v>
      </c>
      <c r="C6132" t="s">
        <v>13160</v>
      </c>
      <c r="D6132" t="s">
        <v>13161</v>
      </c>
      <c r="E6132">
        <v>9542742585</v>
      </c>
      <c r="F6132" t="s">
        <v>1013</v>
      </c>
      <c r="G6132" t="s">
        <v>1014</v>
      </c>
      <c r="I6132" t="s">
        <v>43</v>
      </c>
      <c r="J6132" s="13">
        <v>46126</v>
      </c>
      <c r="K6132" s="13">
        <v>46143</v>
      </c>
      <c r="L6132" t="s">
        <v>497</v>
      </c>
      <c r="M6132" t="s">
        <v>56</v>
      </c>
      <c r="N6132">
        <v>77220465</v>
      </c>
    </row>
    <row r="6133" spans="1:14" x14ac:dyDescent="0.25">
      <c r="A6133">
        <v>62932602</v>
      </c>
      <c r="B6133" t="s">
        <v>480</v>
      </c>
      <c r="C6133" t="s">
        <v>13162</v>
      </c>
      <c r="D6133" t="s">
        <v>13163</v>
      </c>
      <c r="E6133">
        <v>7737595399</v>
      </c>
      <c r="F6133" t="s">
        <v>4941</v>
      </c>
      <c r="G6133" t="s">
        <v>12450</v>
      </c>
      <c r="I6133" t="s">
        <v>12451</v>
      </c>
      <c r="J6133" s="13">
        <v>46126</v>
      </c>
      <c r="K6133" s="13">
        <v>46143</v>
      </c>
      <c r="L6133" t="s">
        <v>470</v>
      </c>
      <c r="M6133" t="s">
        <v>60</v>
      </c>
      <c r="N6133">
        <v>77220474</v>
      </c>
    </row>
    <row r="6134" spans="1:14" x14ac:dyDescent="0.25">
      <c r="A6134">
        <v>62925492</v>
      </c>
      <c r="B6134" t="s">
        <v>5795</v>
      </c>
      <c r="C6134" t="s">
        <v>6889</v>
      </c>
      <c r="D6134" t="s">
        <v>13164</v>
      </c>
      <c r="E6134">
        <v>2163751022</v>
      </c>
      <c r="F6134" t="s">
        <v>705</v>
      </c>
      <c r="G6134" t="s">
        <v>706</v>
      </c>
      <c r="I6134" t="s">
        <v>12</v>
      </c>
      <c r="J6134" s="13">
        <v>46126</v>
      </c>
      <c r="K6134" s="13">
        <v>46143</v>
      </c>
      <c r="L6134" t="s">
        <v>418</v>
      </c>
      <c r="M6134" t="s">
        <v>58</v>
      </c>
      <c r="N6134">
        <v>77220557</v>
      </c>
    </row>
    <row r="6135" spans="1:14" x14ac:dyDescent="0.25">
      <c r="A6135">
        <v>62931582</v>
      </c>
      <c r="B6135" t="s">
        <v>13165</v>
      </c>
      <c r="C6135" t="s">
        <v>7266</v>
      </c>
      <c r="D6135" t="s">
        <v>13166</v>
      </c>
      <c r="E6135">
        <v>9043651146</v>
      </c>
      <c r="F6135" t="s">
        <v>780</v>
      </c>
      <c r="G6135" t="s">
        <v>781</v>
      </c>
      <c r="I6135" t="s">
        <v>20</v>
      </c>
      <c r="J6135" s="13">
        <v>46126</v>
      </c>
      <c r="K6135" s="13">
        <v>46143</v>
      </c>
      <c r="L6135" t="s">
        <v>497</v>
      </c>
      <c r="M6135" t="s">
        <v>56</v>
      </c>
      <c r="N6135">
        <v>77220597</v>
      </c>
    </row>
    <row r="6136" spans="1:14" x14ac:dyDescent="0.25">
      <c r="A6136">
        <v>62930860</v>
      </c>
      <c r="B6136" t="s">
        <v>2254</v>
      </c>
      <c r="C6136" t="s">
        <v>4137</v>
      </c>
      <c r="D6136" t="s">
        <v>13167</v>
      </c>
      <c r="E6136">
        <v>7573784829</v>
      </c>
      <c r="F6136" t="s">
        <v>928</v>
      </c>
      <c r="G6136" t="s">
        <v>929</v>
      </c>
      <c r="I6136" t="s">
        <v>30</v>
      </c>
      <c r="J6136" s="13">
        <v>46126</v>
      </c>
      <c r="K6136" s="13">
        <v>46143</v>
      </c>
      <c r="L6136" t="s">
        <v>454</v>
      </c>
      <c r="M6136" t="s">
        <v>56</v>
      </c>
      <c r="N6136">
        <v>77221304</v>
      </c>
    </row>
    <row r="6137" spans="1:14" x14ac:dyDescent="0.25">
      <c r="A6137">
        <v>62941552</v>
      </c>
      <c r="B6137" t="s">
        <v>9161</v>
      </c>
      <c r="C6137" t="s">
        <v>13168</v>
      </c>
      <c r="D6137" t="s">
        <v>13169</v>
      </c>
      <c r="E6137">
        <v>9014871973</v>
      </c>
      <c r="F6137" t="s">
        <v>2544</v>
      </c>
      <c r="G6137" t="s">
        <v>4833</v>
      </c>
      <c r="I6137" t="s">
        <v>18</v>
      </c>
      <c r="J6137" s="13">
        <v>46126</v>
      </c>
      <c r="K6137" s="13">
        <v>46143</v>
      </c>
      <c r="L6137" t="s">
        <v>479</v>
      </c>
      <c r="M6137" t="s">
        <v>59</v>
      </c>
      <c r="N6137">
        <v>77221700</v>
      </c>
    </row>
    <row r="6138" spans="1:14" x14ac:dyDescent="0.25">
      <c r="A6138">
        <v>62929908</v>
      </c>
      <c r="B6138" t="s">
        <v>13170</v>
      </c>
      <c r="C6138" t="s">
        <v>13171</v>
      </c>
      <c r="D6138" t="s">
        <v>13172</v>
      </c>
      <c r="E6138">
        <v>3125021884</v>
      </c>
      <c r="F6138" t="s">
        <v>448</v>
      </c>
      <c r="G6138" t="s">
        <v>449</v>
      </c>
      <c r="I6138" t="s">
        <v>31</v>
      </c>
      <c r="J6138" s="13">
        <v>46126</v>
      </c>
      <c r="K6138" s="13">
        <v>46143</v>
      </c>
      <c r="L6138" t="s">
        <v>470</v>
      </c>
      <c r="M6138" t="s">
        <v>60</v>
      </c>
      <c r="N6138">
        <v>77223941</v>
      </c>
    </row>
    <row r="6139" spans="1:14" x14ac:dyDescent="0.25">
      <c r="A6139">
        <v>62934362</v>
      </c>
      <c r="B6139" t="s">
        <v>909</v>
      </c>
      <c r="C6139" t="s">
        <v>13173</v>
      </c>
      <c r="D6139" t="s">
        <v>13174</v>
      </c>
      <c r="E6139">
        <v>9046779950</v>
      </c>
      <c r="F6139" t="s">
        <v>807</v>
      </c>
      <c r="G6139" t="s">
        <v>808</v>
      </c>
      <c r="I6139" t="s">
        <v>33</v>
      </c>
      <c r="J6139" s="13">
        <v>46126</v>
      </c>
      <c r="K6139" s="13">
        <v>46143</v>
      </c>
      <c r="L6139" t="s">
        <v>497</v>
      </c>
      <c r="M6139" t="s">
        <v>59</v>
      </c>
      <c r="N6139">
        <v>77225039</v>
      </c>
    </row>
    <row r="6140" spans="1:14" x14ac:dyDescent="0.25">
      <c r="A6140">
        <v>62931292</v>
      </c>
      <c r="B6140" t="s">
        <v>10854</v>
      </c>
      <c r="C6140" t="s">
        <v>6892</v>
      </c>
      <c r="E6140">
        <v>5615028881</v>
      </c>
      <c r="F6140" t="s">
        <v>10591</v>
      </c>
      <c r="G6140" t="s">
        <v>10215</v>
      </c>
      <c r="I6140" t="s">
        <v>32</v>
      </c>
      <c r="J6140" s="13">
        <v>46126</v>
      </c>
      <c r="K6140" s="13">
        <v>46143</v>
      </c>
      <c r="L6140" t="s">
        <v>497</v>
      </c>
      <c r="M6140" t="s">
        <v>59</v>
      </c>
      <c r="N6140">
        <v>77226193</v>
      </c>
    </row>
    <row r="6141" spans="1:14" x14ac:dyDescent="0.25">
      <c r="A6141">
        <v>62938551</v>
      </c>
      <c r="B6141" t="s">
        <v>13175</v>
      </c>
      <c r="C6141" t="s">
        <v>5569</v>
      </c>
      <c r="D6141" t="s">
        <v>13176</v>
      </c>
      <c r="E6141">
        <v>7739724274</v>
      </c>
      <c r="F6141" t="s">
        <v>574</v>
      </c>
      <c r="G6141" t="s">
        <v>575</v>
      </c>
      <c r="I6141" t="s">
        <v>14</v>
      </c>
      <c r="J6141" s="13">
        <v>46126</v>
      </c>
      <c r="K6141" s="13">
        <v>46143</v>
      </c>
      <c r="L6141" t="s">
        <v>470</v>
      </c>
      <c r="M6141" t="s">
        <v>62</v>
      </c>
      <c r="N6141">
        <v>77228226</v>
      </c>
    </row>
    <row r="6142" spans="1:14" x14ac:dyDescent="0.25">
      <c r="A6142">
        <v>62942499</v>
      </c>
      <c r="B6142" t="s">
        <v>4607</v>
      </c>
      <c r="C6142" t="s">
        <v>2544</v>
      </c>
      <c r="D6142" t="s">
        <v>13177</v>
      </c>
      <c r="E6142">
        <v>9103159559</v>
      </c>
      <c r="F6142" t="s">
        <v>10460</v>
      </c>
      <c r="G6142" t="s">
        <v>6663</v>
      </c>
      <c r="I6142" t="s">
        <v>40</v>
      </c>
      <c r="J6142" s="13">
        <v>46126</v>
      </c>
      <c r="K6142" s="13">
        <v>46143</v>
      </c>
      <c r="L6142" t="s">
        <v>603</v>
      </c>
      <c r="M6142" t="s">
        <v>56</v>
      </c>
      <c r="N6142">
        <v>77228654</v>
      </c>
    </row>
    <row r="6143" spans="1:14" x14ac:dyDescent="0.25">
      <c r="A6143">
        <v>62942006</v>
      </c>
      <c r="B6143" t="s">
        <v>1408</v>
      </c>
      <c r="C6143" t="s">
        <v>13178</v>
      </c>
      <c r="D6143" t="s">
        <v>13179</v>
      </c>
      <c r="E6143">
        <v>5202355103</v>
      </c>
      <c r="F6143" t="s">
        <v>11745</v>
      </c>
      <c r="G6143" t="s">
        <v>6544</v>
      </c>
      <c r="I6143" t="s">
        <v>11746</v>
      </c>
      <c r="J6143" s="13">
        <v>46126</v>
      </c>
      <c r="K6143" s="13">
        <v>46143</v>
      </c>
      <c r="L6143" t="s">
        <v>1179</v>
      </c>
      <c r="M6143" t="s">
        <v>54</v>
      </c>
      <c r="N6143">
        <v>77228799</v>
      </c>
    </row>
    <row r="6144" spans="1:14" x14ac:dyDescent="0.25">
      <c r="A6144">
        <v>62940905</v>
      </c>
      <c r="B6144" t="s">
        <v>5151</v>
      </c>
      <c r="C6144" t="s">
        <v>13180</v>
      </c>
      <c r="D6144" t="s">
        <v>13181</v>
      </c>
      <c r="E6144">
        <v>9282433778</v>
      </c>
      <c r="F6144" t="s">
        <v>1013</v>
      </c>
      <c r="G6144" t="s">
        <v>1014</v>
      </c>
      <c r="I6144" t="s">
        <v>43</v>
      </c>
      <c r="J6144" s="13">
        <v>46126</v>
      </c>
      <c r="K6144" s="13">
        <v>46143</v>
      </c>
      <c r="L6144" t="s">
        <v>1179</v>
      </c>
      <c r="M6144" t="s">
        <v>61</v>
      </c>
      <c r="N6144">
        <v>77228839</v>
      </c>
    </row>
    <row r="6145" spans="1:14" x14ac:dyDescent="0.25">
      <c r="A6145">
        <v>62930006</v>
      </c>
      <c r="B6145" t="s">
        <v>748</v>
      </c>
      <c r="C6145" t="s">
        <v>1203</v>
      </c>
      <c r="D6145" t="s">
        <v>13182</v>
      </c>
      <c r="E6145">
        <v>2708897783</v>
      </c>
      <c r="F6145" t="s">
        <v>1067</v>
      </c>
      <c r="G6145" t="s">
        <v>1068</v>
      </c>
      <c r="I6145" t="s">
        <v>35</v>
      </c>
      <c r="J6145" s="13">
        <v>46126</v>
      </c>
      <c r="K6145" s="13">
        <v>46143</v>
      </c>
      <c r="L6145" t="s">
        <v>490</v>
      </c>
      <c r="M6145" t="s">
        <v>58</v>
      </c>
      <c r="N6145">
        <v>77228857</v>
      </c>
    </row>
    <row r="6146" spans="1:14" x14ac:dyDescent="0.25">
      <c r="A6146">
        <v>62949952</v>
      </c>
      <c r="B6146" t="s">
        <v>990</v>
      </c>
      <c r="C6146" t="s">
        <v>13183</v>
      </c>
      <c r="D6146" t="s">
        <v>13184</v>
      </c>
      <c r="E6146">
        <v>9045044421</v>
      </c>
      <c r="F6146" t="s">
        <v>628</v>
      </c>
      <c r="G6146" t="s">
        <v>629</v>
      </c>
      <c r="I6146" t="s">
        <v>24</v>
      </c>
      <c r="J6146" s="13">
        <v>46126</v>
      </c>
      <c r="K6146" s="13">
        <v>46143</v>
      </c>
      <c r="L6146" t="s">
        <v>497</v>
      </c>
      <c r="M6146" t="s">
        <v>60</v>
      </c>
      <c r="N6146">
        <v>77229087</v>
      </c>
    </row>
    <row r="6147" spans="1:14" x14ac:dyDescent="0.25">
      <c r="A6147">
        <v>62943313</v>
      </c>
      <c r="B6147" t="s">
        <v>5687</v>
      </c>
      <c r="C6147" t="s">
        <v>13185</v>
      </c>
      <c r="D6147" t="s">
        <v>13186</v>
      </c>
      <c r="E6147">
        <v>4049883726</v>
      </c>
      <c r="F6147" t="s">
        <v>551</v>
      </c>
      <c r="G6147" t="s">
        <v>552</v>
      </c>
      <c r="I6147" t="s">
        <v>42</v>
      </c>
      <c r="J6147" s="13">
        <v>46126</v>
      </c>
      <c r="K6147" s="13">
        <v>46143</v>
      </c>
      <c r="L6147" t="s">
        <v>621</v>
      </c>
      <c r="M6147" t="s">
        <v>60</v>
      </c>
      <c r="N6147">
        <v>77229160</v>
      </c>
    </row>
    <row r="6148" spans="1:14" x14ac:dyDescent="0.25">
      <c r="A6148">
        <v>62941447</v>
      </c>
      <c r="B6148" t="s">
        <v>7615</v>
      </c>
      <c r="C6148" t="s">
        <v>1016</v>
      </c>
      <c r="D6148" t="s">
        <v>13187</v>
      </c>
      <c r="E6148">
        <v>9013403341</v>
      </c>
      <c r="F6148" t="s">
        <v>448</v>
      </c>
      <c r="G6148" t="s">
        <v>449</v>
      </c>
      <c r="I6148" t="s">
        <v>31</v>
      </c>
      <c r="J6148" s="13">
        <v>46126</v>
      </c>
      <c r="K6148" s="13">
        <v>46143</v>
      </c>
      <c r="L6148" t="s">
        <v>479</v>
      </c>
      <c r="M6148" t="s">
        <v>58</v>
      </c>
      <c r="N6148">
        <v>77229219</v>
      </c>
    </row>
    <row r="6149" spans="1:14" x14ac:dyDescent="0.25">
      <c r="A6149">
        <v>62942440</v>
      </c>
      <c r="B6149" t="s">
        <v>1679</v>
      </c>
      <c r="C6149" t="s">
        <v>5620</v>
      </c>
      <c r="D6149" t="s">
        <v>13188</v>
      </c>
      <c r="E6149">
        <v>2169396416</v>
      </c>
      <c r="F6149" t="s">
        <v>667</v>
      </c>
      <c r="G6149" t="s">
        <v>668</v>
      </c>
      <c r="I6149" t="s">
        <v>37</v>
      </c>
      <c r="J6149" s="13">
        <v>46126</v>
      </c>
      <c r="K6149" s="13">
        <v>46143</v>
      </c>
      <c r="L6149" t="s">
        <v>418</v>
      </c>
      <c r="M6149" t="s">
        <v>62</v>
      </c>
      <c r="N6149">
        <v>77229364</v>
      </c>
    </row>
    <row r="6150" spans="1:14" x14ac:dyDescent="0.25">
      <c r="A6150">
        <v>62945746</v>
      </c>
      <c r="B6150" t="s">
        <v>975</v>
      </c>
      <c r="C6150" t="s">
        <v>5942</v>
      </c>
      <c r="D6150" t="s">
        <v>13189</v>
      </c>
      <c r="E6150">
        <v>6022144915</v>
      </c>
      <c r="F6150" t="s">
        <v>1013</v>
      </c>
      <c r="G6150" t="s">
        <v>1014</v>
      </c>
      <c r="I6150" t="s">
        <v>43</v>
      </c>
      <c r="J6150" s="13">
        <v>46126</v>
      </c>
      <c r="K6150" s="13">
        <v>46143</v>
      </c>
      <c r="L6150" t="s">
        <v>1179</v>
      </c>
      <c r="M6150" t="s">
        <v>56</v>
      </c>
      <c r="N6150">
        <v>77230253</v>
      </c>
    </row>
    <row r="6151" spans="1:14" x14ac:dyDescent="0.25">
      <c r="A6151">
        <v>62962975</v>
      </c>
      <c r="B6151" t="s">
        <v>4861</v>
      </c>
      <c r="C6151" t="s">
        <v>13190</v>
      </c>
      <c r="D6151" t="s">
        <v>13191</v>
      </c>
      <c r="E6151">
        <v>3179974842</v>
      </c>
      <c r="F6151" t="s">
        <v>705</v>
      </c>
      <c r="G6151" t="s">
        <v>706</v>
      </c>
      <c r="I6151" t="s">
        <v>12</v>
      </c>
      <c r="J6151" s="13">
        <v>46126</v>
      </c>
      <c r="K6151" s="13">
        <v>46143</v>
      </c>
      <c r="L6151" t="s">
        <v>440</v>
      </c>
      <c r="M6151" t="s">
        <v>56</v>
      </c>
      <c r="N6151">
        <v>77231790</v>
      </c>
    </row>
    <row r="6152" spans="1:14" x14ac:dyDescent="0.25">
      <c r="A6152">
        <v>63282743</v>
      </c>
      <c r="B6152" t="s">
        <v>13192</v>
      </c>
      <c r="C6152" t="s">
        <v>13193</v>
      </c>
      <c r="D6152" t="s">
        <v>13194</v>
      </c>
      <c r="F6152" t="s">
        <v>11838</v>
      </c>
      <c r="G6152" t="s">
        <v>11839</v>
      </c>
      <c r="I6152" t="s">
        <v>11840</v>
      </c>
      <c r="J6152" s="13">
        <v>46132</v>
      </c>
      <c r="K6152" s="13">
        <v>46143</v>
      </c>
      <c r="L6152" t="s">
        <v>444</v>
      </c>
      <c r="M6152" t="s">
        <v>61</v>
      </c>
      <c r="N6152">
        <v>77232328</v>
      </c>
    </row>
    <row r="6153" spans="1:14" x14ac:dyDescent="0.25">
      <c r="A6153">
        <v>63116061</v>
      </c>
      <c r="B6153" t="s">
        <v>4492</v>
      </c>
      <c r="C6153" t="s">
        <v>13195</v>
      </c>
      <c r="D6153" t="s">
        <v>13196</v>
      </c>
      <c r="E6153">
        <v>7733305224</v>
      </c>
      <c r="F6153" t="s">
        <v>4941</v>
      </c>
      <c r="G6153" t="s">
        <v>12450</v>
      </c>
      <c r="I6153" t="s">
        <v>12451</v>
      </c>
      <c r="J6153" s="13">
        <v>46127</v>
      </c>
      <c r="K6153" s="13">
        <v>46204</v>
      </c>
      <c r="L6153" t="s">
        <v>470</v>
      </c>
      <c r="M6153" t="s">
        <v>60</v>
      </c>
      <c r="N6153">
        <v>77234168</v>
      </c>
    </row>
    <row r="6154" spans="1:14" x14ac:dyDescent="0.25">
      <c r="A6154">
        <v>62968984</v>
      </c>
      <c r="B6154" t="s">
        <v>1699</v>
      </c>
      <c r="C6154" t="s">
        <v>13197</v>
      </c>
      <c r="D6154" t="s">
        <v>13198</v>
      </c>
      <c r="E6154">
        <v>6206877945</v>
      </c>
      <c r="F6154" t="s">
        <v>448</v>
      </c>
      <c r="G6154" t="s">
        <v>449</v>
      </c>
      <c r="I6154" t="s">
        <v>31</v>
      </c>
      <c r="J6154" s="13">
        <v>46126</v>
      </c>
      <c r="K6154" s="13">
        <v>46143</v>
      </c>
      <c r="L6154" t="s">
        <v>520</v>
      </c>
      <c r="M6154" t="s">
        <v>56</v>
      </c>
      <c r="N6154">
        <v>77234306</v>
      </c>
    </row>
    <row r="6155" spans="1:14" x14ac:dyDescent="0.25">
      <c r="A6155">
        <v>63086248</v>
      </c>
      <c r="B6155" t="s">
        <v>1643</v>
      </c>
      <c r="C6155" t="s">
        <v>626</v>
      </c>
      <c r="D6155" t="s">
        <v>13199</v>
      </c>
      <c r="E6155">
        <v>8593612533</v>
      </c>
      <c r="F6155" t="s">
        <v>628</v>
      </c>
      <c r="G6155" t="s">
        <v>629</v>
      </c>
      <c r="I6155" t="s">
        <v>24</v>
      </c>
      <c r="J6155" s="13">
        <v>46127</v>
      </c>
      <c r="K6155" s="13">
        <v>46143</v>
      </c>
      <c r="L6155" t="s">
        <v>490</v>
      </c>
      <c r="M6155" t="s">
        <v>419</v>
      </c>
      <c r="N6155">
        <v>77237282</v>
      </c>
    </row>
    <row r="6156" spans="1:14" x14ac:dyDescent="0.25">
      <c r="A6156">
        <v>62999710</v>
      </c>
      <c r="B6156" t="s">
        <v>13200</v>
      </c>
      <c r="C6156" t="s">
        <v>13201</v>
      </c>
      <c r="D6156" t="s">
        <v>13202</v>
      </c>
      <c r="E6156">
        <v>7863068338</v>
      </c>
      <c r="F6156" t="s">
        <v>10591</v>
      </c>
      <c r="G6156" t="s">
        <v>10215</v>
      </c>
      <c r="I6156" t="s">
        <v>32</v>
      </c>
      <c r="J6156" s="13">
        <v>46126</v>
      </c>
      <c r="K6156" s="13">
        <v>46143</v>
      </c>
      <c r="L6156" t="s">
        <v>497</v>
      </c>
      <c r="M6156" t="s">
        <v>54</v>
      </c>
      <c r="N6156">
        <v>77237413</v>
      </c>
    </row>
    <row r="6157" spans="1:14" x14ac:dyDescent="0.25">
      <c r="A6157">
        <v>62995812</v>
      </c>
      <c r="B6157" t="s">
        <v>13203</v>
      </c>
      <c r="C6157" t="s">
        <v>13204</v>
      </c>
      <c r="D6157" t="s">
        <v>13205</v>
      </c>
      <c r="E6157">
        <v>6232108131</v>
      </c>
      <c r="F6157" t="s">
        <v>2544</v>
      </c>
      <c r="G6157" t="s">
        <v>12389</v>
      </c>
      <c r="I6157" t="s">
        <v>12390</v>
      </c>
      <c r="J6157" s="13">
        <v>46126</v>
      </c>
      <c r="K6157" s="13">
        <v>46143</v>
      </c>
      <c r="L6157" t="s">
        <v>1179</v>
      </c>
      <c r="M6157" t="s">
        <v>54</v>
      </c>
      <c r="N6157">
        <v>77237979</v>
      </c>
    </row>
    <row r="6158" spans="1:14" x14ac:dyDescent="0.25">
      <c r="A6158">
        <v>62980104</v>
      </c>
      <c r="B6158" t="s">
        <v>867</v>
      </c>
      <c r="C6158" t="s">
        <v>13206</v>
      </c>
      <c r="D6158" t="s">
        <v>13207</v>
      </c>
      <c r="E6158">
        <v>3179974842</v>
      </c>
      <c r="F6158" t="s">
        <v>705</v>
      </c>
      <c r="G6158" t="s">
        <v>706</v>
      </c>
      <c r="I6158" t="s">
        <v>12</v>
      </c>
      <c r="J6158" s="13">
        <v>46126</v>
      </c>
      <c r="K6158" s="13">
        <v>46143</v>
      </c>
      <c r="L6158" t="s">
        <v>440</v>
      </c>
      <c r="M6158" t="s">
        <v>59</v>
      </c>
      <c r="N6158">
        <v>77239263</v>
      </c>
    </row>
    <row r="6159" spans="1:14" x14ac:dyDescent="0.25">
      <c r="A6159">
        <v>63515140</v>
      </c>
      <c r="B6159" t="s">
        <v>888</v>
      </c>
      <c r="C6159" t="s">
        <v>2488</v>
      </c>
      <c r="D6159" t="s">
        <v>13208</v>
      </c>
      <c r="E6159">
        <v>2192764237</v>
      </c>
      <c r="F6159" t="s">
        <v>474</v>
      </c>
      <c r="G6159" t="s">
        <v>475</v>
      </c>
      <c r="I6159" t="s">
        <v>132</v>
      </c>
      <c r="J6159" s="13">
        <v>46143</v>
      </c>
      <c r="K6159" s="13">
        <v>46174</v>
      </c>
      <c r="L6159" t="s">
        <v>440</v>
      </c>
      <c r="M6159" t="s">
        <v>59</v>
      </c>
      <c r="N6159">
        <v>77239384</v>
      </c>
    </row>
    <row r="6160" spans="1:14" x14ac:dyDescent="0.25">
      <c r="A6160">
        <v>62998019</v>
      </c>
      <c r="B6160" t="s">
        <v>1687</v>
      </c>
      <c r="C6160" t="s">
        <v>13209</v>
      </c>
      <c r="D6160" t="s">
        <v>13210</v>
      </c>
      <c r="E6160">
        <v>6029306397</v>
      </c>
      <c r="F6160" t="s">
        <v>807</v>
      </c>
      <c r="G6160" t="s">
        <v>808</v>
      </c>
      <c r="I6160" t="s">
        <v>33</v>
      </c>
      <c r="J6160" s="13">
        <v>46126</v>
      </c>
      <c r="K6160" s="13">
        <v>46143</v>
      </c>
      <c r="L6160" t="s">
        <v>1179</v>
      </c>
      <c r="M6160" t="s">
        <v>54</v>
      </c>
      <c r="N6160">
        <v>77240577</v>
      </c>
    </row>
    <row r="6161" spans="1:14" x14ac:dyDescent="0.25">
      <c r="A6161">
        <v>62999712</v>
      </c>
      <c r="B6161" t="s">
        <v>517</v>
      </c>
      <c r="C6161" t="s">
        <v>1068</v>
      </c>
      <c r="D6161" t="s">
        <v>13211</v>
      </c>
      <c r="E6161">
        <v>2537775596</v>
      </c>
      <c r="F6161" t="s">
        <v>569</v>
      </c>
      <c r="G6161" t="s">
        <v>570</v>
      </c>
      <c r="I6161" t="s">
        <v>34</v>
      </c>
      <c r="J6161" s="13">
        <v>46126</v>
      </c>
      <c r="K6161" s="13">
        <v>46143</v>
      </c>
      <c r="L6161" t="s">
        <v>1179</v>
      </c>
      <c r="M6161" t="s">
        <v>59</v>
      </c>
      <c r="N6161">
        <v>77240951</v>
      </c>
    </row>
    <row r="6162" spans="1:14" x14ac:dyDescent="0.25">
      <c r="A6162">
        <v>62994195</v>
      </c>
      <c r="B6162" t="s">
        <v>13212</v>
      </c>
      <c r="C6162" t="s">
        <v>13213</v>
      </c>
      <c r="D6162" t="s">
        <v>13214</v>
      </c>
      <c r="E6162">
        <v>4803223929</v>
      </c>
      <c r="F6162" t="s">
        <v>416</v>
      </c>
      <c r="G6162" t="s">
        <v>417</v>
      </c>
      <c r="I6162" t="s">
        <v>26</v>
      </c>
      <c r="J6162" s="13">
        <v>46126</v>
      </c>
      <c r="K6162" s="13">
        <v>46143</v>
      </c>
      <c r="L6162" t="s">
        <v>1179</v>
      </c>
      <c r="M6162" t="s">
        <v>54</v>
      </c>
      <c r="N6162">
        <v>77241778</v>
      </c>
    </row>
    <row r="6163" spans="1:14" x14ac:dyDescent="0.25">
      <c r="A6163">
        <v>63088089</v>
      </c>
      <c r="B6163" t="s">
        <v>787</v>
      </c>
      <c r="C6163" t="s">
        <v>13215</v>
      </c>
      <c r="D6163" t="s">
        <v>13216</v>
      </c>
      <c r="E6163">
        <v>2034649617</v>
      </c>
      <c r="F6163" t="s">
        <v>1067</v>
      </c>
      <c r="G6163" t="s">
        <v>1068</v>
      </c>
      <c r="I6163" t="s">
        <v>35</v>
      </c>
      <c r="J6163" s="13">
        <v>46127</v>
      </c>
      <c r="K6163" s="13">
        <v>46143</v>
      </c>
      <c r="L6163" t="s">
        <v>603</v>
      </c>
      <c r="M6163" t="s">
        <v>56</v>
      </c>
      <c r="N6163">
        <v>77277807</v>
      </c>
    </row>
    <row r="6164" spans="1:14" x14ac:dyDescent="0.25">
      <c r="A6164">
        <v>63095968</v>
      </c>
      <c r="B6164" t="s">
        <v>13217</v>
      </c>
      <c r="C6164" t="s">
        <v>13218</v>
      </c>
      <c r="D6164" t="s">
        <v>13219</v>
      </c>
      <c r="E6164">
        <v>3173324789</v>
      </c>
      <c r="F6164" t="s">
        <v>770</v>
      </c>
      <c r="G6164" t="s">
        <v>771</v>
      </c>
      <c r="I6164" t="s">
        <v>25</v>
      </c>
      <c r="J6164" s="13">
        <v>46127</v>
      </c>
      <c r="K6164" s="13">
        <v>46143</v>
      </c>
      <c r="L6164" t="s">
        <v>497</v>
      </c>
      <c r="M6164" t="s">
        <v>59</v>
      </c>
      <c r="N6164">
        <v>77278160</v>
      </c>
    </row>
    <row r="6165" spans="1:14" x14ac:dyDescent="0.25">
      <c r="A6165">
        <v>63101003</v>
      </c>
      <c r="B6165" t="s">
        <v>2177</v>
      </c>
      <c r="C6165" t="s">
        <v>688</v>
      </c>
      <c r="D6165" t="s">
        <v>13220</v>
      </c>
      <c r="E6165">
        <v>4195141604</v>
      </c>
      <c r="F6165" t="s">
        <v>2544</v>
      </c>
      <c r="G6165" t="s">
        <v>4833</v>
      </c>
      <c r="I6165" t="s">
        <v>18</v>
      </c>
      <c r="J6165" s="13">
        <v>46127</v>
      </c>
      <c r="K6165" s="13">
        <v>46143</v>
      </c>
      <c r="L6165" t="s">
        <v>418</v>
      </c>
      <c r="M6165" t="s">
        <v>419</v>
      </c>
      <c r="N6165">
        <v>77278311</v>
      </c>
    </row>
    <row r="6166" spans="1:14" x14ac:dyDescent="0.25">
      <c r="A6166">
        <v>63104467</v>
      </c>
      <c r="B6166" t="s">
        <v>8012</v>
      </c>
      <c r="C6166" t="s">
        <v>13221</v>
      </c>
      <c r="D6166" t="s">
        <v>13222</v>
      </c>
      <c r="E6166">
        <v>2193099473</v>
      </c>
      <c r="F6166" t="s">
        <v>815</v>
      </c>
      <c r="G6166" t="s">
        <v>816</v>
      </c>
      <c r="I6166" t="s">
        <v>23</v>
      </c>
      <c r="J6166" s="13">
        <v>46127</v>
      </c>
      <c r="K6166" s="13">
        <v>46143</v>
      </c>
      <c r="L6166" t="s">
        <v>440</v>
      </c>
      <c r="M6166" t="s">
        <v>62</v>
      </c>
      <c r="N6166">
        <v>77278405</v>
      </c>
    </row>
    <row r="6167" spans="1:14" x14ac:dyDescent="0.25">
      <c r="A6167">
        <v>63097380</v>
      </c>
      <c r="B6167" t="s">
        <v>13223</v>
      </c>
      <c r="C6167" t="s">
        <v>4451</v>
      </c>
      <c r="D6167" t="s">
        <v>13224</v>
      </c>
      <c r="E6167">
        <v>2166401932</v>
      </c>
      <c r="F6167" t="s">
        <v>667</v>
      </c>
      <c r="G6167" t="s">
        <v>668</v>
      </c>
      <c r="I6167" t="s">
        <v>37</v>
      </c>
      <c r="J6167" s="13">
        <v>46127</v>
      </c>
      <c r="K6167" s="13">
        <v>46143</v>
      </c>
      <c r="L6167" t="s">
        <v>418</v>
      </c>
      <c r="M6167" t="s">
        <v>59</v>
      </c>
      <c r="N6167">
        <v>77278468</v>
      </c>
    </row>
    <row r="6168" spans="1:14" x14ac:dyDescent="0.25">
      <c r="A6168">
        <v>63109325</v>
      </c>
      <c r="B6168" t="s">
        <v>1164</v>
      </c>
      <c r="C6168" t="s">
        <v>13225</v>
      </c>
      <c r="D6168" t="s">
        <v>13226</v>
      </c>
      <c r="E6168">
        <v>3122007575</v>
      </c>
      <c r="F6168" t="s">
        <v>705</v>
      </c>
      <c r="G6168" t="s">
        <v>706</v>
      </c>
      <c r="I6168" t="s">
        <v>12</v>
      </c>
      <c r="J6168" s="13">
        <v>46127</v>
      </c>
      <c r="K6168" s="13">
        <v>46143</v>
      </c>
      <c r="L6168" t="s">
        <v>470</v>
      </c>
      <c r="M6168" t="s">
        <v>62</v>
      </c>
      <c r="N6168">
        <v>77278487</v>
      </c>
    </row>
    <row r="6169" spans="1:14" x14ac:dyDescent="0.25">
      <c r="A6169">
        <v>63096679</v>
      </c>
      <c r="B6169" t="s">
        <v>1373</v>
      </c>
      <c r="C6169" t="s">
        <v>13227</v>
      </c>
      <c r="D6169" t="s">
        <v>13228</v>
      </c>
      <c r="E6169" t="s">
        <v>13229</v>
      </c>
      <c r="F6169" t="s">
        <v>649</v>
      </c>
      <c r="G6169" t="s">
        <v>650</v>
      </c>
      <c r="I6169" t="s">
        <v>28</v>
      </c>
      <c r="J6169" s="13">
        <v>46127</v>
      </c>
      <c r="K6169" s="13">
        <v>46143</v>
      </c>
      <c r="L6169" t="s">
        <v>418</v>
      </c>
      <c r="M6169" t="s">
        <v>59</v>
      </c>
      <c r="N6169">
        <v>77278842</v>
      </c>
    </row>
    <row r="6170" spans="1:14" x14ac:dyDescent="0.25">
      <c r="A6170">
        <v>63101338</v>
      </c>
      <c r="B6170" t="s">
        <v>11673</v>
      </c>
      <c r="C6170" t="s">
        <v>13230</v>
      </c>
      <c r="D6170" t="s">
        <v>13231</v>
      </c>
      <c r="E6170">
        <v>4408224881</v>
      </c>
      <c r="F6170" t="s">
        <v>10253</v>
      </c>
      <c r="G6170" t="s">
        <v>781</v>
      </c>
      <c r="I6170" t="s">
        <v>36</v>
      </c>
      <c r="J6170" s="13">
        <v>46127</v>
      </c>
      <c r="K6170" s="13">
        <v>46143</v>
      </c>
      <c r="L6170" t="s">
        <v>418</v>
      </c>
      <c r="M6170" t="s">
        <v>59</v>
      </c>
      <c r="N6170">
        <v>77279657</v>
      </c>
    </row>
    <row r="6171" spans="1:14" x14ac:dyDescent="0.25">
      <c r="A6171">
        <v>63102261</v>
      </c>
      <c r="B6171" t="s">
        <v>3228</v>
      </c>
      <c r="C6171" t="s">
        <v>13232</v>
      </c>
      <c r="D6171" t="s">
        <v>13233</v>
      </c>
      <c r="E6171">
        <v>5619709477</v>
      </c>
      <c r="F6171" t="s">
        <v>2544</v>
      </c>
      <c r="G6171" t="s">
        <v>12389</v>
      </c>
      <c r="I6171" t="s">
        <v>12390</v>
      </c>
      <c r="J6171" s="13">
        <v>46127</v>
      </c>
      <c r="K6171" s="13">
        <v>46143</v>
      </c>
      <c r="L6171" t="s">
        <v>497</v>
      </c>
      <c r="M6171" t="s">
        <v>54</v>
      </c>
      <c r="N6171">
        <v>77279970</v>
      </c>
    </row>
    <row r="6172" spans="1:14" x14ac:dyDescent="0.25">
      <c r="A6172">
        <v>63102685</v>
      </c>
      <c r="B6172" t="s">
        <v>1297</v>
      </c>
      <c r="C6172" t="s">
        <v>13234</v>
      </c>
      <c r="D6172" t="s">
        <v>13235</v>
      </c>
      <c r="E6172">
        <v>3307236497</v>
      </c>
      <c r="F6172" t="s">
        <v>928</v>
      </c>
      <c r="G6172" t="s">
        <v>929</v>
      </c>
      <c r="I6172" t="s">
        <v>30</v>
      </c>
      <c r="J6172" s="13">
        <v>46127</v>
      </c>
      <c r="K6172" s="13">
        <v>46143</v>
      </c>
      <c r="L6172" t="s">
        <v>418</v>
      </c>
      <c r="M6172" t="s">
        <v>56</v>
      </c>
      <c r="N6172">
        <v>77282109</v>
      </c>
    </row>
    <row r="6173" spans="1:14" x14ac:dyDescent="0.25">
      <c r="A6173">
        <v>63097736</v>
      </c>
      <c r="B6173" t="s">
        <v>13236</v>
      </c>
      <c r="C6173" t="s">
        <v>13237</v>
      </c>
      <c r="D6173" t="s">
        <v>13238</v>
      </c>
      <c r="E6173">
        <v>4083064295</v>
      </c>
      <c r="F6173" t="s">
        <v>1013</v>
      </c>
      <c r="G6173" t="s">
        <v>1014</v>
      </c>
      <c r="I6173" t="s">
        <v>43</v>
      </c>
      <c r="J6173" s="13">
        <v>46127</v>
      </c>
      <c r="K6173" s="13">
        <v>46143</v>
      </c>
      <c r="L6173" t="s">
        <v>497</v>
      </c>
      <c r="M6173" t="s">
        <v>54</v>
      </c>
      <c r="N6173">
        <v>77282392</v>
      </c>
    </row>
    <row r="6174" spans="1:14" x14ac:dyDescent="0.25">
      <c r="A6174">
        <v>63101854</v>
      </c>
      <c r="B6174" t="s">
        <v>13239</v>
      </c>
      <c r="C6174" t="s">
        <v>13240</v>
      </c>
      <c r="D6174" t="s">
        <v>13241</v>
      </c>
      <c r="E6174">
        <v>4803561144</v>
      </c>
      <c r="F6174" t="s">
        <v>10569</v>
      </c>
      <c r="G6174" t="s">
        <v>10570</v>
      </c>
      <c r="I6174" t="s">
        <v>29</v>
      </c>
      <c r="J6174" s="13">
        <v>46127</v>
      </c>
      <c r="K6174" s="13">
        <v>46143</v>
      </c>
      <c r="L6174" t="s">
        <v>1179</v>
      </c>
      <c r="M6174" t="s">
        <v>54</v>
      </c>
      <c r="N6174">
        <v>77282512</v>
      </c>
    </row>
    <row r="6175" spans="1:14" x14ac:dyDescent="0.25">
      <c r="A6175">
        <v>63104886</v>
      </c>
      <c r="B6175" t="s">
        <v>1643</v>
      </c>
      <c r="C6175" t="s">
        <v>13242</v>
      </c>
      <c r="D6175" t="s">
        <v>13243</v>
      </c>
      <c r="E6175">
        <v>9197973681</v>
      </c>
      <c r="F6175" t="s">
        <v>828</v>
      </c>
      <c r="G6175" t="s">
        <v>1148</v>
      </c>
      <c r="I6175" t="s">
        <v>17</v>
      </c>
      <c r="J6175" s="13">
        <v>46127</v>
      </c>
      <c r="K6175" s="13">
        <v>46143</v>
      </c>
      <c r="L6175" t="s">
        <v>603</v>
      </c>
      <c r="M6175" t="s">
        <v>56</v>
      </c>
      <c r="N6175">
        <v>77282743</v>
      </c>
    </row>
    <row r="6176" spans="1:14" x14ac:dyDescent="0.25">
      <c r="A6176">
        <v>63102970</v>
      </c>
      <c r="B6176" t="s">
        <v>13244</v>
      </c>
      <c r="C6176" t="s">
        <v>13245</v>
      </c>
      <c r="D6176" t="s">
        <v>13246</v>
      </c>
      <c r="E6176">
        <v>9546008644</v>
      </c>
      <c r="F6176" t="s">
        <v>1345</v>
      </c>
      <c r="G6176" t="s">
        <v>799</v>
      </c>
      <c r="I6176" t="s">
        <v>47</v>
      </c>
      <c r="J6176" s="13">
        <v>46127</v>
      </c>
      <c r="K6176" s="13">
        <v>46143</v>
      </c>
      <c r="L6176" t="s">
        <v>497</v>
      </c>
      <c r="M6176" t="s">
        <v>54</v>
      </c>
      <c r="N6176">
        <v>77285964</v>
      </c>
    </row>
    <row r="6177" spans="1:14" x14ac:dyDescent="0.25">
      <c r="A6177">
        <v>63103411</v>
      </c>
      <c r="B6177" t="s">
        <v>827</v>
      </c>
      <c r="C6177" t="s">
        <v>13247</v>
      </c>
      <c r="D6177" t="s">
        <v>13248</v>
      </c>
      <c r="E6177">
        <v>5202457124</v>
      </c>
      <c r="F6177" t="s">
        <v>770</v>
      </c>
      <c r="G6177" t="s">
        <v>771</v>
      </c>
      <c r="I6177" t="s">
        <v>25</v>
      </c>
      <c r="J6177" s="13">
        <v>46127</v>
      </c>
      <c r="K6177" s="13">
        <v>46143</v>
      </c>
      <c r="L6177" t="s">
        <v>1179</v>
      </c>
      <c r="M6177" t="s">
        <v>54</v>
      </c>
      <c r="N6177">
        <v>77286514</v>
      </c>
    </row>
    <row r="6178" spans="1:14" x14ac:dyDescent="0.25">
      <c r="A6178">
        <v>63115153</v>
      </c>
      <c r="B6178" t="s">
        <v>13249</v>
      </c>
      <c r="C6178" t="s">
        <v>867</v>
      </c>
      <c r="D6178" t="s">
        <v>13250</v>
      </c>
      <c r="E6178">
        <v>3175066681</v>
      </c>
      <c r="F6178" t="s">
        <v>649</v>
      </c>
      <c r="G6178" t="s">
        <v>650</v>
      </c>
      <c r="I6178" t="s">
        <v>28</v>
      </c>
      <c r="J6178" s="13">
        <v>46127</v>
      </c>
      <c r="K6178" s="13">
        <v>46143</v>
      </c>
      <c r="L6178" t="s">
        <v>440</v>
      </c>
      <c r="M6178" t="s">
        <v>59</v>
      </c>
      <c r="N6178">
        <v>77288605</v>
      </c>
    </row>
    <row r="6179" spans="1:14" x14ac:dyDescent="0.25">
      <c r="A6179">
        <v>63114747</v>
      </c>
      <c r="B6179" t="s">
        <v>13251</v>
      </c>
      <c r="C6179" t="s">
        <v>1126</v>
      </c>
      <c r="D6179" t="s">
        <v>13252</v>
      </c>
      <c r="E6179">
        <v>8593580594</v>
      </c>
      <c r="F6179" t="s">
        <v>10460</v>
      </c>
      <c r="G6179" t="s">
        <v>6663</v>
      </c>
      <c r="I6179" t="s">
        <v>40</v>
      </c>
      <c r="J6179" s="13">
        <v>46127</v>
      </c>
      <c r="K6179" s="13">
        <v>46143</v>
      </c>
      <c r="L6179" t="s">
        <v>490</v>
      </c>
      <c r="M6179" t="s">
        <v>59</v>
      </c>
      <c r="N6179">
        <v>77289307</v>
      </c>
    </row>
    <row r="6180" spans="1:14" x14ac:dyDescent="0.25">
      <c r="A6180">
        <v>63111996</v>
      </c>
      <c r="B6180" t="s">
        <v>2341</v>
      </c>
      <c r="C6180" t="s">
        <v>5572</v>
      </c>
      <c r="D6180" t="s">
        <v>13253</v>
      </c>
      <c r="E6180">
        <v>5207350853</v>
      </c>
      <c r="F6180" t="s">
        <v>1013</v>
      </c>
      <c r="G6180" t="s">
        <v>1014</v>
      </c>
      <c r="I6180" t="s">
        <v>43</v>
      </c>
      <c r="J6180" s="13">
        <v>46127</v>
      </c>
      <c r="K6180" s="13">
        <v>46143</v>
      </c>
      <c r="L6180" t="s">
        <v>1179</v>
      </c>
      <c r="M6180" t="s">
        <v>59</v>
      </c>
      <c r="N6180">
        <v>77289470</v>
      </c>
    </row>
    <row r="6181" spans="1:14" x14ac:dyDescent="0.25">
      <c r="A6181">
        <v>63119404</v>
      </c>
      <c r="B6181" t="s">
        <v>13254</v>
      </c>
      <c r="C6181" t="s">
        <v>13255</v>
      </c>
      <c r="D6181" t="s">
        <v>13256</v>
      </c>
      <c r="E6181">
        <v>3306182322</v>
      </c>
      <c r="F6181" t="s">
        <v>10253</v>
      </c>
      <c r="G6181" t="s">
        <v>781</v>
      </c>
      <c r="I6181" t="s">
        <v>36</v>
      </c>
      <c r="J6181" s="13">
        <v>46127</v>
      </c>
      <c r="K6181" s="13">
        <v>46143</v>
      </c>
      <c r="L6181" t="s">
        <v>418</v>
      </c>
      <c r="M6181" t="s">
        <v>59</v>
      </c>
      <c r="N6181">
        <v>77289487</v>
      </c>
    </row>
    <row r="6182" spans="1:14" x14ac:dyDescent="0.25">
      <c r="A6182">
        <v>63117081</v>
      </c>
      <c r="B6182" t="s">
        <v>501</v>
      </c>
      <c r="C6182" t="s">
        <v>13257</v>
      </c>
      <c r="D6182" t="s">
        <v>13258</v>
      </c>
      <c r="E6182">
        <v>6027999122</v>
      </c>
      <c r="F6182" t="s">
        <v>10591</v>
      </c>
      <c r="G6182" t="s">
        <v>10215</v>
      </c>
      <c r="I6182" t="s">
        <v>32</v>
      </c>
      <c r="J6182" s="13">
        <v>46127</v>
      </c>
      <c r="K6182" s="13">
        <v>46143</v>
      </c>
      <c r="L6182" t="s">
        <v>1179</v>
      </c>
      <c r="M6182" t="s">
        <v>55</v>
      </c>
      <c r="N6182">
        <v>77291742</v>
      </c>
    </row>
    <row r="6183" spans="1:14" x14ac:dyDescent="0.25">
      <c r="A6183">
        <v>63121083</v>
      </c>
      <c r="B6183" t="s">
        <v>517</v>
      </c>
      <c r="C6183" t="s">
        <v>13259</v>
      </c>
      <c r="D6183" t="s">
        <v>13260</v>
      </c>
      <c r="E6183">
        <v>5612013248</v>
      </c>
      <c r="F6183" t="s">
        <v>770</v>
      </c>
      <c r="G6183" t="s">
        <v>771</v>
      </c>
      <c r="I6183" t="s">
        <v>25</v>
      </c>
      <c r="J6183" s="13">
        <v>46127</v>
      </c>
      <c r="K6183" s="13">
        <v>46143</v>
      </c>
      <c r="L6183" t="s">
        <v>497</v>
      </c>
      <c r="M6183" t="s">
        <v>59</v>
      </c>
      <c r="N6183">
        <v>77292655</v>
      </c>
    </row>
    <row r="6184" spans="1:14" x14ac:dyDescent="0.25">
      <c r="A6184">
        <v>63127809</v>
      </c>
      <c r="B6184" t="s">
        <v>6128</v>
      </c>
      <c r="C6184" t="s">
        <v>9853</v>
      </c>
      <c r="D6184" t="s">
        <v>13261</v>
      </c>
      <c r="E6184">
        <v>2179536672</v>
      </c>
      <c r="F6184" t="s">
        <v>828</v>
      </c>
      <c r="G6184" t="s">
        <v>1148</v>
      </c>
      <c r="I6184" t="s">
        <v>17</v>
      </c>
      <c r="J6184" s="13">
        <v>46127</v>
      </c>
      <c r="K6184" s="13">
        <v>46143</v>
      </c>
      <c r="L6184" t="s">
        <v>470</v>
      </c>
      <c r="M6184" t="s">
        <v>56</v>
      </c>
      <c r="N6184">
        <v>77294618</v>
      </c>
    </row>
    <row r="6185" spans="1:14" x14ac:dyDescent="0.25">
      <c r="A6185">
        <v>63131222</v>
      </c>
      <c r="B6185" t="s">
        <v>1445</v>
      </c>
      <c r="C6185" t="s">
        <v>6663</v>
      </c>
      <c r="D6185" t="s">
        <v>13262</v>
      </c>
      <c r="E6185">
        <v>9046006556</v>
      </c>
      <c r="F6185" t="s">
        <v>11745</v>
      </c>
      <c r="G6185" t="s">
        <v>6544</v>
      </c>
      <c r="I6185" t="s">
        <v>11746</v>
      </c>
      <c r="J6185" s="13">
        <v>46127</v>
      </c>
      <c r="K6185" s="13">
        <v>46143</v>
      </c>
      <c r="L6185" t="s">
        <v>497</v>
      </c>
      <c r="M6185" t="s">
        <v>59</v>
      </c>
      <c r="N6185">
        <v>77297116</v>
      </c>
    </row>
    <row r="6186" spans="1:14" x14ac:dyDescent="0.25">
      <c r="A6186">
        <v>63131458</v>
      </c>
      <c r="B6186" t="s">
        <v>13263</v>
      </c>
      <c r="C6186" t="s">
        <v>13264</v>
      </c>
      <c r="E6186">
        <v>5044284945</v>
      </c>
      <c r="F6186" t="s">
        <v>448</v>
      </c>
      <c r="G6186" t="s">
        <v>449</v>
      </c>
      <c r="I6186" t="s">
        <v>31</v>
      </c>
      <c r="J6186" s="13">
        <v>46127</v>
      </c>
      <c r="K6186" s="13">
        <v>46143</v>
      </c>
      <c r="L6186" t="s">
        <v>612</v>
      </c>
      <c r="M6186" t="s">
        <v>58</v>
      </c>
      <c r="N6186">
        <v>77297260</v>
      </c>
    </row>
    <row r="6187" spans="1:14" x14ac:dyDescent="0.25">
      <c r="A6187">
        <v>63130652</v>
      </c>
      <c r="B6187" t="s">
        <v>4325</v>
      </c>
      <c r="C6187" t="s">
        <v>13265</v>
      </c>
      <c r="D6187" t="s">
        <v>13266</v>
      </c>
      <c r="E6187">
        <v>9047108219</v>
      </c>
      <c r="F6187" t="s">
        <v>928</v>
      </c>
      <c r="G6187" t="s">
        <v>929</v>
      </c>
      <c r="I6187" t="s">
        <v>30</v>
      </c>
      <c r="J6187" s="13">
        <v>46127</v>
      </c>
      <c r="K6187" s="13">
        <v>46143</v>
      </c>
      <c r="L6187" t="s">
        <v>497</v>
      </c>
      <c r="M6187" t="s">
        <v>59</v>
      </c>
      <c r="N6187">
        <v>77297674</v>
      </c>
    </row>
    <row r="6188" spans="1:14" x14ac:dyDescent="0.25">
      <c r="A6188">
        <v>63132141</v>
      </c>
      <c r="B6188" t="s">
        <v>458</v>
      </c>
      <c r="C6188" t="s">
        <v>13267</v>
      </c>
      <c r="D6188" t="s">
        <v>13268</v>
      </c>
      <c r="E6188">
        <v>3174301654</v>
      </c>
      <c r="F6188" t="s">
        <v>649</v>
      </c>
      <c r="G6188" t="s">
        <v>650</v>
      </c>
      <c r="I6188" t="s">
        <v>28</v>
      </c>
      <c r="J6188" s="13">
        <v>46127</v>
      </c>
      <c r="K6188" s="13">
        <v>46143</v>
      </c>
      <c r="L6188" t="s">
        <v>440</v>
      </c>
      <c r="M6188" t="s">
        <v>62</v>
      </c>
      <c r="N6188">
        <v>77299218</v>
      </c>
    </row>
    <row r="6189" spans="1:14" x14ac:dyDescent="0.25">
      <c r="A6189">
        <v>63132386</v>
      </c>
      <c r="B6189" t="s">
        <v>8905</v>
      </c>
      <c r="C6189" t="s">
        <v>1195</v>
      </c>
      <c r="D6189" t="s">
        <v>13269</v>
      </c>
      <c r="E6189">
        <v>5673120739</v>
      </c>
      <c r="F6189" t="s">
        <v>815</v>
      </c>
      <c r="G6189" t="s">
        <v>816</v>
      </c>
      <c r="I6189" t="s">
        <v>23</v>
      </c>
      <c r="J6189" s="13">
        <v>46127</v>
      </c>
      <c r="K6189" s="13">
        <v>46143</v>
      </c>
      <c r="L6189" t="s">
        <v>418</v>
      </c>
      <c r="M6189" t="s">
        <v>58</v>
      </c>
      <c r="N6189">
        <v>77299673</v>
      </c>
    </row>
    <row r="6190" spans="1:14" x14ac:dyDescent="0.25">
      <c r="A6190">
        <v>63131885</v>
      </c>
      <c r="B6190" t="s">
        <v>4248</v>
      </c>
      <c r="C6190" t="s">
        <v>13270</v>
      </c>
      <c r="D6190" t="s">
        <v>13271</v>
      </c>
      <c r="E6190">
        <v>2538837771</v>
      </c>
      <c r="F6190" t="s">
        <v>416</v>
      </c>
      <c r="G6190" t="s">
        <v>417</v>
      </c>
      <c r="I6190" t="s">
        <v>26</v>
      </c>
      <c r="J6190" s="13">
        <v>46127</v>
      </c>
      <c r="K6190" s="13">
        <v>46143</v>
      </c>
      <c r="L6190" t="s">
        <v>1179</v>
      </c>
      <c r="M6190" t="s">
        <v>55</v>
      </c>
      <c r="N6190">
        <v>77301776</v>
      </c>
    </row>
    <row r="6191" spans="1:14" x14ac:dyDescent="0.25">
      <c r="A6191">
        <v>63132571</v>
      </c>
      <c r="B6191" t="s">
        <v>1864</v>
      </c>
      <c r="C6191" t="s">
        <v>13272</v>
      </c>
      <c r="D6191" t="s">
        <v>13273</v>
      </c>
      <c r="E6191">
        <v>9705563686</v>
      </c>
      <c r="F6191" t="s">
        <v>1345</v>
      </c>
      <c r="G6191" t="s">
        <v>799</v>
      </c>
      <c r="I6191" t="s">
        <v>47</v>
      </c>
      <c r="J6191" s="13">
        <v>46127</v>
      </c>
      <c r="K6191" s="13">
        <v>46143</v>
      </c>
      <c r="L6191" t="s">
        <v>1179</v>
      </c>
      <c r="M6191" t="s">
        <v>54</v>
      </c>
      <c r="N6191">
        <v>77302413</v>
      </c>
    </row>
    <row r="6192" spans="1:14" x14ac:dyDescent="0.25">
      <c r="A6192">
        <v>63132339</v>
      </c>
      <c r="B6192" t="s">
        <v>13274</v>
      </c>
      <c r="C6192" t="s">
        <v>766</v>
      </c>
      <c r="D6192" t="s">
        <v>13275</v>
      </c>
      <c r="E6192">
        <v>7734588398</v>
      </c>
      <c r="F6192" t="s">
        <v>574</v>
      </c>
      <c r="G6192" t="s">
        <v>575</v>
      </c>
      <c r="I6192" t="s">
        <v>14</v>
      </c>
      <c r="J6192" s="13">
        <v>46127</v>
      </c>
      <c r="K6192" s="13">
        <v>46143</v>
      </c>
      <c r="L6192" t="s">
        <v>470</v>
      </c>
      <c r="M6192" t="s">
        <v>56</v>
      </c>
      <c r="N6192">
        <v>77304116</v>
      </c>
    </row>
    <row r="6193" spans="1:14" x14ac:dyDescent="0.25">
      <c r="A6193">
        <v>63446672</v>
      </c>
      <c r="B6193" t="s">
        <v>13276</v>
      </c>
      <c r="C6193" t="s">
        <v>13277</v>
      </c>
      <c r="D6193" t="s">
        <v>13278</v>
      </c>
      <c r="E6193" t="s">
        <v>13279</v>
      </c>
      <c r="F6193" t="s">
        <v>10591</v>
      </c>
      <c r="G6193" t="s">
        <v>10215</v>
      </c>
      <c r="I6193" t="s">
        <v>32</v>
      </c>
      <c r="J6193" s="13">
        <v>46140</v>
      </c>
      <c r="K6193" s="13">
        <v>46143</v>
      </c>
      <c r="L6193" t="s">
        <v>497</v>
      </c>
      <c r="M6193" t="s">
        <v>54</v>
      </c>
      <c r="N6193">
        <v>77304190</v>
      </c>
    </row>
    <row r="6194" spans="1:14" x14ac:dyDescent="0.25">
      <c r="A6194">
        <v>63132335</v>
      </c>
      <c r="B6194" t="s">
        <v>925</v>
      </c>
      <c r="C6194" t="s">
        <v>5985</v>
      </c>
      <c r="D6194" t="s">
        <v>13280</v>
      </c>
      <c r="E6194">
        <v>9047188467</v>
      </c>
      <c r="F6194" t="s">
        <v>1013</v>
      </c>
      <c r="G6194" t="s">
        <v>1014</v>
      </c>
      <c r="I6194" t="s">
        <v>43</v>
      </c>
      <c r="J6194" s="13">
        <v>46127</v>
      </c>
      <c r="K6194" s="13">
        <v>46143</v>
      </c>
      <c r="L6194" t="s">
        <v>497</v>
      </c>
      <c r="M6194" t="s">
        <v>56</v>
      </c>
      <c r="N6194">
        <v>77305393</v>
      </c>
    </row>
    <row r="6195" spans="1:14" x14ac:dyDescent="0.25">
      <c r="A6195">
        <v>63132842</v>
      </c>
      <c r="B6195" t="s">
        <v>13281</v>
      </c>
      <c r="C6195" t="s">
        <v>13282</v>
      </c>
      <c r="D6195" t="s">
        <v>13283</v>
      </c>
      <c r="E6195" t="s">
        <v>13284</v>
      </c>
      <c r="F6195" t="s">
        <v>1612</v>
      </c>
      <c r="G6195" t="s">
        <v>4811</v>
      </c>
      <c r="I6195" t="s">
        <v>322</v>
      </c>
      <c r="J6195" s="13">
        <v>46127</v>
      </c>
      <c r="K6195" s="13">
        <v>46143</v>
      </c>
      <c r="L6195" t="s">
        <v>418</v>
      </c>
      <c r="M6195" t="s">
        <v>60</v>
      </c>
      <c r="N6195">
        <v>77306689</v>
      </c>
    </row>
    <row r="6196" spans="1:14" x14ac:dyDescent="0.25">
      <c r="A6196">
        <v>63132946</v>
      </c>
      <c r="B6196" t="s">
        <v>13285</v>
      </c>
      <c r="C6196" t="s">
        <v>13286</v>
      </c>
      <c r="D6196" t="s">
        <v>13287</v>
      </c>
      <c r="E6196" t="s">
        <v>13288</v>
      </c>
      <c r="F6196" t="s">
        <v>2544</v>
      </c>
      <c r="G6196" t="s">
        <v>12389</v>
      </c>
      <c r="I6196" t="s">
        <v>12390</v>
      </c>
      <c r="J6196" s="13">
        <v>46127</v>
      </c>
      <c r="K6196" s="13">
        <v>46143</v>
      </c>
      <c r="L6196" t="s">
        <v>497</v>
      </c>
      <c r="M6196" t="s">
        <v>58</v>
      </c>
      <c r="N6196">
        <v>77307838</v>
      </c>
    </row>
    <row r="6197" spans="1:14" x14ac:dyDescent="0.25">
      <c r="A6197">
        <v>63133069</v>
      </c>
      <c r="B6197" t="s">
        <v>13289</v>
      </c>
      <c r="C6197" t="s">
        <v>13290</v>
      </c>
      <c r="D6197" t="s">
        <v>13291</v>
      </c>
      <c r="E6197">
        <v>3047191898</v>
      </c>
      <c r="F6197" t="s">
        <v>2544</v>
      </c>
      <c r="G6197" t="s">
        <v>12389</v>
      </c>
      <c r="I6197" t="s">
        <v>12390</v>
      </c>
      <c r="J6197" s="13">
        <v>46127</v>
      </c>
      <c r="K6197" s="13">
        <v>46143</v>
      </c>
      <c r="L6197" t="s">
        <v>497</v>
      </c>
      <c r="M6197" t="s">
        <v>59</v>
      </c>
      <c r="N6197">
        <v>77307889</v>
      </c>
    </row>
    <row r="6198" spans="1:14" x14ac:dyDescent="0.25">
      <c r="A6198">
        <v>63132423</v>
      </c>
      <c r="B6198" t="s">
        <v>2277</v>
      </c>
      <c r="C6198" t="s">
        <v>13292</v>
      </c>
      <c r="D6198" t="s">
        <v>13293</v>
      </c>
      <c r="E6198">
        <v>2034649616</v>
      </c>
      <c r="F6198" t="s">
        <v>1067</v>
      </c>
      <c r="G6198" t="s">
        <v>1068</v>
      </c>
      <c r="I6198" t="s">
        <v>35</v>
      </c>
      <c r="J6198" s="13">
        <v>46127</v>
      </c>
      <c r="K6198" s="13">
        <v>46143</v>
      </c>
      <c r="L6198" t="s">
        <v>603</v>
      </c>
      <c r="M6198" t="s">
        <v>56</v>
      </c>
      <c r="N6198">
        <v>77307898</v>
      </c>
    </row>
    <row r="6199" spans="1:14" x14ac:dyDescent="0.25">
      <c r="A6199">
        <v>63188323</v>
      </c>
      <c r="B6199" t="s">
        <v>9689</v>
      </c>
      <c r="C6199" t="s">
        <v>10253</v>
      </c>
      <c r="D6199" t="s">
        <v>13294</v>
      </c>
      <c r="E6199">
        <v>6785089545</v>
      </c>
      <c r="F6199" t="s">
        <v>828</v>
      </c>
      <c r="G6199" t="s">
        <v>1148</v>
      </c>
      <c r="I6199" t="s">
        <v>17</v>
      </c>
      <c r="J6199" s="13">
        <v>46128</v>
      </c>
      <c r="K6199" s="13">
        <v>46143</v>
      </c>
      <c r="L6199" t="s">
        <v>621</v>
      </c>
      <c r="M6199" t="s">
        <v>56</v>
      </c>
      <c r="N6199">
        <v>77310645</v>
      </c>
    </row>
    <row r="6200" spans="1:14" x14ac:dyDescent="0.25">
      <c r="A6200">
        <v>63191521</v>
      </c>
      <c r="B6200" t="s">
        <v>2254</v>
      </c>
      <c r="C6200" t="s">
        <v>619</v>
      </c>
      <c r="D6200" t="s">
        <v>13295</v>
      </c>
      <c r="E6200">
        <v>9548228872</v>
      </c>
      <c r="F6200" t="s">
        <v>2544</v>
      </c>
      <c r="G6200" t="s">
        <v>12389</v>
      </c>
      <c r="I6200" t="s">
        <v>12390</v>
      </c>
      <c r="J6200" s="13">
        <v>46128</v>
      </c>
      <c r="K6200" s="13">
        <v>46143</v>
      </c>
      <c r="L6200" t="s">
        <v>497</v>
      </c>
      <c r="M6200" t="s">
        <v>54</v>
      </c>
      <c r="N6200">
        <v>77310649</v>
      </c>
    </row>
    <row r="6201" spans="1:14" x14ac:dyDescent="0.25">
      <c r="A6201">
        <v>63189792</v>
      </c>
      <c r="B6201" t="s">
        <v>13296</v>
      </c>
      <c r="C6201" t="s">
        <v>8215</v>
      </c>
      <c r="D6201" t="s">
        <v>13297</v>
      </c>
      <c r="E6201">
        <v>5409039722</v>
      </c>
      <c r="F6201" t="s">
        <v>551</v>
      </c>
      <c r="G6201" t="s">
        <v>552</v>
      </c>
      <c r="I6201" t="s">
        <v>42</v>
      </c>
      <c r="J6201" s="13">
        <v>46128</v>
      </c>
      <c r="K6201" s="13">
        <v>46143</v>
      </c>
      <c r="L6201" t="s">
        <v>454</v>
      </c>
      <c r="M6201" t="s">
        <v>56</v>
      </c>
      <c r="N6201">
        <v>77310675</v>
      </c>
    </row>
    <row r="6202" spans="1:14" x14ac:dyDescent="0.25">
      <c r="A6202">
        <v>63188468</v>
      </c>
      <c r="B6202" t="s">
        <v>1226</v>
      </c>
      <c r="C6202" t="s">
        <v>1917</v>
      </c>
      <c r="D6202" t="s">
        <v>13298</v>
      </c>
      <c r="E6202">
        <v>4805461490</v>
      </c>
      <c r="F6202" t="s">
        <v>770</v>
      </c>
      <c r="G6202" t="s">
        <v>771</v>
      </c>
      <c r="I6202" t="s">
        <v>25</v>
      </c>
      <c r="J6202" s="13">
        <v>46128</v>
      </c>
      <c r="K6202" s="13">
        <v>46143</v>
      </c>
      <c r="L6202" t="s">
        <v>1179</v>
      </c>
      <c r="M6202" t="s">
        <v>59</v>
      </c>
      <c r="N6202">
        <v>77310681</v>
      </c>
    </row>
    <row r="6203" spans="1:14" x14ac:dyDescent="0.25">
      <c r="A6203">
        <v>63187888</v>
      </c>
      <c r="B6203" t="s">
        <v>13299</v>
      </c>
      <c r="C6203" t="s">
        <v>12459</v>
      </c>
      <c r="D6203" t="s">
        <v>13300</v>
      </c>
      <c r="E6203">
        <v>6028319758</v>
      </c>
      <c r="F6203" t="s">
        <v>1013</v>
      </c>
      <c r="G6203" t="s">
        <v>1014</v>
      </c>
      <c r="I6203" t="s">
        <v>43</v>
      </c>
      <c r="J6203" s="13">
        <v>46128</v>
      </c>
      <c r="K6203" s="13">
        <v>46143</v>
      </c>
      <c r="L6203" t="s">
        <v>1179</v>
      </c>
      <c r="M6203" t="s">
        <v>59</v>
      </c>
      <c r="N6203">
        <v>77310687</v>
      </c>
    </row>
    <row r="6204" spans="1:14" x14ac:dyDescent="0.25">
      <c r="A6204">
        <v>63187763</v>
      </c>
      <c r="B6204" t="s">
        <v>954</v>
      </c>
      <c r="C6204" t="s">
        <v>13301</v>
      </c>
      <c r="D6204" t="s">
        <v>13302</v>
      </c>
      <c r="E6204">
        <v>4407147080</v>
      </c>
      <c r="F6204" t="s">
        <v>474</v>
      </c>
      <c r="G6204" t="s">
        <v>475</v>
      </c>
      <c r="I6204" t="s">
        <v>132</v>
      </c>
      <c r="J6204" s="13">
        <v>46128</v>
      </c>
      <c r="K6204" s="13">
        <v>46143</v>
      </c>
      <c r="L6204" t="s">
        <v>418</v>
      </c>
      <c r="M6204" t="s">
        <v>59</v>
      </c>
      <c r="N6204">
        <v>77310712</v>
      </c>
    </row>
    <row r="6205" spans="1:14" x14ac:dyDescent="0.25">
      <c r="A6205">
        <v>63192140</v>
      </c>
      <c r="B6205" t="s">
        <v>951</v>
      </c>
      <c r="C6205" t="s">
        <v>1258</v>
      </c>
      <c r="D6205" t="s">
        <v>13303</v>
      </c>
      <c r="E6205" t="s">
        <v>13304</v>
      </c>
      <c r="F6205" t="s">
        <v>10253</v>
      </c>
      <c r="G6205" t="s">
        <v>781</v>
      </c>
      <c r="I6205" t="s">
        <v>36</v>
      </c>
      <c r="J6205" s="13">
        <v>46128</v>
      </c>
      <c r="K6205" s="13">
        <v>46143</v>
      </c>
      <c r="L6205" t="s">
        <v>440</v>
      </c>
      <c r="M6205" t="s">
        <v>59</v>
      </c>
      <c r="N6205">
        <v>77311394</v>
      </c>
    </row>
    <row r="6206" spans="1:14" x14ac:dyDescent="0.25">
      <c r="A6206">
        <v>63189476</v>
      </c>
      <c r="B6206" t="s">
        <v>645</v>
      </c>
      <c r="C6206" t="s">
        <v>13305</v>
      </c>
      <c r="D6206" t="s">
        <v>13306</v>
      </c>
      <c r="E6206">
        <v>9376315913</v>
      </c>
      <c r="F6206" t="s">
        <v>1067</v>
      </c>
      <c r="G6206" t="s">
        <v>1068</v>
      </c>
      <c r="I6206" t="s">
        <v>35</v>
      </c>
      <c r="J6206" s="13">
        <v>46128</v>
      </c>
      <c r="K6206" s="13">
        <v>46143</v>
      </c>
      <c r="L6206" t="s">
        <v>490</v>
      </c>
      <c r="M6206" t="s">
        <v>58</v>
      </c>
      <c r="N6206">
        <v>77311416</v>
      </c>
    </row>
    <row r="6207" spans="1:14" x14ac:dyDescent="0.25">
      <c r="A6207">
        <v>63189562</v>
      </c>
      <c r="B6207" t="s">
        <v>709</v>
      </c>
      <c r="C6207" t="s">
        <v>13307</v>
      </c>
      <c r="D6207" t="s">
        <v>13308</v>
      </c>
      <c r="E6207">
        <v>7653460715</v>
      </c>
      <c r="F6207" t="s">
        <v>667</v>
      </c>
      <c r="G6207" t="s">
        <v>668</v>
      </c>
      <c r="I6207" t="s">
        <v>37</v>
      </c>
      <c r="J6207" s="13">
        <v>46128</v>
      </c>
      <c r="K6207" s="13">
        <v>46143</v>
      </c>
      <c r="L6207" t="s">
        <v>440</v>
      </c>
      <c r="M6207" t="s">
        <v>56</v>
      </c>
      <c r="N6207">
        <v>77311434</v>
      </c>
    </row>
    <row r="6208" spans="1:14" x14ac:dyDescent="0.25">
      <c r="A6208">
        <v>63189399</v>
      </c>
      <c r="B6208" t="s">
        <v>449</v>
      </c>
      <c r="C6208" t="s">
        <v>13309</v>
      </c>
      <c r="D6208" t="s">
        <v>13310</v>
      </c>
      <c r="E6208">
        <v>5169496175</v>
      </c>
      <c r="F6208" t="s">
        <v>448</v>
      </c>
      <c r="G6208" t="s">
        <v>449</v>
      </c>
      <c r="I6208" t="s">
        <v>31</v>
      </c>
      <c r="J6208" s="13">
        <v>46128</v>
      </c>
      <c r="K6208" s="13">
        <v>46143</v>
      </c>
      <c r="L6208" t="s">
        <v>497</v>
      </c>
      <c r="M6208" t="s">
        <v>59</v>
      </c>
      <c r="N6208">
        <v>77311732</v>
      </c>
    </row>
    <row r="6209" spans="1:14" x14ac:dyDescent="0.25">
      <c r="A6209">
        <v>63189294</v>
      </c>
      <c r="B6209" t="s">
        <v>13311</v>
      </c>
      <c r="C6209" t="s">
        <v>13312</v>
      </c>
      <c r="D6209" t="s">
        <v>13313</v>
      </c>
      <c r="E6209">
        <v>9549184555</v>
      </c>
      <c r="F6209" t="s">
        <v>775</v>
      </c>
      <c r="G6209" t="s">
        <v>776</v>
      </c>
      <c r="I6209" t="s">
        <v>22</v>
      </c>
      <c r="J6209" s="13">
        <v>46128</v>
      </c>
      <c r="K6209" s="13">
        <v>46143</v>
      </c>
      <c r="L6209" t="s">
        <v>497</v>
      </c>
      <c r="M6209" t="s">
        <v>59</v>
      </c>
      <c r="N6209">
        <v>77315927</v>
      </c>
    </row>
    <row r="6210" spans="1:14" x14ac:dyDescent="0.25">
      <c r="A6210">
        <v>63191407</v>
      </c>
      <c r="B6210" t="s">
        <v>1316</v>
      </c>
      <c r="C6210" t="s">
        <v>13314</v>
      </c>
      <c r="D6210" t="s">
        <v>13315</v>
      </c>
      <c r="E6210">
        <v>9047756319</v>
      </c>
      <c r="F6210" t="s">
        <v>416</v>
      </c>
      <c r="G6210" t="s">
        <v>417</v>
      </c>
      <c r="I6210" t="s">
        <v>26</v>
      </c>
      <c r="J6210" s="13">
        <v>46128</v>
      </c>
      <c r="K6210" s="13">
        <v>46143</v>
      </c>
      <c r="L6210" t="s">
        <v>497</v>
      </c>
      <c r="M6210" t="s">
        <v>54</v>
      </c>
      <c r="N6210">
        <v>77332928</v>
      </c>
    </row>
    <row r="6211" spans="1:14" x14ac:dyDescent="0.25">
      <c r="A6211">
        <v>63194675</v>
      </c>
      <c r="B6211" t="s">
        <v>13316</v>
      </c>
      <c r="C6211" t="s">
        <v>13317</v>
      </c>
      <c r="D6211" t="s">
        <v>13318</v>
      </c>
      <c r="E6211">
        <v>6305407508</v>
      </c>
      <c r="F6211" t="s">
        <v>574</v>
      </c>
      <c r="G6211" t="s">
        <v>575</v>
      </c>
      <c r="I6211" t="s">
        <v>14</v>
      </c>
      <c r="J6211" s="13">
        <v>46128</v>
      </c>
      <c r="K6211" s="13">
        <v>46143</v>
      </c>
      <c r="L6211" t="s">
        <v>470</v>
      </c>
      <c r="M6211" t="s">
        <v>56</v>
      </c>
      <c r="N6211">
        <v>77335401</v>
      </c>
    </row>
    <row r="6212" spans="1:14" x14ac:dyDescent="0.25">
      <c r="A6212">
        <v>63192291</v>
      </c>
      <c r="B6212" t="s">
        <v>425</v>
      </c>
      <c r="C6212" t="s">
        <v>13319</v>
      </c>
      <c r="D6212" t="s">
        <v>13320</v>
      </c>
      <c r="E6212">
        <v>5203047988</v>
      </c>
      <c r="F6212" t="s">
        <v>770</v>
      </c>
      <c r="G6212" t="s">
        <v>771</v>
      </c>
      <c r="I6212" t="s">
        <v>25</v>
      </c>
      <c r="J6212" s="13">
        <v>46128</v>
      </c>
      <c r="K6212" s="13">
        <v>46143</v>
      </c>
      <c r="L6212" t="s">
        <v>1179</v>
      </c>
      <c r="M6212" t="s">
        <v>54</v>
      </c>
      <c r="N6212">
        <v>77335561</v>
      </c>
    </row>
    <row r="6213" spans="1:14" x14ac:dyDescent="0.25">
      <c r="A6213">
        <v>63196818</v>
      </c>
      <c r="B6213" t="s">
        <v>10879</v>
      </c>
      <c r="C6213" t="s">
        <v>13321</v>
      </c>
      <c r="D6213" t="s">
        <v>13322</v>
      </c>
      <c r="E6213">
        <v>5408196745</v>
      </c>
      <c r="F6213" t="s">
        <v>10642</v>
      </c>
      <c r="G6213" t="s">
        <v>10643</v>
      </c>
      <c r="I6213" t="s">
        <v>45</v>
      </c>
      <c r="J6213" s="13">
        <v>46128</v>
      </c>
      <c r="K6213" s="13">
        <v>46143</v>
      </c>
      <c r="L6213" t="s">
        <v>533</v>
      </c>
      <c r="M6213" t="s">
        <v>58</v>
      </c>
      <c r="N6213">
        <v>77335748</v>
      </c>
    </row>
    <row r="6214" spans="1:14" x14ac:dyDescent="0.25">
      <c r="A6214">
        <v>63192092</v>
      </c>
      <c r="B6214" t="s">
        <v>13323</v>
      </c>
      <c r="C6214" t="s">
        <v>2544</v>
      </c>
      <c r="D6214" t="s">
        <v>13324</v>
      </c>
      <c r="E6214">
        <v>9546435889</v>
      </c>
      <c r="F6214" t="s">
        <v>10569</v>
      </c>
      <c r="G6214" t="s">
        <v>10570</v>
      </c>
      <c r="I6214" t="s">
        <v>29</v>
      </c>
      <c r="J6214" s="13">
        <v>46128</v>
      </c>
      <c r="K6214" s="13">
        <v>46143</v>
      </c>
      <c r="L6214" t="s">
        <v>497</v>
      </c>
      <c r="M6214" t="s">
        <v>54</v>
      </c>
      <c r="N6214">
        <v>77335773</v>
      </c>
    </row>
    <row r="6215" spans="1:14" x14ac:dyDescent="0.25">
      <c r="A6215">
        <v>63193865</v>
      </c>
      <c r="B6215" t="s">
        <v>9619</v>
      </c>
      <c r="C6215" t="s">
        <v>546</v>
      </c>
      <c r="D6215" t="s">
        <v>9620</v>
      </c>
      <c r="E6215" t="s">
        <v>13325</v>
      </c>
      <c r="F6215" t="s">
        <v>2544</v>
      </c>
      <c r="G6215" t="s">
        <v>4833</v>
      </c>
      <c r="I6215" t="s">
        <v>18</v>
      </c>
      <c r="J6215" s="13">
        <v>46128</v>
      </c>
      <c r="K6215" s="13">
        <v>46143</v>
      </c>
      <c r="L6215" t="s">
        <v>470</v>
      </c>
      <c r="M6215" t="s">
        <v>59</v>
      </c>
      <c r="N6215">
        <v>77335815</v>
      </c>
    </row>
    <row r="6216" spans="1:14" x14ac:dyDescent="0.25">
      <c r="A6216">
        <v>63192650</v>
      </c>
      <c r="B6216" t="s">
        <v>1566</v>
      </c>
      <c r="C6216" t="s">
        <v>13326</v>
      </c>
      <c r="D6216" t="s">
        <v>13327</v>
      </c>
      <c r="E6216">
        <v>8284078326</v>
      </c>
      <c r="F6216" t="s">
        <v>928</v>
      </c>
      <c r="G6216" t="s">
        <v>929</v>
      </c>
      <c r="I6216" t="s">
        <v>30</v>
      </c>
      <c r="J6216" s="13">
        <v>46128</v>
      </c>
      <c r="K6216" s="13">
        <v>46143</v>
      </c>
      <c r="L6216" t="s">
        <v>603</v>
      </c>
      <c r="M6216" t="s">
        <v>56</v>
      </c>
      <c r="N6216">
        <v>77336790</v>
      </c>
    </row>
    <row r="6217" spans="1:14" x14ac:dyDescent="0.25">
      <c r="A6217">
        <v>63192437</v>
      </c>
      <c r="B6217" t="s">
        <v>13328</v>
      </c>
      <c r="C6217" t="s">
        <v>10043</v>
      </c>
      <c r="D6217" t="s">
        <v>13329</v>
      </c>
      <c r="E6217" t="s">
        <v>13330</v>
      </c>
      <c r="F6217" t="s">
        <v>10591</v>
      </c>
      <c r="G6217" t="s">
        <v>10215</v>
      </c>
      <c r="I6217" t="s">
        <v>32</v>
      </c>
      <c r="J6217" s="13">
        <v>46128</v>
      </c>
      <c r="K6217" s="13">
        <v>46143</v>
      </c>
      <c r="L6217" t="s">
        <v>497</v>
      </c>
      <c r="M6217" t="s">
        <v>59</v>
      </c>
      <c r="N6217">
        <v>77336917</v>
      </c>
    </row>
    <row r="6218" spans="1:14" x14ac:dyDescent="0.25">
      <c r="A6218">
        <v>63200983</v>
      </c>
      <c r="B6218" t="s">
        <v>3887</v>
      </c>
      <c r="C6218" t="s">
        <v>8711</v>
      </c>
      <c r="D6218" t="s">
        <v>13331</v>
      </c>
      <c r="E6218">
        <v>5618170810</v>
      </c>
      <c r="F6218" t="s">
        <v>775</v>
      </c>
      <c r="G6218" t="s">
        <v>776</v>
      </c>
      <c r="I6218" t="s">
        <v>22</v>
      </c>
      <c r="J6218" s="13">
        <v>46128</v>
      </c>
      <c r="K6218" s="13">
        <v>46143</v>
      </c>
      <c r="L6218" t="s">
        <v>497</v>
      </c>
      <c r="M6218" t="s">
        <v>54</v>
      </c>
      <c r="N6218">
        <v>77337955</v>
      </c>
    </row>
    <row r="6219" spans="1:14" x14ac:dyDescent="0.25">
      <c r="A6219">
        <v>63194317</v>
      </c>
      <c r="B6219" t="s">
        <v>7798</v>
      </c>
      <c r="C6219" t="s">
        <v>13127</v>
      </c>
      <c r="D6219" t="s">
        <v>13332</v>
      </c>
      <c r="E6219">
        <v>7732162782</v>
      </c>
      <c r="F6219" t="s">
        <v>649</v>
      </c>
      <c r="G6219" t="s">
        <v>650</v>
      </c>
      <c r="I6219" t="s">
        <v>28</v>
      </c>
      <c r="J6219" s="13">
        <v>46128</v>
      </c>
      <c r="K6219" s="13">
        <v>46143</v>
      </c>
      <c r="L6219" t="s">
        <v>470</v>
      </c>
      <c r="M6219" t="s">
        <v>59</v>
      </c>
      <c r="N6219">
        <v>77338069</v>
      </c>
    </row>
    <row r="6220" spans="1:14" x14ac:dyDescent="0.25">
      <c r="A6220">
        <v>63204587</v>
      </c>
      <c r="B6220" t="s">
        <v>6294</v>
      </c>
      <c r="C6220" t="s">
        <v>416</v>
      </c>
      <c r="D6220" t="s">
        <v>13333</v>
      </c>
      <c r="F6220" t="s">
        <v>8440</v>
      </c>
      <c r="G6220" t="s">
        <v>12267</v>
      </c>
      <c r="I6220" t="s">
        <v>12268</v>
      </c>
      <c r="J6220" s="13">
        <v>46128</v>
      </c>
      <c r="K6220" s="13">
        <v>46143</v>
      </c>
      <c r="L6220" t="s">
        <v>418</v>
      </c>
      <c r="M6220" t="s">
        <v>59</v>
      </c>
      <c r="N6220">
        <v>77338270</v>
      </c>
    </row>
    <row r="6221" spans="1:14" x14ac:dyDescent="0.25">
      <c r="A6221">
        <v>63194747</v>
      </c>
      <c r="B6221" t="s">
        <v>13334</v>
      </c>
      <c r="C6221" t="s">
        <v>6714</v>
      </c>
      <c r="D6221" t="s">
        <v>13335</v>
      </c>
      <c r="E6221">
        <v>4802558633</v>
      </c>
      <c r="F6221" t="s">
        <v>10569</v>
      </c>
      <c r="G6221" t="s">
        <v>10570</v>
      </c>
      <c r="I6221" t="s">
        <v>29</v>
      </c>
      <c r="J6221" s="13">
        <v>46128</v>
      </c>
      <c r="K6221" s="13">
        <v>46143</v>
      </c>
      <c r="L6221" t="s">
        <v>1179</v>
      </c>
      <c r="M6221" t="s">
        <v>59</v>
      </c>
      <c r="N6221">
        <v>77338513</v>
      </c>
    </row>
    <row r="6222" spans="1:14" x14ac:dyDescent="0.25">
      <c r="A6222">
        <v>63197938</v>
      </c>
      <c r="B6222" t="s">
        <v>11764</v>
      </c>
      <c r="C6222" t="s">
        <v>13336</v>
      </c>
      <c r="D6222" t="s">
        <v>13337</v>
      </c>
      <c r="E6222">
        <v>4809425840</v>
      </c>
      <c r="F6222" t="s">
        <v>11745</v>
      </c>
      <c r="G6222" t="s">
        <v>6544</v>
      </c>
      <c r="I6222" t="s">
        <v>11746</v>
      </c>
      <c r="J6222" s="13">
        <v>46128</v>
      </c>
      <c r="K6222" s="13">
        <v>46143</v>
      </c>
      <c r="L6222" t="s">
        <v>1179</v>
      </c>
      <c r="M6222" t="s">
        <v>54</v>
      </c>
      <c r="N6222">
        <v>77338572</v>
      </c>
    </row>
    <row r="6223" spans="1:14" x14ac:dyDescent="0.25">
      <c r="A6223">
        <v>63197750</v>
      </c>
      <c r="B6223" t="s">
        <v>1589</v>
      </c>
      <c r="C6223" t="s">
        <v>4823</v>
      </c>
      <c r="D6223" t="s">
        <v>13338</v>
      </c>
      <c r="E6223">
        <v>4805474228</v>
      </c>
      <c r="F6223" t="s">
        <v>780</v>
      </c>
      <c r="G6223" t="s">
        <v>781</v>
      </c>
      <c r="I6223" t="s">
        <v>20</v>
      </c>
      <c r="J6223" s="13">
        <v>46128</v>
      </c>
      <c r="K6223" s="13">
        <v>46143</v>
      </c>
      <c r="L6223" t="s">
        <v>1179</v>
      </c>
      <c r="M6223" t="s">
        <v>56</v>
      </c>
      <c r="N6223">
        <v>77338784</v>
      </c>
    </row>
    <row r="6224" spans="1:14" x14ac:dyDescent="0.25">
      <c r="A6224">
        <v>63197547</v>
      </c>
      <c r="B6224" t="s">
        <v>12378</v>
      </c>
      <c r="C6224" t="s">
        <v>1702</v>
      </c>
      <c r="D6224" t="s">
        <v>13339</v>
      </c>
      <c r="E6224">
        <v>2162134474</v>
      </c>
      <c r="F6224" t="s">
        <v>4941</v>
      </c>
      <c r="G6224" t="s">
        <v>12450</v>
      </c>
      <c r="I6224" t="s">
        <v>12451</v>
      </c>
      <c r="J6224" s="13">
        <v>46128</v>
      </c>
      <c r="K6224" s="13">
        <v>46143</v>
      </c>
      <c r="L6224" t="s">
        <v>418</v>
      </c>
      <c r="M6224" t="s">
        <v>59</v>
      </c>
      <c r="N6224">
        <v>77339098</v>
      </c>
    </row>
    <row r="6225" spans="1:14" x14ac:dyDescent="0.25">
      <c r="A6225">
        <v>63196438</v>
      </c>
      <c r="B6225" t="s">
        <v>13340</v>
      </c>
      <c r="C6225" t="s">
        <v>2291</v>
      </c>
      <c r="D6225" t="s">
        <v>13341</v>
      </c>
      <c r="E6225">
        <v>2107237682</v>
      </c>
      <c r="F6225" t="s">
        <v>1067</v>
      </c>
      <c r="G6225" t="s">
        <v>1068</v>
      </c>
      <c r="I6225" t="s">
        <v>35</v>
      </c>
      <c r="J6225" s="13">
        <v>46128</v>
      </c>
      <c r="K6225" s="13">
        <v>46143</v>
      </c>
      <c r="L6225" t="s">
        <v>444</v>
      </c>
      <c r="M6225" t="s">
        <v>56</v>
      </c>
      <c r="N6225">
        <v>77339225</v>
      </c>
    </row>
    <row r="6226" spans="1:14" x14ac:dyDescent="0.25">
      <c r="A6226">
        <v>63198439</v>
      </c>
      <c r="B6226" t="s">
        <v>13342</v>
      </c>
      <c r="C6226" t="s">
        <v>8269</v>
      </c>
      <c r="D6226" t="s">
        <v>13343</v>
      </c>
      <c r="E6226">
        <v>8723305144</v>
      </c>
      <c r="F6226" t="s">
        <v>667</v>
      </c>
      <c r="G6226" t="s">
        <v>668</v>
      </c>
      <c r="I6226" t="s">
        <v>37</v>
      </c>
      <c r="J6226" s="13">
        <v>46128</v>
      </c>
      <c r="K6226" s="13">
        <v>46143</v>
      </c>
      <c r="L6226" t="s">
        <v>470</v>
      </c>
      <c r="M6226" t="s">
        <v>56</v>
      </c>
      <c r="N6226">
        <v>77339790</v>
      </c>
    </row>
    <row r="6227" spans="1:14" x14ac:dyDescent="0.25">
      <c r="A6227">
        <v>63200616</v>
      </c>
      <c r="B6227" t="s">
        <v>9428</v>
      </c>
      <c r="C6227" t="s">
        <v>13344</v>
      </c>
      <c r="D6227" t="s">
        <v>13345</v>
      </c>
      <c r="E6227">
        <v>9547580324</v>
      </c>
      <c r="F6227" t="s">
        <v>1345</v>
      </c>
      <c r="G6227" t="s">
        <v>799</v>
      </c>
      <c r="I6227" t="s">
        <v>47</v>
      </c>
      <c r="J6227" s="13">
        <v>46128</v>
      </c>
      <c r="K6227" s="13">
        <v>46143</v>
      </c>
      <c r="L6227" t="s">
        <v>497</v>
      </c>
      <c r="M6227" t="s">
        <v>56</v>
      </c>
      <c r="N6227">
        <v>77339850</v>
      </c>
    </row>
    <row r="6228" spans="1:14" x14ac:dyDescent="0.25">
      <c r="A6228">
        <v>63202966</v>
      </c>
      <c r="B6228" t="s">
        <v>4334</v>
      </c>
      <c r="C6228" t="s">
        <v>3440</v>
      </c>
      <c r="D6228" t="s">
        <v>13346</v>
      </c>
      <c r="E6228">
        <v>2245002389</v>
      </c>
      <c r="F6228" t="s">
        <v>649</v>
      </c>
      <c r="G6228" t="s">
        <v>650</v>
      </c>
      <c r="I6228" t="s">
        <v>28</v>
      </c>
      <c r="J6228" s="13">
        <v>46128</v>
      </c>
      <c r="K6228" s="13">
        <v>46143</v>
      </c>
      <c r="L6228" t="s">
        <v>470</v>
      </c>
      <c r="M6228" t="s">
        <v>56</v>
      </c>
      <c r="N6228">
        <v>77362442</v>
      </c>
    </row>
    <row r="6229" spans="1:14" x14ac:dyDescent="0.25">
      <c r="A6229">
        <v>63201879</v>
      </c>
      <c r="B6229" t="s">
        <v>13347</v>
      </c>
      <c r="C6229" t="s">
        <v>8917</v>
      </c>
      <c r="D6229" t="s">
        <v>13348</v>
      </c>
      <c r="E6229">
        <v>9563203991</v>
      </c>
      <c r="F6229" t="s">
        <v>828</v>
      </c>
      <c r="G6229" t="s">
        <v>1148</v>
      </c>
      <c r="I6229" t="s">
        <v>17</v>
      </c>
      <c r="J6229" s="13">
        <v>46128</v>
      </c>
      <c r="K6229" s="13">
        <v>46143</v>
      </c>
      <c r="L6229" t="s">
        <v>444</v>
      </c>
      <c r="M6229" t="s">
        <v>56</v>
      </c>
      <c r="N6229">
        <v>77362447</v>
      </c>
    </row>
    <row r="6230" spans="1:14" x14ac:dyDescent="0.25">
      <c r="A6230">
        <v>63202373</v>
      </c>
      <c r="B6230" t="s">
        <v>13349</v>
      </c>
      <c r="C6230" t="s">
        <v>1617</v>
      </c>
      <c r="D6230" t="s">
        <v>13350</v>
      </c>
      <c r="E6230">
        <v>4703155040</v>
      </c>
      <c r="F6230" t="s">
        <v>569</v>
      </c>
      <c r="G6230" t="s">
        <v>570</v>
      </c>
      <c r="I6230" t="s">
        <v>34</v>
      </c>
      <c r="J6230" s="13">
        <v>46128</v>
      </c>
      <c r="K6230" s="13">
        <v>46143</v>
      </c>
      <c r="L6230" t="s">
        <v>621</v>
      </c>
      <c r="M6230" t="s">
        <v>59</v>
      </c>
      <c r="N6230">
        <v>77362577</v>
      </c>
    </row>
    <row r="6231" spans="1:14" x14ac:dyDescent="0.25">
      <c r="A6231">
        <v>63202795</v>
      </c>
      <c r="B6231" t="s">
        <v>13351</v>
      </c>
      <c r="C6231" t="s">
        <v>423</v>
      </c>
      <c r="D6231" t="s">
        <v>13352</v>
      </c>
      <c r="E6231">
        <v>4199447183</v>
      </c>
      <c r="F6231" t="s">
        <v>10460</v>
      </c>
      <c r="G6231" t="s">
        <v>6663</v>
      </c>
      <c r="I6231" t="s">
        <v>40</v>
      </c>
      <c r="J6231" s="13">
        <v>46128</v>
      </c>
      <c r="K6231" s="13">
        <v>46143</v>
      </c>
      <c r="L6231" t="s">
        <v>418</v>
      </c>
      <c r="M6231" t="s">
        <v>58</v>
      </c>
      <c r="N6231">
        <v>77362799</v>
      </c>
    </row>
    <row r="6232" spans="1:14" x14ac:dyDescent="0.25">
      <c r="A6232">
        <v>63203622</v>
      </c>
      <c r="B6232" t="s">
        <v>1941</v>
      </c>
      <c r="C6232" t="s">
        <v>1068</v>
      </c>
      <c r="D6232" t="s">
        <v>13353</v>
      </c>
      <c r="E6232">
        <v>9195911928</v>
      </c>
      <c r="F6232" t="s">
        <v>11745</v>
      </c>
      <c r="G6232" t="s">
        <v>6544</v>
      </c>
      <c r="I6232" t="s">
        <v>11746</v>
      </c>
      <c r="J6232" s="13">
        <v>46128</v>
      </c>
      <c r="K6232" s="13">
        <v>46143</v>
      </c>
      <c r="L6232" t="s">
        <v>497</v>
      </c>
      <c r="M6232" t="s">
        <v>54</v>
      </c>
      <c r="N6232">
        <v>77364822</v>
      </c>
    </row>
    <row r="6233" spans="1:14" x14ac:dyDescent="0.25">
      <c r="A6233">
        <v>63204352</v>
      </c>
      <c r="B6233" t="s">
        <v>6141</v>
      </c>
      <c r="C6233" t="s">
        <v>1676</v>
      </c>
      <c r="D6233" t="s">
        <v>13354</v>
      </c>
      <c r="E6233">
        <v>8722886834</v>
      </c>
      <c r="F6233" t="s">
        <v>574</v>
      </c>
      <c r="G6233" t="s">
        <v>575</v>
      </c>
      <c r="I6233" t="s">
        <v>14</v>
      </c>
      <c r="J6233" s="13">
        <v>46128</v>
      </c>
      <c r="K6233" s="13">
        <v>46143</v>
      </c>
      <c r="L6233" t="s">
        <v>470</v>
      </c>
      <c r="M6233" t="s">
        <v>56</v>
      </c>
      <c r="N6233">
        <v>77364827</v>
      </c>
    </row>
    <row r="6234" spans="1:14" x14ac:dyDescent="0.25">
      <c r="A6234">
        <v>63204561</v>
      </c>
      <c r="B6234" t="s">
        <v>7386</v>
      </c>
      <c r="C6234" t="s">
        <v>13355</v>
      </c>
      <c r="D6234" t="s">
        <v>13356</v>
      </c>
      <c r="E6234">
        <v>2164034406</v>
      </c>
      <c r="F6234" t="s">
        <v>10253</v>
      </c>
      <c r="G6234" t="s">
        <v>781</v>
      </c>
      <c r="I6234" t="s">
        <v>36</v>
      </c>
      <c r="J6234" s="13">
        <v>46128</v>
      </c>
      <c r="K6234" s="13">
        <v>46143</v>
      </c>
      <c r="L6234" t="s">
        <v>418</v>
      </c>
      <c r="M6234" t="s">
        <v>59</v>
      </c>
      <c r="N6234">
        <v>77364867</v>
      </c>
    </row>
    <row r="6235" spans="1:14" x14ac:dyDescent="0.25">
      <c r="A6235">
        <v>63316299</v>
      </c>
      <c r="B6235" t="s">
        <v>3252</v>
      </c>
      <c r="C6235" t="s">
        <v>8616</v>
      </c>
      <c r="D6235" t="s">
        <v>13357</v>
      </c>
      <c r="E6235">
        <v>2705439660</v>
      </c>
      <c r="F6235" t="s">
        <v>1067</v>
      </c>
      <c r="G6235" t="s">
        <v>1068</v>
      </c>
      <c r="I6235" t="s">
        <v>35</v>
      </c>
      <c r="J6235" s="13">
        <v>46132</v>
      </c>
      <c r="K6235" s="13">
        <v>46143</v>
      </c>
      <c r="L6235" t="s">
        <v>490</v>
      </c>
      <c r="M6235" t="s">
        <v>56</v>
      </c>
      <c r="N6235">
        <v>77365801</v>
      </c>
    </row>
    <row r="6236" spans="1:14" x14ac:dyDescent="0.25">
      <c r="A6236">
        <v>63214049</v>
      </c>
      <c r="B6236" t="s">
        <v>4769</v>
      </c>
      <c r="C6236" t="s">
        <v>5465</v>
      </c>
      <c r="D6236" t="s">
        <v>13358</v>
      </c>
      <c r="E6236">
        <v>3305311572</v>
      </c>
      <c r="F6236" t="s">
        <v>1067</v>
      </c>
      <c r="G6236" t="s">
        <v>1068</v>
      </c>
      <c r="I6236" t="s">
        <v>35</v>
      </c>
      <c r="J6236" s="13">
        <v>46129</v>
      </c>
      <c r="K6236" s="13">
        <v>46143</v>
      </c>
      <c r="L6236" t="s">
        <v>497</v>
      </c>
      <c r="M6236" t="s">
        <v>56</v>
      </c>
      <c r="N6236">
        <v>77370422</v>
      </c>
    </row>
    <row r="6237" spans="1:14" x14ac:dyDescent="0.25">
      <c r="A6237">
        <v>63219453</v>
      </c>
      <c r="B6237" t="s">
        <v>8732</v>
      </c>
      <c r="C6237" t="s">
        <v>13190</v>
      </c>
      <c r="D6237" t="s">
        <v>13359</v>
      </c>
      <c r="E6237" t="s">
        <v>13360</v>
      </c>
      <c r="F6237" t="s">
        <v>569</v>
      </c>
      <c r="G6237" t="s">
        <v>570</v>
      </c>
      <c r="I6237" t="s">
        <v>34</v>
      </c>
      <c r="J6237" s="13">
        <v>46129</v>
      </c>
      <c r="K6237" s="13">
        <v>46143</v>
      </c>
      <c r="L6237" t="s">
        <v>497</v>
      </c>
      <c r="M6237" t="s">
        <v>54</v>
      </c>
      <c r="N6237">
        <v>77370561</v>
      </c>
    </row>
    <row r="6238" spans="1:14" x14ac:dyDescent="0.25">
      <c r="A6238">
        <v>63227799</v>
      </c>
      <c r="B6238" t="s">
        <v>1268</v>
      </c>
      <c r="C6238" t="s">
        <v>13361</v>
      </c>
      <c r="D6238" t="s">
        <v>13362</v>
      </c>
      <c r="E6238" t="s">
        <v>13363</v>
      </c>
      <c r="F6238" t="s">
        <v>10253</v>
      </c>
      <c r="G6238" t="s">
        <v>781</v>
      </c>
      <c r="I6238" t="s">
        <v>36</v>
      </c>
      <c r="J6238" s="13">
        <v>46129</v>
      </c>
      <c r="K6238" s="13">
        <v>46143</v>
      </c>
      <c r="L6238" t="s">
        <v>418</v>
      </c>
      <c r="M6238" t="s">
        <v>59</v>
      </c>
      <c r="N6238">
        <v>77371453</v>
      </c>
    </row>
    <row r="6239" spans="1:14" x14ac:dyDescent="0.25">
      <c r="A6239">
        <v>63217865</v>
      </c>
      <c r="B6239" t="s">
        <v>13364</v>
      </c>
      <c r="C6239" t="s">
        <v>13365</v>
      </c>
      <c r="D6239" t="s">
        <v>13366</v>
      </c>
      <c r="E6239">
        <v>6012186988</v>
      </c>
      <c r="F6239" t="s">
        <v>807</v>
      </c>
      <c r="G6239" t="s">
        <v>808</v>
      </c>
      <c r="I6239" t="s">
        <v>33</v>
      </c>
      <c r="J6239" s="13">
        <v>46129</v>
      </c>
      <c r="K6239" s="13">
        <v>46143</v>
      </c>
      <c r="L6239" t="s">
        <v>497</v>
      </c>
      <c r="M6239" t="s">
        <v>58</v>
      </c>
      <c r="N6239">
        <v>77371667</v>
      </c>
    </row>
    <row r="6240" spans="1:14" x14ac:dyDescent="0.25">
      <c r="A6240">
        <v>63228733</v>
      </c>
      <c r="B6240" t="s">
        <v>13367</v>
      </c>
      <c r="C6240" t="s">
        <v>13368</v>
      </c>
      <c r="D6240" t="s">
        <v>13369</v>
      </c>
      <c r="E6240">
        <v>3309745763</v>
      </c>
      <c r="F6240" t="s">
        <v>10460</v>
      </c>
      <c r="G6240" t="s">
        <v>6663</v>
      </c>
      <c r="I6240" t="s">
        <v>40</v>
      </c>
      <c r="J6240" s="13">
        <v>46129</v>
      </c>
      <c r="K6240" s="13">
        <v>46143</v>
      </c>
      <c r="L6240" t="s">
        <v>418</v>
      </c>
      <c r="M6240" t="s">
        <v>59</v>
      </c>
      <c r="N6240">
        <v>77371680</v>
      </c>
    </row>
    <row r="6241" spans="1:14" x14ac:dyDescent="0.25">
      <c r="A6241">
        <v>63232107</v>
      </c>
      <c r="B6241" t="s">
        <v>6876</v>
      </c>
      <c r="C6241" t="s">
        <v>4974</v>
      </c>
      <c r="D6241" t="s">
        <v>13370</v>
      </c>
      <c r="E6241">
        <v>3172607855</v>
      </c>
      <c r="F6241" t="s">
        <v>11776</v>
      </c>
      <c r="G6241" t="s">
        <v>3895</v>
      </c>
      <c r="H6241" t="s">
        <v>11777</v>
      </c>
      <c r="I6241" t="s">
        <v>11778</v>
      </c>
      <c r="J6241" s="13">
        <v>46129</v>
      </c>
      <c r="K6241" s="13">
        <v>46143</v>
      </c>
      <c r="L6241" t="s">
        <v>440</v>
      </c>
      <c r="M6241" t="s">
        <v>62</v>
      </c>
      <c r="N6241">
        <v>77371768</v>
      </c>
    </row>
    <row r="6242" spans="1:14" x14ac:dyDescent="0.25">
      <c r="A6242">
        <v>63224793</v>
      </c>
      <c r="B6242" t="s">
        <v>6713</v>
      </c>
      <c r="C6242" t="s">
        <v>13371</v>
      </c>
      <c r="D6242" t="s">
        <v>13372</v>
      </c>
      <c r="E6242">
        <v>7082058036</v>
      </c>
      <c r="F6242" t="s">
        <v>574</v>
      </c>
      <c r="G6242" t="s">
        <v>575</v>
      </c>
      <c r="I6242" t="s">
        <v>14</v>
      </c>
      <c r="J6242" s="13">
        <v>46129</v>
      </c>
      <c r="K6242" s="13">
        <v>46143</v>
      </c>
      <c r="L6242" t="s">
        <v>470</v>
      </c>
      <c r="M6242" t="s">
        <v>56</v>
      </c>
      <c r="N6242">
        <v>77376962</v>
      </c>
    </row>
    <row r="6243" spans="1:14" x14ac:dyDescent="0.25">
      <c r="A6243">
        <v>63232247</v>
      </c>
      <c r="B6243" t="s">
        <v>1566</v>
      </c>
      <c r="C6243" t="s">
        <v>13373</v>
      </c>
      <c r="D6243" t="s">
        <v>13374</v>
      </c>
      <c r="E6243">
        <v>9208574328</v>
      </c>
      <c r="F6243" t="s">
        <v>4941</v>
      </c>
      <c r="G6243" t="s">
        <v>12450</v>
      </c>
      <c r="I6243" t="s">
        <v>12451</v>
      </c>
      <c r="J6243" s="13">
        <v>46129</v>
      </c>
      <c r="K6243" s="13">
        <v>46143</v>
      </c>
      <c r="L6243" t="s">
        <v>470</v>
      </c>
      <c r="M6243" t="s">
        <v>62</v>
      </c>
      <c r="N6243">
        <v>77378662</v>
      </c>
    </row>
    <row r="6244" spans="1:14" x14ac:dyDescent="0.25">
      <c r="A6244">
        <v>63228979</v>
      </c>
      <c r="B6244" t="s">
        <v>13375</v>
      </c>
      <c r="C6244" t="s">
        <v>13376</v>
      </c>
      <c r="D6244" t="s">
        <v>13377</v>
      </c>
      <c r="E6244">
        <v>9852718927</v>
      </c>
      <c r="F6244" t="s">
        <v>828</v>
      </c>
      <c r="G6244" t="s">
        <v>1148</v>
      </c>
      <c r="I6244" t="s">
        <v>17</v>
      </c>
      <c r="J6244" s="13">
        <v>46129</v>
      </c>
      <c r="K6244" s="13">
        <v>46143</v>
      </c>
      <c r="L6244" t="s">
        <v>612</v>
      </c>
      <c r="M6244" t="s">
        <v>56</v>
      </c>
      <c r="N6244">
        <v>77383042</v>
      </c>
    </row>
    <row r="6245" spans="1:14" x14ac:dyDescent="0.25">
      <c r="A6245">
        <v>63230590</v>
      </c>
      <c r="B6245" t="s">
        <v>8564</v>
      </c>
      <c r="C6245" t="s">
        <v>13378</v>
      </c>
      <c r="D6245" t="s">
        <v>13379</v>
      </c>
      <c r="E6245">
        <v>4084691006</v>
      </c>
      <c r="F6245" t="s">
        <v>667</v>
      </c>
      <c r="G6245" t="s">
        <v>668</v>
      </c>
      <c r="I6245" t="s">
        <v>37</v>
      </c>
      <c r="J6245" s="13">
        <v>46129</v>
      </c>
      <c r="K6245" s="13">
        <v>46143</v>
      </c>
      <c r="L6245" t="s">
        <v>1179</v>
      </c>
      <c r="M6245" t="s">
        <v>56</v>
      </c>
      <c r="N6245">
        <v>77388100</v>
      </c>
    </row>
    <row r="6246" spans="1:14" x14ac:dyDescent="0.25">
      <c r="A6246">
        <v>63232130</v>
      </c>
      <c r="B6246" t="s">
        <v>799</v>
      </c>
      <c r="C6246" t="s">
        <v>12551</v>
      </c>
      <c r="D6246" t="s">
        <v>13380</v>
      </c>
      <c r="E6246">
        <v>3127021020</v>
      </c>
      <c r="F6246" t="s">
        <v>1067</v>
      </c>
      <c r="G6246" t="s">
        <v>1068</v>
      </c>
      <c r="I6246" t="s">
        <v>35</v>
      </c>
      <c r="J6246" s="13">
        <v>46129</v>
      </c>
      <c r="K6246" s="13">
        <v>46143</v>
      </c>
      <c r="L6246" t="s">
        <v>418</v>
      </c>
      <c r="M6246" t="s">
        <v>56</v>
      </c>
      <c r="N6246">
        <v>77388133</v>
      </c>
    </row>
    <row r="6247" spans="1:14" x14ac:dyDescent="0.25">
      <c r="A6247">
        <v>63232317</v>
      </c>
      <c r="B6247" t="s">
        <v>791</v>
      </c>
      <c r="C6247" t="s">
        <v>13381</v>
      </c>
      <c r="D6247" t="s">
        <v>13382</v>
      </c>
      <c r="E6247">
        <v>2166738124</v>
      </c>
      <c r="F6247" t="s">
        <v>649</v>
      </c>
      <c r="G6247" t="s">
        <v>650</v>
      </c>
      <c r="I6247" t="s">
        <v>28</v>
      </c>
      <c r="J6247" s="13">
        <v>46129</v>
      </c>
      <c r="K6247" s="13">
        <v>46143</v>
      </c>
      <c r="L6247" t="s">
        <v>418</v>
      </c>
      <c r="M6247" t="s">
        <v>62</v>
      </c>
      <c r="N6247">
        <v>77396792</v>
      </c>
    </row>
    <row r="6248" spans="1:14" x14ac:dyDescent="0.25">
      <c r="A6248">
        <v>63232185</v>
      </c>
      <c r="B6248" t="s">
        <v>2771</v>
      </c>
      <c r="C6248" t="s">
        <v>13383</v>
      </c>
      <c r="D6248" t="s">
        <v>13384</v>
      </c>
      <c r="E6248">
        <v>3528883296</v>
      </c>
      <c r="F6248" t="s">
        <v>551</v>
      </c>
      <c r="G6248" t="s">
        <v>552</v>
      </c>
      <c r="I6248" t="s">
        <v>42</v>
      </c>
      <c r="J6248" s="13">
        <v>46129</v>
      </c>
      <c r="K6248" s="13">
        <v>46143</v>
      </c>
      <c r="L6248" t="s">
        <v>497</v>
      </c>
      <c r="M6248" t="s">
        <v>58</v>
      </c>
      <c r="N6248">
        <v>77397009</v>
      </c>
    </row>
    <row r="6249" spans="1:14" x14ac:dyDescent="0.25">
      <c r="A6249">
        <v>63227310</v>
      </c>
      <c r="B6249" t="s">
        <v>7114</v>
      </c>
      <c r="C6249" t="s">
        <v>1422</v>
      </c>
      <c r="D6249" t="s">
        <v>13385</v>
      </c>
      <c r="E6249">
        <v>2035890347</v>
      </c>
      <c r="F6249" t="s">
        <v>1013</v>
      </c>
      <c r="G6249" t="s">
        <v>1014</v>
      </c>
      <c r="I6249" t="s">
        <v>43</v>
      </c>
      <c r="J6249" s="13">
        <v>46129</v>
      </c>
      <c r="K6249" s="13">
        <v>46143</v>
      </c>
      <c r="L6249" t="s">
        <v>497</v>
      </c>
      <c r="M6249" t="s">
        <v>56</v>
      </c>
      <c r="N6249">
        <v>77397033</v>
      </c>
    </row>
    <row r="6250" spans="1:14" x14ac:dyDescent="0.25">
      <c r="A6250">
        <v>63232730</v>
      </c>
      <c r="B6250" t="s">
        <v>7501</v>
      </c>
      <c r="C6250" t="s">
        <v>1801</v>
      </c>
      <c r="D6250" t="s">
        <v>13386</v>
      </c>
      <c r="E6250">
        <v>6232250602</v>
      </c>
      <c r="F6250" t="s">
        <v>705</v>
      </c>
      <c r="G6250" t="s">
        <v>706</v>
      </c>
      <c r="I6250" t="s">
        <v>12</v>
      </c>
      <c r="J6250" s="13">
        <v>46129</v>
      </c>
      <c r="K6250" s="13">
        <v>46143</v>
      </c>
      <c r="L6250" t="s">
        <v>1179</v>
      </c>
      <c r="M6250" t="s">
        <v>56</v>
      </c>
      <c r="N6250">
        <v>77399944</v>
      </c>
    </row>
    <row r="6251" spans="1:14" x14ac:dyDescent="0.25">
      <c r="A6251">
        <v>63413107</v>
      </c>
      <c r="B6251" t="s">
        <v>5527</v>
      </c>
      <c r="C6251" t="s">
        <v>10254</v>
      </c>
      <c r="D6251" t="s">
        <v>13387</v>
      </c>
      <c r="E6251">
        <v>2103926731</v>
      </c>
      <c r="F6251" t="s">
        <v>928</v>
      </c>
      <c r="G6251" t="s">
        <v>929</v>
      </c>
      <c r="I6251" t="s">
        <v>30</v>
      </c>
      <c r="J6251" s="13">
        <v>46139</v>
      </c>
      <c r="K6251" s="13">
        <v>46143</v>
      </c>
      <c r="L6251" t="s">
        <v>444</v>
      </c>
      <c r="M6251" t="s">
        <v>55</v>
      </c>
      <c r="N6251">
        <v>77402668</v>
      </c>
    </row>
    <row r="6252" spans="1:14" x14ac:dyDescent="0.25">
      <c r="A6252">
        <v>63234128</v>
      </c>
      <c r="B6252" t="s">
        <v>730</v>
      </c>
      <c r="C6252" t="s">
        <v>13388</v>
      </c>
      <c r="D6252" t="s">
        <v>13389</v>
      </c>
      <c r="E6252">
        <v>4407873977</v>
      </c>
      <c r="F6252" t="s">
        <v>10253</v>
      </c>
      <c r="G6252" t="s">
        <v>781</v>
      </c>
      <c r="I6252" t="s">
        <v>36</v>
      </c>
      <c r="J6252" s="13">
        <v>46129</v>
      </c>
      <c r="K6252" s="13">
        <v>46143</v>
      </c>
      <c r="L6252" t="s">
        <v>418</v>
      </c>
      <c r="M6252" t="s">
        <v>58</v>
      </c>
      <c r="N6252">
        <v>77402786</v>
      </c>
    </row>
    <row r="6253" spans="1:14" x14ac:dyDescent="0.25">
      <c r="A6253">
        <v>63233866</v>
      </c>
      <c r="B6253" t="s">
        <v>13390</v>
      </c>
      <c r="C6253" t="s">
        <v>9000</v>
      </c>
      <c r="E6253">
        <v>3476618977</v>
      </c>
      <c r="F6253" t="s">
        <v>10591</v>
      </c>
      <c r="G6253" t="s">
        <v>10215</v>
      </c>
      <c r="I6253" t="s">
        <v>32</v>
      </c>
      <c r="J6253" s="13">
        <v>46129</v>
      </c>
      <c r="K6253" s="13">
        <v>46143</v>
      </c>
      <c r="L6253" t="s">
        <v>497</v>
      </c>
      <c r="M6253" t="s">
        <v>54</v>
      </c>
      <c r="N6253">
        <v>77403291</v>
      </c>
    </row>
    <row r="6254" spans="1:14" x14ac:dyDescent="0.25">
      <c r="A6254">
        <v>63240860</v>
      </c>
      <c r="B6254" t="s">
        <v>13391</v>
      </c>
      <c r="C6254" t="s">
        <v>13392</v>
      </c>
      <c r="D6254" t="s">
        <v>13393</v>
      </c>
      <c r="E6254">
        <v>8184276338</v>
      </c>
      <c r="F6254" t="s">
        <v>10460</v>
      </c>
      <c r="G6254" t="s">
        <v>6663</v>
      </c>
      <c r="I6254" t="s">
        <v>40</v>
      </c>
      <c r="J6254" s="13">
        <v>46129</v>
      </c>
      <c r="K6254" s="13">
        <v>46143</v>
      </c>
      <c r="L6254" t="s">
        <v>539</v>
      </c>
      <c r="M6254" t="s">
        <v>59</v>
      </c>
      <c r="N6254">
        <v>77420182</v>
      </c>
    </row>
    <row r="6255" spans="1:14" x14ac:dyDescent="0.25">
      <c r="A6255">
        <v>63234074</v>
      </c>
      <c r="B6255" t="s">
        <v>709</v>
      </c>
      <c r="C6255" t="s">
        <v>13394</v>
      </c>
      <c r="D6255" t="s">
        <v>13395</v>
      </c>
      <c r="E6255" t="s">
        <v>13396</v>
      </c>
      <c r="F6255" t="s">
        <v>11838</v>
      </c>
      <c r="G6255" t="s">
        <v>11839</v>
      </c>
      <c r="I6255" t="s">
        <v>11840</v>
      </c>
      <c r="J6255" s="13">
        <v>46129</v>
      </c>
      <c r="K6255" s="13">
        <v>46143</v>
      </c>
      <c r="L6255" t="s">
        <v>418</v>
      </c>
      <c r="M6255" t="s">
        <v>60</v>
      </c>
      <c r="N6255">
        <v>77422243</v>
      </c>
    </row>
    <row r="6256" spans="1:14" x14ac:dyDescent="0.25">
      <c r="A6256">
        <v>63240903</v>
      </c>
      <c r="B6256" t="s">
        <v>1747</v>
      </c>
      <c r="C6256" t="s">
        <v>13397</v>
      </c>
      <c r="D6256" t="s">
        <v>13398</v>
      </c>
      <c r="E6256">
        <v>5207397550</v>
      </c>
      <c r="F6256" t="s">
        <v>775</v>
      </c>
      <c r="G6256" t="s">
        <v>776</v>
      </c>
      <c r="I6256" t="s">
        <v>22</v>
      </c>
      <c r="J6256" s="13">
        <v>46129</v>
      </c>
      <c r="K6256" s="13">
        <v>46143</v>
      </c>
      <c r="L6256" t="s">
        <v>1179</v>
      </c>
      <c r="M6256" t="s">
        <v>54</v>
      </c>
      <c r="N6256">
        <v>77424660</v>
      </c>
    </row>
    <row r="6257" spans="1:14" x14ac:dyDescent="0.25">
      <c r="A6257">
        <v>63251567</v>
      </c>
      <c r="B6257" t="s">
        <v>3561</v>
      </c>
      <c r="C6257" t="s">
        <v>13399</v>
      </c>
      <c r="D6257" t="s">
        <v>13400</v>
      </c>
      <c r="F6257" t="s">
        <v>8440</v>
      </c>
      <c r="G6257" t="s">
        <v>12267</v>
      </c>
      <c r="I6257" t="s">
        <v>12268</v>
      </c>
      <c r="J6257" s="13">
        <v>46129</v>
      </c>
      <c r="K6257" s="13">
        <v>46143</v>
      </c>
      <c r="L6257" t="s">
        <v>470</v>
      </c>
      <c r="M6257" t="s">
        <v>62</v>
      </c>
      <c r="N6257">
        <v>77424668</v>
      </c>
    </row>
    <row r="6258" spans="1:14" x14ac:dyDescent="0.25">
      <c r="A6258">
        <v>63239690</v>
      </c>
      <c r="B6258" t="s">
        <v>13401</v>
      </c>
      <c r="C6258" t="s">
        <v>13402</v>
      </c>
      <c r="D6258" t="s">
        <v>13403</v>
      </c>
      <c r="E6258">
        <v>7736534024</v>
      </c>
      <c r="F6258" t="s">
        <v>705</v>
      </c>
      <c r="G6258" t="s">
        <v>706</v>
      </c>
      <c r="I6258" t="s">
        <v>12</v>
      </c>
      <c r="J6258" s="13">
        <v>46129</v>
      </c>
      <c r="K6258" s="13">
        <v>46143</v>
      </c>
      <c r="L6258" t="s">
        <v>470</v>
      </c>
      <c r="M6258" t="s">
        <v>62</v>
      </c>
      <c r="N6258">
        <v>77425729</v>
      </c>
    </row>
    <row r="6259" spans="1:14" x14ac:dyDescent="0.25">
      <c r="A6259">
        <v>63244026</v>
      </c>
      <c r="B6259" t="s">
        <v>3193</v>
      </c>
      <c r="C6259" t="s">
        <v>13404</v>
      </c>
      <c r="D6259" t="s">
        <v>13405</v>
      </c>
      <c r="E6259">
        <v>9377740173</v>
      </c>
      <c r="F6259" t="s">
        <v>1067</v>
      </c>
      <c r="G6259" t="s">
        <v>1068</v>
      </c>
      <c r="I6259" t="s">
        <v>35</v>
      </c>
      <c r="J6259" s="13">
        <v>46129</v>
      </c>
      <c r="K6259" s="13">
        <v>46143</v>
      </c>
      <c r="L6259" t="s">
        <v>418</v>
      </c>
      <c r="M6259" t="s">
        <v>56</v>
      </c>
      <c r="N6259">
        <v>77427320</v>
      </c>
    </row>
    <row r="6260" spans="1:14" x14ac:dyDescent="0.25">
      <c r="A6260">
        <v>63345844</v>
      </c>
      <c r="B6260" t="s">
        <v>1245</v>
      </c>
      <c r="C6260" t="s">
        <v>13406</v>
      </c>
      <c r="D6260" t="s">
        <v>13407</v>
      </c>
      <c r="E6260">
        <v>7085305226</v>
      </c>
      <c r="F6260" t="s">
        <v>649</v>
      </c>
      <c r="G6260" t="s">
        <v>650</v>
      </c>
      <c r="I6260" t="s">
        <v>28</v>
      </c>
      <c r="J6260" s="13">
        <v>46134</v>
      </c>
      <c r="K6260" s="13">
        <v>46143</v>
      </c>
      <c r="L6260" t="s">
        <v>470</v>
      </c>
      <c r="M6260" t="s">
        <v>62</v>
      </c>
      <c r="N6260">
        <v>77428321</v>
      </c>
    </row>
    <row r="6261" spans="1:14" x14ac:dyDescent="0.25">
      <c r="A6261">
        <v>63256771</v>
      </c>
      <c r="B6261" t="s">
        <v>13408</v>
      </c>
      <c r="C6261" t="s">
        <v>957</v>
      </c>
      <c r="D6261" t="s">
        <v>13409</v>
      </c>
      <c r="E6261">
        <v>4805047440</v>
      </c>
      <c r="F6261" t="s">
        <v>780</v>
      </c>
      <c r="G6261" t="s">
        <v>781</v>
      </c>
      <c r="I6261" t="s">
        <v>20</v>
      </c>
      <c r="J6261" s="13">
        <v>46129</v>
      </c>
      <c r="K6261" s="13">
        <v>46143</v>
      </c>
      <c r="L6261" t="s">
        <v>1179</v>
      </c>
      <c r="M6261" t="s">
        <v>419</v>
      </c>
      <c r="N6261">
        <v>77437210</v>
      </c>
    </row>
    <row r="6262" spans="1:14" x14ac:dyDescent="0.25">
      <c r="A6262">
        <v>63246442</v>
      </c>
      <c r="B6262" t="s">
        <v>867</v>
      </c>
      <c r="C6262" t="s">
        <v>1702</v>
      </c>
      <c r="D6262" t="s">
        <v>13410</v>
      </c>
      <c r="E6262">
        <v>5209872023</v>
      </c>
      <c r="F6262" t="s">
        <v>1345</v>
      </c>
      <c r="G6262" t="s">
        <v>799</v>
      </c>
      <c r="I6262" t="s">
        <v>47</v>
      </c>
      <c r="J6262" s="13">
        <v>46129</v>
      </c>
      <c r="K6262" s="13">
        <v>46143</v>
      </c>
      <c r="L6262" t="s">
        <v>1179</v>
      </c>
      <c r="M6262" t="s">
        <v>54</v>
      </c>
      <c r="N6262">
        <v>77445412</v>
      </c>
    </row>
    <row r="6263" spans="1:14" x14ac:dyDescent="0.25">
      <c r="A6263">
        <v>63247207</v>
      </c>
      <c r="B6263" t="s">
        <v>13411</v>
      </c>
      <c r="C6263" t="s">
        <v>13035</v>
      </c>
      <c r="D6263" t="s">
        <v>13412</v>
      </c>
      <c r="E6263" t="s">
        <v>13413</v>
      </c>
      <c r="F6263" t="s">
        <v>10591</v>
      </c>
      <c r="G6263" t="s">
        <v>10215</v>
      </c>
      <c r="I6263" t="s">
        <v>32</v>
      </c>
      <c r="J6263" s="13">
        <v>46129</v>
      </c>
      <c r="K6263" s="13">
        <v>46143</v>
      </c>
      <c r="L6263" t="s">
        <v>1179</v>
      </c>
      <c r="M6263" t="s">
        <v>54</v>
      </c>
      <c r="N6263">
        <v>77463899</v>
      </c>
    </row>
    <row r="6264" spans="1:14" x14ac:dyDescent="0.25">
      <c r="A6264">
        <v>63253222</v>
      </c>
      <c r="B6264" t="s">
        <v>13414</v>
      </c>
      <c r="C6264" t="s">
        <v>2839</v>
      </c>
      <c r="D6264" t="s">
        <v>13415</v>
      </c>
      <c r="E6264">
        <v>6026429963</v>
      </c>
      <c r="F6264" t="s">
        <v>807</v>
      </c>
      <c r="G6264" t="s">
        <v>808</v>
      </c>
      <c r="I6264" t="s">
        <v>33</v>
      </c>
      <c r="J6264" s="13">
        <v>46129</v>
      </c>
      <c r="K6264" s="13">
        <v>46143</v>
      </c>
      <c r="L6264" t="s">
        <v>1179</v>
      </c>
      <c r="M6264" t="s">
        <v>56</v>
      </c>
      <c r="N6264">
        <v>77475105</v>
      </c>
    </row>
    <row r="6265" spans="1:14" x14ac:dyDescent="0.25">
      <c r="A6265">
        <v>63283851</v>
      </c>
      <c r="B6265" t="s">
        <v>3038</v>
      </c>
      <c r="C6265" t="s">
        <v>2544</v>
      </c>
      <c r="D6265" t="s">
        <v>13416</v>
      </c>
      <c r="E6265">
        <v>4793430430</v>
      </c>
      <c r="F6265" t="s">
        <v>1067</v>
      </c>
      <c r="G6265" t="s">
        <v>1068</v>
      </c>
      <c r="I6265" t="s">
        <v>35</v>
      </c>
      <c r="J6265" s="13">
        <v>46132</v>
      </c>
      <c r="K6265" s="13">
        <v>46143</v>
      </c>
      <c r="L6265" t="s">
        <v>553</v>
      </c>
      <c r="M6265" t="s">
        <v>56</v>
      </c>
      <c r="N6265">
        <v>77497230</v>
      </c>
    </row>
    <row r="6266" spans="1:14" x14ac:dyDescent="0.25">
      <c r="A6266">
        <v>63323725</v>
      </c>
      <c r="B6266" t="s">
        <v>11089</v>
      </c>
      <c r="C6266" t="s">
        <v>11491</v>
      </c>
      <c r="D6266" t="s">
        <v>13417</v>
      </c>
      <c r="E6266">
        <v>3318148821</v>
      </c>
      <c r="F6266" t="s">
        <v>649</v>
      </c>
      <c r="G6266" t="s">
        <v>650</v>
      </c>
      <c r="I6266" t="s">
        <v>28</v>
      </c>
      <c r="J6266" s="13">
        <v>46133</v>
      </c>
      <c r="K6266" s="13">
        <v>46143</v>
      </c>
      <c r="L6266" t="s">
        <v>470</v>
      </c>
      <c r="M6266" t="s">
        <v>62</v>
      </c>
      <c r="N6266">
        <v>77497244</v>
      </c>
    </row>
    <row r="6267" spans="1:14" x14ac:dyDescent="0.25">
      <c r="A6267">
        <v>63286630</v>
      </c>
      <c r="B6267" t="s">
        <v>13418</v>
      </c>
      <c r="C6267" t="s">
        <v>1787</v>
      </c>
      <c r="D6267" t="s">
        <v>13419</v>
      </c>
      <c r="E6267">
        <v>5614759734</v>
      </c>
      <c r="F6267" t="s">
        <v>11745</v>
      </c>
      <c r="G6267" t="s">
        <v>6544</v>
      </c>
      <c r="I6267" t="s">
        <v>11746</v>
      </c>
      <c r="J6267" s="13">
        <v>46132</v>
      </c>
      <c r="K6267" s="13">
        <v>46143</v>
      </c>
      <c r="L6267" t="s">
        <v>497</v>
      </c>
      <c r="M6267" t="s">
        <v>59</v>
      </c>
      <c r="N6267">
        <v>77497259</v>
      </c>
    </row>
    <row r="6268" spans="1:14" x14ac:dyDescent="0.25">
      <c r="A6268">
        <v>63287099</v>
      </c>
      <c r="B6268" t="s">
        <v>5359</v>
      </c>
      <c r="C6268" t="s">
        <v>13420</v>
      </c>
      <c r="D6268" t="s">
        <v>13421</v>
      </c>
      <c r="E6268">
        <v>9043043321</v>
      </c>
      <c r="F6268" t="s">
        <v>807</v>
      </c>
      <c r="G6268" t="s">
        <v>808</v>
      </c>
      <c r="I6268" t="s">
        <v>33</v>
      </c>
      <c r="J6268" s="13">
        <v>46132</v>
      </c>
      <c r="K6268" s="13">
        <v>46143</v>
      </c>
      <c r="L6268" t="s">
        <v>497</v>
      </c>
      <c r="M6268" t="s">
        <v>11843</v>
      </c>
      <c r="N6268">
        <v>77497507</v>
      </c>
    </row>
    <row r="6269" spans="1:14" x14ac:dyDescent="0.25">
      <c r="A6269">
        <v>63285100</v>
      </c>
      <c r="B6269" t="s">
        <v>7822</v>
      </c>
      <c r="C6269" t="s">
        <v>1053</v>
      </c>
      <c r="D6269" t="s">
        <v>13422</v>
      </c>
      <c r="E6269">
        <v>7273152865</v>
      </c>
      <c r="F6269" t="s">
        <v>416</v>
      </c>
      <c r="G6269" t="s">
        <v>417</v>
      </c>
      <c r="I6269" t="s">
        <v>26</v>
      </c>
      <c r="J6269" s="13">
        <v>46132</v>
      </c>
      <c r="K6269" s="13">
        <v>46143</v>
      </c>
      <c r="L6269" t="s">
        <v>497</v>
      </c>
      <c r="M6269" t="s">
        <v>11843</v>
      </c>
      <c r="N6269">
        <v>77497825</v>
      </c>
    </row>
    <row r="6270" spans="1:14" x14ac:dyDescent="0.25">
      <c r="A6270">
        <v>63283779</v>
      </c>
      <c r="B6270" t="s">
        <v>1693</v>
      </c>
      <c r="C6270" t="s">
        <v>4385</v>
      </c>
      <c r="D6270" t="s">
        <v>13423</v>
      </c>
      <c r="E6270">
        <v>8032950284</v>
      </c>
      <c r="F6270" t="s">
        <v>448</v>
      </c>
      <c r="G6270" t="s">
        <v>449</v>
      </c>
      <c r="I6270" t="s">
        <v>31</v>
      </c>
      <c r="J6270" s="13">
        <v>46132</v>
      </c>
      <c r="K6270" s="13">
        <v>46143</v>
      </c>
      <c r="L6270" t="s">
        <v>533</v>
      </c>
      <c r="M6270" t="s">
        <v>56</v>
      </c>
      <c r="N6270">
        <v>77497851</v>
      </c>
    </row>
    <row r="6271" spans="1:14" x14ac:dyDescent="0.25">
      <c r="A6271">
        <v>63299553</v>
      </c>
      <c r="B6271" t="s">
        <v>13424</v>
      </c>
      <c r="C6271" t="s">
        <v>1220</v>
      </c>
      <c r="D6271" t="s">
        <v>13425</v>
      </c>
      <c r="E6271">
        <v>8477361669</v>
      </c>
      <c r="F6271" t="s">
        <v>815</v>
      </c>
      <c r="G6271" t="s">
        <v>816</v>
      </c>
      <c r="I6271" t="s">
        <v>23</v>
      </c>
      <c r="J6271" s="13">
        <v>46132</v>
      </c>
      <c r="K6271" s="13">
        <v>46143</v>
      </c>
      <c r="L6271" t="s">
        <v>470</v>
      </c>
      <c r="M6271" t="s">
        <v>60</v>
      </c>
      <c r="N6271">
        <v>77497934</v>
      </c>
    </row>
    <row r="6272" spans="1:14" x14ac:dyDescent="0.25">
      <c r="A6272">
        <v>63286888</v>
      </c>
      <c r="B6272" t="s">
        <v>13426</v>
      </c>
      <c r="C6272" t="s">
        <v>10742</v>
      </c>
      <c r="D6272" t="s">
        <v>13427</v>
      </c>
      <c r="E6272">
        <v>6027504198</v>
      </c>
      <c r="F6272" t="s">
        <v>10591</v>
      </c>
      <c r="G6272" t="s">
        <v>10215</v>
      </c>
      <c r="I6272" t="s">
        <v>32</v>
      </c>
      <c r="J6272" s="13">
        <v>46132</v>
      </c>
      <c r="K6272" s="13">
        <v>46143</v>
      </c>
      <c r="L6272" t="s">
        <v>1179</v>
      </c>
      <c r="M6272" t="s">
        <v>55</v>
      </c>
      <c r="N6272">
        <v>77498117</v>
      </c>
    </row>
    <row r="6273" spans="1:14" x14ac:dyDescent="0.25">
      <c r="A6273">
        <v>63288870</v>
      </c>
      <c r="B6273" t="s">
        <v>501</v>
      </c>
      <c r="C6273" t="s">
        <v>788</v>
      </c>
      <c r="D6273" t="s">
        <v>13428</v>
      </c>
      <c r="E6273">
        <v>9013503939</v>
      </c>
      <c r="F6273" t="s">
        <v>4941</v>
      </c>
      <c r="G6273" t="s">
        <v>12450</v>
      </c>
      <c r="I6273" t="s">
        <v>12451</v>
      </c>
      <c r="J6273" s="13">
        <v>46132</v>
      </c>
      <c r="K6273" s="13">
        <v>46143</v>
      </c>
      <c r="L6273" t="s">
        <v>479</v>
      </c>
      <c r="M6273" t="s">
        <v>62</v>
      </c>
      <c r="N6273">
        <v>77498217</v>
      </c>
    </row>
    <row r="6274" spans="1:14" x14ac:dyDescent="0.25">
      <c r="A6274">
        <v>63287857</v>
      </c>
      <c r="B6274" t="s">
        <v>1978</v>
      </c>
      <c r="C6274" t="s">
        <v>2215</v>
      </c>
      <c r="D6274" t="s">
        <v>13429</v>
      </c>
      <c r="E6274">
        <v>8595363921</v>
      </c>
      <c r="F6274" t="s">
        <v>828</v>
      </c>
      <c r="G6274" t="s">
        <v>1148</v>
      </c>
      <c r="I6274" t="s">
        <v>17</v>
      </c>
      <c r="J6274" s="13">
        <v>46132</v>
      </c>
      <c r="K6274" s="13">
        <v>46143</v>
      </c>
      <c r="L6274" t="s">
        <v>490</v>
      </c>
      <c r="M6274" t="s">
        <v>56</v>
      </c>
      <c r="N6274">
        <v>77498808</v>
      </c>
    </row>
    <row r="6275" spans="1:14" x14ac:dyDescent="0.25">
      <c r="A6275">
        <v>63287656</v>
      </c>
      <c r="B6275" t="s">
        <v>13430</v>
      </c>
      <c r="C6275" t="s">
        <v>13431</v>
      </c>
      <c r="D6275" t="s">
        <v>13432</v>
      </c>
      <c r="E6275">
        <v>9548124817</v>
      </c>
      <c r="F6275" t="s">
        <v>569</v>
      </c>
      <c r="G6275" t="s">
        <v>570</v>
      </c>
      <c r="I6275" t="s">
        <v>34</v>
      </c>
      <c r="J6275" s="13">
        <v>46132</v>
      </c>
      <c r="K6275" s="13">
        <v>46143</v>
      </c>
      <c r="L6275" t="s">
        <v>497</v>
      </c>
      <c r="M6275" t="s">
        <v>56</v>
      </c>
      <c r="N6275">
        <v>77499156</v>
      </c>
    </row>
    <row r="6276" spans="1:14" x14ac:dyDescent="0.25">
      <c r="A6276">
        <v>63290684</v>
      </c>
      <c r="B6276" t="s">
        <v>3532</v>
      </c>
      <c r="C6276" t="s">
        <v>13433</v>
      </c>
      <c r="D6276" t="s">
        <v>13434</v>
      </c>
      <c r="E6276">
        <v>9362325316</v>
      </c>
      <c r="F6276" t="s">
        <v>11838</v>
      </c>
      <c r="G6276" t="s">
        <v>11839</v>
      </c>
      <c r="I6276" t="s">
        <v>11840</v>
      </c>
      <c r="J6276" s="13">
        <v>46132</v>
      </c>
      <c r="K6276" s="13">
        <v>46143</v>
      </c>
      <c r="L6276" t="s">
        <v>444</v>
      </c>
      <c r="M6276" t="s">
        <v>59</v>
      </c>
      <c r="N6276">
        <v>77499493</v>
      </c>
    </row>
    <row r="6277" spans="1:14" x14ac:dyDescent="0.25">
      <c r="A6277">
        <v>63315083</v>
      </c>
      <c r="B6277" t="s">
        <v>12404</v>
      </c>
      <c r="C6277" t="s">
        <v>13435</v>
      </c>
      <c r="D6277" t="s">
        <v>13436</v>
      </c>
      <c r="E6277">
        <v>7725283775</v>
      </c>
      <c r="F6277" t="s">
        <v>770</v>
      </c>
      <c r="G6277" t="s">
        <v>771</v>
      </c>
      <c r="I6277" t="s">
        <v>25</v>
      </c>
      <c r="J6277" s="13">
        <v>46132</v>
      </c>
      <c r="K6277" s="13">
        <v>46143</v>
      </c>
      <c r="L6277" t="s">
        <v>497</v>
      </c>
      <c r="M6277" t="s">
        <v>54</v>
      </c>
      <c r="N6277">
        <v>77499726</v>
      </c>
    </row>
    <row r="6278" spans="1:14" x14ac:dyDescent="0.25">
      <c r="A6278">
        <v>63316209</v>
      </c>
      <c r="B6278" t="s">
        <v>954</v>
      </c>
      <c r="C6278" t="s">
        <v>12678</v>
      </c>
      <c r="D6278" t="s">
        <v>13437</v>
      </c>
      <c r="E6278">
        <v>9413855070</v>
      </c>
      <c r="F6278" t="s">
        <v>1013</v>
      </c>
      <c r="G6278" t="s">
        <v>1014</v>
      </c>
      <c r="I6278" t="s">
        <v>43</v>
      </c>
      <c r="J6278" s="13">
        <v>46132</v>
      </c>
      <c r="K6278" s="13">
        <v>46143</v>
      </c>
      <c r="L6278" t="s">
        <v>497</v>
      </c>
      <c r="M6278" t="s">
        <v>54</v>
      </c>
      <c r="N6278">
        <v>77499802</v>
      </c>
    </row>
    <row r="6279" spans="1:14" x14ac:dyDescent="0.25">
      <c r="A6279">
        <v>63296404</v>
      </c>
      <c r="B6279" t="s">
        <v>548</v>
      </c>
      <c r="C6279" t="s">
        <v>13438</v>
      </c>
      <c r="D6279" t="s">
        <v>13439</v>
      </c>
      <c r="E6279">
        <v>6024591091</v>
      </c>
      <c r="F6279" t="s">
        <v>807</v>
      </c>
      <c r="G6279" t="s">
        <v>808</v>
      </c>
      <c r="I6279" t="s">
        <v>33</v>
      </c>
      <c r="J6279" s="13">
        <v>46132</v>
      </c>
      <c r="K6279" s="13">
        <v>46143</v>
      </c>
      <c r="L6279" t="s">
        <v>1179</v>
      </c>
      <c r="M6279" t="s">
        <v>56</v>
      </c>
      <c r="N6279">
        <v>77499939</v>
      </c>
    </row>
    <row r="6280" spans="1:14" x14ac:dyDescent="0.25">
      <c r="A6280">
        <v>63293604</v>
      </c>
      <c r="B6280" t="s">
        <v>4887</v>
      </c>
      <c r="C6280" t="s">
        <v>13440</v>
      </c>
      <c r="D6280" t="s">
        <v>13441</v>
      </c>
      <c r="E6280">
        <v>8722960607</v>
      </c>
      <c r="F6280" t="s">
        <v>474</v>
      </c>
      <c r="G6280" t="s">
        <v>475</v>
      </c>
      <c r="I6280" t="s">
        <v>132</v>
      </c>
      <c r="J6280" s="13">
        <v>46132</v>
      </c>
      <c r="K6280" s="13">
        <v>46143</v>
      </c>
      <c r="L6280" t="s">
        <v>470</v>
      </c>
      <c r="M6280" t="s">
        <v>62</v>
      </c>
      <c r="N6280">
        <v>77499956</v>
      </c>
    </row>
    <row r="6281" spans="1:14" x14ac:dyDescent="0.25">
      <c r="A6281">
        <v>63298247</v>
      </c>
      <c r="B6281" t="s">
        <v>7114</v>
      </c>
      <c r="C6281" t="s">
        <v>2281</v>
      </c>
      <c r="D6281" t="s">
        <v>13442</v>
      </c>
      <c r="E6281">
        <v>6308904961</v>
      </c>
      <c r="F6281" t="s">
        <v>10642</v>
      </c>
      <c r="G6281" t="s">
        <v>10643</v>
      </c>
      <c r="I6281" t="s">
        <v>45</v>
      </c>
      <c r="J6281" s="13">
        <v>46132</v>
      </c>
      <c r="K6281" s="13">
        <v>46143</v>
      </c>
      <c r="L6281" t="s">
        <v>621</v>
      </c>
      <c r="M6281" t="s">
        <v>59</v>
      </c>
      <c r="N6281">
        <v>77500174</v>
      </c>
    </row>
    <row r="6282" spans="1:14" x14ac:dyDescent="0.25">
      <c r="A6282">
        <v>63296351</v>
      </c>
      <c r="B6282" t="s">
        <v>1148</v>
      </c>
      <c r="C6282" t="s">
        <v>8215</v>
      </c>
      <c r="D6282" t="s">
        <v>13443</v>
      </c>
      <c r="E6282">
        <v>9014258537</v>
      </c>
      <c r="F6282" t="s">
        <v>705</v>
      </c>
      <c r="G6282" t="s">
        <v>706</v>
      </c>
      <c r="I6282" t="s">
        <v>12</v>
      </c>
      <c r="J6282" s="13">
        <v>46132</v>
      </c>
      <c r="K6282" s="13">
        <v>46143</v>
      </c>
      <c r="L6282" t="s">
        <v>479</v>
      </c>
      <c r="M6282" t="s">
        <v>62</v>
      </c>
      <c r="N6282">
        <v>77500413</v>
      </c>
    </row>
    <row r="6283" spans="1:14" x14ac:dyDescent="0.25">
      <c r="A6283">
        <v>63305288</v>
      </c>
      <c r="B6283" t="s">
        <v>13444</v>
      </c>
      <c r="C6283" t="s">
        <v>13445</v>
      </c>
      <c r="D6283" t="s">
        <v>13446</v>
      </c>
      <c r="E6283">
        <v>9044562334</v>
      </c>
      <c r="F6283" t="s">
        <v>11745</v>
      </c>
      <c r="G6283" t="s">
        <v>6544</v>
      </c>
      <c r="I6283" t="s">
        <v>11746</v>
      </c>
      <c r="J6283" s="13">
        <v>46132</v>
      </c>
      <c r="K6283" s="13">
        <v>46143</v>
      </c>
      <c r="L6283" t="s">
        <v>497</v>
      </c>
      <c r="M6283" t="s">
        <v>59</v>
      </c>
      <c r="N6283">
        <v>77500573</v>
      </c>
    </row>
    <row r="6284" spans="1:14" x14ac:dyDescent="0.25">
      <c r="A6284">
        <v>63300299</v>
      </c>
      <c r="B6284" t="s">
        <v>1408</v>
      </c>
      <c r="C6284" t="s">
        <v>4735</v>
      </c>
      <c r="D6284" t="s">
        <v>13447</v>
      </c>
      <c r="E6284">
        <v>8052175384</v>
      </c>
      <c r="F6284" t="s">
        <v>1013</v>
      </c>
      <c r="G6284" t="s">
        <v>1014</v>
      </c>
      <c r="I6284" t="s">
        <v>43</v>
      </c>
      <c r="J6284" s="13">
        <v>46132</v>
      </c>
      <c r="K6284" s="13">
        <v>46143</v>
      </c>
      <c r="L6284" t="s">
        <v>1179</v>
      </c>
      <c r="M6284" t="s">
        <v>54</v>
      </c>
      <c r="N6284">
        <v>77500727</v>
      </c>
    </row>
    <row r="6285" spans="1:14" x14ac:dyDescent="0.25">
      <c r="A6285">
        <v>63305498</v>
      </c>
      <c r="B6285" t="s">
        <v>3252</v>
      </c>
      <c r="C6285" t="s">
        <v>13448</v>
      </c>
      <c r="D6285" t="s">
        <v>13449</v>
      </c>
      <c r="E6285">
        <v>9723424067</v>
      </c>
      <c r="F6285" t="s">
        <v>628</v>
      </c>
      <c r="G6285" t="s">
        <v>629</v>
      </c>
      <c r="I6285" t="s">
        <v>24</v>
      </c>
      <c r="J6285" s="13">
        <v>46132</v>
      </c>
      <c r="K6285" s="13">
        <v>46143</v>
      </c>
      <c r="L6285" t="s">
        <v>444</v>
      </c>
      <c r="M6285" t="s">
        <v>55</v>
      </c>
      <c r="N6285">
        <v>77501902</v>
      </c>
    </row>
    <row r="6286" spans="1:14" x14ac:dyDescent="0.25">
      <c r="A6286">
        <v>63309073</v>
      </c>
      <c r="B6286" t="s">
        <v>4137</v>
      </c>
      <c r="C6286" t="s">
        <v>8787</v>
      </c>
      <c r="D6286" t="s">
        <v>13450</v>
      </c>
      <c r="E6286">
        <v>9282430487</v>
      </c>
      <c r="F6286" t="s">
        <v>569</v>
      </c>
      <c r="G6286" t="s">
        <v>570</v>
      </c>
      <c r="I6286" t="s">
        <v>34</v>
      </c>
      <c r="J6286" s="13">
        <v>46132</v>
      </c>
      <c r="K6286" s="13">
        <v>46143</v>
      </c>
      <c r="L6286" t="s">
        <v>1179</v>
      </c>
      <c r="M6286" t="s">
        <v>54</v>
      </c>
      <c r="N6286">
        <v>77502781</v>
      </c>
    </row>
    <row r="6287" spans="1:14" x14ac:dyDescent="0.25">
      <c r="A6287">
        <v>63300556</v>
      </c>
      <c r="B6287" t="s">
        <v>4061</v>
      </c>
      <c r="C6287" t="s">
        <v>2469</v>
      </c>
      <c r="D6287" t="s">
        <v>13451</v>
      </c>
      <c r="E6287" t="s">
        <v>13452</v>
      </c>
      <c r="F6287" t="s">
        <v>1013</v>
      </c>
      <c r="G6287" t="s">
        <v>1014</v>
      </c>
      <c r="I6287" t="s">
        <v>43</v>
      </c>
      <c r="J6287" s="13">
        <v>46132</v>
      </c>
      <c r="K6287" s="13">
        <v>46143</v>
      </c>
      <c r="L6287" t="s">
        <v>1179</v>
      </c>
      <c r="M6287" t="s">
        <v>54</v>
      </c>
      <c r="N6287">
        <v>77503863</v>
      </c>
    </row>
    <row r="6288" spans="1:14" x14ac:dyDescent="0.25">
      <c r="A6288">
        <v>63315675</v>
      </c>
      <c r="B6288" t="s">
        <v>445</v>
      </c>
      <c r="C6288" t="s">
        <v>2215</v>
      </c>
      <c r="D6288" t="s">
        <v>13453</v>
      </c>
      <c r="E6288">
        <v>6155823536</v>
      </c>
      <c r="F6288" t="s">
        <v>649</v>
      </c>
      <c r="G6288" t="s">
        <v>650</v>
      </c>
      <c r="I6288" t="s">
        <v>28</v>
      </c>
      <c r="J6288" s="13">
        <v>46132</v>
      </c>
      <c r="K6288" s="13">
        <v>46143</v>
      </c>
      <c r="L6288" t="s">
        <v>479</v>
      </c>
      <c r="M6288" t="s">
        <v>62</v>
      </c>
      <c r="N6288">
        <v>77503928</v>
      </c>
    </row>
    <row r="6289" spans="1:14" x14ac:dyDescent="0.25">
      <c r="A6289">
        <v>63315819</v>
      </c>
      <c r="B6289" t="s">
        <v>1089</v>
      </c>
      <c r="C6289" t="s">
        <v>13454</v>
      </c>
      <c r="D6289" t="s">
        <v>13455</v>
      </c>
      <c r="E6289">
        <v>4192052423</v>
      </c>
      <c r="F6289" t="s">
        <v>815</v>
      </c>
      <c r="G6289" t="s">
        <v>816</v>
      </c>
      <c r="I6289" t="s">
        <v>23</v>
      </c>
      <c r="J6289" s="13">
        <v>46132</v>
      </c>
      <c r="K6289" s="13">
        <v>46143</v>
      </c>
      <c r="L6289" t="s">
        <v>418</v>
      </c>
      <c r="M6289" t="s">
        <v>59</v>
      </c>
      <c r="N6289">
        <v>77505204</v>
      </c>
    </row>
    <row r="6290" spans="1:14" x14ac:dyDescent="0.25">
      <c r="A6290">
        <v>63316803</v>
      </c>
      <c r="B6290" t="s">
        <v>3351</v>
      </c>
      <c r="C6290" t="s">
        <v>13456</v>
      </c>
      <c r="D6290" t="s">
        <v>13457</v>
      </c>
      <c r="E6290">
        <v>5082072790</v>
      </c>
      <c r="F6290" t="s">
        <v>2544</v>
      </c>
      <c r="G6290" t="s">
        <v>12389</v>
      </c>
      <c r="I6290" t="s">
        <v>12390</v>
      </c>
      <c r="J6290" s="13">
        <v>46132</v>
      </c>
      <c r="K6290" s="13">
        <v>46143</v>
      </c>
      <c r="L6290" t="s">
        <v>1179</v>
      </c>
      <c r="M6290" t="s">
        <v>54</v>
      </c>
      <c r="N6290">
        <v>77506312</v>
      </c>
    </row>
    <row r="6291" spans="1:14" x14ac:dyDescent="0.25">
      <c r="A6291">
        <v>63317032</v>
      </c>
      <c r="B6291" t="s">
        <v>3561</v>
      </c>
      <c r="C6291" t="s">
        <v>13458</v>
      </c>
      <c r="D6291" t="s">
        <v>13459</v>
      </c>
      <c r="E6291">
        <v>9109778248</v>
      </c>
      <c r="F6291" t="s">
        <v>828</v>
      </c>
      <c r="G6291" t="s">
        <v>1148</v>
      </c>
      <c r="I6291" t="s">
        <v>17</v>
      </c>
      <c r="J6291" s="13">
        <v>46132</v>
      </c>
      <c r="K6291" s="13">
        <v>46143</v>
      </c>
      <c r="L6291" t="s">
        <v>621</v>
      </c>
      <c r="M6291" t="s">
        <v>56</v>
      </c>
      <c r="N6291">
        <v>77506512</v>
      </c>
    </row>
    <row r="6292" spans="1:14" x14ac:dyDescent="0.25">
      <c r="A6292">
        <v>63317192</v>
      </c>
      <c r="B6292" t="s">
        <v>13460</v>
      </c>
      <c r="C6292" t="s">
        <v>13461</v>
      </c>
      <c r="D6292" t="s">
        <v>13462</v>
      </c>
      <c r="E6292">
        <v>9012158090</v>
      </c>
      <c r="F6292" t="s">
        <v>10642</v>
      </c>
      <c r="G6292" t="s">
        <v>10643</v>
      </c>
      <c r="I6292" t="s">
        <v>45</v>
      </c>
      <c r="J6292" s="13">
        <v>46132</v>
      </c>
      <c r="K6292" s="13">
        <v>46143</v>
      </c>
      <c r="L6292" t="s">
        <v>479</v>
      </c>
      <c r="M6292" t="s">
        <v>58</v>
      </c>
      <c r="N6292">
        <v>77506655</v>
      </c>
    </row>
    <row r="6293" spans="1:14" x14ac:dyDescent="0.25">
      <c r="A6293">
        <v>63316896</v>
      </c>
      <c r="B6293" t="s">
        <v>445</v>
      </c>
      <c r="C6293" t="s">
        <v>6609</v>
      </c>
      <c r="D6293" t="s">
        <v>13463</v>
      </c>
      <c r="E6293">
        <v>3365750917</v>
      </c>
      <c r="F6293" t="s">
        <v>551</v>
      </c>
      <c r="G6293" t="s">
        <v>552</v>
      </c>
      <c r="I6293" t="s">
        <v>42</v>
      </c>
      <c r="J6293" s="13">
        <v>46132</v>
      </c>
      <c r="K6293" s="13">
        <v>46143</v>
      </c>
      <c r="L6293" t="s">
        <v>603</v>
      </c>
      <c r="M6293" t="s">
        <v>59</v>
      </c>
      <c r="N6293">
        <v>77506696</v>
      </c>
    </row>
    <row r="6294" spans="1:14" x14ac:dyDescent="0.25">
      <c r="A6294">
        <v>63317099</v>
      </c>
      <c r="B6294" t="s">
        <v>5588</v>
      </c>
      <c r="C6294" t="s">
        <v>13464</v>
      </c>
      <c r="D6294" t="s">
        <v>13465</v>
      </c>
      <c r="E6294">
        <v>6015041539</v>
      </c>
      <c r="F6294" t="s">
        <v>10253</v>
      </c>
      <c r="G6294" t="s">
        <v>781</v>
      </c>
      <c r="I6294" t="s">
        <v>36</v>
      </c>
      <c r="J6294" s="13">
        <v>46132</v>
      </c>
      <c r="K6294" s="13">
        <v>46143</v>
      </c>
      <c r="L6294" t="s">
        <v>479</v>
      </c>
      <c r="M6294" t="s">
        <v>59</v>
      </c>
      <c r="N6294">
        <v>77506805</v>
      </c>
    </row>
    <row r="6295" spans="1:14" x14ac:dyDescent="0.25">
      <c r="A6295">
        <v>63317019</v>
      </c>
      <c r="B6295" t="s">
        <v>8900</v>
      </c>
      <c r="C6295" t="s">
        <v>3420</v>
      </c>
      <c r="D6295" t="s">
        <v>13466</v>
      </c>
      <c r="E6295">
        <v>4809894670</v>
      </c>
      <c r="F6295" t="s">
        <v>569</v>
      </c>
      <c r="G6295" t="s">
        <v>570</v>
      </c>
      <c r="I6295" t="s">
        <v>34</v>
      </c>
      <c r="J6295" s="13">
        <v>46132</v>
      </c>
      <c r="K6295" s="13">
        <v>46143</v>
      </c>
      <c r="L6295" t="s">
        <v>1179</v>
      </c>
      <c r="M6295" t="s">
        <v>56</v>
      </c>
      <c r="N6295">
        <v>77507026</v>
      </c>
    </row>
    <row r="6296" spans="1:14" x14ac:dyDescent="0.25">
      <c r="A6296">
        <v>63316894</v>
      </c>
      <c r="B6296" t="s">
        <v>604</v>
      </c>
      <c r="C6296" t="s">
        <v>3384</v>
      </c>
      <c r="D6296" t="s">
        <v>13467</v>
      </c>
      <c r="E6296">
        <v>3366870578</v>
      </c>
      <c r="F6296" t="s">
        <v>928</v>
      </c>
      <c r="G6296" t="s">
        <v>929</v>
      </c>
      <c r="I6296" t="s">
        <v>30</v>
      </c>
      <c r="J6296" s="13">
        <v>46132</v>
      </c>
      <c r="K6296" s="13">
        <v>46143</v>
      </c>
      <c r="L6296" t="s">
        <v>603</v>
      </c>
      <c r="M6296" t="s">
        <v>56</v>
      </c>
      <c r="N6296">
        <v>77507037</v>
      </c>
    </row>
    <row r="6297" spans="1:14" x14ac:dyDescent="0.25">
      <c r="A6297">
        <v>63317229</v>
      </c>
      <c r="B6297" t="s">
        <v>5075</v>
      </c>
      <c r="C6297" t="s">
        <v>13468</v>
      </c>
      <c r="D6297" t="s">
        <v>13469</v>
      </c>
      <c r="E6297">
        <v>6027390064</v>
      </c>
      <c r="F6297" t="s">
        <v>775</v>
      </c>
      <c r="G6297" t="s">
        <v>776</v>
      </c>
      <c r="I6297" t="s">
        <v>22</v>
      </c>
      <c r="J6297" s="13">
        <v>46132</v>
      </c>
      <c r="K6297" s="13">
        <v>46143</v>
      </c>
      <c r="L6297" t="s">
        <v>1179</v>
      </c>
      <c r="M6297" t="s">
        <v>54</v>
      </c>
      <c r="N6297">
        <v>77507310</v>
      </c>
    </row>
    <row r="6298" spans="1:14" x14ac:dyDescent="0.25">
      <c r="A6298">
        <v>63317246</v>
      </c>
      <c r="B6298" t="s">
        <v>13470</v>
      </c>
      <c r="C6298" t="s">
        <v>13435</v>
      </c>
      <c r="F6298" t="s">
        <v>770</v>
      </c>
      <c r="G6298" t="s">
        <v>771</v>
      </c>
      <c r="I6298" t="s">
        <v>25</v>
      </c>
      <c r="J6298" s="13">
        <v>46132</v>
      </c>
      <c r="K6298" s="13">
        <v>46143</v>
      </c>
      <c r="M6298" t="s">
        <v>56</v>
      </c>
      <c r="N6298">
        <v>77508665</v>
      </c>
    </row>
    <row r="6299" spans="1:14" x14ac:dyDescent="0.25">
      <c r="A6299">
        <v>63322211</v>
      </c>
      <c r="B6299" t="s">
        <v>13471</v>
      </c>
      <c r="C6299" t="s">
        <v>13472</v>
      </c>
      <c r="D6299" t="s">
        <v>13473</v>
      </c>
      <c r="E6299">
        <v>9543941775</v>
      </c>
      <c r="F6299" t="s">
        <v>1013</v>
      </c>
      <c r="G6299" t="s">
        <v>1014</v>
      </c>
      <c r="I6299" t="s">
        <v>43</v>
      </c>
      <c r="J6299" s="13">
        <v>46133</v>
      </c>
      <c r="K6299" s="13">
        <v>46143</v>
      </c>
      <c r="L6299" t="s">
        <v>497</v>
      </c>
      <c r="M6299" t="s">
        <v>58</v>
      </c>
      <c r="N6299">
        <v>77513098</v>
      </c>
    </row>
    <row r="6300" spans="1:14" x14ac:dyDescent="0.25">
      <c r="A6300">
        <v>63323212</v>
      </c>
      <c r="B6300" t="s">
        <v>13474</v>
      </c>
      <c r="C6300" t="s">
        <v>5897</v>
      </c>
      <c r="D6300" t="s">
        <v>13475</v>
      </c>
      <c r="E6300">
        <v>9546106179</v>
      </c>
      <c r="F6300" t="s">
        <v>10591</v>
      </c>
      <c r="G6300" t="s">
        <v>10215</v>
      </c>
      <c r="I6300" t="s">
        <v>32</v>
      </c>
      <c r="J6300" s="13">
        <v>46133</v>
      </c>
      <c r="K6300" s="13">
        <v>46143</v>
      </c>
      <c r="L6300" t="s">
        <v>497</v>
      </c>
      <c r="M6300" t="s">
        <v>54</v>
      </c>
      <c r="N6300">
        <v>77513122</v>
      </c>
    </row>
    <row r="6301" spans="1:14" x14ac:dyDescent="0.25">
      <c r="A6301">
        <v>63322657</v>
      </c>
      <c r="B6301" t="s">
        <v>1268</v>
      </c>
      <c r="C6301" t="s">
        <v>13476</v>
      </c>
      <c r="D6301" t="s">
        <v>13477</v>
      </c>
      <c r="E6301">
        <v>7276250003</v>
      </c>
      <c r="F6301" t="s">
        <v>1067</v>
      </c>
      <c r="G6301" t="s">
        <v>1068</v>
      </c>
      <c r="I6301" t="s">
        <v>35</v>
      </c>
      <c r="J6301" s="13">
        <v>46133</v>
      </c>
      <c r="K6301" s="13">
        <v>46143</v>
      </c>
      <c r="L6301" t="s">
        <v>497</v>
      </c>
      <c r="M6301" t="s">
        <v>56</v>
      </c>
      <c r="N6301">
        <v>77513204</v>
      </c>
    </row>
    <row r="6302" spans="1:14" x14ac:dyDescent="0.25">
      <c r="A6302">
        <v>63322528</v>
      </c>
      <c r="B6302" t="s">
        <v>13478</v>
      </c>
      <c r="C6302" t="s">
        <v>13479</v>
      </c>
      <c r="D6302" t="s">
        <v>13480</v>
      </c>
      <c r="E6302">
        <v>5205138065</v>
      </c>
      <c r="F6302" t="s">
        <v>416</v>
      </c>
      <c r="G6302" t="s">
        <v>417</v>
      </c>
      <c r="I6302" t="s">
        <v>26</v>
      </c>
      <c r="J6302" s="13">
        <v>46133</v>
      </c>
      <c r="K6302" s="13">
        <v>46143</v>
      </c>
      <c r="L6302" t="s">
        <v>1179</v>
      </c>
      <c r="M6302" t="s">
        <v>59</v>
      </c>
      <c r="N6302">
        <v>77513223</v>
      </c>
    </row>
    <row r="6303" spans="1:14" x14ac:dyDescent="0.25">
      <c r="A6303">
        <v>63322912</v>
      </c>
      <c r="B6303" t="s">
        <v>1324</v>
      </c>
      <c r="C6303" t="s">
        <v>13481</v>
      </c>
      <c r="D6303" t="s">
        <v>13482</v>
      </c>
      <c r="E6303">
        <v>4148650813</v>
      </c>
      <c r="F6303" t="s">
        <v>775</v>
      </c>
      <c r="G6303" t="s">
        <v>776</v>
      </c>
      <c r="I6303" t="s">
        <v>22</v>
      </c>
      <c r="J6303" s="13">
        <v>46133</v>
      </c>
      <c r="K6303" s="13">
        <v>46143</v>
      </c>
      <c r="L6303" t="s">
        <v>675</v>
      </c>
      <c r="M6303" t="s">
        <v>419</v>
      </c>
      <c r="N6303">
        <v>77513349</v>
      </c>
    </row>
    <row r="6304" spans="1:14" x14ac:dyDescent="0.25">
      <c r="A6304">
        <v>63326849</v>
      </c>
      <c r="B6304" t="s">
        <v>2600</v>
      </c>
      <c r="C6304" t="s">
        <v>13483</v>
      </c>
      <c r="D6304" t="s">
        <v>13484</v>
      </c>
      <c r="E6304" t="s">
        <v>13485</v>
      </c>
      <c r="F6304" t="s">
        <v>551</v>
      </c>
      <c r="G6304" t="s">
        <v>552</v>
      </c>
      <c r="I6304" t="s">
        <v>42</v>
      </c>
      <c r="J6304" s="13">
        <v>46133</v>
      </c>
      <c r="K6304" s="13">
        <v>46143</v>
      </c>
      <c r="L6304" t="s">
        <v>553</v>
      </c>
      <c r="M6304" t="s">
        <v>58</v>
      </c>
      <c r="N6304">
        <v>77513468</v>
      </c>
    </row>
    <row r="6305" spans="1:14" x14ac:dyDescent="0.25">
      <c r="A6305">
        <v>63327203</v>
      </c>
      <c r="B6305" t="s">
        <v>13486</v>
      </c>
      <c r="C6305" t="s">
        <v>13487</v>
      </c>
      <c r="D6305" t="s">
        <v>13488</v>
      </c>
      <c r="E6305">
        <v>9016472629</v>
      </c>
      <c r="F6305" t="s">
        <v>815</v>
      </c>
      <c r="G6305" t="s">
        <v>816</v>
      </c>
      <c r="I6305" t="s">
        <v>23</v>
      </c>
      <c r="J6305" s="13">
        <v>46133</v>
      </c>
      <c r="K6305" s="13">
        <v>46143</v>
      </c>
      <c r="L6305" t="s">
        <v>479</v>
      </c>
      <c r="M6305" t="s">
        <v>59</v>
      </c>
      <c r="N6305">
        <v>77513775</v>
      </c>
    </row>
    <row r="6306" spans="1:14" x14ac:dyDescent="0.25">
      <c r="A6306">
        <v>63323357</v>
      </c>
      <c r="B6306" t="s">
        <v>9177</v>
      </c>
      <c r="C6306" t="s">
        <v>13489</v>
      </c>
      <c r="D6306" t="s">
        <v>13490</v>
      </c>
      <c r="E6306">
        <v>2165705630</v>
      </c>
      <c r="F6306" t="s">
        <v>705</v>
      </c>
      <c r="G6306" t="s">
        <v>706</v>
      </c>
      <c r="I6306" t="s">
        <v>12</v>
      </c>
      <c r="J6306" s="13">
        <v>46133</v>
      </c>
      <c r="K6306" s="13">
        <v>46143</v>
      </c>
      <c r="L6306" t="s">
        <v>418</v>
      </c>
      <c r="M6306" t="s">
        <v>58</v>
      </c>
      <c r="N6306">
        <v>77513916</v>
      </c>
    </row>
    <row r="6307" spans="1:14" x14ac:dyDescent="0.25">
      <c r="A6307">
        <v>63324499</v>
      </c>
      <c r="B6307" t="s">
        <v>13491</v>
      </c>
      <c r="C6307" t="s">
        <v>2901</v>
      </c>
      <c r="D6307" t="s">
        <v>13492</v>
      </c>
      <c r="E6307">
        <v>7276879422</v>
      </c>
      <c r="F6307" t="s">
        <v>2544</v>
      </c>
      <c r="G6307" t="s">
        <v>12389</v>
      </c>
      <c r="I6307" t="s">
        <v>12390</v>
      </c>
      <c r="J6307" s="13">
        <v>46133</v>
      </c>
      <c r="K6307" s="13">
        <v>46143</v>
      </c>
      <c r="L6307" t="s">
        <v>497</v>
      </c>
      <c r="M6307" t="s">
        <v>54</v>
      </c>
      <c r="N6307">
        <v>77514270</v>
      </c>
    </row>
    <row r="6308" spans="1:14" x14ac:dyDescent="0.25">
      <c r="A6308">
        <v>63324565</v>
      </c>
      <c r="B6308" t="s">
        <v>3615</v>
      </c>
      <c r="C6308" t="s">
        <v>1801</v>
      </c>
      <c r="D6308" t="s">
        <v>13493</v>
      </c>
      <c r="E6308">
        <v>4192153668</v>
      </c>
      <c r="F6308" t="s">
        <v>10253</v>
      </c>
      <c r="G6308" t="s">
        <v>781</v>
      </c>
      <c r="I6308" t="s">
        <v>36</v>
      </c>
      <c r="J6308" s="13">
        <v>46133</v>
      </c>
      <c r="K6308" s="13">
        <v>46143</v>
      </c>
      <c r="L6308" t="s">
        <v>418</v>
      </c>
      <c r="M6308" t="s">
        <v>59</v>
      </c>
      <c r="N6308">
        <v>77514535</v>
      </c>
    </row>
    <row r="6309" spans="1:14" x14ac:dyDescent="0.25">
      <c r="A6309">
        <v>63324509</v>
      </c>
      <c r="B6309" t="s">
        <v>13494</v>
      </c>
      <c r="C6309" t="s">
        <v>4956</v>
      </c>
      <c r="D6309" t="s">
        <v>13495</v>
      </c>
      <c r="E6309">
        <v>3172606947</v>
      </c>
      <c r="F6309" t="s">
        <v>574</v>
      </c>
      <c r="G6309" t="s">
        <v>575</v>
      </c>
      <c r="I6309" t="s">
        <v>14</v>
      </c>
      <c r="J6309" s="13">
        <v>46133</v>
      </c>
      <c r="K6309" s="13">
        <v>46143</v>
      </c>
      <c r="L6309" t="s">
        <v>440</v>
      </c>
      <c r="M6309" t="s">
        <v>59</v>
      </c>
      <c r="N6309">
        <v>77514617</v>
      </c>
    </row>
    <row r="6310" spans="1:14" x14ac:dyDescent="0.25">
      <c r="A6310">
        <v>63324625</v>
      </c>
      <c r="B6310" t="s">
        <v>622</v>
      </c>
      <c r="C6310" t="s">
        <v>2513</v>
      </c>
      <c r="D6310" t="s">
        <v>13496</v>
      </c>
      <c r="E6310" t="s">
        <v>13497</v>
      </c>
      <c r="F6310" t="s">
        <v>10460</v>
      </c>
      <c r="G6310" t="s">
        <v>6663</v>
      </c>
      <c r="I6310" t="s">
        <v>40</v>
      </c>
      <c r="J6310" s="13">
        <v>46133</v>
      </c>
      <c r="K6310" s="13">
        <v>46143</v>
      </c>
      <c r="L6310" t="s">
        <v>603</v>
      </c>
      <c r="M6310" t="s">
        <v>59</v>
      </c>
      <c r="N6310">
        <v>77514931</v>
      </c>
    </row>
    <row r="6311" spans="1:14" x14ac:dyDescent="0.25">
      <c r="A6311">
        <v>63326316</v>
      </c>
      <c r="B6311" t="s">
        <v>4570</v>
      </c>
      <c r="C6311" t="s">
        <v>2998</v>
      </c>
      <c r="D6311" t="s">
        <v>13498</v>
      </c>
      <c r="E6311">
        <v>5129225389</v>
      </c>
      <c r="F6311" t="s">
        <v>11838</v>
      </c>
      <c r="G6311" t="s">
        <v>11839</v>
      </c>
      <c r="I6311" t="s">
        <v>11840</v>
      </c>
      <c r="J6311" s="13">
        <v>46133</v>
      </c>
      <c r="K6311" s="13">
        <v>46143</v>
      </c>
      <c r="L6311" t="s">
        <v>444</v>
      </c>
      <c r="M6311" t="s">
        <v>59</v>
      </c>
      <c r="N6311">
        <v>77515606</v>
      </c>
    </row>
    <row r="6312" spans="1:14" x14ac:dyDescent="0.25">
      <c r="A6312">
        <v>63327336</v>
      </c>
      <c r="B6312" t="s">
        <v>1278</v>
      </c>
      <c r="C6312" t="s">
        <v>1258</v>
      </c>
      <c r="D6312" t="s">
        <v>13499</v>
      </c>
      <c r="F6312" t="s">
        <v>1612</v>
      </c>
      <c r="G6312" t="s">
        <v>4811</v>
      </c>
      <c r="I6312" t="s">
        <v>322</v>
      </c>
      <c r="J6312" s="13">
        <v>46133</v>
      </c>
      <c r="K6312" s="13">
        <v>46143</v>
      </c>
      <c r="L6312" t="s">
        <v>418</v>
      </c>
      <c r="M6312" t="s">
        <v>59</v>
      </c>
      <c r="N6312">
        <v>77515702</v>
      </c>
    </row>
    <row r="6313" spans="1:14" x14ac:dyDescent="0.25">
      <c r="A6313">
        <v>63325654</v>
      </c>
      <c r="B6313" t="s">
        <v>13500</v>
      </c>
      <c r="C6313" t="s">
        <v>8734</v>
      </c>
      <c r="D6313" t="s">
        <v>13501</v>
      </c>
      <c r="E6313">
        <v>8432386069</v>
      </c>
      <c r="F6313" t="s">
        <v>10591</v>
      </c>
      <c r="G6313" t="s">
        <v>10215</v>
      </c>
      <c r="I6313" t="s">
        <v>32</v>
      </c>
      <c r="J6313" s="13">
        <v>46133</v>
      </c>
      <c r="K6313" s="13">
        <v>46143</v>
      </c>
      <c r="L6313" t="s">
        <v>497</v>
      </c>
      <c r="M6313" t="s">
        <v>58</v>
      </c>
      <c r="N6313">
        <v>77515706</v>
      </c>
    </row>
    <row r="6314" spans="1:14" x14ac:dyDescent="0.25">
      <c r="A6314">
        <v>63324795</v>
      </c>
      <c r="B6314" t="s">
        <v>7111</v>
      </c>
      <c r="C6314" t="s">
        <v>13502</v>
      </c>
      <c r="D6314" t="s">
        <v>13503</v>
      </c>
      <c r="E6314">
        <v>2197434532</v>
      </c>
      <c r="F6314" t="s">
        <v>474</v>
      </c>
      <c r="G6314" t="s">
        <v>475</v>
      </c>
      <c r="I6314" t="s">
        <v>132</v>
      </c>
      <c r="J6314" s="13">
        <v>46133</v>
      </c>
      <c r="K6314" s="13">
        <v>46143</v>
      </c>
      <c r="L6314" t="s">
        <v>440</v>
      </c>
      <c r="M6314" t="s">
        <v>59</v>
      </c>
      <c r="N6314">
        <v>77515830</v>
      </c>
    </row>
    <row r="6315" spans="1:14" x14ac:dyDescent="0.25">
      <c r="A6315">
        <v>63327134</v>
      </c>
      <c r="B6315" t="s">
        <v>1900</v>
      </c>
      <c r="C6315" t="s">
        <v>2422</v>
      </c>
      <c r="D6315" t="s">
        <v>13504</v>
      </c>
      <c r="E6315">
        <v>8644266035</v>
      </c>
      <c r="F6315" t="s">
        <v>574</v>
      </c>
      <c r="G6315" t="s">
        <v>575</v>
      </c>
      <c r="I6315" t="s">
        <v>14</v>
      </c>
      <c r="J6315" s="13">
        <v>46133</v>
      </c>
      <c r="K6315" s="13">
        <v>46143</v>
      </c>
      <c r="L6315" t="s">
        <v>533</v>
      </c>
      <c r="M6315" t="s">
        <v>55</v>
      </c>
      <c r="N6315">
        <v>77515934</v>
      </c>
    </row>
    <row r="6316" spans="1:14" x14ac:dyDescent="0.25">
      <c r="A6316">
        <v>63327687</v>
      </c>
      <c r="B6316" t="s">
        <v>672</v>
      </c>
      <c r="C6316" t="s">
        <v>13505</v>
      </c>
      <c r="D6316" t="s">
        <v>13506</v>
      </c>
      <c r="E6316">
        <v>5132220850</v>
      </c>
      <c r="F6316" t="s">
        <v>628</v>
      </c>
      <c r="G6316" t="s">
        <v>629</v>
      </c>
      <c r="I6316" t="s">
        <v>24</v>
      </c>
      <c r="J6316" s="13">
        <v>46133</v>
      </c>
      <c r="K6316" s="13">
        <v>46143</v>
      </c>
      <c r="L6316" t="s">
        <v>418</v>
      </c>
      <c r="M6316" t="s">
        <v>59</v>
      </c>
      <c r="N6316">
        <v>77516814</v>
      </c>
    </row>
    <row r="6317" spans="1:14" x14ac:dyDescent="0.25">
      <c r="A6317">
        <v>63328000</v>
      </c>
      <c r="B6317" t="s">
        <v>13507</v>
      </c>
      <c r="C6317" t="s">
        <v>13508</v>
      </c>
      <c r="D6317" t="s">
        <v>13509</v>
      </c>
      <c r="F6317" t="s">
        <v>8440</v>
      </c>
      <c r="G6317" t="s">
        <v>12267</v>
      </c>
      <c r="I6317" t="s">
        <v>12268</v>
      </c>
      <c r="J6317" s="13">
        <v>46133</v>
      </c>
      <c r="K6317" s="13">
        <v>46143</v>
      </c>
      <c r="L6317" t="s">
        <v>470</v>
      </c>
      <c r="M6317" t="s">
        <v>59</v>
      </c>
      <c r="N6317">
        <v>77516817</v>
      </c>
    </row>
    <row r="6318" spans="1:14" x14ac:dyDescent="0.25">
      <c r="A6318">
        <v>63330130</v>
      </c>
      <c r="B6318" t="s">
        <v>3326</v>
      </c>
      <c r="C6318" t="s">
        <v>13510</v>
      </c>
      <c r="D6318" t="s">
        <v>13511</v>
      </c>
      <c r="E6318">
        <v>3308127026</v>
      </c>
      <c r="F6318" t="s">
        <v>2544</v>
      </c>
      <c r="G6318" t="s">
        <v>4833</v>
      </c>
      <c r="I6318" t="s">
        <v>18</v>
      </c>
      <c r="J6318" s="13">
        <v>46133</v>
      </c>
      <c r="K6318" s="13">
        <v>46143</v>
      </c>
      <c r="L6318" t="s">
        <v>418</v>
      </c>
      <c r="M6318" t="s">
        <v>59</v>
      </c>
      <c r="N6318">
        <v>77517269</v>
      </c>
    </row>
    <row r="6319" spans="1:14" x14ac:dyDescent="0.25">
      <c r="A6319">
        <v>63329520</v>
      </c>
      <c r="B6319" t="s">
        <v>1148</v>
      </c>
      <c r="C6319" t="s">
        <v>2482</v>
      </c>
      <c r="D6319" t="s">
        <v>13512</v>
      </c>
      <c r="E6319">
        <v>7086578987</v>
      </c>
      <c r="F6319" t="s">
        <v>10253</v>
      </c>
      <c r="G6319" t="s">
        <v>781</v>
      </c>
      <c r="I6319" t="s">
        <v>36</v>
      </c>
      <c r="J6319" s="13">
        <v>46133</v>
      </c>
      <c r="K6319" s="13">
        <v>46143</v>
      </c>
      <c r="L6319" t="s">
        <v>470</v>
      </c>
      <c r="M6319" t="s">
        <v>60</v>
      </c>
      <c r="N6319">
        <v>77517591</v>
      </c>
    </row>
    <row r="6320" spans="1:14" x14ac:dyDescent="0.25">
      <c r="A6320">
        <v>63328690</v>
      </c>
      <c r="B6320" t="s">
        <v>7235</v>
      </c>
      <c r="C6320" t="s">
        <v>13513</v>
      </c>
      <c r="D6320" t="s">
        <v>13514</v>
      </c>
      <c r="E6320">
        <v>3177303327</v>
      </c>
      <c r="F6320" t="s">
        <v>11776</v>
      </c>
      <c r="G6320" t="s">
        <v>3895</v>
      </c>
      <c r="H6320" t="s">
        <v>11777</v>
      </c>
      <c r="I6320" t="s">
        <v>11778</v>
      </c>
      <c r="J6320" s="13">
        <v>46133</v>
      </c>
      <c r="K6320" s="13">
        <v>46143</v>
      </c>
      <c r="L6320" t="s">
        <v>440</v>
      </c>
      <c r="M6320" t="s">
        <v>62</v>
      </c>
      <c r="N6320">
        <v>77517736</v>
      </c>
    </row>
    <row r="6321" spans="1:14" x14ac:dyDescent="0.25">
      <c r="A6321">
        <v>63327449</v>
      </c>
      <c r="B6321" t="s">
        <v>6451</v>
      </c>
      <c r="C6321" t="s">
        <v>13515</v>
      </c>
      <c r="D6321" t="s">
        <v>13516</v>
      </c>
      <c r="E6321">
        <v>4402780886</v>
      </c>
      <c r="F6321" t="s">
        <v>474</v>
      </c>
      <c r="G6321" t="s">
        <v>475</v>
      </c>
      <c r="I6321" t="s">
        <v>132</v>
      </c>
      <c r="J6321" s="13">
        <v>46133</v>
      </c>
      <c r="K6321" s="13">
        <v>46143</v>
      </c>
      <c r="L6321" t="s">
        <v>418</v>
      </c>
      <c r="M6321" t="s">
        <v>56</v>
      </c>
      <c r="N6321">
        <v>77517773</v>
      </c>
    </row>
    <row r="6322" spans="1:14" x14ac:dyDescent="0.25">
      <c r="A6322">
        <v>63329130</v>
      </c>
      <c r="B6322" t="s">
        <v>13517</v>
      </c>
      <c r="C6322" t="s">
        <v>1068</v>
      </c>
      <c r="D6322" t="s">
        <v>13518</v>
      </c>
      <c r="E6322">
        <v>5674695665</v>
      </c>
      <c r="F6322" t="s">
        <v>828</v>
      </c>
      <c r="G6322" t="s">
        <v>1148</v>
      </c>
      <c r="I6322" t="s">
        <v>17</v>
      </c>
      <c r="J6322" s="13">
        <v>46133</v>
      </c>
      <c r="K6322" s="13">
        <v>46143</v>
      </c>
      <c r="L6322" t="s">
        <v>418</v>
      </c>
      <c r="M6322" t="s">
        <v>59</v>
      </c>
      <c r="N6322">
        <v>77518323</v>
      </c>
    </row>
    <row r="6323" spans="1:14" x14ac:dyDescent="0.25">
      <c r="A6323">
        <v>63329505</v>
      </c>
      <c r="B6323" t="s">
        <v>709</v>
      </c>
      <c r="C6323" t="s">
        <v>610</v>
      </c>
      <c r="D6323" t="s">
        <v>13519</v>
      </c>
      <c r="E6323">
        <v>4802837873</v>
      </c>
      <c r="F6323" t="s">
        <v>2544</v>
      </c>
      <c r="G6323" t="s">
        <v>12389</v>
      </c>
      <c r="I6323" t="s">
        <v>12390</v>
      </c>
      <c r="J6323" s="13">
        <v>46133</v>
      </c>
      <c r="K6323" s="13">
        <v>46143</v>
      </c>
      <c r="L6323" t="s">
        <v>1179</v>
      </c>
      <c r="M6323" t="s">
        <v>59</v>
      </c>
      <c r="N6323">
        <v>77518492</v>
      </c>
    </row>
    <row r="6324" spans="1:14" x14ac:dyDescent="0.25">
      <c r="A6324">
        <v>63329168</v>
      </c>
      <c r="B6324" t="s">
        <v>13520</v>
      </c>
      <c r="C6324" t="s">
        <v>13521</v>
      </c>
      <c r="D6324" t="s">
        <v>13522</v>
      </c>
      <c r="E6324">
        <v>4807475325</v>
      </c>
      <c r="F6324" t="s">
        <v>770</v>
      </c>
      <c r="G6324" t="s">
        <v>771</v>
      </c>
      <c r="I6324" t="s">
        <v>25</v>
      </c>
      <c r="J6324" s="13">
        <v>46133</v>
      </c>
      <c r="K6324" s="13">
        <v>46143</v>
      </c>
      <c r="L6324" t="s">
        <v>1179</v>
      </c>
      <c r="M6324" t="s">
        <v>56</v>
      </c>
      <c r="N6324">
        <v>77518978</v>
      </c>
    </row>
    <row r="6325" spans="1:14" x14ac:dyDescent="0.25">
      <c r="A6325">
        <v>63330343</v>
      </c>
      <c r="B6325" t="s">
        <v>7383</v>
      </c>
      <c r="C6325" t="s">
        <v>13523</v>
      </c>
      <c r="D6325" t="s">
        <v>13524</v>
      </c>
      <c r="E6325">
        <v>5205852441</v>
      </c>
      <c r="F6325" t="s">
        <v>1345</v>
      </c>
      <c r="G6325" t="s">
        <v>799</v>
      </c>
      <c r="I6325" t="s">
        <v>47</v>
      </c>
      <c r="J6325" s="13">
        <v>46133</v>
      </c>
      <c r="K6325" s="13">
        <v>46143</v>
      </c>
      <c r="L6325" t="s">
        <v>1179</v>
      </c>
      <c r="M6325" t="s">
        <v>54</v>
      </c>
      <c r="N6325">
        <v>77519100</v>
      </c>
    </row>
    <row r="6326" spans="1:14" x14ac:dyDescent="0.25">
      <c r="A6326">
        <v>63332209</v>
      </c>
      <c r="B6326" t="s">
        <v>13525</v>
      </c>
      <c r="C6326" t="s">
        <v>13526</v>
      </c>
      <c r="D6326" t="s">
        <v>13527</v>
      </c>
      <c r="E6326">
        <v>2162139859</v>
      </c>
      <c r="F6326" t="s">
        <v>4941</v>
      </c>
      <c r="G6326" t="s">
        <v>12450</v>
      </c>
      <c r="I6326" t="s">
        <v>12451</v>
      </c>
      <c r="J6326" s="13">
        <v>46133</v>
      </c>
      <c r="K6326" s="13">
        <v>46143</v>
      </c>
      <c r="L6326" t="s">
        <v>418</v>
      </c>
      <c r="M6326" t="s">
        <v>59</v>
      </c>
      <c r="N6326">
        <v>77519539</v>
      </c>
    </row>
    <row r="6327" spans="1:14" x14ac:dyDescent="0.25">
      <c r="A6327">
        <v>63330840</v>
      </c>
      <c r="B6327" t="s">
        <v>6311</v>
      </c>
      <c r="C6327" t="s">
        <v>13528</v>
      </c>
      <c r="D6327" t="s">
        <v>13529</v>
      </c>
      <c r="E6327">
        <v>9014171389</v>
      </c>
      <c r="F6327" t="s">
        <v>10460</v>
      </c>
      <c r="G6327" t="s">
        <v>6663</v>
      </c>
      <c r="I6327" t="s">
        <v>40</v>
      </c>
      <c r="J6327" s="13">
        <v>46133</v>
      </c>
      <c r="K6327" s="13">
        <v>46143</v>
      </c>
      <c r="L6327" t="s">
        <v>479</v>
      </c>
      <c r="M6327" t="s">
        <v>58</v>
      </c>
      <c r="N6327">
        <v>77519620</v>
      </c>
    </row>
    <row r="6328" spans="1:14" x14ac:dyDescent="0.25">
      <c r="A6328">
        <v>63359397</v>
      </c>
      <c r="B6328" t="s">
        <v>7566</v>
      </c>
      <c r="C6328" t="s">
        <v>13530</v>
      </c>
      <c r="D6328" t="s">
        <v>13531</v>
      </c>
      <c r="E6328">
        <v>9286067263</v>
      </c>
      <c r="F6328" t="s">
        <v>569</v>
      </c>
      <c r="G6328" t="s">
        <v>570</v>
      </c>
      <c r="I6328" t="s">
        <v>34</v>
      </c>
      <c r="J6328" s="13">
        <v>46135</v>
      </c>
      <c r="K6328" s="13">
        <v>46143</v>
      </c>
      <c r="L6328" t="s">
        <v>1179</v>
      </c>
      <c r="M6328" t="s">
        <v>54</v>
      </c>
      <c r="N6328">
        <v>77520113</v>
      </c>
    </row>
    <row r="6329" spans="1:14" x14ac:dyDescent="0.25">
      <c r="A6329">
        <v>63330720</v>
      </c>
      <c r="B6329" t="s">
        <v>13532</v>
      </c>
      <c r="C6329" t="s">
        <v>576</v>
      </c>
      <c r="D6329" t="s">
        <v>13533</v>
      </c>
      <c r="E6329">
        <v>8645541249</v>
      </c>
      <c r="F6329" t="s">
        <v>1067</v>
      </c>
      <c r="G6329" t="s">
        <v>1068</v>
      </c>
      <c r="I6329" t="s">
        <v>35</v>
      </c>
      <c r="J6329" s="13">
        <v>46133</v>
      </c>
      <c r="K6329" s="13">
        <v>46143</v>
      </c>
      <c r="L6329" t="s">
        <v>533</v>
      </c>
      <c r="M6329" t="s">
        <v>56</v>
      </c>
      <c r="N6329">
        <v>77520552</v>
      </c>
    </row>
    <row r="6330" spans="1:14" x14ac:dyDescent="0.25">
      <c r="A6330">
        <v>63331151</v>
      </c>
      <c r="B6330" t="s">
        <v>13534</v>
      </c>
      <c r="C6330" t="s">
        <v>13535</v>
      </c>
      <c r="D6330" t="s">
        <v>13536</v>
      </c>
      <c r="E6330">
        <v>7543663535</v>
      </c>
      <c r="F6330" t="s">
        <v>10591</v>
      </c>
      <c r="G6330" t="s">
        <v>10215</v>
      </c>
      <c r="I6330" t="s">
        <v>32</v>
      </c>
      <c r="J6330" s="13">
        <v>46133</v>
      </c>
      <c r="K6330" s="13">
        <v>46143</v>
      </c>
      <c r="L6330" t="s">
        <v>497</v>
      </c>
      <c r="M6330" t="s">
        <v>54</v>
      </c>
      <c r="N6330">
        <v>77520569</v>
      </c>
    </row>
    <row r="6331" spans="1:14" x14ac:dyDescent="0.25">
      <c r="A6331">
        <v>63330761</v>
      </c>
      <c r="B6331" t="s">
        <v>517</v>
      </c>
      <c r="C6331" t="s">
        <v>1016</v>
      </c>
      <c r="D6331" t="s">
        <v>13537</v>
      </c>
      <c r="E6331">
        <v>7733109702</v>
      </c>
      <c r="F6331" t="s">
        <v>474</v>
      </c>
      <c r="G6331" t="s">
        <v>475</v>
      </c>
      <c r="I6331" t="s">
        <v>132</v>
      </c>
      <c r="J6331" s="13">
        <v>46133</v>
      </c>
      <c r="K6331" s="13">
        <v>46143</v>
      </c>
      <c r="L6331" t="s">
        <v>470</v>
      </c>
      <c r="M6331" t="s">
        <v>59</v>
      </c>
      <c r="N6331">
        <v>77520688</v>
      </c>
    </row>
    <row r="6332" spans="1:14" x14ac:dyDescent="0.25">
      <c r="A6332">
        <v>63333385</v>
      </c>
      <c r="B6332" t="s">
        <v>425</v>
      </c>
      <c r="C6332" t="s">
        <v>13538</v>
      </c>
      <c r="D6332" t="s">
        <v>13539</v>
      </c>
      <c r="E6332" t="s">
        <v>13540</v>
      </c>
      <c r="F6332" t="s">
        <v>688</v>
      </c>
      <c r="G6332" t="s">
        <v>10291</v>
      </c>
      <c r="I6332" t="s">
        <v>48</v>
      </c>
      <c r="J6332" s="13">
        <v>46133</v>
      </c>
      <c r="K6332" s="13">
        <v>46143</v>
      </c>
      <c r="L6332" t="s">
        <v>497</v>
      </c>
      <c r="M6332" t="s">
        <v>56</v>
      </c>
      <c r="N6332">
        <v>77520878</v>
      </c>
    </row>
    <row r="6333" spans="1:14" x14ac:dyDescent="0.25">
      <c r="A6333">
        <v>63332118</v>
      </c>
      <c r="B6333" t="s">
        <v>1370</v>
      </c>
      <c r="C6333" t="s">
        <v>13541</v>
      </c>
      <c r="D6333" t="s">
        <v>13542</v>
      </c>
      <c r="E6333">
        <v>9043383188</v>
      </c>
      <c r="F6333" t="s">
        <v>775</v>
      </c>
      <c r="G6333" t="s">
        <v>776</v>
      </c>
      <c r="I6333" t="s">
        <v>22</v>
      </c>
      <c r="J6333" s="13">
        <v>46133</v>
      </c>
      <c r="K6333" s="13">
        <v>46143</v>
      </c>
      <c r="L6333" t="s">
        <v>497</v>
      </c>
      <c r="M6333" t="s">
        <v>11843</v>
      </c>
      <c r="N6333">
        <v>77520993</v>
      </c>
    </row>
    <row r="6334" spans="1:14" x14ac:dyDescent="0.25">
      <c r="A6334">
        <v>63332249</v>
      </c>
      <c r="B6334" t="s">
        <v>2041</v>
      </c>
      <c r="C6334" t="s">
        <v>1702</v>
      </c>
      <c r="D6334" t="s">
        <v>13543</v>
      </c>
      <c r="E6334">
        <v>2705981489</v>
      </c>
      <c r="F6334" t="s">
        <v>828</v>
      </c>
      <c r="G6334" t="s">
        <v>1148</v>
      </c>
      <c r="I6334" t="s">
        <v>17</v>
      </c>
      <c r="J6334" s="13">
        <v>46133</v>
      </c>
      <c r="K6334" s="13">
        <v>46143</v>
      </c>
      <c r="L6334" t="s">
        <v>490</v>
      </c>
      <c r="M6334" t="s">
        <v>56</v>
      </c>
      <c r="N6334">
        <v>77521020</v>
      </c>
    </row>
    <row r="6335" spans="1:14" x14ac:dyDescent="0.25">
      <c r="A6335">
        <v>63332618</v>
      </c>
      <c r="B6335" t="s">
        <v>13544</v>
      </c>
      <c r="C6335" t="s">
        <v>13545</v>
      </c>
      <c r="D6335" t="s">
        <v>13546</v>
      </c>
      <c r="E6335">
        <v>3374582438</v>
      </c>
      <c r="F6335" t="s">
        <v>628</v>
      </c>
      <c r="G6335" t="s">
        <v>629</v>
      </c>
      <c r="I6335" t="s">
        <v>24</v>
      </c>
      <c r="J6335" s="13">
        <v>46133</v>
      </c>
      <c r="K6335" s="13">
        <v>46143</v>
      </c>
      <c r="L6335" t="s">
        <v>612</v>
      </c>
      <c r="M6335" t="s">
        <v>56</v>
      </c>
      <c r="N6335">
        <v>77521092</v>
      </c>
    </row>
    <row r="6336" spans="1:14" x14ac:dyDescent="0.25">
      <c r="A6336">
        <v>63331933</v>
      </c>
      <c r="B6336" t="s">
        <v>2771</v>
      </c>
      <c r="C6336" t="s">
        <v>12086</v>
      </c>
      <c r="D6336" t="s">
        <v>13547</v>
      </c>
      <c r="E6336">
        <v>6026077489</v>
      </c>
      <c r="F6336" t="s">
        <v>1013</v>
      </c>
      <c r="G6336" t="s">
        <v>1014</v>
      </c>
      <c r="I6336" t="s">
        <v>43</v>
      </c>
      <c r="J6336" s="13">
        <v>46133</v>
      </c>
      <c r="K6336" s="13">
        <v>46143</v>
      </c>
      <c r="L6336" t="s">
        <v>1179</v>
      </c>
      <c r="M6336" t="s">
        <v>54</v>
      </c>
      <c r="N6336">
        <v>77521122</v>
      </c>
    </row>
    <row r="6337" spans="1:14" x14ac:dyDescent="0.25">
      <c r="A6337">
        <v>63333225</v>
      </c>
      <c r="B6337" t="s">
        <v>622</v>
      </c>
      <c r="C6337" t="s">
        <v>13548</v>
      </c>
      <c r="D6337" t="s">
        <v>13549</v>
      </c>
      <c r="E6337">
        <v>5136154854</v>
      </c>
      <c r="F6337" t="s">
        <v>1612</v>
      </c>
      <c r="G6337" t="s">
        <v>4811</v>
      </c>
      <c r="I6337" t="s">
        <v>322</v>
      </c>
      <c r="J6337" s="13">
        <v>46133</v>
      </c>
      <c r="K6337" s="13">
        <v>46143</v>
      </c>
      <c r="L6337" t="s">
        <v>418</v>
      </c>
      <c r="M6337" t="s">
        <v>59</v>
      </c>
      <c r="N6337">
        <v>77521586</v>
      </c>
    </row>
    <row r="6338" spans="1:14" x14ac:dyDescent="0.25">
      <c r="A6338">
        <v>63332853</v>
      </c>
      <c r="B6338" t="s">
        <v>2128</v>
      </c>
      <c r="C6338" t="s">
        <v>13550</v>
      </c>
      <c r="D6338" t="s">
        <v>13551</v>
      </c>
      <c r="E6338">
        <v>7736217240</v>
      </c>
      <c r="F6338" t="s">
        <v>649</v>
      </c>
      <c r="G6338" t="s">
        <v>650</v>
      </c>
      <c r="I6338" t="s">
        <v>28</v>
      </c>
      <c r="J6338" s="13">
        <v>46133</v>
      </c>
      <c r="K6338" s="13">
        <v>46143</v>
      </c>
      <c r="L6338" t="s">
        <v>470</v>
      </c>
      <c r="M6338" t="s">
        <v>59</v>
      </c>
      <c r="N6338">
        <v>77521690</v>
      </c>
    </row>
    <row r="6339" spans="1:14" x14ac:dyDescent="0.25">
      <c r="A6339">
        <v>63332005</v>
      </c>
      <c r="B6339" t="s">
        <v>3947</v>
      </c>
      <c r="C6339" t="s">
        <v>2943</v>
      </c>
      <c r="D6339" t="s">
        <v>13552</v>
      </c>
      <c r="E6339">
        <v>8178796716</v>
      </c>
      <c r="F6339" t="s">
        <v>815</v>
      </c>
      <c r="G6339" t="s">
        <v>816</v>
      </c>
      <c r="I6339" t="s">
        <v>23</v>
      </c>
      <c r="J6339" s="13">
        <v>46133</v>
      </c>
      <c r="K6339" s="13">
        <v>46143</v>
      </c>
      <c r="L6339" t="s">
        <v>444</v>
      </c>
      <c r="M6339" t="s">
        <v>55</v>
      </c>
      <c r="N6339">
        <v>77521742</v>
      </c>
    </row>
    <row r="6340" spans="1:14" x14ac:dyDescent="0.25">
      <c r="A6340">
        <v>63332722</v>
      </c>
      <c r="B6340" t="s">
        <v>1699</v>
      </c>
      <c r="C6340" t="s">
        <v>13553</v>
      </c>
      <c r="D6340" t="s">
        <v>13554</v>
      </c>
      <c r="E6340">
        <v>7273047069</v>
      </c>
      <c r="F6340" t="s">
        <v>11745</v>
      </c>
      <c r="G6340" t="s">
        <v>6544</v>
      </c>
      <c r="I6340" t="s">
        <v>11746</v>
      </c>
      <c r="J6340" s="13">
        <v>46133</v>
      </c>
      <c r="K6340" s="13">
        <v>46143</v>
      </c>
      <c r="L6340" t="s">
        <v>497</v>
      </c>
      <c r="M6340" t="s">
        <v>59</v>
      </c>
      <c r="N6340">
        <v>77521885</v>
      </c>
    </row>
    <row r="6341" spans="1:14" x14ac:dyDescent="0.25">
      <c r="A6341">
        <v>63333628</v>
      </c>
      <c r="B6341" t="s">
        <v>6900</v>
      </c>
      <c r="C6341" t="s">
        <v>13555</v>
      </c>
      <c r="D6341" t="s">
        <v>13556</v>
      </c>
      <c r="E6341">
        <v>5202170486</v>
      </c>
      <c r="F6341" t="s">
        <v>1345</v>
      </c>
      <c r="G6341" t="s">
        <v>799</v>
      </c>
      <c r="I6341" t="s">
        <v>47</v>
      </c>
      <c r="J6341" s="13">
        <v>46133</v>
      </c>
      <c r="K6341" s="13">
        <v>46143</v>
      </c>
      <c r="L6341" t="s">
        <v>1179</v>
      </c>
      <c r="M6341" t="s">
        <v>54</v>
      </c>
      <c r="N6341">
        <v>77522782</v>
      </c>
    </row>
    <row r="6342" spans="1:14" x14ac:dyDescent="0.25">
      <c r="A6342">
        <v>63338510</v>
      </c>
      <c r="B6342" t="s">
        <v>13557</v>
      </c>
      <c r="C6342" t="s">
        <v>4115</v>
      </c>
      <c r="D6342" t="s">
        <v>13558</v>
      </c>
      <c r="E6342">
        <v>6788868318</v>
      </c>
      <c r="F6342" t="s">
        <v>688</v>
      </c>
      <c r="G6342" t="s">
        <v>10291</v>
      </c>
      <c r="I6342" t="s">
        <v>48</v>
      </c>
      <c r="J6342" s="13">
        <v>46134</v>
      </c>
      <c r="K6342" s="13">
        <v>46143</v>
      </c>
      <c r="L6342" t="s">
        <v>621</v>
      </c>
      <c r="M6342" t="s">
        <v>56</v>
      </c>
      <c r="N6342">
        <v>77529529</v>
      </c>
    </row>
    <row r="6343" spans="1:14" x14ac:dyDescent="0.25">
      <c r="A6343">
        <v>63338930</v>
      </c>
      <c r="B6343" t="s">
        <v>13559</v>
      </c>
      <c r="C6343" t="s">
        <v>13560</v>
      </c>
      <c r="D6343" t="s">
        <v>13561</v>
      </c>
      <c r="E6343">
        <v>4709660087</v>
      </c>
      <c r="F6343" t="s">
        <v>628</v>
      </c>
      <c r="G6343" t="s">
        <v>629</v>
      </c>
      <c r="I6343" t="s">
        <v>24</v>
      </c>
      <c r="J6343" s="13">
        <v>46134</v>
      </c>
      <c r="K6343" s="13">
        <v>46143</v>
      </c>
      <c r="L6343" t="s">
        <v>621</v>
      </c>
      <c r="M6343" t="s">
        <v>56</v>
      </c>
      <c r="N6343">
        <v>77529557</v>
      </c>
    </row>
    <row r="6344" spans="1:14" x14ac:dyDescent="0.25">
      <c r="A6344">
        <v>63338932</v>
      </c>
      <c r="B6344" t="s">
        <v>1679</v>
      </c>
      <c r="C6344" t="s">
        <v>8917</v>
      </c>
      <c r="D6344" t="s">
        <v>13562</v>
      </c>
      <c r="E6344">
        <v>5022205743</v>
      </c>
      <c r="F6344" t="s">
        <v>474</v>
      </c>
      <c r="G6344" t="s">
        <v>475</v>
      </c>
      <c r="I6344" t="s">
        <v>132</v>
      </c>
      <c r="J6344" s="13">
        <v>46134</v>
      </c>
      <c r="K6344" s="13">
        <v>46143</v>
      </c>
      <c r="L6344" t="s">
        <v>490</v>
      </c>
      <c r="M6344" t="s">
        <v>56</v>
      </c>
      <c r="N6344">
        <v>77529618</v>
      </c>
    </row>
    <row r="6345" spans="1:14" x14ac:dyDescent="0.25">
      <c r="A6345">
        <v>63339328</v>
      </c>
      <c r="B6345" t="s">
        <v>1535</v>
      </c>
      <c r="C6345" t="s">
        <v>6571</v>
      </c>
      <c r="D6345" t="s">
        <v>13563</v>
      </c>
      <c r="E6345">
        <v>8505444143</v>
      </c>
      <c r="F6345" t="s">
        <v>775</v>
      </c>
      <c r="G6345" t="s">
        <v>776</v>
      </c>
      <c r="I6345" t="s">
        <v>22</v>
      </c>
      <c r="J6345" s="13">
        <v>46134</v>
      </c>
      <c r="K6345" s="13">
        <v>46143</v>
      </c>
      <c r="L6345" t="s">
        <v>497</v>
      </c>
      <c r="M6345" t="s">
        <v>11843</v>
      </c>
      <c r="N6345">
        <v>77530117</v>
      </c>
    </row>
    <row r="6346" spans="1:14" x14ac:dyDescent="0.25">
      <c r="A6346">
        <v>63339441</v>
      </c>
      <c r="B6346" t="s">
        <v>1408</v>
      </c>
      <c r="C6346" t="s">
        <v>13564</v>
      </c>
      <c r="D6346" t="s">
        <v>13565</v>
      </c>
      <c r="E6346">
        <v>6154456088</v>
      </c>
      <c r="F6346" t="s">
        <v>649</v>
      </c>
      <c r="G6346" t="s">
        <v>650</v>
      </c>
      <c r="I6346" t="s">
        <v>28</v>
      </c>
      <c r="J6346" s="13">
        <v>46134</v>
      </c>
      <c r="K6346" s="13">
        <v>46143</v>
      </c>
      <c r="L6346" t="s">
        <v>479</v>
      </c>
      <c r="M6346" t="s">
        <v>62</v>
      </c>
      <c r="N6346">
        <v>77530511</v>
      </c>
    </row>
    <row r="6347" spans="1:14" x14ac:dyDescent="0.25">
      <c r="A6347">
        <v>63340699</v>
      </c>
      <c r="B6347" t="s">
        <v>476</v>
      </c>
      <c r="C6347" t="s">
        <v>3948</v>
      </c>
      <c r="D6347" t="s">
        <v>13566</v>
      </c>
      <c r="E6347">
        <v>6264880440</v>
      </c>
      <c r="F6347" t="s">
        <v>1345</v>
      </c>
      <c r="G6347" t="s">
        <v>799</v>
      </c>
      <c r="I6347" t="s">
        <v>47</v>
      </c>
      <c r="J6347" s="13">
        <v>46134</v>
      </c>
      <c r="K6347" s="13">
        <v>46143</v>
      </c>
      <c r="L6347" t="s">
        <v>1179</v>
      </c>
      <c r="M6347" t="s">
        <v>54</v>
      </c>
      <c r="N6347">
        <v>77530565</v>
      </c>
    </row>
    <row r="6348" spans="1:14" x14ac:dyDescent="0.25">
      <c r="A6348">
        <v>63339621</v>
      </c>
      <c r="B6348" t="s">
        <v>521</v>
      </c>
      <c r="C6348" t="s">
        <v>13567</v>
      </c>
      <c r="D6348" t="s">
        <v>13568</v>
      </c>
      <c r="E6348">
        <v>2166094821</v>
      </c>
      <c r="F6348" t="s">
        <v>2544</v>
      </c>
      <c r="G6348" t="s">
        <v>4833</v>
      </c>
      <c r="I6348" t="s">
        <v>18</v>
      </c>
      <c r="J6348" s="13">
        <v>46134</v>
      </c>
      <c r="K6348" s="13">
        <v>46143</v>
      </c>
      <c r="L6348" t="s">
        <v>418</v>
      </c>
      <c r="M6348" t="s">
        <v>59</v>
      </c>
      <c r="N6348">
        <v>77530586</v>
      </c>
    </row>
    <row r="6349" spans="1:14" x14ac:dyDescent="0.25">
      <c r="A6349">
        <v>63340056</v>
      </c>
      <c r="B6349" t="s">
        <v>13569</v>
      </c>
      <c r="C6349" t="s">
        <v>7566</v>
      </c>
      <c r="D6349" t="s">
        <v>13570</v>
      </c>
      <c r="E6349">
        <v>6024842566</v>
      </c>
      <c r="F6349" t="s">
        <v>780</v>
      </c>
      <c r="G6349" t="s">
        <v>781</v>
      </c>
      <c r="I6349" t="s">
        <v>20</v>
      </c>
      <c r="J6349" s="13">
        <v>46134</v>
      </c>
      <c r="K6349" s="13">
        <v>46143</v>
      </c>
      <c r="L6349" t="s">
        <v>1179</v>
      </c>
      <c r="M6349" t="s">
        <v>55</v>
      </c>
      <c r="N6349">
        <v>77530747</v>
      </c>
    </row>
    <row r="6350" spans="1:14" x14ac:dyDescent="0.25">
      <c r="A6350">
        <v>63340401</v>
      </c>
      <c r="B6350" t="s">
        <v>3269</v>
      </c>
      <c r="C6350" t="s">
        <v>11926</v>
      </c>
      <c r="D6350" t="s">
        <v>13571</v>
      </c>
      <c r="E6350">
        <v>9043338511</v>
      </c>
      <c r="F6350" t="s">
        <v>807</v>
      </c>
      <c r="G6350" t="s">
        <v>808</v>
      </c>
      <c r="I6350" t="s">
        <v>33</v>
      </c>
      <c r="J6350" s="13">
        <v>46134</v>
      </c>
      <c r="K6350" s="13">
        <v>46143</v>
      </c>
      <c r="L6350" t="s">
        <v>497</v>
      </c>
      <c r="M6350" t="s">
        <v>11843</v>
      </c>
      <c r="N6350">
        <v>77530767</v>
      </c>
    </row>
    <row r="6351" spans="1:14" x14ac:dyDescent="0.25">
      <c r="A6351">
        <v>63339032</v>
      </c>
      <c r="B6351" t="s">
        <v>13572</v>
      </c>
      <c r="C6351" t="s">
        <v>1203</v>
      </c>
      <c r="D6351" t="s">
        <v>13573</v>
      </c>
      <c r="E6351">
        <v>3308655812</v>
      </c>
      <c r="F6351" t="s">
        <v>667</v>
      </c>
      <c r="G6351" t="s">
        <v>668</v>
      </c>
      <c r="I6351" t="s">
        <v>37</v>
      </c>
      <c r="J6351" s="13">
        <v>46134</v>
      </c>
      <c r="K6351" s="13">
        <v>46143</v>
      </c>
      <c r="L6351" t="s">
        <v>418</v>
      </c>
      <c r="M6351" t="s">
        <v>56</v>
      </c>
      <c r="N6351">
        <v>77530815</v>
      </c>
    </row>
    <row r="6352" spans="1:14" x14ac:dyDescent="0.25">
      <c r="A6352">
        <v>63510111</v>
      </c>
      <c r="B6352" t="s">
        <v>4896</v>
      </c>
      <c r="C6352" t="s">
        <v>13574</v>
      </c>
      <c r="D6352" t="s">
        <v>13575</v>
      </c>
      <c r="E6352">
        <v>9045142504</v>
      </c>
      <c r="F6352" t="s">
        <v>416</v>
      </c>
      <c r="G6352" t="s">
        <v>417</v>
      </c>
      <c r="I6352" t="s">
        <v>26</v>
      </c>
      <c r="J6352" s="13">
        <v>46142</v>
      </c>
      <c r="K6352" s="13">
        <v>46143</v>
      </c>
      <c r="L6352" t="s">
        <v>497</v>
      </c>
      <c r="M6352" t="s">
        <v>59</v>
      </c>
      <c r="N6352">
        <v>77530933</v>
      </c>
    </row>
    <row r="6353" spans="1:14" x14ac:dyDescent="0.25">
      <c r="A6353">
        <v>63341569</v>
      </c>
      <c r="B6353" t="s">
        <v>491</v>
      </c>
      <c r="C6353" t="s">
        <v>3892</v>
      </c>
      <c r="D6353" t="s">
        <v>13576</v>
      </c>
      <c r="E6353">
        <v>5128361049</v>
      </c>
      <c r="F6353" t="s">
        <v>11838</v>
      </c>
      <c r="G6353" t="s">
        <v>11839</v>
      </c>
      <c r="I6353" t="s">
        <v>11840</v>
      </c>
      <c r="J6353" s="13">
        <v>46134</v>
      </c>
      <c r="K6353" s="13">
        <v>46143</v>
      </c>
      <c r="L6353" t="s">
        <v>444</v>
      </c>
      <c r="M6353" t="s">
        <v>58</v>
      </c>
      <c r="N6353">
        <v>77530950</v>
      </c>
    </row>
    <row r="6354" spans="1:14" x14ac:dyDescent="0.25">
      <c r="A6354">
        <v>63341430</v>
      </c>
      <c r="B6354" t="s">
        <v>4833</v>
      </c>
      <c r="C6354" t="s">
        <v>13577</v>
      </c>
      <c r="D6354" t="s">
        <v>13578</v>
      </c>
      <c r="E6354">
        <v>4803494367</v>
      </c>
      <c r="F6354" t="s">
        <v>11745</v>
      </c>
      <c r="G6354" t="s">
        <v>6544</v>
      </c>
      <c r="I6354" t="s">
        <v>11746</v>
      </c>
      <c r="J6354" s="13">
        <v>46134</v>
      </c>
      <c r="K6354" s="13">
        <v>46143</v>
      </c>
      <c r="L6354" t="s">
        <v>1179</v>
      </c>
      <c r="M6354" t="s">
        <v>54</v>
      </c>
      <c r="N6354">
        <v>77531187</v>
      </c>
    </row>
    <row r="6355" spans="1:14" x14ac:dyDescent="0.25">
      <c r="A6355">
        <v>63340025</v>
      </c>
      <c r="B6355" t="s">
        <v>3231</v>
      </c>
      <c r="C6355" t="s">
        <v>13579</v>
      </c>
      <c r="D6355" t="s">
        <v>13580</v>
      </c>
      <c r="E6355">
        <v>9283804611</v>
      </c>
      <c r="F6355" t="s">
        <v>1013</v>
      </c>
      <c r="G6355" t="s">
        <v>1014</v>
      </c>
      <c r="I6355" t="s">
        <v>43</v>
      </c>
      <c r="J6355" s="13">
        <v>46134</v>
      </c>
      <c r="K6355" s="13">
        <v>46143</v>
      </c>
      <c r="M6355" t="s">
        <v>54</v>
      </c>
      <c r="N6355">
        <v>77531250</v>
      </c>
    </row>
    <row r="6356" spans="1:14" x14ac:dyDescent="0.25">
      <c r="A6356">
        <v>63352977</v>
      </c>
      <c r="B6356" t="s">
        <v>10860</v>
      </c>
      <c r="C6356" t="s">
        <v>13581</v>
      </c>
      <c r="D6356" t="s">
        <v>13582</v>
      </c>
      <c r="F6356" t="s">
        <v>8440</v>
      </c>
      <c r="G6356" t="s">
        <v>12267</v>
      </c>
      <c r="I6356" t="s">
        <v>12268</v>
      </c>
      <c r="J6356" s="13">
        <v>46135</v>
      </c>
      <c r="K6356" s="13">
        <v>46143</v>
      </c>
      <c r="L6356" t="s">
        <v>470</v>
      </c>
      <c r="M6356" t="s">
        <v>62</v>
      </c>
      <c r="N6356">
        <v>77531306</v>
      </c>
    </row>
    <row r="6357" spans="1:14" x14ac:dyDescent="0.25">
      <c r="A6357">
        <v>63340960</v>
      </c>
      <c r="B6357" t="s">
        <v>948</v>
      </c>
      <c r="C6357" t="s">
        <v>3215</v>
      </c>
      <c r="D6357" t="s">
        <v>13583</v>
      </c>
      <c r="E6357">
        <v>7408770588</v>
      </c>
      <c r="F6357" t="s">
        <v>928</v>
      </c>
      <c r="G6357" t="s">
        <v>929</v>
      </c>
      <c r="I6357" t="s">
        <v>30</v>
      </c>
      <c r="J6357" s="13">
        <v>46134</v>
      </c>
      <c r="K6357" s="13">
        <v>46143</v>
      </c>
      <c r="L6357" t="s">
        <v>418</v>
      </c>
      <c r="M6357" t="s">
        <v>59</v>
      </c>
      <c r="N6357">
        <v>77531314</v>
      </c>
    </row>
    <row r="6358" spans="1:14" x14ac:dyDescent="0.25">
      <c r="A6358">
        <v>63341550</v>
      </c>
      <c r="B6358" t="s">
        <v>8975</v>
      </c>
      <c r="C6358" t="s">
        <v>13584</v>
      </c>
      <c r="D6358" t="s">
        <v>13585</v>
      </c>
      <c r="E6358">
        <v>9043658866</v>
      </c>
      <c r="F6358" t="s">
        <v>416</v>
      </c>
      <c r="G6358" t="s">
        <v>417</v>
      </c>
      <c r="I6358" t="s">
        <v>26</v>
      </c>
      <c r="J6358" s="13">
        <v>46134</v>
      </c>
      <c r="K6358" s="13">
        <v>46143</v>
      </c>
      <c r="L6358" t="s">
        <v>497</v>
      </c>
      <c r="M6358" t="s">
        <v>56</v>
      </c>
      <c r="N6358">
        <v>77531814</v>
      </c>
    </row>
    <row r="6359" spans="1:14" x14ac:dyDescent="0.25">
      <c r="A6359">
        <v>63342649</v>
      </c>
      <c r="B6359" t="s">
        <v>13586</v>
      </c>
      <c r="C6359" t="s">
        <v>13587</v>
      </c>
      <c r="D6359" t="s">
        <v>13588</v>
      </c>
      <c r="E6359">
        <v>6028971812</v>
      </c>
      <c r="F6359" t="s">
        <v>770</v>
      </c>
      <c r="G6359" t="s">
        <v>771</v>
      </c>
      <c r="I6359" t="s">
        <v>25</v>
      </c>
      <c r="J6359" s="13">
        <v>46134</v>
      </c>
      <c r="K6359" s="13">
        <v>46143</v>
      </c>
      <c r="L6359" t="s">
        <v>1179</v>
      </c>
      <c r="M6359" t="s">
        <v>54</v>
      </c>
      <c r="N6359">
        <v>77531939</v>
      </c>
    </row>
    <row r="6360" spans="1:14" x14ac:dyDescent="0.25">
      <c r="A6360">
        <v>63342981</v>
      </c>
      <c r="B6360" t="s">
        <v>13589</v>
      </c>
      <c r="C6360" t="s">
        <v>13590</v>
      </c>
      <c r="D6360" t="s">
        <v>13591</v>
      </c>
      <c r="E6360">
        <v>9103036569</v>
      </c>
      <c r="F6360" t="s">
        <v>828</v>
      </c>
      <c r="G6360" t="s">
        <v>1148</v>
      </c>
      <c r="I6360" t="s">
        <v>17</v>
      </c>
      <c r="J6360" s="13">
        <v>46134</v>
      </c>
      <c r="K6360" s="13">
        <v>46143</v>
      </c>
      <c r="L6360" t="s">
        <v>603</v>
      </c>
      <c r="M6360" t="s">
        <v>58</v>
      </c>
      <c r="N6360">
        <v>77532086</v>
      </c>
    </row>
    <row r="6361" spans="1:14" x14ac:dyDescent="0.25">
      <c r="A6361">
        <v>63341736</v>
      </c>
      <c r="B6361" t="s">
        <v>5655</v>
      </c>
      <c r="C6361" t="s">
        <v>2785</v>
      </c>
      <c r="D6361" t="s">
        <v>13592</v>
      </c>
      <c r="E6361">
        <v>6064970241</v>
      </c>
      <c r="F6361" t="s">
        <v>551</v>
      </c>
      <c r="G6361" t="s">
        <v>552</v>
      </c>
      <c r="I6361" t="s">
        <v>42</v>
      </c>
      <c r="J6361" s="13">
        <v>46134</v>
      </c>
      <c r="K6361" s="13">
        <v>46143</v>
      </c>
      <c r="L6361" t="s">
        <v>490</v>
      </c>
      <c r="M6361" t="s">
        <v>59</v>
      </c>
      <c r="N6361">
        <v>77532093</v>
      </c>
    </row>
    <row r="6362" spans="1:14" x14ac:dyDescent="0.25">
      <c r="A6362">
        <v>63341723</v>
      </c>
      <c r="B6362" t="s">
        <v>517</v>
      </c>
      <c r="C6362" t="s">
        <v>13593</v>
      </c>
      <c r="D6362" t="s">
        <v>13594</v>
      </c>
      <c r="E6362">
        <v>3343148238</v>
      </c>
      <c r="F6362" t="s">
        <v>448</v>
      </c>
      <c r="G6362" t="s">
        <v>449</v>
      </c>
      <c r="I6362" t="s">
        <v>31</v>
      </c>
      <c r="J6362" s="13">
        <v>46134</v>
      </c>
      <c r="K6362" s="13">
        <v>46143</v>
      </c>
      <c r="L6362" t="s">
        <v>450</v>
      </c>
      <c r="M6362" t="s">
        <v>59</v>
      </c>
      <c r="N6362">
        <v>77532260</v>
      </c>
    </row>
    <row r="6363" spans="1:14" x14ac:dyDescent="0.25">
      <c r="A6363">
        <v>63343116</v>
      </c>
      <c r="B6363" t="s">
        <v>4642</v>
      </c>
      <c r="C6363" t="s">
        <v>549</v>
      </c>
      <c r="D6363" t="s">
        <v>13595</v>
      </c>
      <c r="E6363">
        <v>6624089365</v>
      </c>
      <c r="F6363" t="s">
        <v>4941</v>
      </c>
      <c r="G6363" t="s">
        <v>12450</v>
      </c>
      <c r="I6363" t="s">
        <v>12451</v>
      </c>
      <c r="J6363" s="13">
        <v>46134</v>
      </c>
      <c r="K6363" s="13">
        <v>46143</v>
      </c>
      <c r="L6363" t="s">
        <v>479</v>
      </c>
      <c r="M6363" t="s">
        <v>59</v>
      </c>
      <c r="N6363">
        <v>77534033</v>
      </c>
    </row>
    <row r="6364" spans="1:14" x14ac:dyDescent="0.25">
      <c r="A6364">
        <v>63414456</v>
      </c>
      <c r="B6364" t="s">
        <v>11599</v>
      </c>
      <c r="C6364" t="s">
        <v>13596</v>
      </c>
      <c r="D6364" t="s">
        <v>13597</v>
      </c>
      <c r="E6364">
        <v>2165469288</v>
      </c>
      <c r="F6364" t="s">
        <v>667</v>
      </c>
      <c r="G6364" t="s">
        <v>668</v>
      </c>
      <c r="I6364" t="s">
        <v>37</v>
      </c>
      <c r="J6364" s="13">
        <v>46139</v>
      </c>
      <c r="K6364" s="13">
        <v>46143</v>
      </c>
      <c r="L6364" t="s">
        <v>418</v>
      </c>
      <c r="M6364" t="s">
        <v>56</v>
      </c>
      <c r="N6364">
        <v>77534175</v>
      </c>
    </row>
    <row r="6365" spans="1:14" x14ac:dyDescent="0.25">
      <c r="A6365">
        <v>63342955</v>
      </c>
      <c r="B6365" t="s">
        <v>13598</v>
      </c>
      <c r="C6365" t="s">
        <v>13035</v>
      </c>
      <c r="D6365" t="s">
        <v>13599</v>
      </c>
      <c r="E6365">
        <v>2164677436</v>
      </c>
      <c r="F6365" t="s">
        <v>649</v>
      </c>
      <c r="G6365" t="s">
        <v>650</v>
      </c>
      <c r="I6365" t="s">
        <v>28</v>
      </c>
      <c r="J6365" s="13">
        <v>46134</v>
      </c>
      <c r="K6365" s="13">
        <v>46143</v>
      </c>
      <c r="L6365" t="s">
        <v>418</v>
      </c>
      <c r="M6365" t="s">
        <v>59</v>
      </c>
      <c r="N6365">
        <v>77534369</v>
      </c>
    </row>
    <row r="6366" spans="1:14" x14ac:dyDescent="0.25">
      <c r="A6366">
        <v>63343431</v>
      </c>
      <c r="B6366" t="s">
        <v>609</v>
      </c>
      <c r="C6366" t="s">
        <v>9557</v>
      </c>
      <c r="D6366" t="s">
        <v>13600</v>
      </c>
      <c r="E6366">
        <v>9565648788</v>
      </c>
      <c r="F6366" t="s">
        <v>688</v>
      </c>
      <c r="G6366" t="s">
        <v>10291</v>
      </c>
      <c r="I6366" t="s">
        <v>48</v>
      </c>
      <c r="J6366" s="13">
        <v>46134</v>
      </c>
      <c r="K6366" s="13">
        <v>46143</v>
      </c>
      <c r="L6366" t="s">
        <v>444</v>
      </c>
      <c r="M6366" t="s">
        <v>56</v>
      </c>
      <c r="N6366">
        <v>77534470</v>
      </c>
    </row>
    <row r="6367" spans="1:14" x14ac:dyDescent="0.25">
      <c r="A6367">
        <v>63342828</v>
      </c>
      <c r="B6367" t="s">
        <v>3447</v>
      </c>
      <c r="C6367" t="s">
        <v>4408</v>
      </c>
      <c r="D6367" t="s">
        <v>13601</v>
      </c>
      <c r="E6367">
        <v>7049047301</v>
      </c>
      <c r="F6367" t="s">
        <v>928</v>
      </c>
      <c r="G6367" t="s">
        <v>929</v>
      </c>
      <c r="I6367" t="s">
        <v>30</v>
      </c>
      <c r="J6367" s="13">
        <v>46134</v>
      </c>
      <c r="K6367" s="13">
        <v>46143</v>
      </c>
      <c r="L6367" t="s">
        <v>603</v>
      </c>
      <c r="M6367" t="s">
        <v>59</v>
      </c>
      <c r="N6367">
        <v>77534489</v>
      </c>
    </row>
    <row r="6368" spans="1:14" x14ac:dyDescent="0.25">
      <c r="A6368">
        <v>63343134</v>
      </c>
      <c r="B6368" t="s">
        <v>1148</v>
      </c>
      <c r="C6368" t="s">
        <v>5897</v>
      </c>
      <c r="D6368" t="s">
        <v>13602</v>
      </c>
      <c r="E6368">
        <v>7085277952</v>
      </c>
      <c r="F6368" t="s">
        <v>474</v>
      </c>
      <c r="G6368" t="s">
        <v>475</v>
      </c>
      <c r="I6368" t="s">
        <v>132</v>
      </c>
      <c r="J6368" s="13">
        <v>46134</v>
      </c>
      <c r="K6368" s="13">
        <v>46143</v>
      </c>
      <c r="L6368" t="s">
        <v>470</v>
      </c>
      <c r="M6368" t="s">
        <v>62</v>
      </c>
      <c r="N6368">
        <v>77534742</v>
      </c>
    </row>
    <row r="6369" spans="1:14" x14ac:dyDescent="0.25">
      <c r="A6369">
        <v>63344584</v>
      </c>
      <c r="B6369" t="s">
        <v>604</v>
      </c>
      <c r="C6369" t="s">
        <v>903</v>
      </c>
      <c r="D6369" t="s">
        <v>13603</v>
      </c>
      <c r="E6369">
        <v>6069755101</v>
      </c>
      <c r="F6369" t="s">
        <v>551</v>
      </c>
      <c r="G6369" t="s">
        <v>552</v>
      </c>
      <c r="I6369" t="s">
        <v>42</v>
      </c>
      <c r="J6369" s="13">
        <v>46134</v>
      </c>
      <c r="K6369" s="13">
        <v>46143</v>
      </c>
      <c r="L6369" t="s">
        <v>490</v>
      </c>
      <c r="M6369" t="s">
        <v>59</v>
      </c>
      <c r="N6369">
        <v>77535192</v>
      </c>
    </row>
    <row r="6370" spans="1:14" x14ac:dyDescent="0.25">
      <c r="A6370">
        <v>63344236</v>
      </c>
      <c r="B6370" t="s">
        <v>501</v>
      </c>
      <c r="C6370" t="s">
        <v>10872</v>
      </c>
      <c r="D6370" t="s">
        <v>13604</v>
      </c>
      <c r="E6370">
        <v>5105021692</v>
      </c>
      <c r="F6370" t="s">
        <v>10591</v>
      </c>
      <c r="G6370" t="s">
        <v>10215</v>
      </c>
      <c r="I6370" t="s">
        <v>32</v>
      </c>
      <c r="J6370" s="13">
        <v>46134</v>
      </c>
      <c r="K6370" s="13">
        <v>46143</v>
      </c>
      <c r="L6370" t="s">
        <v>1179</v>
      </c>
      <c r="M6370" t="s">
        <v>54</v>
      </c>
      <c r="N6370">
        <v>77535199</v>
      </c>
    </row>
    <row r="6371" spans="1:14" x14ac:dyDescent="0.25">
      <c r="A6371">
        <v>63345543</v>
      </c>
      <c r="B6371" t="s">
        <v>13605</v>
      </c>
      <c r="C6371" t="s">
        <v>889</v>
      </c>
      <c r="D6371" t="s">
        <v>13606</v>
      </c>
      <c r="E6371">
        <v>2166502849</v>
      </c>
      <c r="F6371" t="s">
        <v>705</v>
      </c>
      <c r="G6371" t="s">
        <v>706</v>
      </c>
      <c r="I6371" t="s">
        <v>12</v>
      </c>
      <c r="J6371" s="13">
        <v>46134</v>
      </c>
      <c r="K6371" s="13">
        <v>46143</v>
      </c>
      <c r="L6371" t="s">
        <v>418</v>
      </c>
      <c r="M6371" t="s">
        <v>59</v>
      </c>
      <c r="N6371">
        <v>77535234</v>
      </c>
    </row>
    <row r="6372" spans="1:14" x14ac:dyDescent="0.25">
      <c r="A6372">
        <v>63345662</v>
      </c>
      <c r="B6372" t="s">
        <v>3075</v>
      </c>
      <c r="C6372" t="s">
        <v>1287</v>
      </c>
      <c r="D6372" t="s">
        <v>13607</v>
      </c>
      <c r="E6372">
        <v>9014805680</v>
      </c>
      <c r="F6372" t="s">
        <v>815</v>
      </c>
      <c r="G6372" t="s">
        <v>816</v>
      </c>
      <c r="I6372" t="s">
        <v>23</v>
      </c>
      <c r="J6372" s="13">
        <v>46134</v>
      </c>
      <c r="K6372" s="13">
        <v>46143</v>
      </c>
      <c r="L6372" t="s">
        <v>479</v>
      </c>
      <c r="M6372" t="s">
        <v>59</v>
      </c>
      <c r="N6372">
        <v>77535290</v>
      </c>
    </row>
    <row r="6373" spans="1:14" x14ac:dyDescent="0.25">
      <c r="A6373">
        <v>63345163</v>
      </c>
      <c r="B6373" t="s">
        <v>787</v>
      </c>
      <c r="C6373" t="s">
        <v>13608</v>
      </c>
      <c r="D6373" t="s">
        <v>13609</v>
      </c>
      <c r="E6373">
        <v>3177778336</v>
      </c>
      <c r="F6373" t="s">
        <v>10253</v>
      </c>
      <c r="G6373" t="s">
        <v>781</v>
      </c>
      <c r="I6373" t="s">
        <v>36</v>
      </c>
      <c r="J6373" s="13">
        <v>46134</v>
      </c>
      <c r="K6373" s="13">
        <v>46143</v>
      </c>
      <c r="L6373" t="s">
        <v>440</v>
      </c>
      <c r="M6373" t="s">
        <v>59</v>
      </c>
      <c r="N6373">
        <v>77536272</v>
      </c>
    </row>
    <row r="6374" spans="1:14" x14ac:dyDescent="0.25">
      <c r="A6374">
        <v>63346260</v>
      </c>
      <c r="B6374" t="s">
        <v>13610</v>
      </c>
      <c r="C6374" t="s">
        <v>7263</v>
      </c>
      <c r="D6374" t="s">
        <v>13611</v>
      </c>
      <c r="E6374">
        <v>8178777686</v>
      </c>
      <c r="F6374" t="s">
        <v>828</v>
      </c>
      <c r="G6374" t="s">
        <v>1148</v>
      </c>
      <c r="I6374" t="s">
        <v>17</v>
      </c>
      <c r="J6374" s="13">
        <v>46134</v>
      </c>
      <c r="K6374" s="13">
        <v>46143</v>
      </c>
      <c r="L6374" t="s">
        <v>444</v>
      </c>
      <c r="M6374" t="s">
        <v>56</v>
      </c>
      <c r="N6374">
        <v>77536409</v>
      </c>
    </row>
    <row r="6375" spans="1:14" x14ac:dyDescent="0.25">
      <c r="A6375">
        <v>63345957</v>
      </c>
      <c r="B6375" t="s">
        <v>4422</v>
      </c>
      <c r="C6375" t="s">
        <v>4853</v>
      </c>
      <c r="D6375" t="s">
        <v>13612</v>
      </c>
      <c r="E6375">
        <v>5165688160</v>
      </c>
      <c r="F6375" t="s">
        <v>775</v>
      </c>
      <c r="G6375" t="s">
        <v>776</v>
      </c>
      <c r="I6375" t="s">
        <v>22</v>
      </c>
      <c r="J6375" s="13">
        <v>46134</v>
      </c>
      <c r="K6375" s="13">
        <v>46143</v>
      </c>
      <c r="L6375" t="s">
        <v>497</v>
      </c>
      <c r="M6375" t="s">
        <v>59</v>
      </c>
      <c r="N6375">
        <v>77536820</v>
      </c>
    </row>
    <row r="6376" spans="1:14" x14ac:dyDescent="0.25">
      <c r="A6376">
        <v>63346593</v>
      </c>
      <c r="B6376" t="s">
        <v>1872</v>
      </c>
      <c r="C6376" t="s">
        <v>13613</v>
      </c>
      <c r="D6376" t="s">
        <v>13614</v>
      </c>
      <c r="E6376">
        <v>6234657514</v>
      </c>
      <c r="F6376" t="s">
        <v>667</v>
      </c>
      <c r="G6376" t="s">
        <v>668</v>
      </c>
      <c r="I6376" t="s">
        <v>37</v>
      </c>
      <c r="J6376" s="13">
        <v>46134</v>
      </c>
      <c r="K6376" s="13">
        <v>46143</v>
      </c>
      <c r="L6376" t="s">
        <v>1179</v>
      </c>
      <c r="M6376" t="s">
        <v>56</v>
      </c>
      <c r="N6376">
        <v>77536850</v>
      </c>
    </row>
    <row r="6377" spans="1:14" x14ac:dyDescent="0.25">
      <c r="A6377">
        <v>63353899</v>
      </c>
      <c r="B6377" t="s">
        <v>730</v>
      </c>
      <c r="C6377" t="s">
        <v>13615</v>
      </c>
      <c r="D6377" t="s">
        <v>13616</v>
      </c>
      <c r="E6377">
        <v>5024180078</v>
      </c>
      <c r="F6377" t="s">
        <v>10460</v>
      </c>
      <c r="G6377" t="s">
        <v>6663</v>
      </c>
      <c r="I6377" t="s">
        <v>40</v>
      </c>
      <c r="J6377" s="13">
        <v>46135</v>
      </c>
      <c r="K6377" s="13">
        <v>46143</v>
      </c>
      <c r="L6377" t="s">
        <v>490</v>
      </c>
      <c r="M6377" t="s">
        <v>56</v>
      </c>
      <c r="N6377">
        <v>77536887</v>
      </c>
    </row>
    <row r="6378" spans="1:14" x14ac:dyDescent="0.25">
      <c r="A6378">
        <v>63346896</v>
      </c>
      <c r="B6378" t="s">
        <v>1109</v>
      </c>
      <c r="C6378" t="s">
        <v>13617</v>
      </c>
      <c r="D6378" t="s">
        <v>13618</v>
      </c>
      <c r="E6378">
        <v>9289510575</v>
      </c>
      <c r="F6378" t="s">
        <v>780</v>
      </c>
      <c r="G6378" t="s">
        <v>781</v>
      </c>
      <c r="I6378" t="s">
        <v>20</v>
      </c>
      <c r="J6378" s="13">
        <v>46134</v>
      </c>
      <c r="K6378" s="13">
        <v>46143</v>
      </c>
      <c r="L6378" t="s">
        <v>1179</v>
      </c>
      <c r="M6378" t="s">
        <v>1779</v>
      </c>
      <c r="N6378">
        <v>77536921</v>
      </c>
    </row>
    <row r="6379" spans="1:14" x14ac:dyDescent="0.25">
      <c r="A6379">
        <v>63346202</v>
      </c>
      <c r="B6379" t="s">
        <v>13619</v>
      </c>
      <c r="C6379" t="s">
        <v>13620</v>
      </c>
      <c r="D6379" t="s">
        <v>13621</v>
      </c>
      <c r="E6379">
        <v>2193198623</v>
      </c>
      <c r="F6379" t="s">
        <v>474</v>
      </c>
      <c r="G6379" t="s">
        <v>475</v>
      </c>
      <c r="I6379" t="s">
        <v>132</v>
      </c>
      <c r="J6379" s="13">
        <v>46134</v>
      </c>
      <c r="K6379" s="13">
        <v>46143</v>
      </c>
      <c r="L6379" t="s">
        <v>440</v>
      </c>
      <c r="M6379" t="s">
        <v>59</v>
      </c>
      <c r="N6379">
        <v>77537206</v>
      </c>
    </row>
    <row r="6380" spans="1:14" x14ac:dyDescent="0.25">
      <c r="A6380">
        <v>63346446</v>
      </c>
      <c r="B6380" t="s">
        <v>787</v>
      </c>
      <c r="C6380" t="s">
        <v>13622</v>
      </c>
      <c r="D6380" t="s">
        <v>13623</v>
      </c>
      <c r="E6380">
        <v>8034136468</v>
      </c>
      <c r="F6380" t="s">
        <v>448</v>
      </c>
      <c r="G6380" t="s">
        <v>449</v>
      </c>
      <c r="I6380" t="s">
        <v>31</v>
      </c>
      <c r="J6380" s="13">
        <v>46134</v>
      </c>
      <c r="K6380" s="13">
        <v>46143</v>
      </c>
      <c r="L6380" t="s">
        <v>533</v>
      </c>
      <c r="M6380" t="s">
        <v>56</v>
      </c>
      <c r="N6380">
        <v>77537295</v>
      </c>
    </row>
    <row r="6381" spans="1:14" x14ac:dyDescent="0.25">
      <c r="A6381">
        <v>63347849</v>
      </c>
      <c r="B6381" t="s">
        <v>13624</v>
      </c>
      <c r="C6381" t="s">
        <v>13625</v>
      </c>
      <c r="D6381" t="s">
        <v>13626</v>
      </c>
      <c r="E6381">
        <v>5617352427</v>
      </c>
      <c r="F6381" t="s">
        <v>688</v>
      </c>
      <c r="G6381" t="s">
        <v>10291</v>
      </c>
      <c r="I6381" t="s">
        <v>48</v>
      </c>
      <c r="J6381" s="13">
        <v>46134</v>
      </c>
      <c r="K6381" s="13">
        <v>46143</v>
      </c>
      <c r="L6381" t="s">
        <v>497</v>
      </c>
      <c r="M6381" t="s">
        <v>54</v>
      </c>
      <c r="N6381">
        <v>77537325</v>
      </c>
    </row>
    <row r="6382" spans="1:14" x14ac:dyDescent="0.25">
      <c r="A6382">
        <v>63347076</v>
      </c>
      <c r="B6382" t="s">
        <v>791</v>
      </c>
      <c r="C6382" t="s">
        <v>1697</v>
      </c>
      <c r="D6382" t="s">
        <v>13627</v>
      </c>
      <c r="E6382">
        <v>9285875742</v>
      </c>
      <c r="F6382" t="s">
        <v>770</v>
      </c>
      <c r="G6382" t="s">
        <v>771</v>
      </c>
      <c r="I6382" t="s">
        <v>25</v>
      </c>
      <c r="J6382" s="13">
        <v>46134</v>
      </c>
      <c r="K6382" s="13">
        <v>46143</v>
      </c>
      <c r="L6382" t="s">
        <v>1179</v>
      </c>
      <c r="M6382" t="s">
        <v>54</v>
      </c>
      <c r="N6382">
        <v>77537407</v>
      </c>
    </row>
    <row r="6383" spans="1:14" x14ac:dyDescent="0.25">
      <c r="A6383">
        <v>63373092</v>
      </c>
      <c r="B6383" t="s">
        <v>2920</v>
      </c>
      <c r="C6383" t="s">
        <v>4652</v>
      </c>
      <c r="D6383" t="s">
        <v>13628</v>
      </c>
      <c r="E6383">
        <v>3129123277</v>
      </c>
      <c r="F6383" t="s">
        <v>705</v>
      </c>
      <c r="G6383" t="s">
        <v>706</v>
      </c>
      <c r="I6383" t="s">
        <v>12</v>
      </c>
      <c r="J6383" s="13">
        <v>46136</v>
      </c>
      <c r="K6383" s="13">
        <v>46143</v>
      </c>
      <c r="L6383" t="s">
        <v>470</v>
      </c>
      <c r="M6383" t="s">
        <v>56</v>
      </c>
      <c r="N6383">
        <v>77537427</v>
      </c>
    </row>
    <row r="6384" spans="1:14" x14ac:dyDescent="0.25">
      <c r="A6384">
        <v>63346763</v>
      </c>
      <c r="B6384" t="s">
        <v>1882</v>
      </c>
      <c r="C6384" t="s">
        <v>13629</v>
      </c>
      <c r="D6384" t="s">
        <v>13630</v>
      </c>
      <c r="E6384">
        <v>9282289297</v>
      </c>
      <c r="F6384" t="s">
        <v>416</v>
      </c>
      <c r="G6384" t="s">
        <v>417</v>
      </c>
      <c r="I6384" t="s">
        <v>26</v>
      </c>
      <c r="J6384" s="13">
        <v>46134</v>
      </c>
      <c r="K6384" s="13">
        <v>46143</v>
      </c>
      <c r="L6384" t="s">
        <v>1179</v>
      </c>
      <c r="M6384" t="s">
        <v>54</v>
      </c>
      <c r="N6384">
        <v>77537478</v>
      </c>
    </row>
    <row r="6385" spans="1:14" x14ac:dyDescent="0.25">
      <c r="A6385">
        <v>63349692</v>
      </c>
      <c r="B6385" t="s">
        <v>9264</v>
      </c>
      <c r="C6385" t="s">
        <v>6807</v>
      </c>
      <c r="D6385" t="s">
        <v>13631</v>
      </c>
      <c r="E6385">
        <v>5204065221</v>
      </c>
      <c r="F6385" t="s">
        <v>1345</v>
      </c>
      <c r="G6385" t="s">
        <v>799</v>
      </c>
      <c r="I6385" t="s">
        <v>47</v>
      </c>
      <c r="J6385" s="13">
        <v>46134</v>
      </c>
      <c r="K6385" s="13">
        <v>46143</v>
      </c>
      <c r="L6385" t="s">
        <v>1179</v>
      </c>
      <c r="M6385" t="s">
        <v>54</v>
      </c>
      <c r="N6385">
        <v>77537775</v>
      </c>
    </row>
    <row r="6386" spans="1:14" x14ac:dyDescent="0.25">
      <c r="A6386">
        <v>63357690</v>
      </c>
      <c r="B6386" t="s">
        <v>5204</v>
      </c>
      <c r="C6386" t="s">
        <v>13632</v>
      </c>
      <c r="E6386">
        <v>2012330941</v>
      </c>
      <c r="F6386" t="s">
        <v>10591</v>
      </c>
      <c r="G6386" t="s">
        <v>10215</v>
      </c>
      <c r="I6386" t="s">
        <v>32</v>
      </c>
      <c r="J6386" s="13">
        <v>46135</v>
      </c>
      <c r="K6386" s="13">
        <v>46143</v>
      </c>
      <c r="L6386" t="s">
        <v>1179</v>
      </c>
      <c r="M6386" t="s">
        <v>54</v>
      </c>
      <c r="N6386">
        <v>77537783</v>
      </c>
    </row>
    <row r="6387" spans="1:14" x14ac:dyDescent="0.25">
      <c r="A6387">
        <v>63349892</v>
      </c>
      <c r="B6387" t="s">
        <v>1408</v>
      </c>
      <c r="C6387" t="s">
        <v>13633</v>
      </c>
      <c r="D6387" t="s">
        <v>13634</v>
      </c>
      <c r="E6387">
        <v>9412193539</v>
      </c>
      <c r="F6387" t="s">
        <v>807</v>
      </c>
      <c r="G6387" t="s">
        <v>808</v>
      </c>
      <c r="I6387" t="s">
        <v>33</v>
      </c>
      <c r="J6387" s="13">
        <v>46134</v>
      </c>
      <c r="K6387" s="13">
        <v>46143</v>
      </c>
      <c r="L6387" t="s">
        <v>497</v>
      </c>
      <c r="M6387" t="s">
        <v>58</v>
      </c>
      <c r="N6387">
        <v>77538307</v>
      </c>
    </row>
    <row r="6388" spans="1:14" x14ac:dyDescent="0.25">
      <c r="A6388">
        <v>63347948</v>
      </c>
      <c r="B6388" t="s">
        <v>10347</v>
      </c>
      <c r="C6388" t="s">
        <v>13635</v>
      </c>
      <c r="D6388" t="s">
        <v>13636</v>
      </c>
      <c r="E6388">
        <v>7205816628</v>
      </c>
      <c r="F6388" t="s">
        <v>10460</v>
      </c>
      <c r="G6388" t="s">
        <v>6663</v>
      </c>
      <c r="I6388" t="s">
        <v>40</v>
      </c>
      <c r="J6388" s="13">
        <v>46134</v>
      </c>
      <c r="K6388" s="13">
        <v>46143</v>
      </c>
      <c r="L6388" t="s">
        <v>539</v>
      </c>
      <c r="M6388" t="s">
        <v>59</v>
      </c>
      <c r="N6388">
        <v>77538347</v>
      </c>
    </row>
    <row r="6389" spans="1:14" x14ac:dyDescent="0.25">
      <c r="A6389">
        <v>63347972</v>
      </c>
      <c r="B6389" t="s">
        <v>1408</v>
      </c>
      <c r="C6389" t="s">
        <v>5318</v>
      </c>
      <c r="D6389" t="s">
        <v>13637</v>
      </c>
      <c r="E6389">
        <v>9046476927</v>
      </c>
      <c r="F6389" t="s">
        <v>1013</v>
      </c>
      <c r="G6389" t="s">
        <v>1014</v>
      </c>
      <c r="I6389" t="s">
        <v>43</v>
      </c>
      <c r="J6389" s="13">
        <v>46134</v>
      </c>
      <c r="K6389" s="13">
        <v>46143</v>
      </c>
      <c r="L6389" t="s">
        <v>497</v>
      </c>
      <c r="M6389" t="s">
        <v>56</v>
      </c>
      <c r="N6389">
        <v>77538363</v>
      </c>
    </row>
    <row r="6390" spans="1:14" x14ac:dyDescent="0.25">
      <c r="A6390">
        <v>63349834</v>
      </c>
      <c r="B6390" t="s">
        <v>10904</v>
      </c>
      <c r="C6390" t="s">
        <v>13638</v>
      </c>
      <c r="D6390" t="s">
        <v>13639</v>
      </c>
      <c r="E6390">
        <v>6154240278</v>
      </c>
      <c r="F6390" t="s">
        <v>10253</v>
      </c>
      <c r="G6390" t="s">
        <v>781</v>
      </c>
      <c r="I6390" t="s">
        <v>36</v>
      </c>
      <c r="J6390" s="13">
        <v>46134</v>
      </c>
      <c r="K6390" s="13">
        <v>46143</v>
      </c>
      <c r="L6390" t="s">
        <v>479</v>
      </c>
      <c r="M6390" t="s">
        <v>62</v>
      </c>
      <c r="N6390">
        <v>77539156</v>
      </c>
    </row>
    <row r="6391" spans="1:14" x14ac:dyDescent="0.25">
      <c r="A6391">
        <v>63352641</v>
      </c>
      <c r="B6391" t="s">
        <v>13640</v>
      </c>
      <c r="C6391" t="s">
        <v>13061</v>
      </c>
      <c r="D6391" t="s">
        <v>13641</v>
      </c>
      <c r="E6391">
        <v>9192250520</v>
      </c>
      <c r="F6391" t="s">
        <v>551</v>
      </c>
      <c r="G6391" t="s">
        <v>552</v>
      </c>
      <c r="I6391" t="s">
        <v>42</v>
      </c>
      <c r="J6391" s="13">
        <v>46135</v>
      </c>
      <c r="K6391" s="13">
        <v>46143</v>
      </c>
      <c r="L6391" t="s">
        <v>603</v>
      </c>
      <c r="M6391" t="s">
        <v>56</v>
      </c>
      <c r="N6391">
        <v>77546056</v>
      </c>
    </row>
    <row r="6392" spans="1:14" x14ac:dyDescent="0.25">
      <c r="A6392">
        <v>63354777</v>
      </c>
      <c r="B6392" t="s">
        <v>1264</v>
      </c>
      <c r="C6392" t="s">
        <v>1206</v>
      </c>
      <c r="D6392" t="s">
        <v>13642</v>
      </c>
      <c r="E6392">
        <v>2704381143</v>
      </c>
      <c r="F6392" t="s">
        <v>1612</v>
      </c>
      <c r="G6392" t="s">
        <v>4811</v>
      </c>
      <c r="I6392" t="s">
        <v>322</v>
      </c>
      <c r="J6392" s="13">
        <v>46135</v>
      </c>
      <c r="K6392" s="13">
        <v>46143</v>
      </c>
      <c r="L6392" t="s">
        <v>490</v>
      </c>
      <c r="M6392" t="s">
        <v>59</v>
      </c>
      <c r="N6392">
        <v>77546063</v>
      </c>
    </row>
    <row r="6393" spans="1:14" x14ac:dyDescent="0.25">
      <c r="A6393">
        <v>63354086</v>
      </c>
      <c r="B6393" t="s">
        <v>1208</v>
      </c>
      <c r="C6393" t="s">
        <v>3374</v>
      </c>
      <c r="D6393" t="s">
        <v>13643</v>
      </c>
      <c r="E6393">
        <v>8542022122</v>
      </c>
      <c r="F6393" t="s">
        <v>828</v>
      </c>
      <c r="G6393" t="s">
        <v>1148</v>
      </c>
      <c r="I6393" t="s">
        <v>17</v>
      </c>
      <c r="J6393" s="13">
        <v>46135</v>
      </c>
      <c r="K6393" s="13">
        <v>46143</v>
      </c>
      <c r="L6393" t="s">
        <v>533</v>
      </c>
      <c r="M6393" t="s">
        <v>59</v>
      </c>
      <c r="N6393">
        <v>77546088</v>
      </c>
    </row>
    <row r="6394" spans="1:14" x14ac:dyDescent="0.25">
      <c r="A6394">
        <v>63608518</v>
      </c>
      <c r="B6394" t="s">
        <v>1004</v>
      </c>
      <c r="C6394" t="s">
        <v>13644</v>
      </c>
      <c r="D6394" t="s">
        <v>13645</v>
      </c>
      <c r="E6394">
        <v>4126287651</v>
      </c>
      <c r="F6394" t="s">
        <v>569</v>
      </c>
      <c r="G6394" t="s">
        <v>570</v>
      </c>
      <c r="I6394" t="s">
        <v>34</v>
      </c>
      <c r="J6394" s="13">
        <v>46149</v>
      </c>
      <c r="K6394" s="13">
        <v>46174</v>
      </c>
      <c r="L6394" t="s">
        <v>497</v>
      </c>
      <c r="M6394" t="s">
        <v>58</v>
      </c>
      <c r="N6394">
        <v>77546273</v>
      </c>
    </row>
    <row r="6395" spans="1:14" x14ac:dyDescent="0.25">
      <c r="A6395">
        <v>63353460</v>
      </c>
      <c r="B6395" t="s">
        <v>517</v>
      </c>
      <c r="C6395" t="s">
        <v>3420</v>
      </c>
      <c r="D6395" t="s">
        <v>13646</v>
      </c>
      <c r="E6395">
        <v>9044510197</v>
      </c>
      <c r="F6395" t="s">
        <v>10591</v>
      </c>
      <c r="G6395" t="s">
        <v>10215</v>
      </c>
      <c r="I6395" t="s">
        <v>32</v>
      </c>
      <c r="J6395" s="13">
        <v>46135</v>
      </c>
      <c r="K6395" s="13">
        <v>46143</v>
      </c>
      <c r="L6395" t="s">
        <v>497</v>
      </c>
      <c r="M6395" t="s">
        <v>54</v>
      </c>
      <c r="N6395">
        <v>77546278</v>
      </c>
    </row>
    <row r="6396" spans="1:14" x14ac:dyDescent="0.25">
      <c r="A6396">
        <v>63352666</v>
      </c>
      <c r="B6396" t="s">
        <v>2254</v>
      </c>
      <c r="C6396" t="s">
        <v>10738</v>
      </c>
      <c r="D6396" t="s">
        <v>13647</v>
      </c>
      <c r="E6396" t="s">
        <v>13648</v>
      </c>
      <c r="F6396" t="s">
        <v>474</v>
      </c>
      <c r="G6396" t="s">
        <v>475</v>
      </c>
      <c r="I6396" t="s">
        <v>132</v>
      </c>
      <c r="J6396" s="13">
        <v>46135</v>
      </c>
      <c r="K6396" s="13">
        <v>46143</v>
      </c>
      <c r="L6396" t="s">
        <v>418</v>
      </c>
      <c r="M6396" t="s">
        <v>59</v>
      </c>
      <c r="N6396">
        <v>77546333</v>
      </c>
    </row>
    <row r="6397" spans="1:14" x14ac:dyDescent="0.25">
      <c r="A6397">
        <v>63354300</v>
      </c>
      <c r="B6397" t="s">
        <v>4510</v>
      </c>
      <c r="C6397" t="s">
        <v>13649</v>
      </c>
      <c r="D6397" t="s">
        <v>13650</v>
      </c>
      <c r="E6397">
        <v>5617814453</v>
      </c>
      <c r="F6397" t="s">
        <v>807</v>
      </c>
      <c r="G6397" t="s">
        <v>808</v>
      </c>
      <c r="I6397" t="s">
        <v>33</v>
      </c>
      <c r="J6397" s="13">
        <v>46135</v>
      </c>
      <c r="K6397" s="13">
        <v>46143</v>
      </c>
      <c r="L6397" t="s">
        <v>497</v>
      </c>
      <c r="M6397" t="s">
        <v>56</v>
      </c>
      <c r="N6397">
        <v>77546359</v>
      </c>
    </row>
    <row r="6398" spans="1:14" x14ac:dyDescent="0.25">
      <c r="A6398">
        <v>63354893</v>
      </c>
      <c r="B6398" t="s">
        <v>2071</v>
      </c>
      <c r="C6398" t="s">
        <v>12083</v>
      </c>
      <c r="D6398" t="s">
        <v>13651</v>
      </c>
      <c r="E6398">
        <v>5029311570</v>
      </c>
      <c r="F6398" t="s">
        <v>928</v>
      </c>
      <c r="G6398" t="s">
        <v>929</v>
      </c>
      <c r="I6398" t="s">
        <v>30</v>
      </c>
      <c r="J6398" s="13">
        <v>46135</v>
      </c>
      <c r="K6398" s="13">
        <v>46143</v>
      </c>
      <c r="L6398" t="s">
        <v>490</v>
      </c>
      <c r="M6398" t="s">
        <v>56</v>
      </c>
      <c r="N6398">
        <v>77546580</v>
      </c>
    </row>
    <row r="6399" spans="1:14" x14ac:dyDescent="0.25">
      <c r="A6399">
        <v>63354082</v>
      </c>
      <c r="B6399" t="s">
        <v>1872</v>
      </c>
      <c r="C6399" t="s">
        <v>13652</v>
      </c>
      <c r="D6399" t="s">
        <v>13653</v>
      </c>
      <c r="E6399">
        <v>9042263689</v>
      </c>
      <c r="F6399" t="s">
        <v>775</v>
      </c>
      <c r="G6399" t="s">
        <v>776</v>
      </c>
      <c r="I6399" t="s">
        <v>22</v>
      </c>
      <c r="J6399" s="13">
        <v>46135</v>
      </c>
      <c r="K6399" s="13">
        <v>46143</v>
      </c>
      <c r="L6399" t="s">
        <v>497</v>
      </c>
      <c r="M6399" t="s">
        <v>59</v>
      </c>
      <c r="N6399">
        <v>77546586</v>
      </c>
    </row>
    <row r="6400" spans="1:14" x14ac:dyDescent="0.25">
      <c r="A6400">
        <v>63354432</v>
      </c>
      <c r="B6400" t="s">
        <v>4626</v>
      </c>
      <c r="C6400" t="s">
        <v>13654</v>
      </c>
      <c r="D6400" t="s">
        <v>13655</v>
      </c>
      <c r="E6400">
        <v>2163463657</v>
      </c>
      <c r="F6400" t="s">
        <v>667</v>
      </c>
      <c r="G6400" t="s">
        <v>668</v>
      </c>
      <c r="I6400" t="s">
        <v>37</v>
      </c>
      <c r="J6400" s="13">
        <v>46135</v>
      </c>
      <c r="K6400" s="13">
        <v>46143</v>
      </c>
      <c r="L6400" t="s">
        <v>418</v>
      </c>
      <c r="M6400" t="s">
        <v>59</v>
      </c>
      <c r="N6400">
        <v>77546617</v>
      </c>
    </row>
    <row r="6401" spans="1:14" x14ac:dyDescent="0.25">
      <c r="A6401">
        <v>63367290</v>
      </c>
      <c r="B6401" t="s">
        <v>2071</v>
      </c>
      <c r="C6401" t="s">
        <v>2943</v>
      </c>
      <c r="D6401" t="s">
        <v>13656</v>
      </c>
      <c r="E6401">
        <v>7542460245</v>
      </c>
      <c r="F6401" t="s">
        <v>11745</v>
      </c>
      <c r="G6401" t="s">
        <v>6544</v>
      </c>
      <c r="I6401" t="s">
        <v>11746</v>
      </c>
      <c r="J6401" s="13">
        <v>46136</v>
      </c>
      <c r="K6401" s="13">
        <v>46143</v>
      </c>
      <c r="L6401" t="s">
        <v>497</v>
      </c>
      <c r="M6401" t="s">
        <v>59</v>
      </c>
      <c r="N6401">
        <v>77546852</v>
      </c>
    </row>
    <row r="6402" spans="1:14" x14ac:dyDescent="0.25">
      <c r="A6402">
        <v>63354861</v>
      </c>
      <c r="B6402" t="s">
        <v>629</v>
      </c>
      <c r="C6402" t="s">
        <v>10769</v>
      </c>
      <c r="D6402" t="s">
        <v>13657</v>
      </c>
      <c r="E6402">
        <v>3345385501</v>
      </c>
      <c r="F6402" t="s">
        <v>11838</v>
      </c>
      <c r="G6402" t="s">
        <v>11839</v>
      </c>
      <c r="I6402" t="s">
        <v>11840</v>
      </c>
      <c r="J6402" s="13">
        <v>46135</v>
      </c>
      <c r="K6402" s="13">
        <v>46143</v>
      </c>
      <c r="L6402" t="s">
        <v>450</v>
      </c>
      <c r="M6402" t="s">
        <v>59</v>
      </c>
      <c r="N6402">
        <v>77547436</v>
      </c>
    </row>
    <row r="6403" spans="1:14" x14ac:dyDescent="0.25">
      <c r="A6403">
        <v>63357338</v>
      </c>
      <c r="B6403" t="s">
        <v>548</v>
      </c>
      <c r="C6403" t="s">
        <v>4182</v>
      </c>
      <c r="D6403" t="s">
        <v>13658</v>
      </c>
      <c r="E6403">
        <v>9042005243</v>
      </c>
      <c r="F6403" t="s">
        <v>1345</v>
      </c>
      <c r="G6403" t="s">
        <v>799</v>
      </c>
      <c r="I6403" t="s">
        <v>47</v>
      </c>
      <c r="J6403" s="13">
        <v>46135</v>
      </c>
      <c r="K6403" s="13">
        <v>46143</v>
      </c>
      <c r="L6403" t="s">
        <v>497</v>
      </c>
      <c r="M6403" t="s">
        <v>60</v>
      </c>
      <c r="N6403">
        <v>77547819</v>
      </c>
    </row>
    <row r="6404" spans="1:14" x14ac:dyDescent="0.25">
      <c r="A6404">
        <v>63356733</v>
      </c>
      <c r="B6404" t="s">
        <v>1316</v>
      </c>
      <c r="C6404" t="s">
        <v>13659</v>
      </c>
      <c r="D6404" t="s">
        <v>13660</v>
      </c>
      <c r="E6404">
        <v>6025798489</v>
      </c>
      <c r="F6404" t="s">
        <v>1013</v>
      </c>
      <c r="G6404" t="s">
        <v>1014</v>
      </c>
      <c r="I6404" t="s">
        <v>43</v>
      </c>
      <c r="J6404" s="13">
        <v>46135</v>
      </c>
      <c r="K6404" s="13">
        <v>46143</v>
      </c>
      <c r="L6404" t="s">
        <v>1179</v>
      </c>
      <c r="M6404" t="s">
        <v>54</v>
      </c>
      <c r="N6404">
        <v>77547938</v>
      </c>
    </row>
    <row r="6405" spans="1:14" x14ac:dyDescent="0.25">
      <c r="A6405">
        <v>63359476</v>
      </c>
      <c r="B6405" t="s">
        <v>1408</v>
      </c>
      <c r="C6405" t="s">
        <v>2918</v>
      </c>
      <c r="D6405" t="s">
        <v>13661</v>
      </c>
      <c r="E6405">
        <v>6158540772</v>
      </c>
      <c r="F6405" t="s">
        <v>10253</v>
      </c>
      <c r="G6405" t="s">
        <v>781</v>
      </c>
      <c r="I6405" t="s">
        <v>36</v>
      </c>
      <c r="J6405" s="13">
        <v>46135</v>
      </c>
      <c r="K6405" s="13">
        <v>46143</v>
      </c>
      <c r="L6405" t="s">
        <v>479</v>
      </c>
      <c r="M6405" t="s">
        <v>59</v>
      </c>
      <c r="N6405">
        <v>77548390</v>
      </c>
    </row>
    <row r="6406" spans="1:14" x14ac:dyDescent="0.25">
      <c r="A6406">
        <v>63357639</v>
      </c>
      <c r="B6406" t="s">
        <v>5267</v>
      </c>
      <c r="C6406" t="s">
        <v>13662</v>
      </c>
      <c r="D6406" t="s">
        <v>13663</v>
      </c>
      <c r="E6406">
        <v>4805359183</v>
      </c>
      <c r="F6406" t="s">
        <v>775</v>
      </c>
      <c r="G6406" t="s">
        <v>776</v>
      </c>
      <c r="I6406" t="s">
        <v>22</v>
      </c>
      <c r="J6406" s="13">
        <v>46135</v>
      </c>
      <c r="K6406" s="13">
        <v>46143</v>
      </c>
      <c r="L6406" t="s">
        <v>1179</v>
      </c>
      <c r="M6406" t="s">
        <v>59</v>
      </c>
      <c r="N6406">
        <v>77548449</v>
      </c>
    </row>
    <row r="6407" spans="1:14" x14ac:dyDescent="0.25">
      <c r="A6407">
        <v>63358080</v>
      </c>
      <c r="B6407" t="s">
        <v>8666</v>
      </c>
      <c r="C6407" t="s">
        <v>9205</v>
      </c>
      <c r="D6407" t="s">
        <v>13664</v>
      </c>
      <c r="E6407">
        <v>3304288347</v>
      </c>
      <c r="F6407" t="s">
        <v>574</v>
      </c>
      <c r="G6407" t="s">
        <v>575</v>
      </c>
      <c r="I6407" t="s">
        <v>14</v>
      </c>
      <c r="J6407" s="13">
        <v>46135</v>
      </c>
      <c r="K6407" s="13">
        <v>46143</v>
      </c>
      <c r="L6407" t="s">
        <v>418</v>
      </c>
      <c r="M6407" t="s">
        <v>62</v>
      </c>
      <c r="N6407">
        <v>77548526</v>
      </c>
    </row>
    <row r="6408" spans="1:14" x14ac:dyDescent="0.25">
      <c r="A6408">
        <v>63359677</v>
      </c>
      <c r="B6408" t="s">
        <v>2281</v>
      </c>
      <c r="C6408" t="s">
        <v>13665</v>
      </c>
      <c r="D6408" t="s">
        <v>13666</v>
      </c>
      <c r="E6408">
        <v>3309374071</v>
      </c>
      <c r="F6408" t="s">
        <v>11776</v>
      </c>
      <c r="G6408" t="s">
        <v>3895</v>
      </c>
      <c r="H6408" t="s">
        <v>11777</v>
      </c>
      <c r="I6408" t="s">
        <v>11778</v>
      </c>
      <c r="J6408" s="13">
        <v>46135</v>
      </c>
      <c r="K6408" s="13">
        <v>46143</v>
      </c>
      <c r="L6408" t="s">
        <v>418</v>
      </c>
      <c r="M6408" t="s">
        <v>58</v>
      </c>
      <c r="N6408">
        <v>77548651</v>
      </c>
    </row>
    <row r="6409" spans="1:14" x14ac:dyDescent="0.25">
      <c r="A6409">
        <v>63368949</v>
      </c>
      <c r="B6409" t="s">
        <v>1248</v>
      </c>
      <c r="C6409" t="s">
        <v>13667</v>
      </c>
      <c r="D6409" t="s">
        <v>13668</v>
      </c>
      <c r="E6409">
        <v>7089002718</v>
      </c>
      <c r="F6409" t="s">
        <v>8440</v>
      </c>
      <c r="G6409" t="s">
        <v>12267</v>
      </c>
      <c r="I6409" t="s">
        <v>12268</v>
      </c>
      <c r="J6409" s="13">
        <v>46136</v>
      </c>
      <c r="K6409" s="13">
        <v>46143</v>
      </c>
      <c r="L6409" t="s">
        <v>470</v>
      </c>
      <c r="M6409" t="s">
        <v>59</v>
      </c>
      <c r="N6409">
        <v>77548744</v>
      </c>
    </row>
    <row r="6410" spans="1:14" x14ac:dyDescent="0.25">
      <c r="A6410">
        <v>63358494</v>
      </c>
      <c r="B6410" t="s">
        <v>1978</v>
      </c>
      <c r="C6410" t="s">
        <v>1292</v>
      </c>
      <c r="D6410" t="s">
        <v>13669</v>
      </c>
      <c r="E6410">
        <v>9017451344</v>
      </c>
      <c r="F6410" t="s">
        <v>649</v>
      </c>
      <c r="G6410" t="s">
        <v>650</v>
      </c>
      <c r="I6410" t="s">
        <v>28</v>
      </c>
      <c r="J6410" s="13">
        <v>46135</v>
      </c>
      <c r="K6410" s="13">
        <v>46143</v>
      </c>
      <c r="L6410" t="s">
        <v>479</v>
      </c>
      <c r="M6410" t="s">
        <v>62</v>
      </c>
      <c r="N6410">
        <v>77549062</v>
      </c>
    </row>
    <row r="6411" spans="1:14" x14ac:dyDescent="0.25">
      <c r="A6411">
        <v>63358027</v>
      </c>
      <c r="B6411" t="s">
        <v>13670</v>
      </c>
      <c r="C6411" t="s">
        <v>13671</v>
      </c>
      <c r="D6411" t="s">
        <v>13672</v>
      </c>
      <c r="E6411">
        <v>7088057847</v>
      </c>
      <c r="F6411" t="s">
        <v>474</v>
      </c>
      <c r="G6411" t="s">
        <v>475</v>
      </c>
      <c r="I6411" t="s">
        <v>132</v>
      </c>
      <c r="J6411" s="13">
        <v>46135</v>
      </c>
      <c r="K6411" s="13">
        <v>46143</v>
      </c>
      <c r="L6411" t="s">
        <v>470</v>
      </c>
      <c r="M6411" t="s">
        <v>62</v>
      </c>
      <c r="N6411">
        <v>77549088</v>
      </c>
    </row>
    <row r="6412" spans="1:14" x14ac:dyDescent="0.25">
      <c r="A6412">
        <v>63358648</v>
      </c>
      <c r="B6412" t="s">
        <v>13673</v>
      </c>
      <c r="C6412" t="s">
        <v>13674</v>
      </c>
      <c r="E6412">
        <v>7542731291</v>
      </c>
      <c r="F6412" t="s">
        <v>828</v>
      </c>
      <c r="G6412" t="s">
        <v>1148</v>
      </c>
      <c r="I6412" t="s">
        <v>17</v>
      </c>
      <c r="J6412" s="13">
        <v>46135</v>
      </c>
      <c r="K6412" s="13">
        <v>46143</v>
      </c>
      <c r="L6412" t="s">
        <v>497</v>
      </c>
      <c r="M6412" t="s">
        <v>56</v>
      </c>
      <c r="N6412">
        <v>77549133</v>
      </c>
    </row>
    <row r="6413" spans="1:14" x14ac:dyDescent="0.25">
      <c r="A6413">
        <v>63376596</v>
      </c>
      <c r="B6413" t="s">
        <v>990</v>
      </c>
      <c r="C6413" t="s">
        <v>13675</v>
      </c>
      <c r="D6413" t="s">
        <v>13676</v>
      </c>
      <c r="E6413">
        <v>9288530324</v>
      </c>
      <c r="F6413" t="s">
        <v>780</v>
      </c>
      <c r="G6413" t="s">
        <v>781</v>
      </c>
      <c r="I6413" t="s">
        <v>20</v>
      </c>
      <c r="J6413" s="13">
        <v>46136</v>
      </c>
      <c r="K6413" s="13">
        <v>46143</v>
      </c>
      <c r="L6413" t="s">
        <v>1179</v>
      </c>
      <c r="M6413" t="s">
        <v>59</v>
      </c>
      <c r="N6413">
        <v>77549846</v>
      </c>
    </row>
    <row r="6414" spans="1:14" x14ac:dyDescent="0.25">
      <c r="A6414">
        <v>63360121</v>
      </c>
      <c r="B6414" t="s">
        <v>13677</v>
      </c>
      <c r="C6414" t="s">
        <v>13678</v>
      </c>
      <c r="D6414" t="s">
        <v>13679</v>
      </c>
      <c r="E6414">
        <v>9047356116</v>
      </c>
      <c r="F6414" t="s">
        <v>775</v>
      </c>
      <c r="G6414" t="s">
        <v>776</v>
      </c>
      <c r="I6414" t="s">
        <v>22</v>
      </c>
      <c r="J6414" s="13">
        <v>46135</v>
      </c>
      <c r="K6414" s="13">
        <v>46143</v>
      </c>
      <c r="L6414" t="s">
        <v>497</v>
      </c>
      <c r="M6414" t="s">
        <v>59</v>
      </c>
      <c r="N6414">
        <v>77550926</v>
      </c>
    </row>
    <row r="6415" spans="1:14" x14ac:dyDescent="0.25">
      <c r="A6415">
        <v>63363756</v>
      </c>
      <c r="B6415" t="s">
        <v>2413</v>
      </c>
      <c r="C6415" t="s">
        <v>8531</v>
      </c>
      <c r="D6415" t="s">
        <v>13680</v>
      </c>
      <c r="E6415">
        <v>7602152720</v>
      </c>
      <c r="F6415" t="s">
        <v>649</v>
      </c>
      <c r="G6415" t="s">
        <v>650</v>
      </c>
      <c r="I6415" t="s">
        <v>28</v>
      </c>
      <c r="J6415" s="13">
        <v>46135</v>
      </c>
      <c r="K6415" s="13">
        <v>46143</v>
      </c>
      <c r="L6415" t="s">
        <v>444</v>
      </c>
      <c r="M6415" t="s">
        <v>56</v>
      </c>
      <c r="N6415">
        <v>77551101</v>
      </c>
    </row>
    <row r="6416" spans="1:14" x14ac:dyDescent="0.25">
      <c r="A6416">
        <v>63363551</v>
      </c>
      <c r="B6416" t="s">
        <v>622</v>
      </c>
      <c r="C6416" t="s">
        <v>13681</v>
      </c>
      <c r="D6416" t="s">
        <v>13682</v>
      </c>
      <c r="E6416">
        <v>6239807282</v>
      </c>
      <c r="F6416" t="s">
        <v>770</v>
      </c>
      <c r="G6416" t="s">
        <v>771</v>
      </c>
      <c r="I6416" t="s">
        <v>25</v>
      </c>
      <c r="J6416" s="13">
        <v>46135</v>
      </c>
      <c r="K6416" s="13">
        <v>46143</v>
      </c>
      <c r="L6416" t="s">
        <v>1179</v>
      </c>
      <c r="M6416" t="s">
        <v>54</v>
      </c>
      <c r="N6416">
        <v>77551246</v>
      </c>
    </row>
    <row r="6417" spans="1:14" x14ac:dyDescent="0.25">
      <c r="A6417">
        <v>63363090</v>
      </c>
      <c r="B6417" t="s">
        <v>1078</v>
      </c>
      <c r="C6417" t="s">
        <v>619</v>
      </c>
      <c r="D6417" t="s">
        <v>13683</v>
      </c>
      <c r="E6417">
        <v>8593171762</v>
      </c>
      <c r="F6417" t="s">
        <v>1612</v>
      </c>
      <c r="G6417" t="s">
        <v>4811</v>
      </c>
      <c r="I6417" t="s">
        <v>322</v>
      </c>
      <c r="J6417" s="13">
        <v>46135</v>
      </c>
      <c r="K6417" s="13">
        <v>46143</v>
      </c>
      <c r="L6417" t="s">
        <v>490</v>
      </c>
      <c r="M6417" t="s">
        <v>13015</v>
      </c>
      <c r="N6417">
        <v>77551551</v>
      </c>
    </row>
    <row r="6418" spans="1:14" x14ac:dyDescent="0.25">
      <c r="A6418">
        <v>63362966</v>
      </c>
      <c r="B6418" t="s">
        <v>564</v>
      </c>
      <c r="C6418" t="s">
        <v>13684</v>
      </c>
      <c r="D6418" t="s">
        <v>13685</v>
      </c>
      <c r="E6418">
        <v>5613548007</v>
      </c>
      <c r="F6418" t="s">
        <v>569</v>
      </c>
      <c r="G6418" t="s">
        <v>570</v>
      </c>
      <c r="I6418" t="s">
        <v>34</v>
      </c>
      <c r="J6418" s="13">
        <v>46135</v>
      </c>
      <c r="K6418" s="13">
        <v>46143</v>
      </c>
      <c r="L6418" t="s">
        <v>497</v>
      </c>
      <c r="M6418" t="s">
        <v>56</v>
      </c>
      <c r="N6418">
        <v>77552165</v>
      </c>
    </row>
    <row r="6419" spans="1:14" x14ac:dyDescent="0.25">
      <c r="A6419">
        <v>63361906</v>
      </c>
      <c r="B6419" t="s">
        <v>1408</v>
      </c>
      <c r="C6419" t="s">
        <v>770</v>
      </c>
      <c r="D6419" t="s">
        <v>13686</v>
      </c>
      <c r="E6419">
        <v>9012010470</v>
      </c>
      <c r="F6419" t="s">
        <v>474</v>
      </c>
      <c r="G6419" t="s">
        <v>475</v>
      </c>
      <c r="I6419" t="s">
        <v>132</v>
      </c>
      <c r="J6419" s="13">
        <v>46135</v>
      </c>
      <c r="K6419" s="13">
        <v>46143</v>
      </c>
      <c r="L6419" t="s">
        <v>479</v>
      </c>
      <c r="M6419" t="s">
        <v>58</v>
      </c>
      <c r="N6419">
        <v>77552584</v>
      </c>
    </row>
    <row r="6420" spans="1:14" x14ac:dyDescent="0.25">
      <c r="A6420">
        <v>63363117</v>
      </c>
      <c r="B6420" t="s">
        <v>718</v>
      </c>
      <c r="C6420" t="s">
        <v>13687</v>
      </c>
      <c r="D6420" t="s">
        <v>13688</v>
      </c>
      <c r="E6420">
        <v>9047623535</v>
      </c>
      <c r="F6420" t="s">
        <v>1067</v>
      </c>
      <c r="G6420" t="s">
        <v>1068</v>
      </c>
      <c r="I6420" t="s">
        <v>35</v>
      </c>
      <c r="J6420" s="13">
        <v>46135</v>
      </c>
      <c r="K6420" s="13">
        <v>46143</v>
      </c>
      <c r="L6420" t="s">
        <v>497</v>
      </c>
      <c r="M6420" t="s">
        <v>11843</v>
      </c>
      <c r="N6420">
        <v>77552668</v>
      </c>
    </row>
    <row r="6421" spans="1:14" x14ac:dyDescent="0.25">
      <c r="A6421">
        <v>63363291</v>
      </c>
      <c r="B6421" t="s">
        <v>6737</v>
      </c>
      <c r="C6421" t="s">
        <v>2813</v>
      </c>
      <c r="D6421" t="s">
        <v>13689</v>
      </c>
      <c r="E6421">
        <v>7087319934</v>
      </c>
      <c r="F6421" t="s">
        <v>10253</v>
      </c>
      <c r="G6421" t="s">
        <v>781</v>
      </c>
      <c r="I6421" t="s">
        <v>36</v>
      </c>
      <c r="J6421" s="13">
        <v>46135</v>
      </c>
      <c r="K6421" s="13">
        <v>46143</v>
      </c>
      <c r="L6421" t="s">
        <v>470</v>
      </c>
      <c r="M6421" t="s">
        <v>62</v>
      </c>
      <c r="N6421">
        <v>77552921</v>
      </c>
    </row>
    <row r="6422" spans="1:14" x14ac:dyDescent="0.25">
      <c r="A6422">
        <v>63363905</v>
      </c>
      <c r="B6422" t="s">
        <v>12269</v>
      </c>
      <c r="C6422" t="s">
        <v>13690</v>
      </c>
      <c r="D6422" t="s">
        <v>13691</v>
      </c>
      <c r="E6422">
        <v>9566219362</v>
      </c>
      <c r="F6422" t="s">
        <v>551</v>
      </c>
      <c r="G6422" t="s">
        <v>552</v>
      </c>
      <c r="I6422" t="s">
        <v>42</v>
      </c>
      <c r="J6422" s="13">
        <v>46135</v>
      </c>
      <c r="K6422" s="13">
        <v>46143</v>
      </c>
      <c r="L6422" t="s">
        <v>444</v>
      </c>
      <c r="M6422" t="s">
        <v>60</v>
      </c>
      <c r="N6422">
        <v>77554231</v>
      </c>
    </row>
    <row r="6423" spans="1:14" x14ac:dyDescent="0.25">
      <c r="A6423">
        <v>63373937</v>
      </c>
      <c r="B6423" t="s">
        <v>517</v>
      </c>
      <c r="C6423" t="s">
        <v>13692</v>
      </c>
      <c r="D6423" t="s">
        <v>13693</v>
      </c>
      <c r="E6423">
        <v>3127764490</v>
      </c>
      <c r="F6423" t="s">
        <v>10642</v>
      </c>
      <c r="G6423" t="s">
        <v>10643</v>
      </c>
      <c r="I6423" t="s">
        <v>45</v>
      </c>
      <c r="J6423" s="13">
        <v>46136</v>
      </c>
      <c r="K6423" s="13">
        <v>46143</v>
      </c>
      <c r="L6423" t="s">
        <v>470</v>
      </c>
      <c r="M6423" t="s">
        <v>62</v>
      </c>
      <c r="N6423">
        <v>77554242</v>
      </c>
    </row>
    <row r="6424" spans="1:14" x14ac:dyDescent="0.25">
      <c r="A6424">
        <v>63363895</v>
      </c>
      <c r="B6424" t="s">
        <v>2161</v>
      </c>
      <c r="C6424" t="s">
        <v>2175</v>
      </c>
      <c r="D6424" t="s">
        <v>13694</v>
      </c>
      <c r="E6424">
        <v>3123715416</v>
      </c>
      <c r="F6424" t="s">
        <v>2544</v>
      </c>
      <c r="G6424" t="s">
        <v>4833</v>
      </c>
      <c r="I6424" t="s">
        <v>18</v>
      </c>
      <c r="J6424" s="13">
        <v>46135</v>
      </c>
      <c r="K6424" s="13">
        <v>46143</v>
      </c>
      <c r="L6424" t="s">
        <v>470</v>
      </c>
      <c r="M6424" t="s">
        <v>62</v>
      </c>
      <c r="N6424">
        <v>77554291</v>
      </c>
    </row>
    <row r="6425" spans="1:14" x14ac:dyDescent="0.25">
      <c r="A6425">
        <v>63363911</v>
      </c>
      <c r="B6425" t="s">
        <v>958</v>
      </c>
      <c r="C6425" t="s">
        <v>13695</v>
      </c>
      <c r="D6425" t="s">
        <v>13696</v>
      </c>
      <c r="E6425">
        <v>9103549953</v>
      </c>
      <c r="F6425" t="s">
        <v>688</v>
      </c>
      <c r="G6425" t="s">
        <v>10291</v>
      </c>
      <c r="I6425" t="s">
        <v>48</v>
      </c>
      <c r="J6425" s="13">
        <v>46135</v>
      </c>
      <c r="K6425" s="13">
        <v>46143</v>
      </c>
      <c r="L6425" t="s">
        <v>603</v>
      </c>
      <c r="M6425" t="s">
        <v>56</v>
      </c>
      <c r="N6425">
        <v>77554326</v>
      </c>
    </row>
    <row r="6426" spans="1:14" x14ac:dyDescent="0.25">
      <c r="A6426">
        <v>63364395</v>
      </c>
      <c r="B6426" t="s">
        <v>522</v>
      </c>
      <c r="C6426" t="s">
        <v>13697</v>
      </c>
      <c r="D6426" t="s">
        <v>13698</v>
      </c>
      <c r="E6426">
        <v>9042526864</v>
      </c>
      <c r="F6426" t="s">
        <v>11745</v>
      </c>
      <c r="G6426" t="s">
        <v>6544</v>
      </c>
      <c r="I6426" t="s">
        <v>11746</v>
      </c>
      <c r="J6426" s="13">
        <v>46135</v>
      </c>
      <c r="K6426" s="13">
        <v>46143</v>
      </c>
      <c r="L6426" t="s">
        <v>497</v>
      </c>
      <c r="M6426" t="s">
        <v>54</v>
      </c>
      <c r="N6426">
        <v>77554478</v>
      </c>
    </row>
    <row r="6427" spans="1:14" x14ac:dyDescent="0.25">
      <c r="A6427">
        <v>63364256</v>
      </c>
      <c r="B6427" t="s">
        <v>13699</v>
      </c>
      <c r="C6427" t="s">
        <v>5291</v>
      </c>
      <c r="D6427" t="s">
        <v>13700</v>
      </c>
      <c r="E6427">
        <v>9015529757</v>
      </c>
      <c r="F6427" t="s">
        <v>4941</v>
      </c>
      <c r="G6427" t="s">
        <v>12450</v>
      </c>
      <c r="I6427" t="s">
        <v>12451</v>
      </c>
      <c r="J6427" s="13">
        <v>46135</v>
      </c>
      <c r="K6427" s="13">
        <v>46143</v>
      </c>
      <c r="L6427" t="s">
        <v>479</v>
      </c>
      <c r="M6427" t="s">
        <v>59</v>
      </c>
      <c r="N6427">
        <v>77554650</v>
      </c>
    </row>
    <row r="6428" spans="1:14" x14ac:dyDescent="0.25">
      <c r="A6428">
        <v>63364354</v>
      </c>
      <c r="B6428" t="s">
        <v>6291</v>
      </c>
      <c r="C6428" t="s">
        <v>13701</v>
      </c>
      <c r="D6428" t="s">
        <v>13702</v>
      </c>
      <c r="F6428" t="s">
        <v>11745</v>
      </c>
      <c r="G6428" t="s">
        <v>6544</v>
      </c>
      <c r="I6428" t="s">
        <v>11746</v>
      </c>
      <c r="J6428" s="13">
        <v>46135</v>
      </c>
      <c r="K6428" s="13">
        <v>46143</v>
      </c>
      <c r="L6428" t="s">
        <v>497</v>
      </c>
      <c r="M6428" t="s">
        <v>59</v>
      </c>
      <c r="N6428">
        <v>77556050</v>
      </c>
    </row>
    <row r="6429" spans="1:14" x14ac:dyDescent="0.25">
      <c r="A6429">
        <v>63368891</v>
      </c>
      <c r="B6429" t="s">
        <v>13703</v>
      </c>
      <c r="C6429" t="s">
        <v>13704</v>
      </c>
      <c r="D6429" t="s">
        <v>13705</v>
      </c>
      <c r="E6429">
        <v>4402816554</v>
      </c>
      <c r="F6429" t="s">
        <v>474</v>
      </c>
      <c r="G6429" t="s">
        <v>475</v>
      </c>
      <c r="I6429" t="s">
        <v>132</v>
      </c>
      <c r="J6429" s="13">
        <v>46136</v>
      </c>
      <c r="K6429" s="13">
        <v>46143</v>
      </c>
      <c r="L6429" t="s">
        <v>418</v>
      </c>
      <c r="M6429" t="s">
        <v>59</v>
      </c>
      <c r="N6429">
        <v>77558398</v>
      </c>
    </row>
    <row r="6430" spans="1:14" x14ac:dyDescent="0.25">
      <c r="A6430">
        <v>63369559</v>
      </c>
      <c r="B6430" t="s">
        <v>3272</v>
      </c>
      <c r="C6430" t="s">
        <v>13706</v>
      </c>
      <c r="D6430" t="s">
        <v>13707</v>
      </c>
      <c r="E6430">
        <v>6237641207</v>
      </c>
      <c r="F6430" t="s">
        <v>780</v>
      </c>
      <c r="G6430" t="s">
        <v>781</v>
      </c>
      <c r="I6430" t="s">
        <v>20</v>
      </c>
      <c r="J6430" s="13">
        <v>46136</v>
      </c>
      <c r="K6430" s="13">
        <v>46143</v>
      </c>
      <c r="L6430" t="s">
        <v>1179</v>
      </c>
      <c r="M6430" t="s">
        <v>59</v>
      </c>
      <c r="N6430">
        <v>77558574</v>
      </c>
    </row>
    <row r="6431" spans="1:14" x14ac:dyDescent="0.25">
      <c r="A6431">
        <v>63369468</v>
      </c>
      <c r="B6431" t="s">
        <v>867</v>
      </c>
      <c r="C6431" t="s">
        <v>6711</v>
      </c>
      <c r="D6431" t="s">
        <v>13708</v>
      </c>
      <c r="E6431">
        <v>3186911870</v>
      </c>
      <c r="F6431" t="s">
        <v>551</v>
      </c>
      <c r="G6431" t="s">
        <v>552</v>
      </c>
      <c r="I6431" t="s">
        <v>42</v>
      </c>
      <c r="J6431" s="13">
        <v>46136</v>
      </c>
      <c r="K6431" s="13">
        <v>46143</v>
      </c>
      <c r="L6431" t="s">
        <v>612</v>
      </c>
      <c r="M6431" t="s">
        <v>56</v>
      </c>
      <c r="N6431">
        <v>77558584</v>
      </c>
    </row>
    <row r="6432" spans="1:14" x14ac:dyDescent="0.25">
      <c r="A6432">
        <v>63372903</v>
      </c>
      <c r="B6432" t="s">
        <v>480</v>
      </c>
      <c r="C6432" t="s">
        <v>5882</v>
      </c>
      <c r="D6432" t="s">
        <v>13709</v>
      </c>
      <c r="E6432">
        <v>4403181549</v>
      </c>
      <c r="F6432" t="s">
        <v>569</v>
      </c>
      <c r="G6432" t="s">
        <v>570</v>
      </c>
      <c r="I6432" t="s">
        <v>34</v>
      </c>
      <c r="J6432" s="13">
        <v>46136</v>
      </c>
      <c r="K6432" s="13">
        <v>46143</v>
      </c>
      <c r="L6432" t="s">
        <v>418</v>
      </c>
      <c r="M6432" t="s">
        <v>56</v>
      </c>
      <c r="N6432">
        <v>77558683</v>
      </c>
    </row>
    <row r="6433" spans="1:14" x14ac:dyDescent="0.25">
      <c r="A6433">
        <v>63369618</v>
      </c>
      <c r="B6433" t="s">
        <v>1297</v>
      </c>
      <c r="C6433" t="s">
        <v>13710</v>
      </c>
      <c r="D6433" t="s">
        <v>13711</v>
      </c>
      <c r="E6433">
        <v>9043862577</v>
      </c>
      <c r="F6433" t="s">
        <v>1013</v>
      </c>
      <c r="G6433" t="s">
        <v>1014</v>
      </c>
      <c r="I6433" t="s">
        <v>43</v>
      </c>
      <c r="J6433" s="13">
        <v>46136</v>
      </c>
      <c r="K6433" s="13">
        <v>46143</v>
      </c>
      <c r="L6433" t="s">
        <v>497</v>
      </c>
      <c r="M6433" t="s">
        <v>11843</v>
      </c>
      <c r="N6433">
        <v>77558807</v>
      </c>
    </row>
    <row r="6434" spans="1:14" x14ac:dyDescent="0.25">
      <c r="A6434">
        <v>63371473</v>
      </c>
      <c r="B6434" t="s">
        <v>8203</v>
      </c>
      <c r="C6434" t="s">
        <v>13712</v>
      </c>
      <c r="D6434" t="s">
        <v>13713</v>
      </c>
      <c r="E6434">
        <v>7274173417</v>
      </c>
      <c r="F6434" t="s">
        <v>807</v>
      </c>
      <c r="G6434" t="s">
        <v>808</v>
      </c>
      <c r="I6434" t="s">
        <v>33</v>
      </c>
      <c r="J6434" s="13">
        <v>46136</v>
      </c>
      <c r="K6434" s="13">
        <v>46143</v>
      </c>
      <c r="L6434" t="s">
        <v>497</v>
      </c>
      <c r="M6434" t="s">
        <v>54</v>
      </c>
      <c r="N6434">
        <v>77558856</v>
      </c>
    </row>
    <row r="6435" spans="1:14" x14ac:dyDescent="0.25">
      <c r="A6435">
        <v>63369922</v>
      </c>
      <c r="B6435" t="s">
        <v>8542</v>
      </c>
      <c r="C6435" t="s">
        <v>5159</v>
      </c>
      <c r="D6435" t="s">
        <v>13714</v>
      </c>
      <c r="E6435">
        <v>3123428263</v>
      </c>
      <c r="F6435" t="s">
        <v>4941</v>
      </c>
      <c r="G6435" t="s">
        <v>12450</v>
      </c>
      <c r="I6435" t="s">
        <v>12451</v>
      </c>
      <c r="J6435" s="13">
        <v>46136</v>
      </c>
      <c r="K6435" s="13">
        <v>46143</v>
      </c>
      <c r="L6435" t="s">
        <v>470</v>
      </c>
      <c r="M6435" t="s">
        <v>62</v>
      </c>
      <c r="N6435">
        <v>77558860</v>
      </c>
    </row>
    <row r="6436" spans="1:14" x14ac:dyDescent="0.25">
      <c r="A6436">
        <v>63371336</v>
      </c>
      <c r="B6436" t="s">
        <v>13715</v>
      </c>
      <c r="C6436" t="s">
        <v>3270</v>
      </c>
      <c r="D6436" t="s">
        <v>13716</v>
      </c>
      <c r="E6436">
        <v>9283265655</v>
      </c>
      <c r="F6436" t="s">
        <v>11745</v>
      </c>
      <c r="G6436" t="s">
        <v>6544</v>
      </c>
      <c r="I6436" t="s">
        <v>11746</v>
      </c>
      <c r="J6436" s="13">
        <v>46136</v>
      </c>
      <c r="K6436" s="13">
        <v>46143</v>
      </c>
      <c r="L6436" t="s">
        <v>1179</v>
      </c>
      <c r="M6436" t="s">
        <v>59</v>
      </c>
      <c r="N6436">
        <v>77559199</v>
      </c>
    </row>
    <row r="6437" spans="1:14" x14ac:dyDescent="0.25">
      <c r="A6437">
        <v>63370071</v>
      </c>
      <c r="B6437" t="s">
        <v>13717</v>
      </c>
      <c r="C6437" t="s">
        <v>11312</v>
      </c>
      <c r="D6437" t="s">
        <v>13718</v>
      </c>
      <c r="E6437">
        <v>9313198996</v>
      </c>
      <c r="F6437" t="s">
        <v>416</v>
      </c>
      <c r="G6437" t="s">
        <v>417</v>
      </c>
      <c r="I6437" t="s">
        <v>26</v>
      </c>
      <c r="J6437" s="13">
        <v>46136</v>
      </c>
      <c r="K6437" s="13">
        <v>46143</v>
      </c>
      <c r="L6437" t="s">
        <v>497</v>
      </c>
      <c r="M6437" t="s">
        <v>54</v>
      </c>
      <c r="N6437">
        <v>77559253</v>
      </c>
    </row>
    <row r="6438" spans="1:14" x14ac:dyDescent="0.25">
      <c r="A6438">
        <v>63371171</v>
      </c>
      <c r="B6438" t="s">
        <v>3199</v>
      </c>
      <c r="C6438" t="s">
        <v>13719</v>
      </c>
      <c r="D6438" t="s">
        <v>13720</v>
      </c>
      <c r="E6438">
        <v>9013143405</v>
      </c>
      <c r="F6438" t="s">
        <v>688</v>
      </c>
      <c r="G6438" t="s">
        <v>10291</v>
      </c>
      <c r="I6438" t="s">
        <v>48</v>
      </c>
      <c r="J6438" s="13">
        <v>46136</v>
      </c>
      <c r="K6438" s="13">
        <v>46143</v>
      </c>
      <c r="L6438" t="s">
        <v>479</v>
      </c>
      <c r="M6438" t="s">
        <v>58</v>
      </c>
      <c r="N6438">
        <v>77559643</v>
      </c>
    </row>
    <row r="6439" spans="1:14" x14ac:dyDescent="0.25">
      <c r="A6439">
        <v>63373512</v>
      </c>
      <c r="B6439" t="s">
        <v>2254</v>
      </c>
      <c r="C6439" t="s">
        <v>8440</v>
      </c>
      <c r="D6439" t="s">
        <v>13721</v>
      </c>
      <c r="E6439">
        <v>2709457500</v>
      </c>
      <c r="F6439" t="s">
        <v>10460</v>
      </c>
      <c r="G6439" t="s">
        <v>6663</v>
      </c>
      <c r="I6439" t="s">
        <v>40</v>
      </c>
      <c r="J6439" s="13">
        <v>46136</v>
      </c>
      <c r="K6439" s="13">
        <v>46143</v>
      </c>
      <c r="L6439" t="s">
        <v>490</v>
      </c>
      <c r="M6439" t="s">
        <v>59</v>
      </c>
      <c r="N6439">
        <v>77561852</v>
      </c>
    </row>
    <row r="6440" spans="1:14" x14ac:dyDescent="0.25">
      <c r="A6440">
        <v>63373424</v>
      </c>
      <c r="B6440" t="s">
        <v>521</v>
      </c>
      <c r="C6440" t="s">
        <v>564</v>
      </c>
      <c r="D6440" t="s">
        <v>13722</v>
      </c>
      <c r="E6440">
        <v>4703345167</v>
      </c>
      <c r="F6440" t="s">
        <v>828</v>
      </c>
      <c r="G6440" t="s">
        <v>1148</v>
      </c>
      <c r="I6440" t="s">
        <v>17</v>
      </c>
      <c r="J6440" s="13">
        <v>46136</v>
      </c>
      <c r="K6440" s="13">
        <v>46143</v>
      </c>
      <c r="L6440" t="s">
        <v>603</v>
      </c>
      <c r="M6440" t="s">
        <v>55</v>
      </c>
      <c r="N6440">
        <v>77561906</v>
      </c>
    </row>
    <row r="6441" spans="1:14" x14ac:dyDescent="0.25">
      <c r="A6441">
        <v>63375140</v>
      </c>
      <c r="B6441" t="s">
        <v>13723</v>
      </c>
      <c r="C6441" t="s">
        <v>13724</v>
      </c>
      <c r="D6441" t="s">
        <v>13725</v>
      </c>
      <c r="E6441">
        <v>4804019521</v>
      </c>
      <c r="F6441" t="s">
        <v>416</v>
      </c>
      <c r="G6441" t="s">
        <v>417</v>
      </c>
      <c r="I6441" t="s">
        <v>26</v>
      </c>
      <c r="J6441" s="13">
        <v>46136</v>
      </c>
      <c r="K6441" s="13">
        <v>46143</v>
      </c>
      <c r="L6441" t="s">
        <v>1179</v>
      </c>
      <c r="M6441" t="s">
        <v>54</v>
      </c>
      <c r="N6441">
        <v>77562484</v>
      </c>
    </row>
    <row r="6442" spans="1:14" x14ac:dyDescent="0.25">
      <c r="A6442">
        <v>63374166</v>
      </c>
      <c r="B6442" t="s">
        <v>3113</v>
      </c>
      <c r="C6442" t="s">
        <v>13726</v>
      </c>
      <c r="D6442" t="s">
        <v>13727</v>
      </c>
      <c r="E6442">
        <v>3303109626</v>
      </c>
      <c r="F6442" t="s">
        <v>2544</v>
      </c>
      <c r="G6442" t="s">
        <v>4833</v>
      </c>
      <c r="I6442" t="s">
        <v>18</v>
      </c>
      <c r="J6442" s="13">
        <v>46136</v>
      </c>
      <c r="K6442" s="13">
        <v>46143</v>
      </c>
      <c r="L6442" t="s">
        <v>418</v>
      </c>
      <c r="M6442" t="s">
        <v>59</v>
      </c>
      <c r="N6442">
        <v>77562618</v>
      </c>
    </row>
    <row r="6443" spans="1:14" x14ac:dyDescent="0.25">
      <c r="A6443">
        <v>63373581</v>
      </c>
      <c r="B6443" t="s">
        <v>11731</v>
      </c>
      <c r="C6443" t="s">
        <v>8523</v>
      </c>
      <c r="D6443" t="s">
        <v>13728</v>
      </c>
      <c r="E6443">
        <v>3128136317</v>
      </c>
      <c r="F6443" t="s">
        <v>474</v>
      </c>
      <c r="G6443" t="s">
        <v>475</v>
      </c>
      <c r="I6443" t="s">
        <v>132</v>
      </c>
      <c r="J6443" s="13">
        <v>46136</v>
      </c>
      <c r="K6443" s="13">
        <v>46143</v>
      </c>
      <c r="L6443" t="s">
        <v>470</v>
      </c>
      <c r="M6443" t="s">
        <v>62</v>
      </c>
      <c r="N6443">
        <v>77563031</v>
      </c>
    </row>
    <row r="6444" spans="1:14" x14ac:dyDescent="0.25">
      <c r="A6444">
        <v>63376191</v>
      </c>
      <c r="B6444" t="s">
        <v>9689</v>
      </c>
      <c r="C6444" t="s">
        <v>13729</v>
      </c>
      <c r="D6444" t="s">
        <v>13730</v>
      </c>
      <c r="E6444">
        <v>5089335622</v>
      </c>
      <c r="F6444" t="s">
        <v>11776</v>
      </c>
      <c r="G6444" t="s">
        <v>3895</v>
      </c>
      <c r="H6444" t="s">
        <v>11777</v>
      </c>
      <c r="I6444" t="s">
        <v>11778</v>
      </c>
      <c r="J6444" s="13">
        <v>46136</v>
      </c>
      <c r="K6444" s="13">
        <v>46143</v>
      </c>
      <c r="L6444" t="s">
        <v>440</v>
      </c>
      <c r="M6444" t="s">
        <v>59</v>
      </c>
      <c r="N6444">
        <v>77563424</v>
      </c>
    </row>
    <row r="6445" spans="1:14" x14ac:dyDescent="0.25">
      <c r="A6445">
        <v>63375561</v>
      </c>
      <c r="B6445" t="s">
        <v>7466</v>
      </c>
      <c r="C6445" t="s">
        <v>3528</v>
      </c>
      <c r="D6445" t="s">
        <v>13731</v>
      </c>
      <c r="E6445">
        <v>6234561654</v>
      </c>
      <c r="F6445" t="s">
        <v>10591</v>
      </c>
      <c r="G6445" t="s">
        <v>10215</v>
      </c>
      <c r="I6445" t="s">
        <v>32</v>
      </c>
      <c r="J6445" s="13">
        <v>46136</v>
      </c>
      <c r="K6445" s="13">
        <v>46143</v>
      </c>
      <c r="L6445" t="s">
        <v>1179</v>
      </c>
      <c r="M6445" t="s">
        <v>1779</v>
      </c>
      <c r="N6445">
        <v>77563865</v>
      </c>
    </row>
    <row r="6446" spans="1:14" x14ac:dyDescent="0.25">
      <c r="A6446">
        <v>63375576</v>
      </c>
      <c r="B6446" t="s">
        <v>5137</v>
      </c>
      <c r="C6446" t="s">
        <v>13732</v>
      </c>
      <c r="D6446" t="s">
        <v>13733</v>
      </c>
      <c r="E6446">
        <v>4802952135</v>
      </c>
      <c r="F6446" t="s">
        <v>1013</v>
      </c>
      <c r="G6446" t="s">
        <v>1014</v>
      </c>
      <c r="I6446" t="s">
        <v>43</v>
      </c>
      <c r="J6446" s="13">
        <v>46136</v>
      </c>
      <c r="K6446" s="13">
        <v>46143</v>
      </c>
      <c r="L6446" t="s">
        <v>1179</v>
      </c>
      <c r="M6446" t="s">
        <v>54</v>
      </c>
      <c r="N6446">
        <v>77563959</v>
      </c>
    </row>
    <row r="6447" spans="1:14" x14ac:dyDescent="0.25">
      <c r="A6447">
        <v>63376143</v>
      </c>
      <c r="B6447" t="s">
        <v>2280</v>
      </c>
      <c r="C6447" t="s">
        <v>1644</v>
      </c>
      <c r="D6447" t="s">
        <v>13734</v>
      </c>
      <c r="E6447">
        <v>2703492798</v>
      </c>
      <c r="F6447" t="s">
        <v>1612</v>
      </c>
      <c r="G6447" t="s">
        <v>4811</v>
      </c>
      <c r="I6447" t="s">
        <v>322</v>
      </c>
      <c r="J6447" s="13">
        <v>46136</v>
      </c>
      <c r="K6447" s="13">
        <v>46143</v>
      </c>
      <c r="L6447" t="s">
        <v>490</v>
      </c>
      <c r="M6447" t="s">
        <v>419</v>
      </c>
      <c r="N6447">
        <v>77564039</v>
      </c>
    </row>
    <row r="6448" spans="1:14" x14ac:dyDescent="0.25">
      <c r="A6448">
        <v>63376673</v>
      </c>
      <c r="B6448" t="s">
        <v>13735</v>
      </c>
      <c r="C6448" t="s">
        <v>13736</v>
      </c>
      <c r="D6448" t="s">
        <v>13737</v>
      </c>
      <c r="E6448">
        <v>6024608603</v>
      </c>
      <c r="F6448" t="s">
        <v>569</v>
      </c>
      <c r="G6448" t="s">
        <v>570</v>
      </c>
      <c r="I6448" t="s">
        <v>34</v>
      </c>
      <c r="J6448" s="13">
        <v>46136</v>
      </c>
      <c r="K6448" s="13">
        <v>46143</v>
      </c>
      <c r="L6448" t="s">
        <v>1179</v>
      </c>
      <c r="M6448" t="s">
        <v>54</v>
      </c>
      <c r="N6448">
        <v>77564910</v>
      </c>
    </row>
    <row r="6449" spans="1:14" x14ac:dyDescent="0.25">
      <c r="A6449">
        <v>63376574</v>
      </c>
      <c r="B6449" t="s">
        <v>8711</v>
      </c>
      <c r="C6449" t="s">
        <v>13738</v>
      </c>
      <c r="D6449" t="s">
        <v>13739</v>
      </c>
      <c r="E6449">
        <v>8042918953</v>
      </c>
      <c r="F6449" t="s">
        <v>551</v>
      </c>
      <c r="G6449" t="s">
        <v>552</v>
      </c>
      <c r="I6449" t="s">
        <v>42</v>
      </c>
      <c r="J6449" s="13">
        <v>46136</v>
      </c>
      <c r="K6449" s="13">
        <v>46143</v>
      </c>
      <c r="L6449" t="s">
        <v>454</v>
      </c>
      <c r="M6449" t="s">
        <v>56</v>
      </c>
      <c r="N6449">
        <v>77565061</v>
      </c>
    </row>
    <row r="6450" spans="1:14" x14ac:dyDescent="0.25">
      <c r="A6450">
        <v>63377806</v>
      </c>
      <c r="B6450" t="s">
        <v>1226</v>
      </c>
      <c r="C6450" t="s">
        <v>13740</v>
      </c>
      <c r="D6450" t="s">
        <v>13741</v>
      </c>
      <c r="E6450">
        <v>6232736461</v>
      </c>
      <c r="F6450" t="s">
        <v>11745</v>
      </c>
      <c r="G6450" t="s">
        <v>6544</v>
      </c>
      <c r="I6450" t="s">
        <v>11746</v>
      </c>
      <c r="J6450" s="13">
        <v>46136</v>
      </c>
      <c r="K6450" s="13">
        <v>46143</v>
      </c>
      <c r="L6450" t="s">
        <v>1179</v>
      </c>
      <c r="M6450" t="s">
        <v>59</v>
      </c>
      <c r="N6450">
        <v>77565189</v>
      </c>
    </row>
    <row r="6451" spans="1:14" x14ac:dyDescent="0.25">
      <c r="A6451">
        <v>63375786</v>
      </c>
      <c r="B6451" t="s">
        <v>4325</v>
      </c>
      <c r="C6451" t="s">
        <v>1068</v>
      </c>
      <c r="D6451" t="s">
        <v>13742</v>
      </c>
      <c r="E6451">
        <v>4703345167</v>
      </c>
      <c r="F6451" t="s">
        <v>828</v>
      </c>
      <c r="G6451" t="s">
        <v>1148</v>
      </c>
      <c r="I6451" t="s">
        <v>17</v>
      </c>
      <c r="J6451" s="13">
        <v>46136</v>
      </c>
      <c r="K6451" s="13">
        <v>46143</v>
      </c>
      <c r="L6451" t="s">
        <v>603</v>
      </c>
      <c r="M6451" t="s">
        <v>55</v>
      </c>
      <c r="N6451">
        <v>77565319</v>
      </c>
    </row>
    <row r="6452" spans="1:14" x14ac:dyDescent="0.25">
      <c r="A6452">
        <v>63384587</v>
      </c>
      <c r="B6452" t="s">
        <v>1408</v>
      </c>
      <c r="C6452" t="s">
        <v>13743</v>
      </c>
      <c r="D6452" t="s">
        <v>13744</v>
      </c>
      <c r="E6452">
        <v>2244137051</v>
      </c>
      <c r="F6452" t="s">
        <v>10642</v>
      </c>
      <c r="G6452" t="s">
        <v>10643</v>
      </c>
      <c r="I6452" t="s">
        <v>45</v>
      </c>
      <c r="J6452" s="13">
        <v>46136</v>
      </c>
      <c r="K6452" s="13">
        <v>46143</v>
      </c>
      <c r="L6452" t="s">
        <v>470</v>
      </c>
      <c r="M6452" t="s">
        <v>62</v>
      </c>
      <c r="N6452">
        <v>77565489</v>
      </c>
    </row>
    <row r="6453" spans="1:14" x14ac:dyDescent="0.25">
      <c r="A6453">
        <v>63378722</v>
      </c>
      <c r="B6453" t="s">
        <v>958</v>
      </c>
      <c r="C6453" t="s">
        <v>12925</v>
      </c>
      <c r="D6453" t="s">
        <v>13745</v>
      </c>
      <c r="E6453">
        <v>7722092166</v>
      </c>
      <c r="F6453" t="s">
        <v>10569</v>
      </c>
      <c r="G6453" t="s">
        <v>10570</v>
      </c>
      <c r="I6453" t="s">
        <v>29</v>
      </c>
      <c r="J6453" s="13">
        <v>46136</v>
      </c>
      <c r="K6453" s="13">
        <v>46143</v>
      </c>
      <c r="L6453" t="s">
        <v>497</v>
      </c>
      <c r="M6453" t="s">
        <v>54</v>
      </c>
      <c r="N6453">
        <v>77565826</v>
      </c>
    </row>
    <row r="6454" spans="1:14" x14ac:dyDescent="0.25">
      <c r="A6454">
        <v>63410907</v>
      </c>
      <c r="B6454" t="s">
        <v>702</v>
      </c>
      <c r="C6454" t="s">
        <v>903</v>
      </c>
      <c r="D6454" t="s">
        <v>13746</v>
      </c>
      <c r="E6454">
        <v>7154168709</v>
      </c>
      <c r="F6454" t="s">
        <v>551</v>
      </c>
      <c r="G6454" t="s">
        <v>552</v>
      </c>
      <c r="I6454" t="s">
        <v>42</v>
      </c>
      <c r="K6454" s="13">
        <v>46143</v>
      </c>
      <c r="L6454" t="s">
        <v>675</v>
      </c>
      <c r="M6454" t="s">
        <v>419</v>
      </c>
      <c r="N6454">
        <v>77603910</v>
      </c>
    </row>
    <row r="6455" spans="1:14" x14ac:dyDescent="0.25">
      <c r="A6455">
        <v>63411331</v>
      </c>
      <c r="B6455" t="s">
        <v>3454</v>
      </c>
      <c r="C6455" t="s">
        <v>13747</v>
      </c>
      <c r="D6455" t="s">
        <v>13748</v>
      </c>
      <c r="E6455">
        <v>6063104298</v>
      </c>
      <c r="F6455" t="s">
        <v>688</v>
      </c>
      <c r="G6455" t="s">
        <v>10291</v>
      </c>
      <c r="I6455" t="s">
        <v>48</v>
      </c>
      <c r="J6455" s="13">
        <v>46139</v>
      </c>
      <c r="K6455" s="13">
        <v>46143</v>
      </c>
      <c r="L6455" t="s">
        <v>490</v>
      </c>
      <c r="M6455" t="s">
        <v>56</v>
      </c>
      <c r="N6455">
        <v>77603915</v>
      </c>
    </row>
    <row r="6456" spans="1:14" x14ac:dyDescent="0.25">
      <c r="A6456">
        <v>63412762</v>
      </c>
      <c r="B6456" t="s">
        <v>1515</v>
      </c>
      <c r="C6456" t="s">
        <v>13749</v>
      </c>
      <c r="D6456" t="s">
        <v>13750</v>
      </c>
      <c r="E6456">
        <v>4699124483</v>
      </c>
      <c r="F6456" t="s">
        <v>815</v>
      </c>
      <c r="G6456" t="s">
        <v>816</v>
      </c>
      <c r="I6456" t="s">
        <v>23</v>
      </c>
      <c r="J6456" s="13">
        <v>46139</v>
      </c>
      <c r="K6456" s="13">
        <v>46143</v>
      </c>
      <c r="L6456" t="s">
        <v>497</v>
      </c>
      <c r="M6456" t="s">
        <v>56</v>
      </c>
      <c r="N6456">
        <v>77603936</v>
      </c>
    </row>
    <row r="6457" spans="1:14" x14ac:dyDescent="0.25">
      <c r="A6457">
        <v>63411841</v>
      </c>
      <c r="B6457" t="s">
        <v>2469</v>
      </c>
      <c r="C6457" t="s">
        <v>13751</v>
      </c>
      <c r="D6457" t="s">
        <v>13752</v>
      </c>
      <c r="E6457">
        <v>7274223145</v>
      </c>
      <c r="F6457" t="s">
        <v>448</v>
      </c>
      <c r="G6457" t="s">
        <v>449</v>
      </c>
      <c r="I6457" t="s">
        <v>31</v>
      </c>
      <c r="J6457" s="13">
        <v>46139</v>
      </c>
      <c r="K6457" s="13">
        <v>46143</v>
      </c>
      <c r="L6457" t="s">
        <v>497</v>
      </c>
      <c r="M6457" t="s">
        <v>58</v>
      </c>
      <c r="N6457">
        <v>77603941</v>
      </c>
    </row>
    <row r="6458" spans="1:14" x14ac:dyDescent="0.25">
      <c r="A6458">
        <v>63410345</v>
      </c>
      <c r="B6458" t="s">
        <v>5329</v>
      </c>
      <c r="C6458" t="s">
        <v>13753</v>
      </c>
      <c r="D6458" t="s">
        <v>13754</v>
      </c>
      <c r="E6458">
        <v>2164567393</v>
      </c>
      <c r="F6458" t="s">
        <v>705</v>
      </c>
      <c r="G6458" t="s">
        <v>706</v>
      </c>
      <c r="I6458" t="s">
        <v>12</v>
      </c>
      <c r="J6458" s="13">
        <v>46139</v>
      </c>
      <c r="K6458" s="13">
        <v>46143</v>
      </c>
      <c r="L6458" t="s">
        <v>418</v>
      </c>
      <c r="M6458" t="s">
        <v>58</v>
      </c>
      <c r="N6458">
        <v>77604006</v>
      </c>
    </row>
    <row r="6459" spans="1:14" x14ac:dyDescent="0.25">
      <c r="A6459">
        <v>63411040</v>
      </c>
      <c r="B6459" t="s">
        <v>8214</v>
      </c>
      <c r="C6459" t="s">
        <v>13755</v>
      </c>
      <c r="D6459" t="s">
        <v>13756</v>
      </c>
      <c r="E6459">
        <v>7733365092</v>
      </c>
      <c r="F6459" t="s">
        <v>574</v>
      </c>
      <c r="G6459" t="s">
        <v>575</v>
      </c>
      <c r="I6459" t="s">
        <v>14</v>
      </c>
      <c r="J6459" s="13">
        <v>46139</v>
      </c>
      <c r="K6459" s="13">
        <v>46143</v>
      </c>
      <c r="L6459" t="s">
        <v>470</v>
      </c>
      <c r="M6459" t="s">
        <v>62</v>
      </c>
      <c r="N6459">
        <v>77604017</v>
      </c>
    </row>
    <row r="6460" spans="1:14" x14ac:dyDescent="0.25">
      <c r="A6460">
        <v>63411143</v>
      </c>
      <c r="B6460" t="s">
        <v>13757</v>
      </c>
      <c r="C6460" t="s">
        <v>13758</v>
      </c>
      <c r="D6460" t="s">
        <v>13759</v>
      </c>
      <c r="E6460">
        <v>7272724587</v>
      </c>
      <c r="F6460" t="s">
        <v>775</v>
      </c>
      <c r="G6460" t="s">
        <v>776</v>
      </c>
      <c r="I6460" t="s">
        <v>22</v>
      </c>
      <c r="J6460" s="13">
        <v>46139</v>
      </c>
      <c r="K6460" s="13">
        <v>46143</v>
      </c>
      <c r="L6460" t="s">
        <v>497</v>
      </c>
      <c r="M6460" t="s">
        <v>56</v>
      </c>
      <c r="N6460">
        <v>77604021</v>
      </c>
    </row>
    <row r="6461" spans="1:14" x14ac:dyDescent="0.25">
      <c r="A6461">
        <v>63422397</v>
      </c>
      <c r="B6461" t="s">
        <v>517</v>
      </c>
      <c r="C6461" t="s">
        <v>13760</v>
      </c>
      <c r="D6461" t="s">
        <v>13761</v>
      </c>
      <c r="E6461">
        <v>7735676644</v>
      </c>
      <c r="F6461" t="s">
        <v>4941</v>
      </c>
      <c r="G6461" t="s">
        <v>12450</v>
      </c>
      <c r="I6461" t="s">
        <v>12451</v>
      </c>
      <c r="J6461" s="13">
        <v>46139</v>
      </c>
      <c r="K6461" s="13">
        <v>46143</v>
      </c>
      <c r="L6461" t="s">
        <v>470</v>
      </c>
      <c r="M6461" t="s">
        <v>62</v>
      </c>
      <c r="N6461">
        <v>77604211</v>
      </c>
    </row>
    <row r="6462" spans="1:14" x14ac:dyDescent="0.25">
      <c r="A6462">
        <v>63410531</v>
      </c>
      <c r="B6462" t="s">
        <v>13762</v>
      </c>
      <c r="C6462" t="s">
        <v>546</v>
      </c>
      <c r="D6462" t="s">
        <v>13763</v>
      </c>
      <c r="E6462">
        <v>3364236654</v>
      </c>
      <c r="F6462" t="s">
        <v>10460</v>
      </c>
      <c r="G6462" t="s">
        <v>6663</v>
      </c>
      <c r="I6462" t="s">
        <v>40</v>
      </c>
      <c r="J6462" s="13">
        <v>46139</v>
      </c>
      <c r="K6462" s="13">
        <v>46143</v>
      </c>
      <c r="L6462" t="s">
        <v>603</v>
      </c>
      <c r="M6462" t="s">
        <v>59</v>
      </c>
      <c r="N6462">
        <v>77604221</v>
      </c>
    </row>
    <row r="6463" spans="1:14" x14ac:dyDescent="0.25">
      <c r="A6463">
        <v>63413264</v>
      </c>
      <c r="B6463" t="s">
        <v>3792</v>
      </c>
      <c r="C6463" t="s">
        <v>13764</v>
      </c>
      <c r="D6463" t="s">
        <v>13765</v>
      </c>
      <c r="E6463">
        <v>9543287835</v>
      </c>
      <c r="F6463" t="s">
        <v>416</v>
      </c>
      <c r="G6463" t="s">
        <v>417</v>
      </c>
      <c r="I6463" t="s">
        <v>26</v>
      </c>
      <c r="J6463" s="13">
        <v>46139</v>
      </c>
      <c r="K6463" s="13">
        <v>46143</v>
      </c>
      <c r="L6463" t="s">
        <v>497</v>
      </c>
      <c r="M6463" t="s">
        <v>56</v>
      </c>
      <c r="N6463">
        <v>77604565</v>
      </c>
    </row>
    <row r="6464" spans="1:14" x14ac:dyDescent="0.25">
      <c r="A6464">
        <v>63412747</v>
      </c>
      <c r="B6464" t="s">
        <v>2526</v>
      </c>
      <c r="C6464" t="s">
        <v>13766</v>
      </c>
      <c r="D6464" t="s">
        <v>13767</v>
      </c>
      <c r="E6464">
        <v>7084006474</v>
      </c>
      <c r="F6464" t="s">
        <v>2544</v>
      </c>
      <c r="G6464" t="s">
        <v>4833</v>
      </c>
      <c r="I6464" t="s">
        <v>18</v>
      </c>
      <c r="J6464" s="13">
        <v>46139</v>
      </c>
      <c r="K6464" s="13">
        <v>46143</v>
      </c>
      <c r="L6464" t="s">
        <v>470</v>
      </c>
      <c r="M6464" t="s">
        <v>62</v>
      </c>
      <c r="N6464">
        <v>77605470</v>
      </c>
    </row>
    <row r="6465" spans="1:14" x14ac:dyDescent="0.25">
      <c r="A6465">
        <v>63413115</v>
      </c>
      <c r="B6465" t="s">
        <v>13768</v>
      </c>
      <c r="C6465" t="s">
        <v>13769</v>
      </c>
      <c r="D6465" t="s">
        <v>13770</v>
      </c>
      <c r="E6465">
        <v>3129755407</v>
      </c>
      <c r="F6465" t="s">
        <v>474</v>
      </c>
      <c r="G6465" t="s">
        <v>475</v>
      </c>
      <c r="I6465" t="s">
        <v>132</v>
      </c>
      <c r="J6465" s="13">
        <v>46139</v>
      </c>
      <c r="K6465" s="13">
        <v>46143</v>
      </c>
      <c r="L6465" t="s">
        <v>479</v>
      </c>
      <c r="M6465" t="s">
        <v>56</v>
      </c>
      <c r="N6465">
        <v>77605810</v>
      </c>
    </row>
    <row r="6466" spans="1:14" x14ac:dyDescent="0.25">
      <c r="A6466">
        <v>63414308</v>
      </c>
      <c r="B6466" t="s">
        <v>4248</v>
      </c>
      <c r="C6466" t="s">
        <v>10287</v>
      </c>
      <c r="D6466" t="s">
        <v>13771</v>
      </c>
      <c r="E6466">
        <v>9123007312</v>
      </c>
      <c r="F6466" t="s">
        <v>828</v>
      </c>
      <c r="G6466" t="s">
        <v>1148</v>
      </c>
      <c r="I6466" t="s">
        <v>17</v>
      </c>
      <c r="J6466" s="13">
        <v>46139</v>
      </c>
      <c r="K6466" s="13">
        <v>46143</v>
      </c>
      <c r="L6466" t="s">
        <v>621</v>
      </c>
      <c r="M6466" t="s">
        <v>56</v>
      </c>
      <c r="N6466">
        <v>77605999</v>
      </c>
    </row>
    <row r="6467" spans="1:14" x14ac:dyDescent="0.25">
      <c r="A6467">
        <v>63415217</v>
      </c>
      <c r="B6467" t="s">
        <v>13772</v>
      </c>
      <c r="C6467" t="s">
        <v>889</v>
      </c>
      <c r="D6467" t="s">
        <v>13773</v>
      </c>
      <c r="E6467">
        <v>3175664339</v>
      </c>
      <c r="F6467" t="s">
        <v>416</v>
      </c>
      <c r="G6467" t="s">
        <v>417</v>
      </c>
      <c r="I6467" t="s">
        <v>26</v>
      </c>
      <c r="J6467" s="13">
        <v>46139</v>
      </c>
      <c r="K6467" s="13">
        <v>46143</v>
      </c>
      <c r="L6467" t="s">
        <v>497</v>
      </c>
      <c r="M6467" t="s">
        <v>56</v>
      </c>
      <c r="N6467">
        <v>77606248</v>
      </c>
    </row>
    <row r="6468" spans="1:14" x14ac:dyDescent="0.25">
      <c r="A6468">
        <v>63415122</v>
      </c>
      <c r="B6468" t="s">
        <v>501</v>
      </c>
      <c r="C6468" t="s">
        <v>2544</v>
      </c>
      <c r="D6468" t="s">
        <v>13774</v>
      </c>
      <c r="E6468">
        <v>6023009990</v>
      </c>
      <c r="F6468" t="s">
        <v>1345</v>
      </c>
      <c r="G6468" t="s">
        <v>799</v>
      </c>
      <c r="I6468" t="s">
        <v>47</v>
      </c>
      <c r="J6468" s="13">
        <v>46139</v>
      </c>
      <c r="K6468" s="13">
        <v>46143</v>
      </c>
      <c r="L6468" t="s">
        <v>1179</v>
      </c>
      <c r="M6468" t="s">
        <v>54</v>
      </c>
      <c r="N6468">
        <v>77606544</v>
      </c>
    </row>
    <row r="6469" spans="1:14" x14ac:dyDescent="0.25">
      <c r="A6469">
        <v>63415138</v>
      </c>
      <c r="B6469" t="s">
        <v>13775</v>
      </c>
      <c r="C6469" t="s">
        <v>13776</v>
      </c>
      <c r="D6469" t="s">
        <v>13777</v>
      </c>
      <c r="E6469">
        <v>7739964365</v>
      </c>
      <c r="F6469" t="s">
        <v>10460</v>
      </c>
      <c r="G6469" t="s">
        <v>6663</v>
      </c>
      <c r="I6469" t="s">
        <v>40</v>
      </c>
      <c r="J6469" s="13">
        <v>46139</v>
      </c>
      <c r="K6469" s="13">
        <v>46143</v>
      </c>
      <c r="L6469" t="s">
        <v>470</v>
      </c>
      <c r="M6469" t="s">
        <v>59</v>
      </c>
      <c r="N6469">
        <v>77606869</v>
      </c>
    </row>
    <row r="6470" spans="1:14" x14ac:dyDescent="0.25">
      <c r="A6470">
        <v>63415300</v>
      </c>
      <c r="B6470" t="s">
        <v>8291</v>
      </c>
      <c r="C6470" t="s">
        <v>5052</v>
      </c>
      <c r="D6470" t="s">
        <v>13778</v>
      </c>
      <c r="E6470">
        <v>6232894303</v>
      </c>
      <c r="F6470" t="s">
        <v>807</v>
      </c>
      <c r="G6470" t="s">
        <v>808</v>
      </c>
      <c r="I6470" t="s">
        <v>33</v>
      </c>
      <c r="J6470" s="13">
        <v>46139</v>
      </c>
      <c r="K6470" s="13">
        <v>46143</v>
      </c>
      <c r="L6470" t="s">
        <v>1179</v>
      </c>
      <c r="M6470" t="s">
        <v>54</v>
      </c>
      <c r="N6470">
        <v>77607223</v>
      </c>
    </row>
    <row r="6471" spans="1:14" x14ac:dyDescent="0.25">
      <c r="A6471">
        <v>63421637</v>
      </c>
      <c r="B6471" t="s">
        <v>1038</v>
      </c>
      <c r="C6471" t="s">
        <v>13779</v>
      </c>
      <c r="D6471" t="s">
        <v>13780</v>
      </c>
      <c r="E6471">
        <v>3307801842</v>
      </c>
      <c r="F6471" t="s">
        <v>10642</v>
      </c>
      <c r="G6471" t="s">
        <v>10643</v>
      </c>
      <c r="I6471" t="s">
        <v>45</v>
      </c>
      <c r="J6471" s="13">
        <v>46139</v>
      </c>
      <c r="K6471" s="13">
        <v>46143</v>
      </c>
      <c r="L6471" t="s">
        <v>418</v>
      </c>
      <c r="M6471" t="s">
        <v>60</v>
      </c>
      <c r="N6471">
        <v>77607228</v>
      </c>
    </row>
    <row r="6472" spans="1:14" x14ac:dyDescent="0.25">
      <c r="A6472">
        <v>63415966</v>
      </c>
      <c r="B6472" t="s">
        <v>13781</v>
      </c>
      <c r="C6472" t="s">
        <v>1442</v>
      </c>
      <c r="D6472" t="s">
        <v>13782</v>
      </c>
      <c r="E6472">
        <v>2695017047</v>
      </c>
      <c r="F6472" t="s">
        <v>2544</v>
      </c>
      <c r="G6472" t="s">
        <v>4833</v>
      </c>
      <c r="I6472" t="s">
        <v>18</v>
      </c>
      <c r="J6472" s="13">
        <v>46139</v>
      </c>
      <c r="K6472" s="13">
        <v>46143</v>
      </c>
      <c r="L6472" t="s">
        <v>440</v>
      </c>
      <c r="M6472" t="s">
        <v>59</v>
      </c>
      <c r="N6472">
        <v>77607942</v>
      </c>
    </row>
    <row r="6473" spans="1:14" x14ac:dyDescent="0.25">
      <c r="A6473">
        <v>63422601</v>
      </c>
      <c r="B6473" t="s">
        <v>13783</v>
      </c>
      <c r="C6473" t="s">
        <v>13784</v>
      </c>
      <c r="D6473" t="s">
        <v>13785</v>
      </c>
      <c r="E6473">
        <v>4803929502</v>
      </c>
      <c r="F6473" t="s">
        <v>807</v>
      </c>
      <c r="G6473" t="s">
        <v>808</v>
      </c>
      <c r="I6473" t="s">
        <v>33</v>
      </c>
      <c r="J6473" s="13">
        <v>46139</v>
      </c>
      <c r="K6473" s="13">
        <v>46143</v>
      </c>
      <c r="L6473" t="s">
        <v>1179</v>
      </c>
      <c r="M6473" t="s">
        <v>56</v>
      </c>
      <c r="N6473">
        <v>77609488</v>
      </c>
    </row>
    <row r="6474" spans="1:14" x14ac:dyDescent="0.25">
      <c r="A6474">
        <v>63420600</v>
      </c>
      <c r="B6474" t="s">
        <v>777</v>
      </c>
      <c r="C6474" t="s">
        <v>1016</v>
      </c>
      <c r="D6474" t="s">
        <v>13786</v>
      </c>
      <c r="E6474">
        <v>7576979374</v>
      </c>
      <c r="F6474" t="s">
        <v>474</v>
      </c>
      <c r="G6474" t="s">
        <v>475</v>
      </c>
      <c r="I6474" t="s">
        <v>132</v>
      </c>
      <c r="J6474" s="13">
        <v>46139</v>
      </c>
      <c r="K6474" s="13">
        <v>46143</v>
      </c>
      <c r="L6474" t="s">
        <v>479</v>
      </c>
      <c r="M6474" t="s">
        <v>56</v>
      </c>
      <c r="N6474">
        <v>77609769</v>
      </c>
    </row>
    <row r="6475" spans="1:14" x14ac:dyDescent="0.25">
      <c r="A6475">
        <v>63423371</v>
      </c>
      <c r="B6475" t="s">
        <v>1167</v>
      </c>
      <c r="C6475" t="s">
        <v>9678</v>
      </c>
      <c r="D6475" t="s">
        <v>13787</v>
      </c>
      <c r="E6475">
        <v>5202356228</v>
      </c>
      <c r="F6475" t="s">
        <v>780</v>
      </c>
      <c r="G6475" t="s">
        <v>781</v>
      </c>
      <c r="I6475" t="s">
        <v>20</v>
      </c>
      <c r="J6475" s="13">
        <v>46139</v>
      </c>
      <c r="K6475" s="13">
        <v>46143</v>
      </c>
      <c r="L6475" t="s">
        <v>1179</v>
      </c>
      <c r="M6475" t="s">
        <v>54</v>
      </c>
      <c r="N6475">
        <v>77609861</v>
      </c>
    </row>
    <row r="6476" spans="1:14" x14ac:dyDescent="0.25">
      <c r="A6476">
        <v>63420978</v>
      </c>
      <c r="B6476" t="s">
        <v>445</v>
      </c>
      <c r="C6476" t="s">
        <v>1787</v>
      </c>
      <c r="D6476" t="s">
        <v>13788</v>
      </c>
      <c r="E6476">
        <v>3022301997</v>
      </c>
      <c r="F6476" t="s">
        <v>551</v>
      </c>
      <c r="G6476" t="s">
        <v>552</v>
      </c>
      <c r="I6476" t="s">
        <v>42</v>
      </c>
      <c r="J6476" s="13">
        <v>46139</v>
      </c>
      <c r="K6476" s="13">
        <v>46143</v>
      </c>
      <c r="L6476" t="s">
        <v>490</v>
      </c>
      <c r="M6476" t="s">
        <v>56</v>
      </c>
      <c r="N6476">
        <v>77609884</v>
      </c>
    </row>
    <row r="6477" spans="1:14" x14ac:dyDescent="0.25">
      <c r="A6477">
        <v>63434508</v>
      </c>
      <c r="B6477" t="s">
        <v>1406</v>
      </c>
      <c r="C6477" t="s">
        <v>13789</v>
      </c>
      <c r="D6477" t="s">
        <v>13790</v>
      </c>
      <c r="E6477">
        <v>7577754483</v>
      </c>
      <c r="F6477" t="s">
        <v>705</v>
      </c>
      <c r="G6477" t="s">
        <v>706</v>
      </c>
      <c r="I6477" t="s">
        <v>12</v>
      </c>
      <c r="J6477" s="13">
        <v>46140</v>
      </c>
      <c r="K6477" s="13">
        <v>46143</v>
      </c>
      <c r="L6477" t="s">
        <v>440</v>
      </c>
      <c r="M6477" t="s">
        <v>62</v>
      </c>
      <c r="N6477">
        <v>77611145</v>
      </c>
    </row>
    <row r="6478" spans="1:14" x14ac:dyDescent="0.25">
      <c r="A6478">
        <v>63423677</v>
      </c>
      <c r="B6478" t="s">
        <v>4374</v>
      </c>
      <c r="C6478" t="s">
        <v>13791</v>
      </c>
      <c r="D6478" t="s">
        <v>13792</v>
      </c>
      <c r="E6478">
        <v>8038999279</v>
      </c>
      <c r="F6478" t="s">
        <v>828</v>
      </c>
      <c r="G6478" t="s">
        <v>1148</v>
      </c>
      <c r="I6478" t="s">
        <v>17</v>
      </c>
      <c r="J6478" s="13">
        <v>46139</v>
      </c>
      <c r="K6478" s="13">
        <v>46143</v>
      </c>
      <c r="L6478" t="s">
        <v>533</v>
      </c>
      <c r="M6478" t="s">
        <v>59</v>
      </c>
      <c r="N6478">
        <v>77612415</v>
      </c>
    </row>
    <row r="6479" spans="1:14" x14ac:dyDescent="0.25">
      <c r="A6479">
        <v>63424593</v>
      </c>
      <c r="B6479" t="s">
        <v>13793</v>
      </c>
      <c r="C6479" t="s">
        <v>4086</v>
      </c>
      <c r="D6479" t="s">
        <v>13794</v>
      </c>
      <c r="E6479">
        <v>2199553255</v>
      </c>
      <c r="F6479" t="s">
        <v>474</v>
      </c>
      <c r="G6479" t="s">
        <v>475</v>
      </c>
      <c r="I6479" t="s">
        <v>132</v>
      </c>
      <c r="J6479" s="13">
        <v>46139</v>
      </c>
      <c r="K6479" s="13">
        <v>46143</v>
      </c>
      <c r="L6479" t="s">
        <v>440</v>
      </c>
      <c r="M6479" t="s">
        <v>419</v>
      </c>
      <c r="N6479">
        <v>77613592</v>
      </c>
    </row>
    <row r="6480" spans="1:14" x14ac:dyDescent="0.25">
      <c r="A6480">
        <v>63424488</v>
      </c>
      <c r="B6480" t="s">
        <v>3326</v>
      </c>
      <c r="C6480" t="s">
        <v>13795</v>
      </c>
      <c r="D6480" t="s">
        <v>13796</v>
      </c>
      <c r="E6480">
        <v>6029201627</v>
      </c>
      <c r="F6480" t="s">
        <v>1013</v>
      </c>
      <c r="G6480" t="s">
        <v>1014</v>
      </c>
      <c r="I6480" t="s">
        <v>43</v>
      </c>
      <c r="J6480" s="13">
        <v>46139</v>
      </c>
      <c r="K6480" s="13">
        <v>46143</v>
      </c>
      <c r="L6480" t="s">
        <v>1179</v>
      </c>
      <c r="M6480" t="s">
        <v>56</v>
      </c>
      <c r="N6480">
        <v>77613696</v>
      </c>
    </row>
    <row r="6481" spans="1:14" x14ac:dyDescent="0.25">
      <c r="A6481">
        <v>63424814</v>
      </c>
      <c r="B6481" t="s">
        <v>3686</v>
      </c>
      <c r="C6481" t="s">
        <v>9678</v>
      </c>
      <c r="D6481" t="s">
        <v>13797</v>
      </c>
      <c r="E6481">
        <v>5202358498</v>
      </c>
      <c r="F6481" t="s">
        <v>780</v>
      </c>
      <c r="G6481" t="s">
        <v>781</v>
      </c>
      <c r="I6481" t="s">
        <v>20</v>
      </c>
      <c r="J6481" s="13">
        <v>46139</v>
      </c>
      <c r="K6481" s="13">
        <v>46143</v>
      </c>
      <c r="L6481" t="s">
        <v>1179</v>
      </c>
      <c r="M6481" t="s">
        <v>419</v>
      </c>
      <c r="N6481">
        <v>77613790</v>
      </c>
    </row>
    <row r="6482" spans="1:14" x14ac:dyDescent="0.25">
      <c r="A6482">
        <v>63434462</v>
      </c>
      <c r="B6482" t="s">
        <v>791</v>
      </c>
      <c r="C6482" t="s">
        <v>13798</v>
      </c>
      <c r="D6482" t="s">
        <v>13799</v>
      </c>
      <c r="E6482">
        <v>3363826345</v>
      </c>
      <c r="F6482" t="s">
        <v>928</v>
      </c>
      <c r="G6482" t="s">
        <v>929</v>
      </c>
      <c r="I6482" t="s">
        <v>30</v>
      </c>
      <c r="J6482" s="13">
        <v>46140</v>
      </c>
      <c r="K6482" s="13">
        <v>46143</v>
      </c>
      <c r="L6482" t="s">
        <v>497</v>
      </c>
      <c r="M6482" t="s">
        <v>56</v>
      </c>
      <c r="N6482">
        <v>77633022</v>
      </c>
    </row>
    <row r="6483" spans="1:14" x14ac:dyDescent="0.25">
      <c r="A6483">
        <v>63433442</v>
      </c>
      <c r="B6483" t="s">
        <v>12582</v>
      </c>
      <c r="C6483" t="s">
        <v>4115</v>
      </c>
      <c r="D6483" t="s">
        <v>13800</v>
      </c>
      <c r="E6483">
        <v>6064814554</v>
      </c>
      <c r="F6483" t="s">
        <v>551</v>
      </c>
      <c r="G6483" t="s">
        <v>552</v>
      </c>
      <c r="I6483" t="s">
        <v>42</v>
      </c>
      <c r="J6483" s="13">
        <v>46140</v>
      </c>
      <c r="K6483" s="13">
        <v>46143</v>
      </c>
      <c r="L6483" t="s">
        <v>490</v>
      </c>
      <c r="M6483" t="s">
        <v>59</v>
      </c>
      <c r="N6483">
        <v>77633024</v>
      </c>
    </row>
    <row r="6484" spans="1:14" x14ac:dyDescent="0.25">
      <c r="A6484">
        <v>63433584</v>
      </c>
      <c r="B6484" t="s">
        <v>13801</v>
      </c>
      <c r="C6484" t="s">
        <v>13802</v>
      </c>
      <c r="D6484" t="s">
        <v>13803</v>
      </c>
      <c r="E6484">
        <v>6309300576</v>
      </c>
      <c r="F6484" t="s">
        <v>474</v>
      </c>
      <c r="G6484" t="s">
        <v>475</v>
      </c>
      <c r="I6484" t="s">
        <v>132</v>
      </c>
      <c r="J6484" s="13">
        <v>46140</v>
      </c>
      <c r="K6484" s="13">
        <v>46143</v>
      </c>
      <c r="L6484" t="s">
        <v>470</v>
      </c>
      <c r="M6484" t="s">
        <v>56</v>
      </c>
      <c r="N6484">
        <v>77633035</v>
      </c>
    </row>
    <row r="6485" spans="1:14" x14ac:dyDescent="0.25">
      <c r="A6485">
        <v>63433062</v>
      </c>
      <c r="B6485" t="s">
        <v>8191</v>
      </c>
      <c r="C6485" t="s">
        <v>1676</v>
      </c>
      <c r="D6485" t="s">
        <v>13804</v>
      </c>
      <c r="E6485">
        <v>9045755451</v>
      </c>
      <c r="F6485" t="s">
        <v>2544</v>
      </c>
      <c r="G6485" t="s">
        <v>12389</v>
      </c>
      <c r="I6485" t="s">
        <v>12390</v>
      </c>
      <c r="J6485" s="13">
        <v>46140</v>
      </c>
      <c r="K6485" s="13">
        <v>46143</v>
      </c>
      <c r="L6485" t="s">
        <v>497</v>
      </c>
      <c r="M6485" t="s">
        <v>54</v>
      </c>
      <c r="N6485">
        <v>77633055</v>
      </c>
    </row>
    <row r="6486" spans="1:14" x14ac:dyDescent="0.25">
      <c r="A6486">
        <v>63434339</v>
      </c>
      <c r="B6486" t="s">
        <v>13805</v>
      </c>
      <c r="C6486" t="s">
        <v>13806</v>
      </c>
      <c r="D6486" t="s">
        <v>13807</v>
      </c>
      <c r="E6486">
        <v>5045144871</v>
      </c>
      <c r="F6486" t="s">
        <v>2544</v>
      </c>
      <c r="G6486" t="s">
        <v>4833</v>
      </c>
      <c r="I6486" t="s">
        <v>18</v>
      </c>
      <c r="J6486" s="13">
        <v>46140</v>
      </c>
      <c r="K6486" s="13">
        <v>46143</v>
      </c>
      <c r="L6486" t="s">
        <v>479</v>
      </c>
      <c r="M6486" t="s">
        <v>55</v>
      </c>
      <c r="N6486">
        <v>77633146</v>
      </c>
    </row>
    <row r="6487" spans="1:14" x14ac:dyDescent="0.25">
      <c r="A6487">
        <v>63454554</v>
      </c>
      <c r="B6487" t="s">
        <v>1540</v>
      </c>
      <c r="C6487" t="s">
        <v>837</v>
      </c>
      <c r="D6487" t="s">
        <v>13808</v>
      </c>
      <c r="F6487" t="s">
        <v>807</v>
      </c>
      <c r="G6487" t="s">
        <v>808</v>
      </c>
      <c r="I6487" t="s">
        <v>33</v>
      </c>
      <c r="J6487" s="13">
        <v>46141</v>
      </c>
      <c r="K6487" s="13">
        <v>46143</v>
      </c>
      <c r="L6487" t="s">
        <v>497</v>
      </c>
      <c r="M6487" t="s">
        <v>59</v>
      </c>
      <c r="N6487">
        <v>77633155</v>
      </c>
    </row>
    <row r="6488" spans="1:14" x14ac:dyDescent="0.25">
      <c r="A6488">
        <v>63434634</v>
      </c>
      <c r="B6488" t="s">
        <v>2771</v>
      </c>
      <c r="C6488" t="s">
        <v>957</v>
      </c>
      <c r="D6488" t="s">
        <v>13809</v>
      </c>
      <c r="E6488">
        <v>5122894269</v>
      </c>
      <c r="F6488" t="s">
        <v>1067</v>
      </c>
      <c r="G6488" t="s">
        <v>1068</v>
      </c>
      <c r="I6488" t="s">
        <v>35</v>
      </c>
      <c r="J6488" s="13">
        <v>46140</v>
      </c>
      <c r="K6488" s="13">
        <v>46143</v>
      </c>
      <c r="L6488" t="s">
        <v>444</v>
      </c>
      <c r="M6488" t="s">
        <v>56</v>
      </c>
      <c r="N6488">
        <v>77633215</v>
      </c>
    </row>
    <row r="6489" spans="1:14" x14ac:dyDescent="0.25">
      <c r="A6489">
        <v>63436168</v>
      </c>
      <c r="B6489" t="s">
        <v>1160</v>
      </c>
      <c r="C6489" t="s">
        <v>13810</v>
      </c>
      <c r="D6489" t="s">
        <v>13811</v>
      </c>
      <c r="E6489">
        <v>9545319196</v>
      </c>
      <c r="F6489" t="s">
        <v>628</v>
      </c>
      <c r="G6489" t="s">
        <v>629</v>
      </c>
      <c r="I6489" t="s">
        <v>24</v>
      </c>
      <c r="J6489" s="13">
        <v>46140</v>
      </c>
      <c r="K6489" s="13">
        <v>46143</v>
      </c>
      <c r="L6489" t="s">
        <v>497</v>
      </c>
      <c r="M6489" t="s">
        <v>56</v>
      </c>
      <c r="N6489">
        <v>77633906</v>
      </c>
    </row>
    <row r="6490" spans="1:14" x14ac:dyDescent="0.25">
      <c r="A6490">
        <v>63435102</v>
      </c>
      <c r="B6490" t="s">
        <v>2135</v>
      </c>
      <c r="C6490" t="s">
        <v>13812</v>
      </c>
      <c r="D6490" t="s">
        <v>13813</v>
      </c>
      <c r="E6490">
        <v>9285064284</v>
      </c>
      <c r="F6490" t="s">
        <v>10569</v>
      </c>
      <c r="G6490" t="s">
        <v>10570</v>
      </c>
      <c r="I6490" t="s">
        <v>29</v>
      </c>
      <c r="J6490" s="13">
        <v>46140</v>
      </c>
      <c r="K6490" s="13">
        <v>46143</v>
      </c>
      <c r="M6490" t="s">
        <v>54</v>
      </c>
      <c r="N6490">
        <v>77633977</v>
      </c>
    </row>
    <row r="6491" spans="1:14" x14ac:dyDescent="0.25">
      <c r="A6491">
        <v>63436161</v>
      </c>
      <c r="B6491" t="s">
        <v>2920</v>
      </c>
      <c r="C6491" t="s">
        <v>13814</v>
      </c>
      <c r="D6491" t="s">
        <v>13815</v>
      </c>
      <c r="E6491">
        <v>7735776866</v>
      </c>
      <c r="F6491" t="s">
        <v>815</v>
      </c>
      <c r="G6491" t="s">
        <v>816</v>
      </c>
      <c r="I6491" t="s">
        <v>23</v>
      </c>
      <c r="J6491" s="13">
        <v>46140</v>
      </c>
      <c r="K6491" s="13">
        <v>46143</v>
      </c>
      <c r="L6491" t="s">
        <v>470</v>
      </c>
      <c r="M6491" t="s">
        <v>62</v>
      </c>
      <c r="N6491">
        <v>77633981</v>
      </c>
    </row>
    <row r="6492" spans="1:14" x14ac:dyDescent="0.25">
      <c r="A6492">
        <v>63435447</v>
      </c>
      <c r="B6492" t="s">
        <v>13816</v>
      </c>
      <c r="C6492" t="s">
        <v>2544</v>
      </c>
      <c r="D6492" t="s">
        <v>13817</v>
      </c>
      <c r="E6492">
        <v>4402227322</v>
      </c>
      <c r="F6492" t="s">
        <v>4941</v>
      </c>
      <c r="G6492" t="s">
        <v>12450</v>
      </c>
      <c r="I6492" t="s">
        <v>12451</v>
      </c>
      <c r="J6492" s="13">
        <v>46140</v>
      </c>
      <c r="K6492" s="13">
        <v>46143</v>
      </c>
      <c r="L6492" t="s">
        <v>418</v>
      </c>
      <c r="M6492" t="s">
        <v>59</v>
      </c>
      <c r="N6492">
        <v>77634080</v>
      </c>
    </row>
    <row r="6493" spans="1:14" x14ac:dyDescent="0.25">
      <c r="A6493">
        <v>63436101</v>
      </c>
      <c r="B6493" t="s">
        <v>10630</v>
      </c>
      <c r="C6493" t="s">
        <v>13818</v>
      </c>
      <c r="D6493" t="s">
        <v>13819</v>
      </c>
      <c r="E6493">
        <v>3177023615</v>
      </c>
      <c r="F6493" t="s">
        <v>667</v>
      </c>
      <c r="G6493" t="s">
        <v>668</v>
      </c>
      <c r="I6493" t="s">
        <v>37</v>
      </c>
      <c r="J6493" s="13">
        <v>46140</v>
      </c>
      <c r="K6493" s="13">
        <v>46143</v>
      </c>
      <c r="L6493" t="s">
        <v>440</v>
      </c>
      <c r="M6493" t="s">
        <v>56</v>
      </c>
      <c r="N6493">
        <v>77634513</v>
      </c>
    </row>
    <row r="6494" spans="1:14" x14ac:dyDescent="0.25">
      <c r="A6494">
        <v>63516958</v>
      </c>
      <c r="B6494" t="s">
        <v>1784</v>
      </c>
      <c r="C6494" t="s">
        <v>1287</v>
      </c>
      <c r="D6494" t="s">
        <v>13820</v>
      </c>
      <c r="E6494">
        <v>4406545300</v>
      </c>
      <c r="F6494" t="s">
        <v>574</v>
      </c>
      <c r="G6494" t="s">
        <v>575</v>
      </c>
      <c r="I6494" t="s">
        <v>14</v>
      </c>
      <c r="J6494" s="13">
        <v>46143</v>
      </c>
      <c r="K6494" s="13">
        <v>46174</v>
      </c>
      <c r="L6494" t="s">
        <v>418</v>
      </c>
      <c r="M6494" t="s">
        <v>59</v>
      </c>
      <c r="N6494">
        <v>77634701</v>
      </c>
    </row>
    <row r="6495" spans="1:14" x14ac:dyDescent="0.25">
      <c r="A6495">
        <v>63435590</v>
      </c>
      <c r="B6495" t="s">
        <v>5530</v>
      </c>
      <c r="C6495" t="s">
        <v>13821</v>
      </c>
      <c r="D6495" t="s">
        <v>13822</v>
      </c>
      <c r="E6495">
        <v>9417637464</v>
      </c>
      <c r="F6495" t="s">
        <v>1013</v>
      </c>
      <c r="G6495" t="s">
        <v>1014</v>
      </c>
      <c r="I6495" t="s">
        <v>43</v>
      </c>
      <c r="J6495" s="13">
        <v>46140</v>
      </c>
      <c r="K6495" s="13">
        <v>46143</v>
      </c>
      <c r="L6495" t="s">
        <v>497</v>
      </c>
      <c r="M6495" t="s">
        <v>56</v>
      </c>
      <c r="N6495">
        <v>77634842</v>
      </c>
    </row>
    <row r="6496" spans="1:14" x14ac:dyDescent="0.25">
      <c r="A6496">
        <v>63436401</v>
      </c>
      <c r="B6496" t="s">
        <v>1160</v>
      </c>
      <c r="C6496" t="s">
        <v>13823</v>
      </c>
      <c r="D6496" t="s">
        <v>13824</v>
      </c>
      <c r="E6496">
        <v>9729483060</v>
      </c>
      <c r="F6496" t="s">
        <v>551</v>
      </c>
      <c r="G6496" t="s">
        <v>552</v>
      </c>
      <c r="I6496" t="s">
        <v>42</v>
      </c>
      <c r="J6496" s="13">
        <v>46140</v>
      </c>
      <c r="K6496" s="13">
        <v>46143</v>
      </c>
      <c r="L6496" t="s">
        <v>444</v>
      </c>
      <c r="M6496" t="s">
        <v>56</v>
      </c>
      <c r="N6496">
        <v>77634952</v>
      </c>
    </row>
    <row r="6497" spans="1:14" x14ac:dyDescent="0.25">
      <c r="A6497">
        <v>63436075</v>
      </c>
      <c r="B6497" t="s">
        <v>13825</v>
      </c>
      <c r="C6497" t="s">
        <v>13826</v>
      </c>
      <c r="D6497" t="s">
        <v>13827</v>
      </c>
      <c r="E6497">
        <v>9289611184</v>
      </c>
      <c r="F6497" t="s">
        <v>2544</v>
      </c>
      <c r="G6497" t="s">
        <v>12389</v>
      </c>
      <c r="I6497" t="s">
        <v>12390</v>
      </c>
      <c r="J6497" s="13">
        <v>46140</v>
      </c>
      <c r="K6497" s="13">
        <v>46143</v>
      </c>
      <c r="L6497" t="s">
        <v>1179</v>
      </c>
      <c r="M6497" t="s">
        <v>54</v>
      </c>
      <c r="N6497">
        <v>77634987</v>
      </c>
    </row>
    <row r="6498" spans="1:14" x14ac:dyDescent="0.25">
      <c r="A6498">
        <v>63434772</v>
      </c>
      <c r="B6498" t="s">
        <v>618</v>
      </c>
      <c r="C6498" t="s">
        <v>8600</v>
      </c>
      <c r="D6498" t="s">
        <v>13828</v>
      </c>
      <c r="E6498">
        <v>9542404172</v>
      </c>
      <c r="F6498" t="s">
        <v>1345</v>
      </c>
      <c r="G6498" t="s">
        <v>799</v>
      </c>
      <c r="I6498" t="s">
        <v>47</v>
      </c>
      <c r="J6498" s="13">
        <v>46140</v>
      </c>
      <c r="K6498" s="13">
        <v>46143</v>
      </c>
      <c r="L6498" t="s">
        <v>497</v>
      </c>
      <c r="M6498" t="s">
        <v>56</v>
      </c>
      <c r="N6498">
        <v>77635018</v>
      </c>
    </row>
    <row r="6499" spans="1:14" x14ac:dyDescent="0.25">
      <c r="A6499">
        <v>63437197</v>
      </c>
      <c r="B6499" t="s">
        <v>1500</v>
      </c>
      <c r="C6499" t="s">
        <v>1676</v>
      </c>
      <c r="D6499" t="s">
        <v>13829</v>
      </c>
      <c r="E6499">
        <v>9048153780</v>
      </c>
      <c r="F6499" t="s">
        <v>780</v>
      </c>
      <c r="G6499" t="s">
        <v>781</v>
      </c>
      <c r="I6499" t="s">
        <v>20</v>
      </c>
      <c r="J6499" s="13">
        <v>46140</v>
      </c>
      <c r="K6499" s="13">
        <v>46143</v>
      </c>
      <c r="L6499" t="s">
        <v>497</v>
      </c>
      <c r="M6499" t="s">
        <v>59</v>
      </c>
      <c r="N6499">
        <v>77635048</v>
      </c>
    </row>
    <row r="6500" spans="1:14" x14ac:dyDescent="0.25">
      <c r="A6500">
        <v>63435965</v>
      </c>
      <c r="B6500" t="s">
        <v>787</v>
      </c>
      <c r="C6500" t="s">
        <v>4032</v>
      </c>
      <c r="D6500" t="s">
        <v>13830</v>
      </c>
      <c r="E6500">
        <v>8438267435</v>
      </c>
      <c r="F6500" t="s">
        <v>1067</v>
      </c>
      <c r="G6500" t="s">
        <v>1068</v>
      </c>
      <c r="I6500" t="s">
        <v>35</v>
      </c>
      <c r="J6500" s="13">
        <v>46140</v>
      </c>
      <c r="K6500" s="13">
        <v>46143</v>
      </c>
      <c r="L6500" t="s">
        <v>533</v>
      </c>
      <c r="M6500" t="s">
        <v>56</v>
      </c>
      <c r="N6500">
        <v>77638384</v>
      </c>
    </row>
    <row r="6501" spans="1:14" x14ac:dyDescent="0.25">
      <c r="A6501">
        <v>63437532</v>
      </c>
      <c r="B6501" t="s">
        <v>13831</v>
      </c>
      <c r="C6501" t="s">
        <v>506</v>
      </c>
      <c r="D6501" t="s">
        <v>13832</v>
      </c>
      <c r="E6501">
        <v>9015807563</v>
      </c>
      <c r="F6501" t="s">
        <v>1612</v>
      </c>
      <c r="G6501" t="s">
        <v>4811</v>
      </c>
      <c r="I6501" t="s">
        <v>322</v>
      </c>
      <c r="J6501" s="13">
        <v>46140</v>
      </c>
      <c r="K6501" s="13">
        <v>46143</v>
      </c>
      <c r="L6501" t="s">
        <v>479</v>
      </c>
      <c r="M6501" t="s">
        <v>62</v>
      </c>
      <c r="N6501">
        <v>77643232</v>
      </c>
    </row>
    <row r="6502" spans="1:14" x14ac:dyDescent="0.25">
      <c r="A6502">
        <v>63436928</v>
      </c>
      <c r="B6502" t="s">
        <v>3561</v>
      </c>
      <c r="C6502" t="s">
        <v>6576</v>
      </c>
      <c r="D6502" t="s">
        <v>13833</v>
      </c>
      <c r="E6502">
        <v>2162054141</v>
      </c>
      <c r="F6502" t="s">
        <v>474</v>
      </c>
      <c r="G6502" t="s">
        <v>475</v>
      </c>
      <c r="I6502" t="s">
        <v>132</v>
      </c>
      <c r="J6502" s="13">
        <v>46140</v>
      </c>
      <c r="K6502" s="13">
        <v>46143</v>
      </c>
      <c r="L6502" t="s">
        <v>418</v>
      </c>
      <c r="M6502" t="s">
        <v>58</v>
      </c>
      <c r="N6502">
        <v>77644933</v>
      </c>
    </row>
    <row r="6503" spans="1:14" x14ac:dyDescent="0.25">
      <c r="A6503">
        <v>63438460</v>
      </c>
      <c r="B6503" t="s">
        <v>13834</v>
      </c>
      <c r="C6503" t="s">
        <v>12832</v>
      </c>
      <c r="D6503" t="s">
        <v>13835</v>
      </c>
      <c r="E6503">
        <v>7049415591</v>
      </c>
      <c r="F6503" t="s">
        <v>448</v>
      </c>
      <c r="G6503" t="s">
        <v>449</v>
      </c>
      <c r="I6503" t="s">
        <v>31</v>
      </c>
      <c r="J6503" s="13">
        <v>46140</v>
      </c>
      <c r="K6503" s="13">
        <v>46143</v>
      </c>
      <c r="L6503" t="s">
        <v>675</v>
      </c>
      <c r="M6503" t="s">
        <v>56</v>
      </c>
      <c r="N6503">
        <v>77646088</v>
      </c>
    </row>
    <row r="6504" spans="1:14" x14ac:dyDescent="0.25">
      <c r="A6504">
        <v>63437701</v>
      </c>
      <c r="B6504" t="s">
        <v>1160</v>
      </c>
      <c r="C6504" t="s">
        <v>1801</v>
      </c>
      <c r="D6504" t="s">
        <v>13836</v>
      </c>
      <c r="E6504">
        <v>9045632638</v>
      </c>
      <c r="F6504" t="s">
        <v>1013</v>
      </c>
      <c r="G6504" t="s">
        <v>1014</v>
      </c>
      <c r="I6504" t="s">
        <v>43</v>
      </c>
      <c r="J6504" s="13">
        <v>46140</v>
      </c>
      <c r="K6504" s="13">
        <v>46143</v>
      </c>
      <c r="L6504" t="s">
        <v>497</v>
      </c>
      <c r="M6504" t="s">
        <v>11843</v>
      </c>
      <c r="N6504">
        <v>77650938</v>
      </c>
    </row>
    <row r="6505" spans="1:14" x14ac:dyDescent="0.25">
      <c r="A6505">
        <v>63438093</v>
      </c>
      <c r="B6505" t="s">
        <v>12283</v>
      </c>
      <c r="C6505" t="s">
        <v>13837</v>
      </c>
      <c r="D6505" t="s">
        <v>13838</v>
      </c>
      <c r="E6505">
        <v>7402602905</v>
      </c>
      <c r="F6505" t="s">
        <v>551</v>
      </c>
      <c r="G6505" t="s">
        <v>552</v>
      </c>
      <c r="I6505" t="s">
        <v>42</v>
      </c>
      <c r="J6505" s="13">
        <v>46140</v>
      </c>
      <c r="K6505" s="13">
        <v>46143</v>
      </c>
      <c r="L6505" t="s">
        <v>418</v>
      </c>
      <c r="M6505" t="s">
        <v>59</v>
      </c>
      <c r="N6505">
        <v>77651256</v>
      </c>
    </row>
    <row r="6506" spans="1:14" x14ac:dyDescent="0.25">
      <c r="A6506">
        <v>63446562</v>
      </c>
      <c r="B6506" t="s">
        <v>8789</v>
      </c>
      <c r="C6506" t="s">
        <v>13839</v>
      </c>
      <c r="D6506" t="s">
        <v>13840</v>
      </c>
      <c r="E6506">
        <v>7193328895</v>
      </c>
      <c r="F6506" t="s">
        <v>828</v>
      </c>
      <c r="G6506" t="s">
        <v>1148</v>
      </c>
      <c r="I6506" t="s">
        <v>17</v>
      </c>
      <c r="J6506" s="13">
        <v>46140</v>
      </c>
      <c r="K6506" s="13">
        <v>46143</v>
      </c>
      <c r="L6506" t="s">
        <v>539</v>
      </c>
      <c r="M6506" t="s">
        <v>59</v>
      </c>
      <c r="N6506">
        <v>77652116</v>
      </c>
    </row>
    <row r="6507" spans="1:14" x14ac:dyDescent="0.25">
      <c r="A6507">
        <v>63445579</v>
      </c>
      <c r="B6507" t="s">
        <v>5087</v>
      </c>
      <c r="C6507" t="s">
        <v>1917</v>
      </c>
      <c r="D6507" t="s">
        <v>13841</v>
      </c>
      <c r="E6507" t="s">
        <v>13842</v>
      </c>
      <c r="F6507" t="s">
        <v>2544</v>
      </c>
      <c r="G6507" t="s">
        <v>12389</v>
      </c>
      <c r="I6507" t="s">
        <v>12390</v>
      </c>
      <c r="J6507" s="13">
        <v>46140</v>
      </c>
      <c r="K6507" s="13">
        <v>46143</v>
      </c>
      <c r="L6507" t="s">
        <v>497</v>
      </c>
      <c r="M6507" t="s">
        <v>58</v>
      </c>
      <c r="N6507">
        <v>77652249</v>
      </c>
    </row>
    <row r="6508" spans="1:14" x14ac:dyDescent="0.25">
      <c r="A6508">
        <v>63443680</v>
      </c>
      <c r="B6508" t="s">
        <v>1408</v>
      </c>
      <c r="C6508" t="s">
        <v>13843</v>
      </c>
      <c r="D6508" t="s">
        <v>13844</v>
      </c>
      <c r="E6508">
        <v>7739519720</v>
      </c>
      <c r="F6508" t="s">
        <v>11776</v>
      </c>
      <c r="G6508" t="s">
        <v>3895</v>
      </c>
      <c r="H6508" t="s">
        <v>11777</v>
      </c>
      <c r="I6508" t="s">
        <v>11778</v>
      </c>
      <c r="J6508" s="13">
        <v>46140</v>
      </c>
      <c r="K6508" s="13">
        <v>46143</v>
      </c>
      <c r="L6508" t="s">
        <v>440</v>
      </c>
      <c r="M6508" t="s">
        <v>62</v>
      </c>
      <c r="N6508">
        <v>77652485</v>
      </c>
    </row>
    <row r="6509" spans="1:14" x14ac:dyDescent="0.25">
      <c r="A6509">
        <v>63446893</v>
      </c>
      <c r="B6509" t="s">
        <v>2413</v>
      </c>
      <c r="C6509" t="s">
        <v>5175</v>
      </c>
      <c r="D6509" t="s">
        <v>13845</v>
      </c>
      <c r="E6509">
        <v>6307546718</v>
      </c>
      <c r="F6509" t="s">
        <v>10253</v>
      </c>
      <c r="G6509" t="s">
        <v>781</v>
      </c>
      <c r="I6509" t="s">
        <v>36</v>
      </c>
      <c r="J6509" s="13">
        <v>46140</v>
      </c>
      <c r="K6509" s="13">
        <v>46143</v>
      </c>
      <c r="L6509" t="s">
        <v>470</v>
      </c>
      <c r="M6509" t="s">
        <v>59</v>
      </c>
      <c r="N6509">
        <v>77652713</v>
      </c>
    </row>
    <row r="6510" spans="1:14" x14ac:dyDescent="0.25">
      <c r="A6510">
        <v>63442377</v>
      </c>
      <c r="B6510" t="s">
        <v>8494</v>
      </c>
      <c r="C6510" t="s">
        <v>13846</v>
      </c>
      <c r="D6510" t="s">
        <v>13847</v>
      </c>
      <c r="E6510">
        <v>7088608117</v>
      </c>
      <c r="F6510" t="s">
        <v>474</v>
      </c>
      <c r="G6510" t="s">
        <v>475</v>
      </c>
      <c r="I6510" t="s">
        <v>132</v>
      </c>
      <c r="J6510" s="13">
        <v>46140</v>
      </c>
      <c r="K6510" s="13">
        <v>46143</v>
      </c>
      <c r="L6510" t="s">
        <v>470</v>
      </c>
      <c r="M6510" t="s">
        <v>56</v>
      </c>
      <c r="N6510">
        <v>77652800</v>
      </c>
    </row>
    <row r="6511" spans="1:14" x14ac:dyDescent="0.25">
      <c r="A6511">
        <v>63447714</v>
      </c>
      <c r="B6511" t="s">
        <v>827</v>
      </c>
      <c r="C6511" t="s">
        <v>4387</v>
      </c>
      <c r="D6511" t="s">
        <v>13848</v>
      </c>
      <c r="E6511">
        <v>9044969633</v>
      </c>
      <c r="F6511" t="s">
        <v>11745</v>
      </c>
      <c r="G6511" t="s">
        <v>6544</v>
      </c>
      <c r="I6511" t="s">
        <v>11746</v>
      </c>
      <c r="J6511" s="13">
        <v>46140</v>
      </c>
      <c r="K6511" s="13">
        <v>46143</v>
      </c>
      <c r="L6511" t="s">
        <v>497</v>
      </c>
      <c r="M6511" t="s">
        <v>54</v>
      </c>
      <c r="N6511">
        <v>77653448</v>
      </c>
    </row>
    <row r="6512" spans="1:14" x14ac:dyDescent="0.25">
      <c r="A6512">
        <v>63446201</v>
      </c>
      <c r="B6512" t="s">
        <v>10962</v>
      </c>
      <c r="C6512" t="s">
        <v>13849</v>
      </c>
      <c r="D6512" t="s">
        <v>13850</v>
      </c>
      <c r="E6512">
        <v>3124027276</v>
      </c>
      <c r="F6512" t="s">
        <v>649</v>
      </c>
      <c r="G6512" t="s">
        <v>650</v>
      </c>
      <c r="I6512" t="s">
        <v>28</v>
      </c>
      <c r="J6512" s="13">
        <v>46140</v>
      </c>
      <c r="K6512" s="13">
        <v>46143</v>
      </c>
      <c r="L6512" t="s">
        <v>470</v>
      </c>
      <c r="M6512" t="s">
        <v>59</v>
      </c>
      <c r="N6512">
        <v>77654153</v>
      </c>
    </row>
    <row r="6513" spans="1:14" x14ac:dyDescent="0.25">
      <c r="A6513">
        <v>63447007</v>
      </c>
      <c r="B6513" t="s">
        <v>13851</v>
      </c>
      <c r="C6513" t="s">
        <v>13852</v>
      </c>
      <c r="E6513">
        <v>7277127463</v>
      </c>
      <c r="F6513" t="s">
        <v>770</v>
      </c>
      <c r="G6513" t="s">
        <v>771</v>
      </c>
      <c r="I6513" t="s">
        <v>25</v>
      </c>
      <c r="J6513" s="13">
        <v>46140</v>
      </c>
      <c r="K6513" s="13">
        <v>46143</v>
      </c>
      <c r="L6513" t="s">
        <v>497</v>
      </c>
      <c r="M6513" t="s">
        <v>11843</v>
      </c>
      <c r="N6513">
        <v>77655381</v>
      </c>
    </row>
    <row r="6514" spans="1:14" x14ac:dyDescent="0.25">
      <c r="A6514">
        <v>63446875</v>
      </c>
      <c r="B6514" t="s">
        <v>867</v>
      </c>
      <c r="C6514" t="s">
        <v>13853</v>
      </c>
      <c r="D6514" t="s">
        <v>13854</v>
      </c>
      <c r="E6514">
        <v>3125902857</v>
      </c>
      <c r="F6514" t="s">
        <v>574</v>
      </c>
      <c r="G6514" t="s">
        <v>575</v>
      </c>
      <c r="I6514" t="s">
        <v>14</v>
      </c>
      <c r="J6514" s="13">
        <v>46140</v>
      </c>
      <c r="K6514" s="13">
        <v>46143</v>
      </c>
      <c r="L6514" t="s">
        <v>470</v>
      </c>
      <c r="M6514" t="s">
        <v>60</v>
      </c>
      <c r="N6514">
        <v>77656190</v>
      </c>
    </row>
    <row r="6515" spans="1:14" x14ac:dyDescent="0.25">
      <c r="A6515">
        <v>63446855</v>
      </c>
      <c r="B6515" t="s">
        <v>3615</v>
      </c>
      <c r="C6515" t="s">
        <v>787</v>
      </c>
      <c r="D6515" t="s">
        <v>13855</v>
      </c>
      <c r="E6515">
        <v>8542734193</v>
      </c>
      <c r="F6515" t="s">
        <v>1067</v>
      </c>
      <c r="G6515" t="s">
        <v>1068</v>
      </c>
      <c r="I6515" t="s">
        <v>35</v>
      </c>
      <c r="J6515" s="13">
        <v>46140</v>
      </c>
      <c r="K6515" s="13">
        <v>46143</v>
      </c>
      <c r="L6515" t="s">
        <v>533</v>
      </c>
      <c r="M6515" t="s">
        <v>56</v>
      </c>
      <c r="N6515">
        <v>77656905</v>
      </c>
    </row>
    <row r="6516" spans="1:14" x14ac:dyDescent="0.25">
      <c r="A6516">
        <v>63446235</v>
      </c>
      <c r="B6516" t="s">
        <v>4480</v>
      </c>
      <c r="C6516" t="s">
        <v>10448</v>
      </c>
      <c r="D6516" t="s">
        <v>13856</v>
      </c>
      <c r="E6516" t="s">
        <v>13857</v>
      </c>
      <c r="F6516" t="s">
        <v>10642</v>
      </c>
      <c r="G6516" t="s">
        <v>10643</v>
      </c>
      <c r="I6516" t="s">
        <v>45</v>
      </c>
      <c r="J6516" s="13">
        <v>46140</v>
      </c>
      <c r="K6516" s="13">
        <v>46143</v>
      </c>
      <c r="L6516" t="s">
        <v>418</v>
      </c>
      <c r="M6516" t="s">
        <v>62</v>
      </c>
      <c r="N6516">
        <v>77658963</v>
      </c>
    </row>
    <row r="6517" spans="1:14" x14ac:dyDescent="0.25">
      <c r="A6517">
        <v>63448050</v>
      </c>
      <c r="B6517" t="s">
        <v>1589</v>
      </c>
      <c r="C6517" t="s">
        <v>12175</v>
      </c>
      <c r="D6517" t="s">
        <v>13858</v>
      </c>
      <c r="E6517">
        <v>2255122313</v>
      </c>
      <c r="F6517" t="s">
        <v>2544</v>
      </c>
      <c r="G6517" t="s">
        <v>4833</v>
      </c>
      <c r="I6517" t="s">
        <v>18</v>
      </c>
      <c r="J6517" s="13">
        <v>46140</v>
      </c>
      <c r="K6517" s="13">
        <v>46143</v>
      </c>
      <c r="L6517" t="s">
        <v>612</v>
      </c>
      <c r="M6517" t="s">
        <v>58</v>
      </c>
      <c r="N6517">
        <v>77659416</v>
      </c>
    </row>
    <row r="6518" spans="1:14" x14ac:dyDescent="0.25">
      <c r="A6518">
        <v>63448163</v>
      </c>
      <c r="B6518" t="s">
        <v>2551</v>
      </c>
      <c r="C6518" t="s">
        <v>2482</v>
      </c>
      <c r="D6518" t="s">
        <v>13859</v>
      </c>
      <c r="E6518">
        <v>6029077935</v>
      </c>
      <c r="F6518" t="s">
        <v>780</v>
      </c>
      <c r="G6518" t="s">
        <v>781</v>
      </c>
      <c r="I6518" t="s">
        <v>20</v>
      </c>
      <c r="J6518" s="13">
        <v>46140</v>
      </c>
      <c r="K6518" s="13">
        <v>46143</v>
      </c>
      <c r="L6518" t="s">
        <v>1179</v>
      </c>
      <c r="M6518" t="s">
        <v>56</v>
      </c>
      <c r="N6518">
        <v>77659440</v>
      </c>
    </row>
    <row r="6519" spans="1:14" x14ac:dyDescent="0.25">
      <c r="A6519">
        <v>63453779</v>
      </c>
      <c r="B6519" t="s">
        <v>1715</v>
      </c>
      <c r="C6519" t="s">
        <v>13860</v>
      </c>
      <c r="D6519" t="s">
        <v>13861</v>
      </c>
      <c r="E6519">
        <v>2163344058</v>
      </c>
      <c r="F6519" t="s">
        <v>649</v>
      </c>
      <c r="G6519" t="s">
        <v>650</v>
      </c>
      <c r="I6519" t="s">
        <v>28</v>
      </c>
      <c r="J6519" s="13">
        <v>46141</v>
      </c>
      <c r="K6519" s="13">
        <v>46143</v>
      </c>
      <c r="L6519" t="s">
        <v>418</v>
      </c>
      <c r="M6519" t="s">
        <v>59</v>
      </c>
      <c r="N6519">
        <v>77662613</v>
      </c>
    </row>
    <row r="6520" spans="1:14" x14ac:dyDescent="0.25">
      <c r="A6520">
        <v>63454081</v>
      </c>
      <c r="B6520" t="s">
        <v>13862</v>
      </c>
      <c r="C6520" t="s">
        <v>4364</v>
      </c>
      <c r="D6520" t="s">
        <v>13863</v>
      </c>
      <c r="E6520">
        <v>4147454333</v>
      </c>
      <c r="F6520" t="s">
        <v>628</v>
      </c>
      <c r="G6520" t="s">
        <v>629</v>
      </c>
      <c r="I6520" t="s">
        <v>24</v>
      </c>
      <c r="J6520" s="13">
        <v>46141</v>
      </c>
      <c r="K6520" s="13">
        <v>46143</v>
      </c>
      <c r="L6520" t="s">
        <v>675</v>
      </c>
      <c r="M6520" t="s">
        <v>56</v>
      </c>
      <c r="N6520">
        <v>77662619</v>
      </c>
    </row>
    <row r="6521" spans="1:14" x14ac:dyDescent="0.25">
      <c r="A6521">
        <v>63451010</v>
      </c>
      <c r="B6521" t="s">
        <v>13864</v>
      </c>
      <c r="C6521" t="s">
        <v>2482</v>
      </c>
      <c r="D6521" t="s">
        <v>13865</v>
      </c>
      <c r="E6521">
        <v>3175236563</v>
      </c>
      <c r="F6521" t="s">
        <v>474</v>
      </c>
      <c r="G6521" t="s">
        <v>475</v>
      </c>
      <c r="I6521" t="s">
        <v>132</v>
      </c>
      <c r="J6521" s="13">
        <v>46141</v>
      </c>
      <c r="K6521" s="13">
        <v>46143</v>
      </c>
      <c r="L6521" t="s">
        <v>440</v>
      </c>
      <c r="M6521" t="s">
        <v>62</v>
      </c>
      <c r="N6521">
        <v>77662638</v>
      </c>
    </row>
    <row r="6522" spans="1:14" x14ac:dyDescent="0.25">
      <c r="A6522">
        <v>63452518</v>
      </c>
      <c r="B6522" t="s">
        <v>1004</v>
      </c>
      <c r="C6522" t="s">
        <v>13866</v>
      </c>
      <c r="D6522" t="s">
        <v>13867</v>
      </c>
      <c r="E6522">
        <v>9543099130</v>
      </c>
      <c r="F6522" t="s">
        <v>775</v>
      </c>
      <c r="G6522" t="s">
        <v>776</v>
      </c>
      <c r="I6522" t="s">
        <v>22</v>
      </c>
      <c r="J6522" s="13">
        <v>46141</v>
      </c>
      <c r="K6522" s="13">
        <v>46143</v>
      </c>
      <c r="L6522" t="s">
        <v>497</v>
      </c>
      <c r="M6522" t="s">
        <v>58</v>
      </c>
      <c r="N6522">
        <v>77662934</v>
      </c>
    </row>
    <row r="6523" spans="1:14" x14ac:dyDescent="0.25">
      <c r="A6523">
        <v>63455478</v>
      </c>
      <c r="B6523" t="s">
        <v>11548</v>
      </c>
      <c r="C6523" t="s">
        <v>1258</v>
      </c>
      <c r="D6523" t="s">
        <v>13868</v>
      </c>
      <c r="E6523">
        <v>8183950641</v>
      </c>
      <c r="F6523" t="s">
        <v>474</v>
      </c>
      <c r="G6523" t="s">
        <v>475</v>
      </c>
      <c r="I6523" t="s">
        <v>132</v>
      </c>
      <c r="J6523" s="13">
        <v>46141</v>
      </c>
      <c r="K6523" s="13">
        <v>46143</v>
      </c>
      <c r="L6523" t="s">
        <v>440</v>
      </c>
      <c r="M6523" t="s">
        <v>56</v>
      </c>
      <c r="N6523">
        <v>77663859</v>
      </c>
    </row>
    <row r="6524" spans="1:14" x14ac:dyDescent="0.25">
      <c r="A6524">
        <v>63456094</v>
      </c>
      <c r="B6524" t="s">
        <v>1167</v>
      </c>
      <c r="C6524" t="s">
        <v>13869</v>
      </c>
      <c r="D6524" t="s">
        <v>13870</v>
      </c>
      <c r="E6524">
        <v>5209936325</v>
      </c>
      <c r="F6524" t="s">
        <v>2544</v>
      </c>
      <c r="G6524" t="s">
        <v>12389</v>
      </c>
      <c r="I6524" t="s">
        <v>12390</v>
      </c>
      <c r="J6524" s="13">
        <v>46141</v>
      </c>
      <c r="K6524" s="13">
        <v>46143</v>
      </c>
      <c r="L6524" t="s">
        <v>1179</v>
      </c>
      <c r="M6524" t="s">
        <v>59</v>
      </c>
      <c r="N6524">
        <v>77664139</v>
      </c>
    </row>
    <row r="6525" spans="1:14" x14ac:dyDescent="0.25">
      <c r="A6525">
        <v>63456821</v>
      </c>
      <c r="B6525" t="s">
        <v>12066</v>
      </c>
      <c r="C6525" t="s">
        <v>13871</v>
      </c>
      <c r="D6525" t="s">
        <v>13872</v>
      </c>
      <c r="E6525">
        <v>3373985644</v>
      </c>
      <c r="F6525" t="s">
        <v>448</v>
      </c>
      <c r="G6525" t="s">
        <v>449</v>
      </c>
      <c r="I6525" t="s">
        <v>31</v>
      </c>
      <c r="J6525" s="13">
        <v>46141</v>
      </c>
      <c r="K6525" s="13">
        <v>46143</v>
      </c>
      <c r="L6525" t="s">
        <v>612</v>
      </c>
      <c r="M6525" t="s">
        <v>56</v>
      </c>
      <c r="N6525">
        <v>77664262</v>
      </c>
    </row>
    <row r="6526" spans="1:14" x14ac:dyDescent="0.25">
      <c r="A6526">
        <v>63457218</v>
      </c>
      <c r="B6526" t="s">
        <v>6760</v>
      </c>
      <c r="C6526" t="s">
        <v>13873</v>
      </c>
      <c r="D6526" t="s">
        <v>13874</v>
      </c>
      <c r="E6526">
        <v>5674696079</v>
      </c>
      <c r="F6526" t="s">
        <v>705</v>
      </c>
      <c r="G6526" t="s">
        <v>706</v>
      </c>
      <c r="I6526" t="s">
        <v>12</v>
      </c>
      <c r="J6526" s="13">
        <v>46141</v>
      </c>
      <c r="K6526" s="13">
        <v>46143</v>
      </c>
      <c r="L6526" t="s">
        <v>418</v>
      </c>
      <c r="M6526" t="s">
        <v>62</v>
      </c>
      <c r="N6526">
        <v>77664367</v>
      </c>
    </row>
    <row r="6527" spans="1:14" x14ac:dyDescent="0.25">
      <c r="A6527">
        <v>63456474</v>
      </c>
      <c r="B6527" t="s">
        <v>13491</v>
      </c>
      <c r="C6527" t="s">
        <v>13875</v>
      </c>
      <c r="D6527" t="s">
        <v>13876</v>
      </c>
      <c r="E6527">
        <v>9045159733</v>
      </c>
      <c r="F6527" t="s">
        <v>1013</v>
      </c>
      <c r="G6527" t="s">
        <v>1014</v>
      </c>
      <c r="I6527" t="s">
        <v>43</v>
      </c>
      <c r="J6527" s="13">
        <v>46141</v>
      </c>
      <c r="K6527" s="13">
        <v>46143</v>
      </c>
      <c r="L6527" t="s">
        <v>497</v>
      </c>
      <c r="M6527" t="s">
        <v>59</v>
      </c>
      <c r="N6527">
        <v>77664528</v>
      </c>
    </row>
    <row r="6528" spans="1:14" x14ac:dyDescent="0.25">
      <c r="A6528">
        <v>63456348</v>
      </c>
      <c r="B6528" t="s">
        <v>13877</v>
      </c>
      <c r="C6528" t="s">
        <v>8215</v>
      </c>
      <c r="D6528" t="s">
        <v>13878</v>
      </c>
      <c r="E6528">
        <v>9012394190</v>
      </c>
      <c r="F6528" t="s">
        <v>10460</v>
      </c>
      <c r="G6528" t="s">
        <v>6663</v>
      </c>
      <c r="I6528" t="s">
        <v>40</v>
      </c>
      <c r="J6528" s="13">
        <v>46141</v>
      </c>
      <c r="K6528" s="13">
        <v>46143</v>
      </c>
      <c r="L6528" t="s">
        <v>479</v>
      </c>
      <c r="M6528" t="s">
        <v>59</v>
      </c>
      <c r="N6528">
        <v>77664602</v>
      </c>
    </row>
    <row r="6529" spans="1:14" x14ac:dyDescent="0.25">
      <c r="A6529">
        <v>63458976</v>
      </c>
      <c r="B6529" t="s">
        <v>13879</v>
      </c>
      <c r="C6529" t="s">
        <v>1190</v>
      </c>
      <c r="D6529" t="s">
        <v>13880</v>
      </c>
      <c r="E6529">
        <v>3143581777</v>
      </c>
      <c r="F6529" t="s">
        <v>780</v>
      </c>
      <c r="G6529" t="s">
        <v>781</v>
      </c>
      <c r="I6529" t="s">
        <v>20</v>
      </c>
      <c r="J6529" s="13">
        <v>46141</v>
      </c>
      <c r="K6529" s="13">
        <v>46143</v>
      </c>
      <c r="L6529" t="s">
        <v>497</v>
      </c>
      <c r="M6529" t="s">
        <v>59</v>
      </c>
      <c r="N6529">
        <v>77664620</v>
      </c>
    </row>
    <row r="6530" spans="1:14" x14ac:dyDescent="0.25">
      <c r="A6530">
        <v>63458406</v>
      </c>
      <c r="B6530" t="s">
        <v>2972</v>
      </c>
      <c r="C6530" t="s">
        <v>13881</v>
      </c>
      <c r="D6530" t="s">
        <v>13882</v>
      </c>
      <c r="E6530">
        <v>3125304804</v>
      </c>
      <c r="F6530" t="s">
        <v>4941</v>
      </c>
      <c r="G6530" t="s">
        <v>12450</v>
      </c>
      <c r="I6530" t="s">
        <v>12451</v>
      </c>
      <c r="J6530" s="13">
        <v>46141</v>
      </c>
      <c r="K6530" s="13">
        <v>46143</v>
      </c>
      <c r="L6530" t="s">
        <v>470</v>
      </c>
      <c r="M6530" t="s">
        <v>60</v>
      </c>
      <c r="N6530">
        <v>77664853</v>
      </c>
    </row>
    <row r="6531" spans="1:14" x14ac:dyDescent="0.25">
      <c r="A6531">
        <v>63459993</v>
      </c>
      <c r="B6531" t="s">
        <v>3561</v>
      </c>
      <c r="C6531" t="s">
        <v>3194</v>
      </c>
      <c r="D6531" t="s">
        <v>13883</v>
      </c>
      <c r="E6531">
        <v>4404943133</v>
      </c>
      <c r="F6531" t="s">
        <v>815</v>
      </c>
      <c r="G6531" t="s">
        <v>816</v>
      </c>
      <c r="I6531" t="s">
        <v>23</v>
      </c>
      <c r="J6531" s="13">
        <v>46141</v>
      </c>
      <c r="K6531" s="13">
        <v>46143</v>
      </c>
      <c r="L6531" t="s">
        <v>418</v>
      </c>
      <c r="M6531" t="s">
        <v>59</v>
      </c>
      <c r="N6531">
        <v>77664897</v>
      </c>
    </row>
    <row r="6532" spans="1:14" x14ac:dyDescent="0.25">
      <c r="A6532">
        <v>63457631</v>
      </c>
      <c r="B6532" t="s">
        <v>1515</v>
      </c>
      <c r="C6532" t="s">
        <v>2196</v>
      </c>
      <c r="D6532" t="s">
        <v>13884</v>
      </c>
      <c r="E6532">
        <v>9045348987</v>
      </c>
      <c r="F6532" t="s">
        <v>416</v>
      </c>
      <c r="G6532" t="s">
        <v>417</v>
      </c>
      <c r="I6532" t="s">
        <v>26</v>
      </c>
      <c r="J6532" s="13">
        <v>46141</v>
      </c>
      <c r="K6532" s="13">
        <v>46143</v>
      </c>
      <c r="L6532" t="s">
        <v>497</v>
      </c>
      <c r="M6532" t="s">
        <v>56</v>
      </c>
      <c r="N6532">
        <v>77664972</v>
      </c>
    </row>
    <row r="6533" spans="1:14" x14ac:dyDescent="0.25">
      <c r="A6533">
        <v>63458384</v>
      </c>
      <c r="B6533" t="s">
        <v>445</v>
      </c>
      <c r="C6533" t="s">
        <v>4061</v>
      </c>
      <c r="D6533" t="s">
        <v>13885</v>
      </c>
      <c r="E6533">
        <v>3122187313</v>
      </c>
      <c r="F6533" t="s">
        <v>649</v>
      </c>
      <c r="G6533" t="s">
        <v>650</v>
      </c>
      <c r="I6533" t="s">
        <v>28</v>
      </c>
      <c r="J6533" s="13">
        <v>46141</v>
      </c>
      <c r="K6533" s="13">
        <v>46143</v>
      </c>
      <c r="L6533" t="s">
        <v>470</v>
      </c>
      <c r="M6533" t="s">
        <v>59</v>
      </c>
      <c r="N6533">
        <v>77665024</v>
      </c>
    </row>
    <row r="6534" spans="1:14" x14ac:dyDescent="0.25">
      <c r="A6534">
        <v>63459671</v>
      </c>
      <c r="B6534" t="s">
        <v>1160</v>
      </c>
      <c r="C6534" t="s">
        <v>13886</v>
      </c>
      <c r="D6534" t="s">
        <v>13887</v>
      </c>
      <c r="E6534">
        <v>2039546893</v>
      </c>
      <c r="F6534" t="s">
        <v>569</v>
      </c>
      <c r="G6534" t="s">
        <v>570</v>
      </c>
      <c r="I6534" t="s">
        <v>34</v>
      </c>
      <c r="J6534" s="13">
        <v>46141</v>
      </c>
      <c r="K6534" s="13">
        <v>46143</v>
      </c>
      <c r="L6534" t="s">
        <v>1179</v>
      </c>
      <c r="M6534" t="s">
        <v>54</v>
      </c>
      <c r="N6534">
        <v>77665263</v>
      </c>
    </row>
    <row r="6535" spans="1:14" x14ac:dyDescent="0.25">
      <c r="A6535">
        <v>63521522</v>
      </c>
      <c r="B6535" t="s">
        <v>990</v>
      </c>
      <c r="C6535" t="s">
        <v>13888</v>
      </c>
      <c r="D6535" t="s">
        <v>13889</v>
      </c>
      <c r="E6535">
        <v>5012067285</v>
      </c>
      <c r="F6535" t="s">
        <v>1067</v>
      </c>
      <c r="G6535" t="s">
        <v>1068</v>
      </c>
      <c r="I6535" t="s">
        <v>35</v>
      </c>
      <c r="J6535" s="13">
        <v>46143</v>
      </c>
      <c r="K6535" s="13">
        <v>46174</v>
      </c>
      <c r="L6535" t="s">
        <v>553</v>
      </c>
      <c r="M6535" t="s">
        <v>56</v>
      </c>
      <c r="N6535">
        <v>77665569</v>
      </c>
    </row>
    <row r="6536" spans="1:14" x14ac:dyDescent="0.25">
      <c r="A6536">
        <v>63459787</v>
      </c>
      <c r="B6536" t="s">
        <v>13890</v>
      </c>
      <c r="C6536" t="s">
        <v>1702</v>
      </c>
      <c r="D6536" t="s">
        <v>13891</v>
      </c>
      <c r="E6536">
        <v>3183153009</v>
      </c>
      <c r="F6536" t="s">
        <v>551</v>
      </c>
      <c r="G6536" t="s">
        <v>552</v>
      </c>
      <c r="I6536" t="s">
        <v>42</v>
      </c>
      <c r="J6536" s="13">
        <v>46141</v>
      </c>
      <c r="K6536" s="13">
        <v>46143</v>
      </c>
      <c r="L6536" t="s">
        <v>612</v>
      </c>
      <c r="M6536" t="s">
        <v>60</v>
      </c>
      <c r="N6536">
        <v>77665822</v>
      </c>
    </row>
    <row r="6537" spans="1:14" x14ac:dyDescent="0.25">
      <c r="A6537">
        <v>63459067</v>
      </c>
      <c r="B6537" t="s">
        <v>1910</v>
      </c>
      <c r="C6537" t="s">
        <v>13892</v>
      </c>
      <c r="D6537" t="s">
        <v>13893</v>
      </c>
      <c r="E6537">
        <v>2169902590</v>
      </c>
      <c r="F6537" t="s">
        <v>11776</v>
      </c>
      <c r="G6537" t="s">
        <v>3895</v>
      </c>
      <c r="H6537" t="s">
        <v>11777</v>
      </c>
      <c r="I6537" t="s">
        <v>11778</v>
      </c>
      <c r="J6537" s="13">
        <v>46141</v>
      </c>
      <c r="K6537" s="13">
        <v>46143</v>
      </c>
      <c r="L6537" t="s">
        <v>418</v>
      </c>
      <c r="M6537" t="s">
        <v>62</v>
      </c>
      <c r="N6537">
        <v>77666525</v>
      </c>
    </row>
    <row r="6538" spans="1:14" x14ac:dyDescent="0.25">
      <c r="A6538">
        <v>63459842</v>
      </c>
      <c r="B6538" t="s">
        <v>593</v>
      </c>
      <c r="C6538" t="s">
        <v>13894</v>
      </c>
      <c r="D6538" t="s">
        <v>13895</v>
      </c>
      <c r="E6538" t="s">
        <v>13896</v>
      </c>
      <c r="F6538" t="s">
        <v>807</v>
      </c>
      <c r="G6538" t="s">
        <v>808</v>
      </c>
      <c r="I6538" t="s">
        <v>33</v>
      </c>
      <c r="J6538" s="13">
        <v>46141</v>
      </c>
      <c r="K6538" s="13">
        <v>46174</v>
      </c>
      <c r="L6538" t="s">
        <v>1179</v>
      </c>
      <c r="M6538" t="s">
        <v>1779</v>
      </c>
      <c r="N6538">
        <v>77667156</v>
      </c>
    </row>
    <row r="6539" spans="1:14" x14ac:dyDescent="0.25">
      <c r="A6539">
        <v>63460373</v>
      </c>
      <c r="B6539" t="s">
        <v>3017</v>
      </c>
      <c r="C6539" t="s">
        <v>831</v>
      </c>
      <c r="D6539" t="s">
        <v>13897</v>
      </c>
      <c r="E6539">
        <v>6062837698</v>
      </c>
      <c r="F6539" t="s">
        <v>1067</v>
      </c>
      <c r="G6539" t="s">
        <v>1068</v>
      </c>
      <c r="I6539" t="s">
        <v>35</v>
      </c>
      <c r="J6539" s="13">
        <v>46141</v>
      </c>
      <c r="K6539" s="13">
        <v>46143</v>
      </c>
      <c r="L6539" t="s">
        <v>490</v>
      </c>
      <c r="M6539" t="s">
        <v>56</v>
      </c>
      <c r="N6539">
        <v>77667258</v>
      </c>
    </row>
    <row r="6540" spans="1:14" x14ac:dyDescent="0.25">
      <c r="A6540">
        <v>63499868</v>
      </c>
      <c r="B6540" t="s">
        <v>13898</v>
      </c>
      <c r="C6540" t="s">
        <v>13899</v>
      </c>
      <c r="D6540" t="s">
        <v>13900</v>
      </c>
      <c r="E6540">
        <v>3172946178</v>
      </c>
      <c r="F6540" t="s">
        <v>649</v>
      </c>
      <c r="G6540" t="s">
        <v>650</v>
      </c>
      <c r="I6540" t="s">
        <v>28</v>
      </c>
      <c r="J6540" s="13">
        <v>46142</v>
      </c>
      <c r="K6540" s="13">
        <v>46143</v>
      </c>
      <c r="L6540" t="s">
        <v>440</v>
      </c>
      <c r="M6540" t="s">
        <v>62</v>
      </c>
      <c r="N6540">
        <v>77667423</v>
      </c>
    </row>
    <row r="6541" spans="1:14" x14ac:dyDescent="0.25">
      <c r="A6541">
        <v>63479543</v>
      </c>
      <c r="B6541" t="s">
        <v>13901</v>
      </c>
      <c r="C6541" t="s">
        <v>13902</v>
      </c>
      <c r="D6541" t="s">
        <v>13903</v>
      </c>
      <c r="E6541">
        <v>9548180099</v>
      </c>
      <c r="F6541" t="s">
        <v>667</v>
      </c>
      <c r="G6541" t="s">
        <v>668</v>
      </c>
      <c r="I6541" t="s">
        <v>37</v>
      </c>
      <c r="J6541" s="13">
        <v>46141</v>
      </c>
      <c r="K6541" s="13">
        <v>46143</v>
      </c>
      <c r="L6541" t="s">
        <v>497</v>
      </c>
      <c r="M6541" t="s">
        <v>56</v>
      </c>
      <c r="N6541">
        <v>77667563</v>
      </c>
    </row>
    <row r="6542" spans="1:14" x14ac:dyDescent="0.25">
      <c r="A6542">
        <v>63460830</v>
      </c>
      <c r="B6542" t="s">
        <v>4210</v>
      </c>
      <c r="C6542" t="s">
        <v>9112</v>
      </c>
      <c r="D6542" t="s">
        <v>13904</v>
      </c>
      <c r="E6542">
        <v>9042142271</v>
      </c>
      <c r="F6542" t="s">
        <v>416</v>
      </c>
      <c r="G6542" t="s">
        <v>417</v>
      </c>
      <c r="I6542" t="s">
        <v>26</v>
      </c>
      <c r="J6542" s="13">
        <v>46141</v>
      </c>
      <c r="K6542" s="13">
        <v>46143</v>
      </c>
      <c r="L6542" t="s">
        <v>497</v>
      </c>
      <c r="M6542" t="s">
        <v>11843</v>
      </c>
      <c r="N6542">
        <v>77667659</v>
      </c>
    </row>
    <row r="6543" spans="1:14" x14ac:dyDescent="0.25">
      <c r="A6543">
        <v>63468030</v>
      </c>
      <c r="B6543" t="s">
        <v>799</v>
      </c>
      <c r="C6543" t="s">
        <v>13905</v>
      </c>
      <c r="D6543" t="s">
        <v>13906</v>
      </c>
      <c r="E6543">
        <v>9203772148</v>
      </c>
      <c r="F6543" t="s">
        <v>828</v>
      </c>
      <c r="G6543" t="s">
        <v>1148</v>
      </c>
      <c r="I6543" t="s">
        <v>17</v>
      </c>
      <c r="J6543" s="13">
        <v>46141</v>
      </c>
      <c r="K6543" s="13">
        <v>46143</v>
      </c>
      <c r="L6543" t="s">
        <v>675</v>
      </c>
      <c r="M6543" t="s">
        <v>58</v>
      </c>
      <c r="N6543">
        <v>77667820</v>
      </c>
    </row>
    <row r="6544" spans="1:14" x14ac:dyDescent="0.25">
      <c r="A6544">
        <v>63465450</v>
      </c>
      <c r="B6544" t="s">
        <v>12283</v>
      </c>
      <c r="C6544" t="s">
        <v>4536</v>
      </c>
      <c r="D6544" t="s">
        <v>13907</v>
      </c>
      <c r="E6544">
        <v>7733228129</v>
      </c>
      <c r="F6544" t="s">
        <v>10253</v>
      </c>
      <c r="G6544" t="s">
        <v>781</v>
      </c>
      <c r="I6544" t="s">
        <v>36</v>
      </c>
      <c r="J6544" s="13">
        <v>46141</v>
      </c>
      <c r="K6544" s="13">
        <v>46143</v>
      </c>
      <c r="L6544" t="s">
        <v>470</v>
      </c>
      <c r="M6544" t="s">
        <v>62</v>
      </c>
      <c r="N6544">
        <v>77667938</v>
      </c>
    </row>
    <row r="6545" spans="1:14" x14ac:dyDescent="0.25">
      <c r="A6545">
        <v>63464081</v>
      </c>
      <c r="B6545" t="s">
        <v>3326</v>
      </c>
      <c r="C6545" t="s">
        <v>13908</v>
      </c>
      <c r="D6545" t="s">
        <v>13909</v>
      </c>
      <c r="E6545">
        <v>2702189401</v>
      </c>
      <c r="F6545" t="s">
        <v>11838</v>
      </c>
      <c r="G6545" t="s">
        <v>11839</v>
      </c>
      <c r="I6545" t="s">
        <v>11840</v>
      </c>
      <c r="J6545" s="13">
        <v>46141</v>
      </c>
      <c r="K6545" s="13">
        <v>46143</v>
      </c>
      <c r="L6545" t="s">
        <v>490</v>
      </c>
      <c r="M6545" t="s">
        <v>58</v>
      </c>
      <c r="N6545">
        <v>77668042</v>
      </c>
    </row>
    <row r="6546" spans="1:14" x14ac:dyDescent="0.25">
      <c r="A6546">
        <v>63514218</v>
      </c>
      <c r="B6546" t="s">
        <v>13910</v>
      </c>
      <c r="C6546" t="s">
        <v>3996</v>
      </c>
      <c r="D6546" t="s">
        <v>13911</v>
      </c>
      <c r="E6546">
        <v>9015303603</v>
      </c>
      <c r="F6546" t="s">
        <v>10460</v>
      </c>
      <c r="G6546" t="s">
        <v>6663</v>
      </c>
      <c r="I6546" t="s">
        <v>40</v>
      </c>
      <c r="J6546" s="13">
        <v>46143</v>
      </c>
      <c r="K6546" s="13">
        <v>46174</v>
      </c>
      <c r="L6546" t="s">
        <v>479</v>
      </c>
      <c r="M6546" t="s">
        <v>59</v>
      </c>
      <c r="N6546">
        <v>77668334</v>
      </c>
    </row>
    <row r="6547" spans="1:14" x14ac:dyDescent="0.25">
      <c r="A6547">
        <v>63486488</v>
      </c>
      <c r="B6547" t="s">
        <v>975</v>
      </c>
      <c r="C6547" t="s">
        <v>4667</v>
      </c>
      <c r="D6547" t="s">
        <v>13912</v>
      </c>
      <c r="E6547">
        <v>8643772314</v>
      </c>
      <c r="F6547" t="s">
        <v>551</v>
      </c>
      <c r="G6547" t="s">
        <v>552</v>
      </c>
      <c r="I6547" t="s">
        <v>42</v>
      </c>
      <c r="J6547" s="13">
        <v>46142</v>
      </c>
      <c r="K6547" s="13">
        <v>46143</v>
      </c>
      <c r="L6547" t="s">
        <v>533</v>
      </c>
      <c r="M6547" t="s">
        <v>60</v>
      </c>
      <c r="N6547">
        <v>77669004</v>
      </c>
    </row>
    <row r="6548" spans="1:14" x14ac:dyDescent="0.25">
      <c r="A6548">
        <v>63476495</v>
      </c>
      <c r="B6548" t="s">
        <v>2896</v>
      </c>
      <c r="C6548" t="s">
        <v>515</v>
      </c>
      <c r="D6548" t="s">
        <v>13913</v>
      </c>
      <c r="E6548">
        <v>7084907111</v>
      </c>
      <c r="F6548" t="s">
        <v>705</v>
      </c>
      <c r="G6548" t="s">
        <v>706</v>
      </c>
      <c r="I6548" t="s">
        <v>12</v>
      </c>
      <c r="J6548" s="13">
        <v>46141</v>
      </c>
      <c r="K6548" s="13">
        <v>46143</v>
      </c>
      <c r="L6548" t="s">
        <v>470</v>
      </c>
      <c r="M6548" t="s">
        <v>62</v>
      </c>
      <c r="N6548">
        <v>77669702</v>
      </c>
    </row>
    <row r="6549" spans="1:14" x14ac:dyDescent="0.25">
      <c r="A6549">
        <v>63472776</v>
      </c>
      <c r="B6549" t="s">
        <v>6509</v>
      </c>
      <c r="C6549" t="s">
        <v>2972</v>
      </c>
      <c r="D6549" t="s">
        <v>13914</v>
      </c>
      <c r="E6549">
        <v>5207010989</v>
      </c>
      <c r="F6549" t="s">
        <v>1013</v>
      </c>
      <c r="G6549" t="s">
        <v>1014</v>
      </c>
      <c r="I6549" t="s">
        <v>43</v>
      </c>
      <c r="J6549" s="13">
        <v>46141</v>
      </c>
      <c r="K6549" s="13">
        <v>46143</v>
      </c>
      <c r="L6549" t="s">
        <v>1179</v>
      </c>
      <c r="M6549" t="s">
        <v>54</v>
      </c>
      <c r="N6549">
        <v>77669901</v>
      </c>
    </row>
    <row r="6550" spans="1:14" x14ac:dyDescent="0.25">
      <c r="A6550">
        <v>63475251</v>
      </c>
      <c r="B6550" t="s">
        <v>4480</v>
      </c>
      <c r="C6550" t="s">
        <v>13915</v>
      </c>
      <c r="D6550" t="s">
        <v>13916</v>
      </c>
      <c r="E6550">
        <v>6235222277</v>
      </c>
      <c r="F6550" t="s">
        <v>10591</v>
      </c>
      <c r="G6550" t="s">
        <v>10215</v>
      </c>
      <c r="I6550" t="s">
        <v>32</v>
      </c>
      <c r="J6550" s="13">
        <v>46141</v>
      </c>
      <c r="K6550" s="13">
        <v>46143</v>
      </c>
      <c r="L6550" t="s">
        <v>1179</v>
      </c>
      <c r="M6550" t="s">
        <v>54</v>
      </c>
      <c r="N6550">
        <v>77669939</v>
      </c>
    </row>
    <row r="6551" spans="1:14" x14ac:dyDescent="0.25">
      <c r="A6551">
        <v>63479704</v>
      </c>
      <c r="B6551" t="s">
        <v>830</v>
      </c>
      <c r="C6551" t="s">
        <v>13917</v>
      </c>
      <c r="D6551" t="s">
        <v>13918</v>
      </c>
      <c r="E6551" t="s">
        <v>13919</v>
      </c>
      <c r="F6551" t="s">
        <v>667</v>
      </c>
      <c r="G6551" t="s">
        <v>668</v>
      </c>
      <c r="I6551" t="s">
        <v>37</v>
      </c>
      <c r="J6551" s="13">
        <v>46141</v>
      </c>
      <c r="K6551" s="13">
        <v>46143</v>
      </c>
      <c r="L6551" t="s">
        <v>497</v>
      </c>
      <c r="M6551" t="s">
        <v>56</v>
      </c>
      <c r="N6551">
        <v>77670220</v>
      </c>
    </row>
    <row r="6552" spans="1:14" x14ac:dyDescent="0.25">
      <c r="A6552">
        <v>63479724</v>
      </c>
      <c r="B6552" t="s">
        <v>10860</v>
      </c>
      <c r="C6552" t="s">
        <v>1177</v>
      </c>
      <c r="D6552" t="s">
        <v>13920</v>
      </c>
      <c r="E6552">
        <v>6027528634</v>
      </c>
      <c r="F6552" t="s">
        <v>1345</v>
      </c>
      <c r="G6552" t="s">
        <v>799</v>
      </c>
      <c r="I6552" t="s">
        <v>47</v>
      </c>
      <c r="J6552" s="13">
        <v>46141</v>
      </c>
      <c r="K6552" s="13">
        <v>46143</v>
      </c>
      <c r="L6552" t="s">
        <v>1179</v>
      </c>
      <c r="M6552" t="s">
        <v>56</v>
      </c>
      <c r="N6552">
        <v>77670411</v>
      </c>
    </row>
    <row r="6553" spans="1:14" x14ac:dyDescent="0.25">
      <c r="A6553">
        <v>63479357</v>
      </c>
      <c r="B6553" t="s">
        <v>622</v>
      </c>
      <c r="C6553" t="s">
        <v>5844</v>
      </c>
      <c r="D6553" t="s">
        <v>13921</v>
      </c>
      <c r="E6553">
        <v>4074601451</v>
      </c>
      <c r="F6553" t="s">
        <v>688</v>
      </c>
      <c r="G6553" t="s">
        <v>13922</v>
      </c>
      <c r="I6553" t="s">
        <v>13923</v>
      </c>
      <c r="J6553" s="13">
        <v>46141</v>
      </c>
      <c r="K6553" s="13">
        <v>46143</v>
      </c>
      <c r="L6553" t="s">
        <v>497</v>
      </c>
      <c r="M6553" t="s">
        <v>59</v>
      </c>
      <c r="N6553">
        <v>77670540</v>
      </c>
    </row>
    <row r="6554" spans="1:14" x14ac:dyDescent="0.25">
      <c r="A6554">
        <v>63498682</v>
      </c>
      <c r="B6554" t="s">
        <v>552</v>
      </c>
      <c r="C6554" t="s">
        <v>13924</v>
      </c>
      <c r="D6554" t="s">
        <v>13925</v>
      </c>
      <c r="E6554">
        <v>2707841950</v>
      </c>
      <c r="F6554" t="s">
        <v>551</v>
      </c>
      <c r="G6554" t="s">
        <v>552</v>
      </c>
      <c r="I6554" t="s">
        <v>42</v>
      </c>
      <c r="J6554" s="13">
        <v>46142</v>
      </c>
      <c r="K6554" s="13">
        <v>46143</v>
      </c>
      <c r="L6554" t="s">
        <v>490</v>
      </c>
      <c r="M6554" t="s">
        <v>58</v>
      </c>
      <c r="N6554">
        <v>77674132</v>
      </c>
    </row>
    <row r="6555" spans="1:14" x14ac:dyDescent="0.25">
      <c r="A6555">
        <v>63594255</v>
      </c>
      <c r="B6555" t="s">
        <v>760</v>
      </c>
      <c r="C6555" t="s">
        <v>13926</v>
      </c>
      <c r="D6555" t="s">
        <v>13927</v>
      </c>
      <c r="E6555">
        <v>5306931151</v>
      </c>
      <c r="F6555" t="s">
        <v>807</v>
      </c>
      <c r="G6555" t="s">
        <v>808</v>
      </c>
      <c r="I6555" t="s">
        <v>33</v>
      </c>
      <c r="J6555" s="13">
        <v>46148</v>
      </c>
      <c r="K6555" s="13">
        <v>46174</v>
      </c>
      <c r="L6555" t="s">
        <v>1179</v>
      </c>
      <c r="M6555" t="s">
        <v>56</v>
      </c>
      <c r="N6555">
        <v>77674219</v>
      </c>
    </row>
    <row r="6556" spans="1:14" x14ac:dyDescent="0.25">
      <c r="A6556">
        <v>63483982</v>
      </c>
      <c r="B6556" t="s">
        <v>13223</v>
      </c>
      <c r="C6556" t="s">
        <v>13928</v>
      </c>
      <c r="D6556" t="s">
        <v>13929</v>
      </c>
      <c r="E6556">
        <v>9569707208</v>
      </c>
      <c r="F6556" t="s">
        <v>928</v>
      </c>
      <c r="G6556" t="s">
        <v>929</v>
      </c>
      <c r="I6556" t="s">
        <v>30</v>
      </c>
      <c r="J6556" s="13">
        <v>46142</v>
      </c>
      <c r="K6556" s="13">
        <v>46143</v>
      </c>
      <c r="L6556" t="s">
        <v>444</v>
      </c>
      <c r="M6556" t="s">
        <v>56</v>
      </c>
      <c r="N6556">
        <v>77674254</v>
      </c>
    </row>
    <row r="6557" spans="1:14" x14ac:dyDescent="0.25">
      <c r="A6557">
        <v>63485445</v>
      </c>
      <c r="B6557" t="s">
        <v>13930</v>
      </c>
      <c r="C6557" t="s">
        <v>13931</v>
      </c>
      <c r="D6557" t="s">
        <v>13932</v>
      </c>
      <c r="E6557">
        <v>9542320775</v>
      </c>
      <c r="F6557" t="s">
        <v>11745</v>
      </c>
      <c r="G6557" t="s">
        <v>6544</v>
      </c>
      <c r="I6557" t="s">
        <v>11746</v>
      </c>
      <c r="J6557" s="13">
        <v>46142</v>
      </c>
      <c r="K6557" s="13">
        <v>46143</v>
      </c>
      <c r="L6557" t="s">
        <v>497</v>
      </c>
      <c r="M6557" t="s">
        <v>54</v>
      </c>
      <c r="N6557">
        <v>77674269</v>
      </c>
    </row>
    <row r="6558" spans="1:14" x14ac:dyDescent="0.25">
      <c r="A6558">
        <v>63509623</v>
      </c>
      <c r="B6558" t="s">
        <v>431</v>
      </c>
      <c r="C6558" t="s">
        <v>13933</v>
      </c>
      <c r="D6558" t="s">
        <v>13934</v>
      </c>
      <c r="E6558">
        <v>6022455258</v>
      </c>
      <c r="F6558" t="s">
        <v>780</v>
      </c>
      <c r="G6558" t="s">
        <v>781</v>
      </c>
      <c r="I6558" t="s">
        <v>20</v>
      </c>
      <c r="J6558" s="13">
        <v>46142</v>
      </c>
      <c r="K6558" s="13">
        <v>46143</v>
      </c>
      <c r="L6558" t="s">
        <v>1179</v>
      </c>
      <c r="M6558" t="s">
        <v>59</v>
      </c>
      <c r="N6558">
        <v>77674331</v>
      </c>
    </row>
    <row r="6559" spans="1:14" x14ac:dyDescent="0.25">
      <c r="A6559">
        <v>63496684</v>
      </c>
      <c r="B6559" t="s">
        <v>13935</v>
      </c>
      <c r="C6559" t="s">
        <v>13936</v>
      </c>
      <c r="D6559" t="s">
        <v>13937</v>
      </c>
      <c r="E6559">
        <v>6025271386</v>
      </c>
      <c r="F6559" t="s">
        <v>815</v>
      </c>
      <c r="G6559" t="s">
        <v>816</v>
      </c>
      <c r="I6559" t="s">
        <v>23</v>
      </c>
      <c r="J6559" s="13">
        <v>46142</v>
      </c>
      <c r="K6559" s="13">
        <v>46143</v>
      </c>
      <c r="L6559" t="s">
        <v>440</v>
      </c>
      <c r="M6559" t="s">
        <v>59</v>
      </c>
      <c r="N6559">
        <v>77674335</v>
      </c>
    </row>
    <row r="6560" spans="1:14" x14ac:dyDescent="0.25">
      <c r="A6560">
        <v>63484836</v>
      </c>
      <c r="B6560" t="s">
        <v>1370</v>
      </c>
      <c r="C6560" t="s">
        <v>13938</v>
      </c>
      <c r="D6560" t="s">
        <v>13939</v>
      </c>
      <c r="E6560">
        <v>4435202252</v>
      </c>
      <c r="F6560" t="s">
        <v>416</v>
      </c>
      <c r="G6560" t="s">
        <v>417</v>
      </c>
      <c r="I6560" t="s">
        <v>26</v>
      </c>
      <c r="J6560" s="13">
        <v>46142</v>
      </c>
      <c r="K6560" s="13">
        <v>46143</v>
      </c>
      <c r="L6560" t="s">
        <v>497</v>
      </c>
      <c r="M6560" t="s">
        <v>54</v>
      </c>
      <c r="N6560">
        <v>77674391</v>
      </c>
    </row>
    <row r="6561" spans="1:14" x14ac:dyDescent="0.25">
      <c r="A6561">
        <v>63495177</v>
      </c>
      <c r="B6561" t="s">
        <v>1766</v>
      </c>
      <c r="C6561" t="s">
        <v>5636</v>
      </c>
      <c r="D6561" t="s">
        <v>13940</v>
      </c>
      <c r="E6561">
        <v>7086251315</v>
      </c>
      <c r="F6561" t="s">
        <v>10642</v>
      </c>
      <c r="G6561" t="s">
        <v>10643</v>
      </c>
      <c r="I6561" t="s">
        <v>45</v>
      </c>
      <c r="J6561" s="13">
        <v>46142</v>
      </c>
      <c r="K6561" s="13">
        <v>46143</v>
      </c>
      <c r="L6561" t="s">
        <v>470</v>
      </c>
      <c r="M6561" t="s">
        <v>62</v>
      </c>
      <c r="N6561">
        <v>77674506</v>
      </c>
    </row>
    <row r="6562" spans="1:14" x14ac:dyDescent="0.25">
      <c r="A6562">
        <v>63485001</v>
      </c>
      <c r="B6562" t="s">
        <v>1589</v>
      </c>
      <c r="C6562" t="s">
        <v>13941</v>
      </c>
      <c r="D6562" t="s">
        <v>13942</v>
      </c>
      <c r="E6562">
        <v>7403900760</v>
      </c>
      <c r="F6562" t="s">
        <v>828</v>
      </c>
      <c r="G6562" t="s">
        <v>1148</v>
      </c>
      <c r="I6562" t="s">
        <v>17</v>
      </c>
      <c r="J6562" s="13">
        <v>46142</v>
      </c>
      <c r="K6562" s="13">
        <v>46143</v>
      </c>
      <c r="L6562" t="s">
        <v>497</v>
      </c>
      <c r="M6562" t="s">
        <v>56</v>
      </c>
      <c r="N6562">
        <v>77674545</v>
      </c>
    </row>
    <row r="6563" spans="1:14" x14ac:dyDescent="0.25">
      <c r="A6563">
        <v>63486875</v>
      </c>
      <c r="B6563" t="s">
        <v>1106</v>
      </c>
      <c r="C6563" t="s">
        <v>13943</v>
      </c>
      <c r="D6563" t="s">
        <v>13944</v>
      </c>
      <c r="E6563">
        <v>7086646420</v>
      </c>
      <c r="F6563" t="s">
        <v>2544</v>
      </c>
      <c r="G6563" t="s">
        <v>4833</v>
      </c>
      <c r="I6563" t="s">
        <v>18</v>
      </c>
      <c r="J6563" s="13">
        <v>46142</v>
      </c>
      <c r="K6563" s="13">
        <v>46143</v>
      </c>
      <c r="L6563" t="s">
        <v>440</v>
      </c>
      <c r="M6563" t="s">
        <v>62</v>
      </c>
      <c r="N6563">
        <v>77674760</v>
      </c>
    </row>
    <row r="6564" spans="1:14" x14ac:dyDescent="0.25">
      <c r="A6564">
        <v>63484894</v>
      </c>
      <c r="B6564" t="s">
        <v>2203</v>
      </c>
      <c r="C6564" t="s">
        <v>13945</v>
      </c>
      <c r="D6564" t="s">
        <v>13946</v>
      </c>
      <c r="E6564">
        <v>3186910376</v>
      </c>
      <c r="F6564" t="s">
        <v>628</v>
      </c>
      <c r="G6564" t="s">
        <v>629</v>
      </c>
      <c r="I6564" t="s">
        <v>24</v>
      </c>
      <c r="J6564" s="13">
        <v>46142</v>
      </c>
      <c r="K6564" s="13">
        <v>46143</v>
      </c>
      <c r="L6564" t="s">
        <v>612</v>
      </c>
      <c r="M6564" t="s">
        <v>60</v>
      </c>
      <c r="N6564">
        <v>77674894</v>
      </c>
    </row>
    <row r="6565" spans="1:14" x14ac:dyDescent="0.25">
      <c r="A6565">
        <v>63487459</v>
      </c>
      <c r="B6565" t="s">
        <v>7747</v>
      </c>
      <c r="C6565" t="s">
        <v>13947</v>
      </c>
      <c r="D6565" t="s">
        <v>13948</v>
      </c>
      <c r="E6565">
        <v>9284322248</v>
      </c>
      <c r="F6565" t="s">
        <v>770</v>
      </c>
      <c r="G6565" t="s">
        <v>771</v>
      </c>
      <c r="I6565" t="s">
        <v>25</v>
      </c>
      <c r="J6565" s="13">
        <v>46142</v>
      </c>
      <c r="K6565" s="13">
        <v>46143</v>
      </c>
      <c r="L6565" t="s">
        <v>1179</v>
      </c>
      <c r="M6565" t="s">
        <v>58</v>
      </c>
      <c r="N6565">
        <v>77675117</v>
      </c>
    </row>
    <row r="6566" spans="1:14" x14ac:dyDescent="0.25">
      <c r="A6566">
        <v>63486263</v>
      </c>
      <c r="B6566" t="s">
        <v>5261</v>
      </c>
      <c r="C6566" t="s">
        <v>7823</v>
      </c>
      <c r="D6566" t="s">
        <v>13949</v>
      </c>
      <c r="E6566">
        <v>8038495264</v>
      </c>
      <c r="F6566" t="s">
        <v>1067</v>
      </c>
      <c r="G6566" t="s">
        <v>1068</v>
      </c>
      <c r="I6566" t="s">
        <v>35</v>
      </c>
      <c r="J6566" s="13">
        <v>46142</v>
      </c>
      <c r="K6566" s="13">
        <v>46143</v>
      </c>
      <c r="L6566" t="s">
        <v>533</v>
      </c>
      <c r="M6566" t="s">
        <v>56</v>
      </c>
      <c r="N6566">
        <v>77675836</v>
      </c>
    </row>
    <row r="6567" spans="1:14" x14ac:dyDescent="0.25">
      <c r="A6567">
        <v>63497113</v>
      </c>
      <c r="B6567" t="s">
        <v>3887</v>
      </c>
      <c r="C6567" t="s">
        <v>11077</v>
      </c>
      <c r="D6567" t="s">
        <v>13950</v>
      </c>
      <c r="E6567">
        <v>3303172606</v>
      </c>
      <c r="F6567" t="s">
        <v>1612</v>
      </c>
      <c r="G6567" t="s">
        <v>4811</v>
      </c>
      <c r="I6567" t="s">
        <v>322</v>
      </c>
      <c r="J6567" s="13">
        <v>46142</v>
      </c>
      <c r="K6567" s="13">
        <v>46143</v>
      </c>
      <c r="L6567" t="s">
        <v>418</v>
      </c>
      <c r="M6567" t="s">
        <v>58</v>
      </c>
      <c r="N6567">
        <v>77675936</v>
      </c>
    </row>
    <row r="6568" spans="1:14" x14ac:dyDescent="0.25">
      <c r="A6568">
        <v>63496331</v>
      </c>
      <c r="B6568" t="s">
        <v>13951</v>
      </c>
      <c r="C6568" t="s">
        <v>6095</v>
      </c>
      <c r="D6568" t="s">
        <v>13952</v>
      </c>
      <c r="E6568">
        <v>3308199350</v>
      </c>
      <c r="F6568" t="s">
        <v>649</v>
      </c>
      <c r="G6568" t="s">
        <v>650</v>
      </c>
      <c r="I6568" t="s">
        <v>28</v>
      </c>
      <c r="J6568" s="13">
        <v>46142</v>
      </c>
      <c r="K6568" s="13">
        <v>46143</v>
      </c>
      <c r="L6568" t="s">
        <v>418</v>
      </c>
      <c r="M6568" t="s">
        <v>62</v>
      </c>
      <c r="N6568">
        <v>77676081</v>
      </c>
    </row>
    <row r="6569" spans="1:14" x14ac:dyDescent="0.25">
      <c r="A6569">
        <v>63491094</v>
      </c>
      <c r="B6569" t="s">
        <v>4617</v>
      </c>
      <c r="C6569" t="s">
        <v>13953</v>
      </c>
      <c r="D6569" t="s">
        <v>13954</v>
      </c>
      <c r="E6569">
        <v>4808321982</v>
      </c>
      <c r="F6569" t="s">
        <v>775</v>
      </c>
      <c r="G6569" t="s">
        <v>776</v>
      </c>
      <c r="I6569" t="s">
        <v>22</v>
      </c>
      <c r="J6569" s="13">
        <v>46142</v>
      </c>
      <c r="K6569" s="13">
        <v>46204</v>
      </c>
      <c r="L6569" t="s">
        <v>1179</v>
      </c>
      <c r="M6569" t="s">
        <v>54</v>
      </c>
      <c r="N6569">
        <v>77676262</v>
      </c>
    </row>
    <row r="6570" spans="1:14" x14ac:dyDescent="0.25">
      <c r="A6570">
        <v>63497099</v>
      </c>
      <c r="B6570" t="s">
        <v>1226</v>
      </c>
      <c r="C6570" t="s">
        <v>13955</v>
      </c>
      <c r="D6570" t="s">
        <v>13956</v>
      </c>
      <c r="E6570">
        <v>7084667431</v>
      </c>
      <c r="F6570" t="s">
        <v>667</v>
      </c>
      <c r="G6570" t="s">
        <v>668</v>
      </c>
      <c r="I6570" t="s">
        <v>37</v>
      </c>
      <c r="J6570" s="13">
        <v>46142</v>
      </c>
      <c r="K6570" s="13">
        <v>46143</v>
      </c>
      <c r="L6570" t="s">
        <v>470</v>
      </c>
      <c r="M6570" t="s">
        <v>56</v>
      </c>
      <c r="N6570">
        <v>77676510</v>
      </c>
    </row>
    <row r="6571" spans="1:14" x14ac:dyDescent="0.25">
      <c r="A6571">
        <v>63510064</v>
      </c>
      <c r="B6571" t="s">
        <v>7796</v>
      </c>
      <c r="C6571" t="s">
        <v>13957</v>
      </c>
      <c r="D6571" t="s">
        <v>13958</v>
      </c>
      <c r="E6571">
        <v>8152728081</v>
      </c>
      <c r="F6571" t="s">
        <v>2544</v>
      </c>
      <c r="G6571" t="s">
        <v>4833</v>
      </c>
      <c r="I6571" t="s">
        <v>18</v>
      </c>
      <c r="J6571" s="13">
        <v>46142</v>
      </c>
      <c r="K6571" s="13">
        <v>46143</v>
      </c>
      <c r="L6571" t="s">
        <v>470</v>
      </c>
      <c r="M6571" t="s">
        <v>59</v>
      </c>
      <c r="N6571">
        <v>77685087</v>
      </c>
    </row>
    <row r="6572" spans="1:14" x14ac:dyDescent="0.25">
      <c r="A6572">
        <v>63498724</v>
      </c>
      <c r="B6572" t="s">
        <v>2771</v>
      </c>
      <c r="C6572" t="s">
        <v>13959</v>
      </c>
      <c r="D6572" t="s">
        <v>13960</v>
      </c>
      <c r="E6572">
        <v>2199993674</v>
      </c>
      <c r="F6572" t="s">
        <v>4941</v>
      </c>
      <c r="G6572" t="s">
        <v>12450</v>
      </c>
      <c r="I6572" t="s">
        <v>12451</v>
      </c>
      <c r="J6572" s="13">
        <v>46142</v>
      </c>
      <c r="K6572" s="13">
        <v>46143</v>
      </c>
      <c r="L6572" t="s">
        <v>440</v>
      </c>
      <c r="M6572" t="s">
        <v>62</v>
      </c>
      <c r="N6572">
        <v>77685156</v>
      </c>
    </row>
    <row r="6573" spans="1:14" x14ac:dyDescent="0.25">
      <c r="A6573">
        <v>63498441</v>
      </c>
      <c r="B6573" t="s">
        <v>975</v>
      </c>
      <c r="C6573" t="s">
        <v>8847</v>
      </c>
      <c r="D6573" t="s">
        <v>13961</v>
      </c>
      <c r="E6573">
        <v>9549805364</v>
      </c>
      <c r="F6573" t="s">
        <v>688</v>
      </c>
      <c r="G6573" t="s">
        <v>10291</v>
      </c>
      <c r="I6573" t="s">
        <v>48</v>
      </c>
      <c r="J6573" s="13">
        <v>46142</v>
      </c>
      <c r="K6573" s="13">
        <v>46143</v>
      </c>
      <c r="L6573" t="s">
        <v>497</v>
      </c>
      <c r="M6573" t="s">
        <v>56</v>
      </c>
      <c r="N6573">
        <v>77685456</v>
      </c>
    </row>
    <row r="6574" spans="1:14" x14ac:dyDescent="0.25">
      <c r="A6574">
        <v>63502996</v>
      </c>
      <c r="B6574" t="s">
        <v>1316</v>
      </c>
      <c r="C6574" t="s">
        <v>909</v>
      </c>
      <c r="D6574" t="s">
        <v>13962</v>
      </c>
      <c r="E6574">
        <v>5202781047</v>
      </c>
      <c r="F6574" t="s">
        <v>416</v>
      </c>
      <c r="G6574" t="s">
        <v>417</v>
      </c>
      <c r="I6574" t="s">
        <v>26</v>
      </c>
      <c r="J6574" s="13">
        <v>46142</v>
      </c>
      <c r="K6574" s="13">
        <v>46143</v>
      </c>
      <c r="L6574" t="s">
        <v>1179</v>
      </c>
      <c r="M6574" t="s">
        <v>59</v>
      </c>
      <c r="N6574">
        <v>77685493</v>
      </c>
    </row>
    <row r="6575" spans="1:14" x14ac:dyDescent="0.25">
      <c r="A6575">
        <v>63499159</v>
      </c>
      <c r="B6575" t="s">
        <v>3252</v>
      </c>
      <c r="C6575" t="s">
        <v>13963</v>
      </c>
      <c r="D6575" t="s">
        <v>13964</v>
      </c>
      <c r="E6575">
        <v>7656152344</v>
      </c>
      <c r="F6575" t="s">
        <v>10253</v>
      </c>
      <c r="G6575" t="s">
        <v>781</v>
      </c>
      <c r="I6575" t="s">
        <v>36</v>
      </c>
      <c r="J6575" s="13">
        <v>46142</v>
      </c>
      <c r="K6575" s="13">
        <v>46143</v>
      </c>
      <c r="L6575" t="s">
        <v>440</v>
      </c>
      <c r="M6575" t="s">
        <v>59</v>
      </c>
      <c r="N6575">
        <v>77685657</v>
      </c>
    </row>
    <row r="6576" spans="1:14" x14ac:dyDescent="0.25">
      <c r="A6576">
        <v>63510321</v>
      </c>
      <c r="B6576" t="s">
        <v>13965</v>
      </c>
      <c r="C6576" t="s">
        <v>10158</v>
      </c>
      <c r="D6576" t="s">
        <v>13966</v>
      </c>
      <c r="E6576" t="s">
        <v>13967</v>
      </c>
      <c r="F6576" t="s">
        <v>10642</v>
      </c>
      <c r="G6576" t="s">
        <v>10643</v>
      </c>
      <c r="I6576" t="s">
        <v>45</v>
      </c>
      <c r="J6576" s="13">
        <v>46142</v>
      </c>
      <c r="K6576" s="13">
        <v>46143</v>
      </c>
      <c r="L6576" t="s">
        <v>470</v>
      </c>
      <c r="M6576" t="s">
        <v>62</v>
      </c>
      <c r="N6576">
        <v>77685691</v>
      </c>
    </row>
    <row r="6577" spans="1:14" x14ac:dyDescent="0.25">
      <c r="A6577">
        <v>63499109</v>
      </c>
      <c r="B6577" t="s">
        <v>958</v>
      </c>
      <c r="C6577" t="s">
        <v>957</v>
      </c>
      <c r="D6577" t="s">
        <v>13968</v>
      </c>
      <c r="E6577">
        <v>4347094552</v>
      </c>
      <c r="F6577" t="s">
        <v>628</v>
      </c>
      <c r="G6577" t="s">
        <v>629</v>
      </c>
      <c r="I6577" t="s">
        <v>24</v>
      </c>
      <c r="J6577" s="13">
        <v>46142</v>
      </c>
      <c r="K6577" s="13">
        <v>46143</v>
      </c>
      <c r="L6577" t="s">
        <v>454</v>
      </c>
      <c r="M6577" t="s">
        <v>56</v>
      </c>
      <c r="N6577">
        <v>77685862</v>
      </c>
    </row>
    <row r="6578" spans="1:14" x14ac:dyDescent="0.25">
      <c r="A6578">
        <v>63599916</v>
      </c>
      <c r="B6578" t="s">
        <v>9680</v>
      </c>
      <c r="C6578" t="s">
        <v>13969</v>
      </c>
      <c r="D6578" t="s">
        <v>13970</v>
      </c>
      <c r="E6578">
        <v>6025037164</v>
      </c>
      <c r="F6578" t="s">
        <v>775</v>
      </c>
      <c r="G6578" t="s">
        <v>776</v>
      </c>
      <c r="I6578" t="s">
        <v>22</v>
      </c>
      <c r="J6578" s="13">
        <v>46148</v>
      </c>
      <c r="K6578" s="13">
        <v>46174</v>
      </c>
      <c r="L6578" t="s">
        <v>1179</v>
      </c>
      <c r="M6578" t="s">
        <v>54</v>
      </c>
      <c r="N6578">
        <v>77685924</v>
      </c>
    </row>
    <row r="6579" spans="1:14" x14ac:dyDescent="0.25">
      <c r="A6579">
        <v>63513639</v>
      </c>
      <c r="B6579" t="s">
        <v>1675</v>
      </c>
      <c r="C6579" t="s">
        <v>2227</v>
      </c>
      <c r="D6579" t="s">
        <v>13971</v>
      </c>
      <c r="E6579">
        <v>5672498501</v>
      </c>
      <c r="F6579" t="s">
        <v>474</v>
      </c>
      <c r="G6579" t="s">
        <v>475</v>
      </c>
      <c r="I6579" t="s">
        <v>132</v>
      </c>
      <c r="J6579" s="13">
        <v>46143</v>
      </c>
      <c r="K6579" s="13">
        <v>46174</v>
      </c>
      <c r="L6579" t="s">
        <v>418</v>
      </c>
      <c r="M6579" t="s">
        <v>58</v>
      </c>
      <c r="N6579">
        <v>77685951</v>
      </c>
    </row>
    <row r="6580" spans="1:14" x14ac:dyDescent="0.25">
      <c r="A6580">
        <v>63500500</v>
      </c>
      <c r="B6580" t="s">
        <v>4852</v>
      </c>
      <c r="C6580" t="s">
        <v>13972</v>
      </c>
      <c r="D6580" t="s">
        <v>13973</v>
      </c>
      <c r="E6580">
        <v>2166406403</v>
      </c>
      <c r="F6580" t="s">
        <v>705</v>
      </c>
      <c r="G6580" t="s">
        <v>706</v>
      </c>
      <c r="I6580" t="s">
        <v>12</v>
      </c>
      <c r="J6580" s="13">
        <v>46142</v>
      </c>
      <c r="K6580" s="13">
        <v>46143</v>
      </c>
      <c r="L6580" t="s">
        <v>418</v>
      </c>
      <c r="M6580" t="s">
        <v>59</v>
      </c>
      <c r="N6580">
        <v>77685962</v>
      </c>
    </row>
    <row r="6581" spans="1:14" x14ac:dyDescent="0.25">
      <c r="A6581">
        <v>63503106</v>
      </c>
      <c r="B6581" t="s">
        <v>12124</v>
      </c>
      <c r="C6581" t="s">
        <v>13974</v>
      </c>
      <c r="D6581" t="s">
        <v>13975</v>
      </c>
      <c r="E6581">
        <v>4805297111</v>
      </c>
      <c r="F6581" t="s">
        <v>569</v>
      </c>
      <c r="G6581" t="s">
        <v>570</v>
      </c>
      <c r="I6581" t="s">
        <v>34</v>
      </c>
      <c r="J6581" s="13">
        <v>46142</v>
      </c>
      <c r="K6581" s="13">
        <v>46143</v>
      </c>
      <c r="L6581" t="s">
        <v>1179</v>
      </c>
      <c r="M6581" t="s">
        <v>54</v>
      </c>
      <c r="N6581">
        <v>77685989</v>
      </c>
    </row>
    <row r="6582" spans="1:14" x14ac:dyDescent="0.25">
      <c r="A6582">
        <v>63509631</v>
      </c>
      <c r="B6582" t="s">
        <v>8475</v>
      </c>
      <c r="C6582" t="s">
        <v>423</v>
      </c>
      <c r="D6582" t="s">
        <v>13976</v>
      </c>
      <c r="E6582">
        <v>5202652837</v>
      </c>
      <c r="F6582" t="s">
        <v>2544</v>
      </c>
      <c r="G6582" t="s">
        <v>12389</v>
      </c>
      <c r="I6582" t="s">
        <v>12390</v>
      </c>
      <c r="J6582" s="13">
        <v>46142</v>
      </c>
      <c r="K6582" s="13">
        <v>46143</v>
      </c>
      <c r="L6582" t="s">
        <v>1179</v>
      </c>
      <c r="M6582" t="s">
        <v>54</v>
      </c>
      <c r="N6582">
        <v>77686160</v>
      </c>
    </row>
    <row r="6583" spans="1:14" x14ac:dyDescent="0.25">
      <c r="A6583">
        <v>63616973</v>
      </c>
      <c r="B6583" t="s">
        <v>480</v>
      </c>
      <c r="C6583" t="s">
        <v>9478</v>
      </c>
      <c r="D6583" t="s">
        <v>13977</v>
      </c>
      <c r="E6583">
        <v>8597394208</v>
      </c>
      <c r="F6583" t="s">
        <v>448</v>
      </c>
      <c r="G6583" t="s">
        <v>449</v>
      </c>
      <c r="I6583" t="s">
        <v>31</v>
      </c>
      <c r="J6583" s="13">
        <v>46149</v>
      </c>
      <c r="K6583" s="13">
        <v>46174</v>
      </c>
      <c r="L6583" t="s">
        <v>490</v>
      </c>
      <c r="M6583" t="s">
        <v>59</v>
      </c>
      <c r="N6583">
        <v>77687078</v>
      </c>
    </row>
    <row r="6584" spans="1:14" x14ac:dyDescent="0.25">
      <c r="A6584">
        <v>63504184</v>
      </c>
      <c r="B6584" t="s">
        <v>4799</v>
      </c>
      <c r="C6584" t="s">
        <v>1147</v>
      </c>
      <c r="D6584" t="s">
        <v>13978</v>
      </c>
      <c r="E6584">
        <v>6466898092</v>
      </c>
      <c r="F6584" t="s">
        <v>928</v>
      </c>
      <c r="G6584" t="s">
        <v>929</v>
      </c>
      <c r="I6584" t="s">
        <v>30</v>
      </c>
      <c r="J6584" s="13">
        <v>46142</v>
      </c>
      <c r="K6584" s="13">
        <v>46143</v>
      </c>
      <c r="L6584" t="s">
        <v>497</v>
      </c>
      <c r="M6584" t="s">
        <v>59</v>
      </c>
      <c r="N6584">
        <v>77691455</v>
      </c>
    </row>
    <row r="6585" spans="1:14" x14ac:dyDescent="0.25">
      <c r="A6585">
        <v>63510232</v>
      </c>
      <c r="B6585" t="s">
        <v>13979</v>
      </c>
      <c r="C6585" t="s">
        <v>2544</v>
      </c>
      <c r="D6585" t="s">
        <v>13980</v>
      </c>
      <c r="E6585">
        <v>3312380647</v>
      </c>
      <c r="F6585" t="s">
        <v>815</v>
      </c>
      <c r="G6585" t="s">
        <v>816</v>
      </c>
      <c r="I6585" t="s">
        <v>23</v>
      </c>
      <c r="J6585" s="13">
        <v>46142</v>
      </c>
      <c r="K6585" s="13">
        <v>46143</v>
      </c>
      <c r="L6585" t="s">
        <v>470</v>
      </c>
      <c r="M6585" t="s">
        <v>59</v>
      </c>
      <c r="N6585">
        <v>77706064</v>
      </c>
    </row>
    <row r="6586" spans="1:14" x14ac:dyDescent="0.25">
      <c r="A6586">
        <v>63509881</v>
      </c>
      <c r="B6586" t="s">
        <v>1643</v>
      </c>
      <c r="C6586" t="s">
        <v>7386</v>
      </c>
      <c r="D6586" t="s">
        <v>13981</v>
      </c>
      <c r="E6586">
        <v>2706063095</v>
      </c>
      <c r="F6586" t="s">
        <v>10460</v>
      </c>
      <c r="G6586" t="s">
        <v>6663</v>
      </c>
      <c r="I6586" t="s">
        <v>40</v>
      </c>
      <c r="J6586" s="13">
        <v>46142</v>
      </c>
      <c r="K6586" s="13">
        <v>46143</v>
      </c>
      <c r="L6586" t="s">
        <v>490</v>
      </c>
      <c r="M6586" t="s">
        <v>59</v>
      </c>
      <c r="N6586">
        <v>77711426</v>
      </c>
    </row>
    <row r="6587" spans="1:14" x14ac:dyDescent="0.25">
      <c r="A6587">
        <v>63510659</v>
      </c>
      <c r="B6587" t="s">
        <v>4844</v>
      </c>
      <c r="C6587" t="s">
        <v>13982</v>
      </c>
      <c r="D6587" t="s">
        <v>13983</v>
      </c>
      <c r="E6587" t="s">
        <v>13984</v>
      </c>
      <c r="F6587" t="s">
        <v>10253</v>
      </c>
      <c r="G6587" t="s">
        <v>781</v>
      </c>
      <c r="I6587" t="s">
        <v>36</v>
      </c>
      <c r="J6587" s="13">
        <v>46142</v>
      </c>
      <c r="K6587" s="13">
        <v>46143</v>
      </c>
      <c r="L6587" t="s">
        <v>470</v>
      </c>
      <c r="M6587" t="s">
        <v>62</v>
      </c>
      <c r="N6587">
        <v>77714578</v>
      </c>
    </row>
    <row r="6588" spans="1:14" x14ac:dyDescent="0.25">
      <c r="A6588">
        <v>63510195</v>
      </c>
      <c r="B6588" t="s">
        <v>12867</v>
      </c>
      <c r="C6588" t="s">
        <v>13985</v>
      </c>
      <c r="D6588" t="s">
        <v>13986</v>
      </c>
      <c r="E6588">
        <v>5202445156</v>
      </c>
      <c r="F6588" t="s">
        <v>11745</v>
      </c>
      <c r="G6588" t="s">
        <v>6544</v>
      </c>
      <c r="I6588" t="s">
        <v>11746</v>
      </c>
      <c r="J6588" s="13">
        <v>46142</v>
      </c>
      <c r="K6588" s="13">
        <v>46143</v>
      </c>
      <c r="L6588" t="s">
        <v>1179</v>
      </c>
      <c r="M6588" t="s">
        <v>59</v>
      </c>
      <c r="N6588">
        <v>77723934</v>
      </c>
    </row>
    <row r="6589" spans="1:14" x14ac:dyDescent="0.25">
      <c r="A6589">
        <v>63509644</v>
      </c>
      <c r="B6589" t="s">
        <v>856</v>
      </c>
      <c r="C6589" t="s">
        <v>12399</v>
      </c>
      <c r="D6589" t="s">
        <v>13987</v>
      </c>
      <c r="E6589">
        <v>2169784973</v>
      </c>
      <c r="F6589" t="s">
        <v>474</v>
      </c>
      <c r="G6589" t="s">
        <v>475</v>
      </c>
      <c r="I6589" t="s">
        <v>132</v>
      </c>
      <c r="J6589" s="13">
        <v>46142</v>
      </c>
      <c r="K6589" s="13">
        <v>46143</v>
      </c>
      <c r="L6589" t="s">
        <v>418</v>
      </c>
      <c r="M6589" t="s">
        <v>62</v>
      </c>
      <c r="N6589">
        <v>77727126</v>
      </c>
    </row>
    <row r="6590" spans="1:14" x14ac:dyDescent="0.25">
      <c r="A6590">
        <v>63510350</v>
      </c>
      <c r="B6590" t="s">
        <v>1167</v>
      </c>
      <c r="C6590" t="s">
        <v>13988</v>
      </c>
      <c r="D6590" t="s">
        <v>13989</v>
      </c>
      <c r="E6590">
        <v>7276748718</v>
      </c>
      <c r="F6590" t="s">
        <v>10591</v>
      </c>
      <c r="G6590" t="s">
        <v>10215</v>
      </c>
      <c r="I6590" t="s">
        <v>32</v>
      </c>
      <c r="J6590" s="13">
        <v>46142</v>
      </c>
      <c r="K6590" s="13">
        <v>46143</v>
      </c>
      <c r="L6590" t="s">
        <v>497</v>
      </c>
      <c r="M6590" t="s">
        <v>58</v>
      </c>
      <c r="N6590">
        <v>77744563</v>
      </c>
    </row>
    <row r="6591" spans="1:14" x14ac:dyDescent="0.25">
      <c r="A6591">
        <v>63510774</v>
      </c>
      <c r="B6591" t="s">
        <v>1925</v>
      </c>
      <c r="C6591" t="s">
        <v>13990</v>
      </c>
      <c r="D6591" t="s">
        <v>13991</v>
      </c>
      <c r="E6591">
        <v>4805802187</v>
      </c>
      <c r="F6591" t="s">
        <v>569</v>
      </c>
      <c r="G6591" t="s">
        <v>570</v>
      </c>
      <c r="I6591" t="s">
        <v>34</v>
      </c>
      <c r="J6591" s="13">
        <v>46142</v>
      </c>
      <c r="K6591" s="13">
        <v>46143</v>
      </c>
      <c r="L6591" t="s">
        <v>1179</v>
      </c>
      <c r="M6591" t="s">
        <v>54</v>
      </c>
      <c r="N6591">
        <v>77747299</v>
      </c>
    </row>
    <row r="6592" spans="1:14" x14ac:dyDescent="0.25">
      <c r="A6592">
        <v>63510348</v>
      </c>
      <c r="B6592" t="s">
        <v>3587</v>
      </c>
      <c r="C6592" t="s">
        <v>2482</v>
      </c>
      <c r="D6592" t="s">
        <v>13992</v>
      </c>
      <c r="E6592">
        <v>3122176193</v>
      </c>
      <c r="F6592" t="s">
        <v>448</v>
      </c>
      <c r="G6592" t="s">
        <v>449</v>
      </c>
      <c r="I6592" t="s">
        <v>31</v>
      </c>
      <c r="J6592" s="13">
        <v>46142</v>
      </c>
      <c r="K6592" s="13">
        <v>46143</v>
      </c>
      <c r="L6592" t="s">
        <v>470</v>
      </c>
      <c r="M6592" t="s">
        <v>60</v>
      </c>
      <c r="N6592">
        <v>77784973</v>
      </c>
    </row>
    <row r="6593" spans="1:14" x14ac:dyDescent="0.25">
      <c r="A6593">
        <v>63555182</v>
      </c>
      <c r="B6593" t="s">
        <v>420</v>
      </c>
      <c r="C6593" t="s">
        <v>522</v>
      </c>
      <c r="E6593">
        <v>3366553339</v>
      </c>
      <c r="F6593" t="s">
        <v>828</v>
      </c>
      <c r="G6593" t="s">
        <v>1148</v>
      </c>
      <c r="I6593" t="s">
        <v>17</v>
      </c>
      <c r="J6593" s="13">
        <v>46146</v>
      </c>
      <c r="K6593" s="13">
        <v>46174</v>
      </c>
      <c r="L6593" t="s">
        <v>603</v>
      </c>
      <c r="M6593" t="s">
        <v>55</v>
      </c>
      <c r="N6593">
        <v>77879585</v>
      </c>
    </row>
    <row r="6594" spans="1:14" x14ac:dyDescent="0.25">
      <c r="A6594">
        <v>63515117</v>
      </c>
      <c r="B6594" t="s">
        <v>747</v>
      </c>
      <c r="C6594" t="s">
        <v>13993</v>
      </c>
      <c r="D6594" t="s">
        <v>13994</v>
      </c>
      <c r="E6594">
        <v>9048816709</v>
      </c>
      <c r="F6594" t="s">
        <v>416</v>
      </c>
      <c r="G6594" t="s">
        <v>417</v>
      </c>
      <c r="I6594" t="s">
        <v>26</v>
      </c>
      <c r="J6594" s="13">
        <v>46143</v>
      </c>
      <c r="K6594" s="13">
        <v>46174</v>
      </c>
      <c r="L6594" t="s">
        <v>497</v>
      </c>
      <c r="M6594" t="s">
        <v>11843</v>
      </c>
      <c r="N6594">
        <v>77879787</v>
      </c>
    </row>
    <row r="6595" spans="1:14" x14ac:dyDescent="0.25">
      <c r="A6595">
        <v>63515218</v>
      </c>
      <c r="B6595" t="s">
        <v>2081</v>
      </c>
      <c r="C6595" t="s">
        <v>13995</v>
      </c>
      <c r="D6595" t="s">
        <v>13996</v>
      </c>
      <c r="E6595">
        <v>4199014390</v>
      </c>
      <c r="F6595" t="s">
        <v>574</v>
      </c>
      <c r="G6595" t="s">
        <v>575</v>
      </c>
      <c r="I6595" t="s">
        <v>14</v>
      </c>
      <c r="J6595" s="13">
        <v>46143</v>
      </c>
      <c r="K6595" s="13">
        <v>46174</v>
      </c>
      <c r="L6595" t="s">
        <v>418</v>
      </c>
      <c r="M6595" t="s">
        <v>56</v>
      </c>
      <c r="N6595">
        <v>77879954</v>
      </c>
    </row>
    <row r="6596" spans="1:14" x14ac:dyDescent="0.25">
      <c r="A6596">
        <v>63515522</v>
      </c>
      <c r="B6596" t="s">
        <v>1813</v>
      </c>
      <c r="C6596" t="s">
        <v>4594</v>
      </c>
      <c r="D6596" t="s">
        <v>13997</v>
      </c>
      <c r="E6596">
        <v>8706641003</v>
      </c>
      <c r="F6596" t="s">
        <v>448</v>
      </c>
      <c r="G6596" t="s">
        <v>449</v>
      </c>
      <c r="I6596" t="s">
        <v>31</v>
      </c>
      <c r="J6596" s="13">
        <v>46143</v>
      </c>
      <c r="K6596" s="13">
        <v>46174</v>
      </c>
      <c r="L6596" t="s">
        <v>553</v>
      </c>
      <c r="M6596" t="s">
        <v>58</v>
      </c>
      <c r="N6596">
        <v>77879980</v>
      </c>
    </row>
    <row r="6597" spans="1:14" x14ac:dyDescent="0.25">
      <c r="A6597">
        <v>63515241</v>
      </c>
      <c r="B6597" t="s">
        <v>1784</v>
      </c>
      <c r="C6597" t="s">
        <v>9040</v>
      </c>
      <c r="D6597" t="s">
        <v>13998</v>
      </c>
      <c r="E6597">
        <v>7277937794</v>
      </c>
      <c r="F6597" t="s">
        <v>780</v>
      </c>
      <c r="G6597" t="s">
        <v>781</v>
      </c>
      <c r="I6597" t="s">
        <v>20</v>
      </c>
      <c r="J6597" s="13">
        <v>46143</v>
      </c>
      <c r="K6597" s="13">
        <v>46174</v>
      </c>
      <c r="L6597" t="s">
        <v>497</v>
      </c>
      <c r="M6597" t="s">
        <v>56</v>
      </c>
      <c r="N6597">
        <v>77880223</v>
      </c>
    </row>
    <row r="6598" spans="1:14" x14ac:dyDescent="0.25">
      <c r="A6598">
        <v>63515107</v>
      </c>
      <c r="B6598" t="s">
        <v>5744</v>
      </c>
      <c r="C6598" t="s">
        <v>616</v>
      </c>
      <c r="D6598" t="s">
        <v>13999</v>
      </c>
      <c r="E6598">
        <v>7432404194</v>
      </c>
      <c r="F6598" t="s">
        <v>928</v>
      </c>
      <c r="G6598" t="s">
        <v>929</v>
      </c>
      <c r="I6598" t="s">
        <v>30</v>
      </c>
      <c r="J6598" s="13">
        <v>46143</v>
      </c>
      <c r="K6598" s="13">
        <v>46174</v>
      </c>
      <c r="L6598" t="s">
        <v>603</v>
      </c>
      <c r="M6598" t="s">
        <v>55</v>
      </c>
      <c r="N6598">
        <v>77880370</v>
      </c>
    </row>
    <row r="6599" spans="1:14" x14ac:dyDescent="0.25">
      <c r="A6599">
        <v>63536700</v>
      </c>
      <c r="B6599" t="s">
        <v>3986</v>
      </c>
      <c r="C6599" t="s">
        <v>1073</v>
      </c>
      <c r="E6599">
        <v>9047382856</v>
      </c>
      <c r="F6599" t="s">
        <v>770</v>
      </c>
      <c r="G6599" t="s">
        <v>771</v>
      </c>
      <c r="I6599" t="s">
        <v>25</v>
      </c>
      <c r="J6599" s="13">
        <v>46143</v>
      </c>
      <c r="K6599" s="13">
        <v>46174</v>
      </c>
      <c r="L6599" t="s">
        <v>497</v>
      </c>
      <c r="M6599" t="s">
        <v>54</v>
      </c>
      <c r="N6599">
        <v>77881179</v>
      </c>
    </row>
    <row r="6600" spans="1:14" x14ac:dyDescent="0.25">
      <c r="A6600">
        <v>63516432</v>
      </c>
      <c r="B6600" t="s">
        <v>10544</v>
      </c>
      <c r="C6600" t="s">
        <v>14000</v>
      </c>
      <c r="D6600" t="s">
        <v>14001</v>
      </c>
      <c r="E6600">
        <v>6788917007</v>
      </c>
      <c r="F6600" t="s">
        <v>688</v>
      </c>
      <c r="G6600" t="s">
        <v>10291</v>
      </c>
      <c r="I6600" t="s">
        <v>48</v>
      </c>
      <c r="J6600" s="13">
        <v>46143</v>
      </c>
      <c r="K6600" s="13">
        <v>46174</v>
      </c>
      <c r="L6600" t="s">
        <v>497</v>
      </c>
      <c r="M6600" t="s">
        <v>59</v>
      </c>
      <c r="N6600">
        <v>77881331</v>
      </c>
    </row>
    <row r="6601" spans="1:14" x14ac:dyDescent="0.25">
      <c r="A6601">
        <v>63519724</v>
      </c>
      <c r="B6601" t="s">
        <v>876</v>
      </c>
      <c r="C6601" t="s">
        <v>1348</v>
      </c>
      <c r="D6601" t="s">
        <v>14002</v>
      </c>
      <c r="E6601">
        <v>8157037444</v>
      </c>
      <c r="F6601" t="s">
        <v>10253</v>
      </c>
      <c r="G6601" t="s">
        <v>781</v>
      </c>
      <c r="I6601" t="s">
        <v>36</v>
      </c>
      <c r="J6601" s="13">
        <v>46143</v>
      </c>
      <c r="K6601" s="13">
        <v>46174</v>
      </c>
      <c r="L6601" t="s">
        <v>470</v>
      </c>
      <c r="M6601" t="s">
        <v>59</v>
      </c>
      <c r="N6601">
        <v>77881482</v>
      </c>
    </row>
    <row r="6602" spans="1:14" x14ac:dyDescent="0.25">
      <c r="A6602">
        <v>63516404</v>
      </c>
      <c r="B6602" t="s">
        <v>3319</v>
      </c>
      <c r="C6602" t="s">
        <v>14003</v>
      </c>
      <c r="D6602" t="s">
        <v>14004</v>
      </c>
      <c r="E6602">
        <v>4809156379</v>
      </c>
      <c r="F6602" t="s">
        <v>1013</v>
      </c>
      <c r="G6602" t="s">
        <v>1014</v>
      </c>
      <c r="I6602" t="s">
        <v>43</v>
      </c>
      <c r="J6602" s="13">
        <v>46143</v>
      </c>
      <c r="K6602" s="13">
        <v>46174</v>
      </c>
      <c r="L6602" t="s">
        <v>1179</v>
      </c>
      <c r="M6602" t="s">
        <v>56</v>
      </c>
      <c r="N6602">
        <v>77881561</v>
      </c>
    </row>
    <row r="6603" spans="1:14" x14ac:dyDescent="0.25">
      <c r="A6603">
        <v>63519523</v>
      </c>
      <c r="B6603" t="s">
        <v>1527</v>
      </c>
      <c r="C6603" t="s">
        <v>14005</v>
      </c>
      <c r="D6603" t="s">
        <v>14006</v>
      </c>
      <c r="E6603">
        <v>9018579186</v>
      </c>
      <c r="F6603" t="s">
        <v>628</v>
      </c>
      <c r="G6603" t="s">
        <v>629</v>
      </c>
      <c r="I6603" t="s">
        <v>24</v>
      </c>
      <c r="J6603" s="13">
        <v>46143</v>
      </c>
      <c r="K6603" s="13">
        <v>46174</v>
      </c>
      <c r="L6603" t="s">
        <v>479</v>
      </c>
      <c r="M6603" t="s">
        <v>56</v>
      </c>
      <c r="N6603">
        <v>77882016</v>
      </c>
    </row>
    <row r="6604" spans="1:14" x14ac:dyDescent="0.25">
      <c r="A6604">
        <v>63518471</v>
      </c>
      <c r="B6604" t="s">
        <v>1445</v>
      </c>
      <c r="C6604" t="s">
        <v>2544</v>
      </c>
      <c r="D6604" t="s">
        <v>14007</v>
      </c>
      <c r="E6604">
        <v>7733728404</v>
      </c>
      <c r="F6604" t="s">
        <v>649</v>
      </c>
      <c r="G6604" t="s">
        <v>650</v>
      </c>
      <c r="I6604" t="s">
        <v>28</v>
      </c>
      <c r="J6604" s="13">
        <v>46143</v>
      </c>
      <c r="K6604" s="13">
        <v>46174</v>
      </c>
      <c r="L6604" t="s">
        <v>470</v>
      </c>
      <c r="M6604" t="s">
        <v>62</v>
      </c>
      <c r="N6604">
        <v>77882189</v>
      </c>
    </row>
    <row r="6605" spans="1:14" x14ac:dyDescent="0.25">
      <c r="A6605">
        <v>63522851</v>
      </c>
      <c r="B6605" t="s">
        <v>8166</v>
      </c>
      <c r="C6605" t="s">
        <v>10513</v>
      </c>
      <c r="D6605" t="s">
        <v>14008</v>
      </c>
      <c r="E6605">
        <v>4402817553</v>
      </c>
      <c r="F6605" t="s">
        <v>4941</v>
      </c>
      <c r="G6605" t="s">
        <v>12450</v>
      </c>
      <c r="I6605" t="s">
        <v>12451</v>
      </c>
      <c r="J6605" s="13">
        <v>46143</v>
      </c>
      <c r="K6605" s="13">
        <v>46174</v>
      </c>
      <c r="L6605" t="s">
        <v>418</v>
      </c>
      <c r="M6605" t="s">
        <v>62</v>
      </c>
      <c r="N6605">
        <v>77883927</v>
      </c>
    </row>
    <row r="6606" spans="1:14" x14ac:dyDescent="0.25">
      <c r="A6606">
        <v>63524485</v>
      </c>
      <c r="B6606" t="s">
        <v>2341</v>
      </c>
      <c r="C6606" t="s">
        <v>868</v>
      </c>
      <c r="D6606" t="s">
        <v>14009</v>
      </c>
      <c r="E6606">
        <v>9413266474</v>
      </c>
      <c r="F6606" t="s">
        <v>828</v>
      </c>
      <c r="G6606" t="s">
        <v>1148</v>
      </c>
      <c r="I6606" t="s">
        <v>17</v>
      </c>
      <c r="J6606" s="13">
        <v>46143</v>
      </c>
      <c r="K6606" s="13">
        <v>46174</v>
      </c>
      <c r="L6606" t="s">
        <v>497</v>
      </c>
      <c r="M6606" t="s">
        <v>58</v>
      </c>
      <c r="N6606">
        <v>77884073</v>
      </c>
    </row>
    <row r="6607" spans="1:14" x14ac:dyDescent="0.25">
      <c r="A6607">
        <v>63522344</v>
      </c>
      <c r="B6607" t="s">
        <v>2296</v>
      </c>
      <c r="C6607" t="s">
        <v>14010</v>
      </c>
      <c r="D6607" t="s">
        <v>14011</v>
      </c>
      <c r="E6607">
        <v>7407603588</v>
      </c>
      <c r="F6607" t="s">
        <v>10460</v>
      </c>
      <c r="G6607" t="s">
        <v>6663</v>
      </c>
      <c r="I6607" t="s">
        <v>40</v>
      </c>
      <c r="J6607" s="13">
        <v>46143</v>
      </c>
      <c r="K6607" s="13">
        <v>46174</v>
      </c>
      <c r="L6607" t="s">
        <v>418</v>
      </c>
      <c r="M6607" t="s">
        <v>56</v>
      </c>
      <c r="N6607">
        <v>77884464</v>
      </c>
    </row>
    <row r="6608" spans="1:14" x14ac:dyDescent="0.25">
      <c r="A6608">
        <v>63522484</v>
      </c>
      <c r="B6608" t="s">
        <v>4799</v>
      </c>
      <c r="C6608" t="s">
        <v>14012</v>
      </c>
      <c r="D6608" t="s">
        <v>14013</v>
      </c>
      <c r="E6608">
        <v>9044775345</v>
      </c>
      <c r="F6608" t="s">
        <v>775</v>
      </c>
      <c r="G6608" t="s">
        <v>776</v>
      </c>
      <c r="I6608" t="s">
        <v>22</v>
      </c>
      <c r="J6608" s="13">
        <v>46143</v>
      </c>
      <c r="K6608" s="13">
        <v>46174</v>
      </c>
      <c r="L6608" t="s">
        <v>497</v>
      </c>
      <c r="M6608" t="s">
        <v>11843</v>
      </c>
      <c r="N6608">
        <v>77884552</v>
      </c>
    </row>
    <row r="6609" spans="1:14" x14ac:dyDescent="0.25">
      <c r="A6609">
        <v>63519690</v>
      </c>
      <c r="B6609" t="s">
        <v>3326</v>
      </c>
      <c r="C6609" t="s">
        <v>619</v>
      </c>
      <c r="D6609" t="s">
        <v>14014</v>
      </c>
      <c r="E6609">
        <v>9012208969</v>
      </c>
      <c r="F6609" t="s">
        <v>474</v>
      </c>
      <c r="G6609" t="s">
        <v>475</v>
      </c>
      <c r="I6609" t="s">
        <v>132</v>
      </c>
      <c r="J6609" s="13">
        <v>46143</v>
      </c>
      <c r="K6609" s="13">
        <v>46174</v>
      </c>
      <c r="L6609" t="s">
        <v>479</v>
      </c>
      <c r="M6609" t="s">
        <v>62</v>
      </c>
      <c r="N6609">
        <v>77884553</v>
      </c>
    </row>
    <row r="6610" spans="1:14" x14ac:dyDescent="0.25">
      <c r="A6610">
        <v>63524493</v>
      </c>
      <c r="B6610" t="s">
        <v>867</v>
      </c>
      <c r="C6610" t="s">
        <v>14015</v>
      </c>
      <c r="D6610" t="s">
        <v>14016</v>
      </c>
      <c r="E6610">
        <v>7314327961</v>
      </c>
      <c r="F6610" t="s">
        <v>574</v>
      </c>
      <c r="G6610" t="s">
        <v>575</v>
      </c>
      <c r="I6610" t="s">
        <v>14</v>
      </c>
      <c r="J6610" s="13">
        <v>46143</v>
      </c>
      <c r="K6610" s="13">
        <v>46174</v>
      </c>
      <c r="L6610" t="s">
        <v>479</v>
      </c>
      <c r="M6610" t="s">
        <v>56</v>
      </c>
      <c r="N6610">
        <v>77885272</v>
      </c>
    </row>
    <row r="6611" spans="1:14" x14ac:dyDescent="0.25">
      <c r="A6611">
        <v>63528045</v>
      </c>
      <c r="B6611" t="s">
        <v>3337</v>
      </c>
      <c r="C6611" t="s">
        <v>14017</v>
      </c>
      <c r="D6611" t="s">
        <v>14018</v>
      </c>
      <c r="E6611" t="s">
        <v>14019</v>
      </c>
      <c r="F6611" t="s">
        <v>8440</v>
      </c>
      <c r="G6611" t="s">
        <v>12267</v>
      </c>
      <c r="I6611" t="s">
        <v>12268</v>
      </c>
      <c r="J6611" s="13">
        <v>46143</v>
      </c>
      <c r="K6611" s="13">
        <v>46174</v>
      </c>
      <c r="L6611" t="s">
        <v>479</v>
      </c>
      <c r="M6611" t="s">
        <v>59</v>
      </c>
      <c r="N6611">
        <v>77885455</v>
      </c>
    </row>
    <row r="6612" spans="1:14" x14ac:dyDescent="0.25">
      <c r="A6612">
        <v>63525846</v>
      </c>
      <c r="B6612" t="s">
        <v>14020</v>
      </c>
      <c r="C6612" t="s">
        <v>5213</v>
      </c>
      <c r="D6612" t="s">
        <v>14021</v>
      </c>
      <c r="E6612">
        <v>4795096055</v>
      </c>
      <c r="F6612" t="s">
        <v>416</v>
      </c>
      <c r="G6612" t="s">
        <v>417</v>
      </c>
      <c r="I6612" t="s">
        <v>26</v>
      </c>
      <c r="J6612" s="13">
        <v>46143</v>
      </c>
      <c r="K6612" s="13">
        <v>46174</v>
      </c>
      <c r="L6612" t="s">
        <v>1179</v>
      </c>
      <c r="M6612" t="s">
        <v>54</v>
      </c>
      <c r="N6612">
        <v>77885897</v>
      </c>
    </row>
    <row r="6613" spans="1:14" x14ac:dyDescent="0.25">
      <c r="A6613">
        <v>63530464</v>
      </c>
      <c r="B6613" t="s">
        <v>517</v>
      </c>
      <c r="C6613" t="s">
        <v>688</v>
      </c>
      <c r="D6613" t="s">
        <v>14022</v>
      </c>
      <c r="E6613">
        <v>6026997267</v>
      </c>
      <c r="F6613" t="s">
        <v>1013</v>
      </c>
      <c r="G6613" t="s">
        <v>1014</v>
      </c>
      <c r="I6613" t="s">
        <v>43</v>
      </c>
      <c r="J6613" s="13">
        <v>46143</v>
      </c>
      <c r="K6613" s="13">
        <v>46174</v>
      </c>
      <c r="L6613" t="s">
        <v>1179</v>
      </c>
      <c r="M6613" t="s">
        <v>54</v>
      </c>
      <c r="N6613">
        <v>77892973</v>
      </c>
    </row>
    <row r="6614" spans="1:14" x14ac:dyDescent="0.25">
      <c r="A6614">
        <v>63534698</v>
      </c>
      <c r="B6614" t="s">
        <v>748</v>
      </c>
      <c r="C6614" t="s">
        <v>564</v>
      </c>
      <c r="D6614" t="s">
        <v>14023</v>
      </c>
      <c r="E6614">
        <v>5672200417</v>
      </c>
      <c r="F6614" t="s">
        <v>574</v>
      </c>
      <c r="G6614" t="s">
        <v>575</v>
      </c>
      <c r="I6614" t="s">
        <v>14</v>
      </c>
      <c r="J6614" s="13">
        <v>46143</v>
      </c>
      <c r="K6614" s="13">
        <v>46174</v>
      </c>
      <c r="L6614" t="s">
        <v>418</v>
      </c>
      <c r="M6614" t="s">
        <v>59</v>
      </c>
      <c r="N6614">
        <v>77893544</v>
      </c>
    </row>
    <row r="6615" spans="1:14" x14ac:dyDescent="0.25">
      <c r="A6615">
        <v>63531610</v>
      </c>
      <c r="B6615" t="s">
        <v>4746</v>
      </c>
      <c r="C6615" t="s">
        <v>14024</v>
      </c>
      <c r="D6615" t="s">
        <v>14025</v>
      </c>
      <c r="E6615" t="s">
        <v>14019</v>
      </c>
      <c r="F6615" t="s">
        <v>8440</v>
      </c>
      <c r="G6615" t="s">
        <v>12267</v>
      </c>
      <c r="I6615" t="s">
        <v>12268</v>
      </c>
      <c r="J6615" s="13">
        <v>46143</v>
      </c>
      <c r="K6615" s="13">
        <v>46174</v>
      </c>
      <c r="L6615" t="s">
        <v>479</v>
      </c>
      <c r="M6615" t="s">
        <v>59</v>
      </c>
      <c r="N6615">
        <v>77893584</v>
      </c>
    </row>
    <row r="6616" spans="1:14" x14ac:dyDescent="0.25">
      <c r="A6616">
        <v>63537773</v>
      </c>
      <c r="B6616" t="s">
        <v>7279</v>
      </c>
      <c r="C6616" t="s">
        <v>5593</v>
      </c>
      <c r="D6616" t="s">
        <v>14026</v>
      </c>
      <c r="E6616">
        <v>2145492308</v>
      </c>
      <c r="F6616" t="s">
        <v>448</v>
      </c>
      <c r="G6616" t="s">
        <v>449</v>
      </c>
      <c r="I6616" t="s">
        <v>31</v>
      </c>
      <c r="J6616" s="13">
        <v>46143</v>
      </c>
      <c r="K6616" s="13">
        <v>46174</v>
      </c>
      <c r="L6616" t="s">
        <v>444</v>
      </c>
      <c r="M6616" t="s">
        <v>55</v>
      </c>
      <c r="N6616">
        <v>77893980</v>
      </c>
    </row>
    <row r="6617" spans="1:14" x14ac:dyDescent="0.25">
      <c r="A6617">
        <v>63548509</v>
      </c>
      <c r="B6617" t="s">
        <v>1148</v>
      </c>
      <c r="C6617" t="s">
        <v>10769</v>
      </c>
      <c r="D6617" t="s">
        <v>14027</v>
      </c>
      <c r="E6617">
        <v>4406019672</v>
      </c>
      <c r="F6617" t="s">
        <v>474</v>
      </c>
      <c r="G6617" t="s">
        <v>475</v>
      </c>
      <c r="I6617" t="s">
        <v>132</v>
      </c>
      <c r="J6617" s="13">
        <v>46146</v>
      </c>
      <c r="K6617" s="13">
        <v>46174</v>
      </c>
      <c r="L6617" t="s">
        <v>418</v>
      </c>
      <c r="M6617" t="s">
        <v>56</v>
      </c>
      <c r="N6617">
        <v>77901260</v>
      </c>
    </row>
    <row r="6618" spans="1:14" x14ac:dyDescent="0.25">
      <c r="A6618">
        <v>63551638</v>
      </c>
      <c r="B6618" t="s">
        <v>925</v>
      </c>
      <c r="C6618" t="s">
        <v>766</v>
      </c>
      <c r="D6618" t="s">
        <v>14028</v>
      </c>
      <c r="E6618">
        <v>9109834099</v>
      </c>
      <c r="F6618" t="s">
        <v>10460</v>
      </c>
      <c r="G6618" t="s">
        <v>6663</v>
      </c>
      <c r="I6618" t="s">
        <v>40</v>
      </c>
      <c r="J6618" s="13">
        <v>46146</v>
      </c>
      <c r="K6618" s="13">
        <v>46174</v>
      </c>
      <c r="L6618" t="s">
        <v>603</v>
      </c>
      <c r="M6618" t="s">
        <v>56</v>
      </c>
      <c r="N6618">
        <v>77901386</v>
      </c>
    </row>
    <row r="6619" spans="1:14" x14ac:dyDescent="0.25">
      <c r="A6619">
        <v>63552012</v>
      </c>
      <c r="B6619" t="s">
        <v>1167</v>
      </c>
      <c r="C6619" t="s">
        <v>14029</v>
      </c>
      <c r="D6619" t="s">
        <v>14030</v>
      </c>
      <c r="E6619">
        <v>4192763149</v>
      </c>
      <c r="F6619" t="s">
        <v>2544</v>
      </c>
      <c r="G6619" t="s">
        <v>4833</v>
      </c>
      <c r="I6619" t="s">
        <v>18</v>
      </c>
      <c r="J6619" s="13">
        <v>46146</v>
      </c>
      <c r="K6619" s="13">
        <v>46174</v>
      </c>
      <c r="L6619" t="s">
        <v>418</v>
      </c>
      <c r="M6619" t="s">
        <v>58</v>
      </c>
      <c r="N6619">
        <v>77901394</v>
      </c>
    </row>
    <row r="6620" spans="1:14" x14ac:dyDescent="0.25">
      <c r="A6620">
        <v>63550786</v>
      </c>
      <c r="B6620" t="s">
        <v>730</v>
      </c>
      <c r="C6620" t="s">
        <v>13144</v>
      </c>
      <c r="D6620" t="s">
        <v>14031</v>
      </c>
      <c r="E6620">
        <v>7542456099</v>
      </c>
      <c r="F6620" t="s">
        <v>688</v>
      </c>
      <c r="G6620" t="s">
        <v>10291</v>
      </c>
      <c r="I6620" t="s">
        <v>48</v>
      </c>
      <c r="J6620" s="13">
        <v>46146</v>
      </c>
      <c r="K6620" s="13">
        <v>46174</v>
      </c>
      <c r="L6620" t="s">
        <v>497</v>
      </c>
      <c r="M6620" t="s">
        <v>56</v>
      </c>
      <c r="N6620">
        <v>77901410</v>
      </c>
    </row>
    <row r="6621" spans="1:14" x14ac:dyDescent="0.25">
      <c r="A6621">
        <v>63552838</v>
      </c>
      <c r="B6621" t="s">
        <v>1482</v>
      </c>
      <c r="C6621" t="s">
        <v>14032</v>
      </c>
      <c r="D6621" t="s">
        <v>14033</v>
      </c>
      <c r="E6621">
        <v>6025290506</v>
      </c>
      <c r="F6621" t="s">
        <v>780</v>
      </c>
      <c r="G6621" t="s">
        <v>781</v>
      </c>
      <c r="I6621" t="s">
        <v>20</v>
      </c>
      <c r="J6621" s="13">
        <v>46146</v>
      </c>
      <c r="K6621" s="13">
        <v>46174</v>
      </c>
      <c r="L6621" t="s">
        <v>1179</v>
      </c>
      <c r="M6621" t="s">
        <v>54</v>
      </c>
      <c r="N6621">
        <v>77901411</v>
      </c>
    </row>
    <row r="6622" spans="1:14" x14ac:dyDescent="0.25">
      <c r="A6622">
        <v>63550167</v>
      </c>
      <c r="B6622" t="s">
        <v>14034</v>
      </c>
      <c r="C6622" t="s">
        <v>14035</v>
      </c>
      <c r="D6622" t="s">
        <v>14036</v>
      </c>
      <c r="E6622">
        <v>2162194808</v>
      </c>
      <c r="F6622" t="s">
        <v>649</v>
      </c>
      <c r="G6622" t="s">
        <v>650</v>
      </c>
      <c r="I6622" t="s">
        <v>28</v>
      </c>
      <c r="J6622" s="13">
        <v>46146</v>
      </c>
      <c r="K6622" s="13">
        <v>46174</v>
      </c>
      <c r="L6622" t="s">
        <v>418</v>
      </c>
      <c r="M6622" t="s">
        <v>62</v>
      </c>
      <c r="N6622">
        <v>77901433</v>
      </c>
    </row>
    <row r="6623" spans="1:14" x14ac:dyDescent="0.25">
      <c r="A6623">
        <v>63550406</v>
      </c>
      <c r="B6623" t="s">
        <v>718</v>
      </c>
      <c r="C6623" t="s">
        <v>14037</v>
      </c>
      <c r="D6623" t="s">
        <v>14038</v>
      </c>
      <c r="E6623">
        <v>7274521125</v>
      </c>
      <c r="F6623" t="s">
        <v>2544</v>
      </c>
      <c r="G6623" t="s">
        <v>12389</v>
      </c>
      <c r="I6623" t="s">
        <v>12390</v>
      </c>
      <c r="J6623" s="13">
        <v>46146</v>
      </c>
      <c r="K6623" s="13">
        <v>46174</v>
      </c>
      <c r="L6623" t="s">
        <v>497</v>
      </c>
      <c r="M6623" t="s">
        <v>59</v>
      </c>
      <c r="N6623">
        <v>77901480</v>
      </c>
    </row>
    <row r="6624" spans="1:14" x14ac:dyDescent="0.25">
      <c r="A6624">
        <v>63550098</v>
      </c>
      <c r="B6624" t="s">
        <v>672</v>
      </c>
      <c r="C6624" t="s">
        <v>14039</v>
      </c>
      <c r="D6624" t="s">
        <v>14040</v>
      </c>
      <c r="E6624">
        <v>9125475327</v>
      </c>
      <c r="F6624" t="s">
        <v>775</v>
      </c>
      <c r="G6624" t="s">
        <v>776</v>
      </c>
      <c r="I6624" t="s">
        <v>22</v>
      </c>
      <c r="J6624" s="13">
        <v>46146</v>
      </c>
      <c r="K6624" s="13">
        <v>46174</v>
      </c>
      <c r="L6624" t="s">
        <v>497</v>
      </c>
      <c r="M6624" t="s">
        <v>56</v>
      </c>
      <c r="N6624">
        <v>77901631</v>
      </c>
    </row>
    <row r="6625" spans="1:14" x14ac:dyDescent="0.25">
      <c r="A6625">
        <v>63551252</v>
      </c>
      <c r="B6625" t="s">
        <v>1038</v>
      </c>
      <c r="C6625" t="s">
        <v>1078</v>
      </c>
      <c r="D6625" t="s">
        <v>14041</v>
      </c>
      <c r="E6625">
        <v>3176834056</v>
      </c>
      <c r="F6625" t="s">
        <v>705</v>
      </c>
      <c r="G6625" t="s">
        <v>706</v>
      </c>
      <c r="I6625" t="s">
        <v>12</v>
      </c>
      <c r="J6625" s="13">
        <v>46146</v>
      </c>
      <c r="K6625" s="13">
        <v>46174</v>
      </c>
      <c r="L6625" t="s">
        <v>440</v>
      </c>
      <c r="M6625" t="s">
        <v>56</v>
      </c>
      <c r="N6625">
        <v>77901682</v>
      </c>
    </row>
    <row r="6626" spans="1:14" x14ac:dyDescent="0.25">
      <c r="A6626">
        <v>63551432</v>
      </c>
      <c r="B6626" t="s">
        <v>3610</v>
      </c>
      <c r="C6626" t="s">
        <v>14042</v>
      </c>
      <c r="D6626" t="s">
        <v>14043</v>
      </c>
      <c r="E6626">
        <v>7203291054</v>
      </c>
      <c r="F6626" t="s">
        <v>1067</v>
      </c>
      <c r="G6626" t="s">
        <v>1068</v>
      </c>
      <c r="I6626" t="s">
        <v>35</v>
      </c>
      <c r="J6626" s="13">
        <v>46146</v>
      </c>
      <c r="K6626" s="13">
        <v>46174</v>
      </c>
      <c r="L6626" t="s">
        <v>539</v>
      </c>
      <c r="M6626" t="s">
        <v>59</v>
      </c>
      <c r="N6626">
        <v>77913590</v>
      </c>
    </row>
    <row r="6627" spans="1:14" x14ac:dyDescent="0.25">
      <c r="A6627">
        <v>63552190</v>
      </c>
      <c r="B6627" t="s">
        <v>522</v>
      </c>
      <c r="C6627" t="s">
        <v>14044</v>
      </c>
      <c r="D6627" t="s">
        <v>14045</v>
      </c>
      <c r="E6627">
        <v>7605095574</v>
      </c>
      <c r="F6627" t="s">
        <v>10591</v>
      </c>
      <c r="G6627" t="s">
        <v>10215</v>
      </c>
      <c r="I6627" t="s">
        <v>32</v>
      </c>
      <c r="J6627" s="13">
        <v>46146</v>
      </c>
      <c r="K6627" s="13">
        <v>46174</v>
      </c>
      <c r="L6627" t="s">
        <v>1179</v>
      </c>
      <c r="M6627" t="s">
        <v>54</v>
      </c>
      <c r="N6627">
        <v>77927795</v>
      </c>
    </row>
    <row r="6628" spans="1:14" x14ac:dyDescent="0.25">
      <c r="A6628">
        <v>63552180</v>
      </c>
      <c r="B6628" t="s">
        <v>1540</v>
      </c>
      <c r="C6628" t="s">
        <v>14046</v>
      </c>
      <c r="D6628" t="s">
        <v>14047</v>
      </c>
      <c r="E6628">
        <v>5732472854</v>
      </c>
      <c r="F6628" t="s">
        <v>448</v>
      </c>
      <c r="G6628" t="s">
        <v>449</v>
      </c>
      <c r="I6628" t="s">
        <v>31</v>
      </c>
      <c r="J6628" s="13">
        <v>46146</v>
      </c>
      <c r="K6628" s="13">
        <v>46174</v>
      </c>
      <c r="L6628" t="s">
        <v>434</v>
      </c>
      <c r="M6628" t="s">
        <v>56</v>
      </c>
      <c r="N6628">
        <v>77928013</v>
      </c>
    </row>
    <row r="6629" spans="1:14" x14ac:dyDescent="0.25">
      <c r="A6629">
        <v>63554816</v>
      </c>
      <c r="B6629" t="s">
        <v>3548</v>
      </c>
      <c r="C6629" t="s">
        <v>10046</v>
      </c>
      <c r="D6629" t="s">
        <v>14048</v>
      </c>
      <c r="E6629">
        <v>9803302135</v>
      </c>
      <c r="F6629" t="s">
        <v>569</v>
      </c>
      <c r="G6629" t="s">
        <v>570</v>
      </c>
      <c r="I6629" t="s">
        <v>34</v>
      </c>
      <c r="J6629" s="13">
        <v>46146</v>
      </c>
      <c r="K6629" s="13">
        <v>46174</v>
      </c>
      <c r="L6629" t="s">
        <v>603</v>
      </c>
      <c r="M6629" t="s">
        <v>55</v>
      </c>
      <c r="N6629">
        <v>77930390</v>
      </c>
    </row>
    <row r="6630" spans="1:14" x14ac:dyDescent="0.25">
      <c r="A6630">
        <v>63556452</v>
      </c>
      <c r="B6630" t="s">
        <v>14049</v>
      </c>
      <c r="C6630" t="s">
        <v>14050</v>
      </c>
      <c r="D6630" t="s">
        <v>14051</v>
      </c>
      <c r="E6630">
        <v>4198343649</v>
      </c>
      <c r="F6630" t="s">
        <v>1612</v>
      </c>
      <c r="G6630" t="s">
        <v>4811</v>
      </c>
      <c r="I6630" t="s">
        <v>322</v>
      </c>
      <c r="J6630" s="13">
        <v>46146</v>
      </c>
      <c r="K6630" s="13">
        <v>46174</v>
      </c>
      <c r="L6630" t="s">
        <v>418</v>
      </c>
      <c r="M6630" t="s">
        <v>58</v>
      </c>
      <c r="N6630">
        <v>77953572</v>
      </c>
    </row>
    <row r="6631" spans="1:14" x14ac:dyDescent="0.25">
      <c r="A6631">
        <v>63557546</v>
      </c>
      <c r="B6631" t="s">
        <v>14052</v>
      </c>
      <c r="C6631" t="s">
        <v>14053</v>
      </c>
      <c r="D6631" t="s">
        <v>14054</v>
      </c>
      <c r="E6631">
        <v>2192290455</v>
      </c>
      <c r="F6631" t="s">
        <v>574</v>
      </c>
      <c r="G6631" t="s">
        <v>575</v>
      </c>
      <c r="I6631" t="s">
        <v>14</v>
      </c>
      <c r="J6631" s="13">
        <v>46146</v>
      </c>
      <c r="K6631" s="13">
        <v>46174</v>
      </c>
      <c r="L6631" t="s">
        <v>440</v>
      </c>
      <c r="M6631" t="s">
        <v>58</v>
      </c>
      <c r="N6631">
        <v>77954183</v>
      </c>
    </row>
    <row r="6632" spans="1:14" x14ac:dyDescent="0.25">
      <c r="A6632">
        <v>63556196</v>
      </c>
      <c r="B6632" t="s">
        <v>14055</v>
      </c>
      <c r="C6632" t="s">
        <v>4009</v>
      </c>
      <c r="D6632" t="s">
        <v>14056</v>
      </c>
      <c r="E6632">
        <v>9103030484</v>
      </c>
      <c r="F6632" t="s">
        <v>775</v>
      </c>
      <c r="G6632" t="s">
        <v>776</v>
      </c>
      <c r="I6632" t="s">
        <v>22</v>
      </c>
      <c r="J6632" s="13">
        <v>46146</v>
      </c>
      <c r="K6632" s="13">
        <v>46174</v>
      </c>
      <c r="L6632" t="s">
        <v>603</v>
      </c>
      <c r="M6632" t="s">
        <v>56</v>
      </c>
      <c r="N6632">
        <v>77954462</v>
      </c>
    </row>
    <row r="6633" spans="1:14" x14ac:dyDescent="0.25">
      <c r="A6633">
        <v>63556993</v>
      </c>
      <c r="B6633" t="s">
        <v>13110</v>
      </c>
      <c r="C6633" t="s">
        <v>912</v>
      </c>
      <c r="D6633" t="s">
        <v>14057</v>
      </c>
      <c r="E6633">
        <v>6232060881</v>
      </c>
      <c r="F6633" t="s">
        <v>1345</v>
      </c>
      <c r="G6633" t="s">
        <v>799</v>
      </c>
      <c r="I6633" t="s">
        <v>47</v>
      </c>
      <c r="J6633" s="13">
        <v>46146</v>
      </c>
      <c r="K6633" s="13">
        <v>46174</v>
      </c>
      <c r="L6633" t="s">
        <v>1179</v>
      </c>
      <c r="M6633" t="s">
        <v>54</v>
      </c>
      <c r="N6633">
        <v>77954881</v>
      </c>
    </row>
    <row r="6634" spans="1:14" x14ac:dyDescent="0.25">
      <c r="A6634">
        <v>63555410</v>
      </c>
      <c r="B6634" t="s">
        <v>1699</v>
      </c>
      <c r="C6634" t="s">
        <v>2678</v>
      </c>
      <c r="D6634" t="s">
        <v>14058</v>
      </c>
      <c r="F6634" t="s">
        <v>688</v>
      </c>
      <c r="G6634" t="s">
        <v>13922</v>
      </c>
      <c r="I6634" t="s">
        <v>13923</v>
      </c>
      <c r="J6634" s="13">
        <v>46146</v>
      </c>
      <c r="K6634" s="13">
        <v>46174</v>
      </c>
      <c r="L6634" t="s">
        <v>490</v>
      </c>
      <c r="M6634" t="s">
        <v>60</v>
      </c>
      <c r="N6634">
        <v>77955095</v>
      </c>
    </row>
    <row r="6635" spans="1:14" x14ac:dyDescent="0.25">
      <c r="A6635">
        <v>63557803</v>
      </c>
      <c r="B6635" t="s">
        <v>1226</v>
      </c>
      <c r="C6635" t="s">
        <v>14059</v>
      </c>
      <c r="D6635" t="s">
        <v>14060</v>
      </c>
      <c r="E6635">
        <v>3305418716</v>
      </c>
      <c r="F6635" t="s">
        <v>11776</v>
      </c>
      <c r="G6635" t="s">
        <v>3895</v>
      </c>
      <c r="H6635" t="s">
        <v>11777</v>
      </c>
      <c r="I6635" t="s">
        <v>11778</v>
      </c>
      <c r="J6635" s="13">
        <v>46146</v>
      </c>
      <c r="K6635" s="13">
        <v>46174</v>
      </c>
      <c r="L6635" t="s">
        <v>418</v>
      </c>
      <c r="M6635" t="s">
        <v>59</v>
      </c>
      <c r="N6635">
        <v>77955184</v>
      </c>
    </row>
    <row r="6636" spans="1:14" x14ac:dyDescent="0.25">
      <c r="A6636">
        <v>63557738</v>
      </c>
      <c r="B6636" t="s">
        <v>1784</v>
      </c>
      <c r="C6636" t="s">
        <v>14061</v>
      </c>
      <c r="D6636" t="s">
        <v>14062</v>
      </c>
      <c r="E6636">
        <v>7273296013</v>
      </c>
      <c r="F6636" t="s">
        <v>780</v>
      </c>
      <c r="G6636" t="s">
        <v>781</v>
      </c>
      <c r="I6636" t="s">
        <v>20</v>
      </c>
      <c r="J6636" s="13">
        <v>46146</v>
      </c>
      <c r="K6636" s="13">
        <v>46174</v>
      </c>
      <c r="L6636" t="s">
        <v>497</v>
      </c>
      <c r="M6636" t="s">
        <v>13015</v>
      </c>
      <c r="N6636">
        <v>77955856</v>
      </c>
    </row>
    <row r="6637" spans="1:14" x14ac:dyDescent="0.25">
      <c r="A6637">
        <v>63558075</v>
      </c>
      <c r="B6637" t="s">
        <v>4263</v>
      </c>
      <c r="C6637" t="s">
        <v>14063</v>
      </c>
      <c r="D6637" t="s">
        <v>14064</v>
      </c>
      <c r="E6637">
        <v>7084963133</v>
      </c>
      <c r="F6637" t="s">
        <v>705</v>
      </c>
      <c r="G6637" t="s">
        <v>706</v>
      </c>
      <c r="I6637" t="s">
        <v>12</v>
      </c>
      <c r="J6637" s="13">
        <v>46146</v>
      </c>
      <c r="K6637" s="13">
        <v>46174</v>
      </c>
      <c r="L6637" t="s">
        <v>470</v>
      </c>
      <c r="M6637" t="s">
        <v>59</v>
      </c>
      <c r="N6637">
        <v>77956416</v>
      </c>
    </row>
    <row r="6638" spans="1:14" x14ac:dyDescent="0.25">
      <c r="A6638">
        <v>63558996</v>
      </c>
      <c r="B6638" t="s">
        <v>431</v>
      </c>
      <c r="C6638" t="s">
        <v>581</v>
      </c>
      <c r="D6638" t="s">
        <v>14065</v>
      </c>
      <c r="E6638">
        <v>7542466004</v>
      </c>
      <c r="F6638" t="s">
        <v>1013</v>
      </c>
      <c r="G6638" t="s">
        <v>1014</v>
      </c>
      <c r="I6638" t="s">
        <v>43</v>
      </c>
      <c r="J6638" s="13">
        <v>46146</v>
      </c>
      <c r="K6638" s="13">
        <v>46174</v>
      </c>
      <c r="L6638" t="s">
        <v>497</v>
      </c>
      <c r="M6638" t="s">
        <v>54</v>
      </c>
      <c r="N6638">
        <v>77960154</v>
      </c>
    </row>
    <row r="6639" spans="1:14" x14ac:dyDescent="0.25">
      <c r="A6639">
        <v>63557451</v>
      </c>
      <c r="B6639" t="s">
        <v>14066</v>
      </c>
      <c r="C6639" t="s">
        <v>14067</v>
      </c>
      <c r="D6639" t="s">
        <v>14068</v>
      </c>
      <c r="E6639">
        <v>5012067285</v>
      </c>
      <c r="F6639" t="s">
        <v>1067</v>
      </c>
      <c r="G6639" t="s">
        <v>1068</v>
      </c>
      <c r="I6639" t="s">
        <v>35</v>
      </c>
      <c r="J6639" s="13">
        <v>46146</v>
      </c>
      <c r="K6639" s="13">
        <v>46174</v>
      </c>
      <c r="L6639" t="s">
        <v>553</v>
      </c>
      <c r="M6639" t="s">
        <v>56</v>
      </c>
      <c r="N6639">
        <v>77961749</v>
      </c>
    </row>
    <row r="6640" spans="1:14" x14ac:dyDescent="0.25">
      <c r="A6640">
        <v>63560169</v>
      </c>
      <c r="B6640" t="s">
        <v>2177</v>
      </c>
      <c r="C6640" t="s">
        <v>14069</v>
      </c>
      <c r="D6640" t="s">
        <v>14070</v>
      </c>
      <c r="E6640">
        <v>9105148277</v>
      </c>
      <c r="F6640" t="s">
        <v>14071</v>
      </c>
      <c r="G6640" t="s">
        <v>14072</v>
      </c>
      <c r="I6640" t="s">
        <v>14073</v>
      </c>
      <c r="J6640" s="13">
        <v>46146</v>
      </c>
      <c r="K6640" s="13">
        <v>46174</v>
      </c>
      <c r="L6640" t="s">
        <v>603</v>
      </c>
      <c r="M6640" t="s">
        <v>13015</v>
      </c>
      <c r="N6640">
        <v>77961884</v>
      </c>
    </row>
    <row r="6641" spans="1:14" x14ac:dyDescent="0.25">
      <c r="A6641">
        <v>63559455</v>
      </c>
      <c r="B6641" t="s">
        <v>1115</v>
      </c>
      <c r="C6641" t="s">
        <v>14074</v>
      </c>
      <c r="D6641" t="s">
        <v>14075</v>
      </c>
      <c r="E6641">
        <v>9106918660</v>
      </c>
      <c r="F6641" t="s">
        <v>448</v>
      </c>
      <c r="G6641" t="s">
        <v>449</v>
      </c>
      <c r="I6641" t="s">
        <v>31</v>
      </c>
      <c r="J6641" s="13">
        <v>46146</v>
      </c>
      <c r="K6641" s="13">
        <v>46174</v>
      </c>
      <c r="L6641" t="s">
        <v>603</v>
      </c>
      <c r="M6641" t="s">
        <v>56</v>
      </c>
      <c r="N6641">
        <v>77962078</v>
      </c>
    </row>
    <row r="6642" spans="1:14" x14ac:dyDescent="0.25">
      <c r="A6642">
        <v>63562144</v>
      </c>
      <c r="B6642" t="s">
        <v>645</v>
      </c>
      <c r="C6642" t="s">
        <v>8269</v>
      </c>
      <c r="D6642" t="s">
        <v>14076</v>
      </c>
      <c r="E6642">
        <v>2165632910</v>
      </c>
      <c r="F6642" t="s">
        <v>928</v>
      </c>
      <c r="G6642" t="s">
        <v>929</v>
      </c>
      <c r="I6642" t="s">
        <v>30</v>
      </c>
      <c r="J6642" s="13">
        <v>46146</v>
      </c>
      <c r="K6642" s="13">
        <v>46204</v>
      </c>
      <c r="L6642" t="s">
        <v>621</v>
      </c>
      <c r="M6642" t="s">
        <v>59</v>
      </c>
      <c r="N6642">
        <v>77962087</v>
      </c>
    </row>
    <row r="6643" spans="1:14" x14ac:dyDescent="0.25">
      <c r="A6643">
        <v>63560960</v>
      </c>
      <c r="B6643" t="s">
        <v>14077</v>
      </c>
      <c r="C6643" t="s">
        <v>564</v>
      </c>
      <c r="D6643" t="s">
        <v>14078</v>
      </c>
      <c r="E6643">
        <v>9548300526</v>
      </c>
      <c r="F6643" t="s">
        <v>770</v>
      </c>
      <c r="G6643" t="s">
        <v>771</v>
      </c>
      <c r="I6643" t="s">
        <v>25</v>
      </c>
      <c r="J6643" s="13">
        <v>46146</v>
      </c>
      <c r="K6643" s="13">
        <v>46174</v>
      </c>
      <c r="L6643" t="s">
        <v>497</v>
      </c>
      <c r="M6643" t="s">
        <v>54</v>
      </c>
      <c r="N6643">
        <v>77962157</v>
      </c>
    </row>
    <row r="6644" spans="1:14" x14ac:dyDescent="0.25">
      <c r="A6644">
        <v>63560632</v>
      </c>
      <c r="B6644" t="s">
        <v>787</v>
      </c>
      <c r="C6644" t="s">
        <v>8534</v>
      </c>
      <c r="D6644" t="s">
        <v>14079</v>
      </c>
      <c r="E6644">
        <v>9283998041</v>
      </c>
      <c r="F6644" t="s">
        <v>11745</v>
      </c>
      <c r="G6644" t="s">
        <v>6544</v>
      </c>
      <c r="I6644" t="s">
        <v>11746</v>
      </c>
      <c r="J6644" s="13">
        <v>46146</v>
      </c>
      <c r="K6644" s="13">
        <v>46174</v>
      </c>
      <c r="L6644" t="s">
        <v>1179</v>
      </c>
      <c r="M6644" t="s">
        <v>54</v>
      </c>
      <c r="N6644">
        <v>77962239</v>
      </c>
    </row>
    <row r="6645" spans="1:14" x14ac:dyDescent="0.25">
      <c r="A6645">
        <v>63577296</v>
      </c>
      <c r="B6645" t="s">
        <v>1941</v>
      </c>
      <c r="C6645" t="s">
        <v>10448</v>
      </c>
      <c r="D6645" t="s">
        <v>14080</v>
      </c>
      <c r="E6645">
        <v>9107890471</v>
      </c>
      <c r="F6645" t="s">
        <v>569</v>
      </c>
      <c r="G6645" t="s">
        <v>570</v>
      </c>
      <c r="I6645" t="s">
        <v>34</v>
      </c>
      <c r="J6645" s="13">
        <v>46147</v>
      </c>
      <c r="K6645" s="13">
        <v>46174</v>
      </c>
      <c r="L6645" t="s">
        <v>603</v>
      </c>
      <c r="M6645" t="s">
        <v>56</v>
      </c>
      <c r="N6645">
        <v>77962303</v>
      </c>
    </row>
    <row r="6646" spans="1:14" x14ac:dyDescent="0.25">
      <c r="A6646">
        <v>63564323</v>
      </c>
      <c r="B6646" t="s">
        <v>882</v>
      </c>
      <c r="C6646" t="s">
        <v>5000</v>
      </c>
      <c r="D6646" t="s">
        <v>14081</v>
      </c>
      <c r="E6646">
        <v>4799975155</v>
      </c>
      <c r="F6646" t="s">
        <v>11900</v>
      </c>
      <c r="G6646" t="s">
        <v>10909</v>
      </c>
      <c r="I6646" t="s">
        <v>11901</v>
      </c>
      <c r="J6646" s="13">
        <v>46146</v>
      </c>
      <c r="K6646" s="13">
        <v>46235</v>
      </c>
      <c r="L6646" t="s">
        <v>553</v>
      </c>
      <c r="M6646" t="s">
        <v>58</v>
      </c>
      <c r="N6646">
        <v>77962581</v>
      </c>
    </row>
    <row r="6647" spans="1:14" x14ac:dyDescent="0.25">
      <c r="A6647">
        <v>63560838</v>
      </c>
      <c r="B6647" t="s">
        <v>14082</v>
      </c>
      <c r="C6647" t="s">
        <v>10104</v>
      </c>
      <c r="D6647" t="s">
        <v>14083</v>
      </c>
      <c r="E6647">
        <v>9853524386</v>
      </c>
      <c r="F6647" t="s">
        <v>1067</v>
      </c>
      <c r="G6647" t="s">
        <v>1068</v>
      </c>
      <c r="I6647" t="s">
        <v>35</v>
      </c>
      <c r="J6647" s="13">
        <v>46146</v>
      </c>
      <c r="K6647" s="13">
        <v>46174</v>
      </c>
      <c r="L6647" t="s">
        <v>612</v>
      </c>
      <c r="M6647" t="s">
        <v>56</v>
      </c>
      <c r="N6647">
        <v>77962760</v>
      </c>
    </row>
    <row r="6648" spans="1:14" x14ac:dyDescent="0.25">
      <c r="A6648">
        <v>63562959</v>
      </c>
      <c r="B6648" t="s">
        <v>865</v>
      </c>
      <c r="C6648" t="s">
        <v>1475</v>
      </c>
      <c r="D6648" t="s">
        <v>14084</v>
      </c>
      <c r="E6648">
        <v>2107602665</v>
      </c>
      <c r="F6648" t="s">
        <v>628</v>
      </c>
      <c r="G6648" t="s">
        <v>629</v>
      </c>
      <c r="I6648" t="s">
        <v>24</v>
      </c>
      <c r="J6648" s="13">
        <v>46146</v>
      </c>
      <c r="K6648" s="13">
        <v>46174</v>
      </c>
      <c r="L6648" t="s">
        <v>444</v>
      </c>
      <c r="M6648" t="s">
        <v>55</v>
      </c>
      <c r="N6648">
        <v>77963136</v>
      </c>
    </row>
    <row r="6649" spans="1:14" x14ac:dyDescent="0.25">
      <c r="A6649">
        <v>63565609</v>
      </c>
      <c r="B6649" t="s">
        <v>1304</v>
      </c>
      <c r="C6649" t="s">
        <v>14085</v>
      </c>
      <c r="D6649" t="s">
        <v>14086</v>
      </c>
      <c r="E6649" t="s">
        <v>14087</v>
      </c>
      <c r="F6649" t="s">
        <v>1345</v>
      </c>
      <c r="G6649" t="s">
        <v>799</v>
      </c>
      <c r="I6649" t="s">
        <v>47</v>
      </c>
      <c r="J6649" s="13">
        <v>46146</v>
      </c>
      <c r="K6649" s="13">
        <v>46174</v>
      </c>
      <c r="L6649" t="s">
        <v>1179</v>
      </c>
      <c r="M6649" t="s">
        <v>54</v>
      </c>
      <c r="N6649">
        <v>77966571</v>
      </c>
    </row>
    <row r="6650" spans="1:14" x14ac:dyDescent="0.25">
      <c r="A6650">
        <v>63565137</v>
      </c>
      <c r="B6650" t="s">
        <v>7111</v>
      </c>
      <c r="C6650" t="s">
        <v>14088</v>
      </c>
      <c r="D6650" t="s">
        <v>14089</v>
      </c>
      <c r="E6650">
        <v>8165822054</v>
      </c>
      <c r="F6650" t="s">
        <v>14090</v>
      </c>
      <c r="G6650" t="s">
        <v>8475</v>
      </c>
      <c r="I6650" t="s">
        <v>14091</v>
      </c>
      <c r="J6650" s="13">
        <v>46146</v>
      </c>
      <c r="K6650" s="13">
        <v>46174</v>
      </c>
      <c r="L6650" t="s">
        <v>434</v>
      </c>
      <c r="M6650" t="s">
        <v>59</v>
      </c>
      <c r="N6650">
        <v>77966773</v>
      </c>
    </row>
    <row r="6651" spans="1:14" x14ac:dyDescent="0.25">
      <c r="A6651">
        <v>63563970</v>
      </c>
      <c r="B6651" t="s">
        <v>6138</v>
      </c>
      <c r="C6651" t="s">
        <v>462</v>
      </c>
      <c r="D6651" t="s">
        <v>14092</v>
      </c>
      <c r="E6651">
        <v>3173783090</v>
      </c>
      <c r="F6651" t="s">
        <v>705</v>
      </c>
      <c r="G6651" t="s">
        <v>706</v>
      </c>
      <c r="I6651" t="s">
        <v>12</v>
      </c>
      <c r="J6651" s="13">
        <v>46146</v>
      </c>
      <c r="K6651" s="13">
        <v>46174</v>
      </c>
      <c r="L6651" t="s">
        <v>440</v>
      </c>
      <c r="M6651" t="s">
        <v>58</v>
      </c>
      <c r="N6651">
        <v>77966774</v>
      </c>
    </row>
    <row r="6652" spans="1:14" x14ac:dyDescent="0.25">
      <c r="A6652">
        <v>63600911</v>
      </c>
      <c r="B6652" t="s">
        <v>14093</v>
      </c>
      <c r="C6652" t="s">
        <v>14094</v>
      </c>
      <c r="D6652" t="s">
        <v>14095</v>
      </c>
      <c r="E6652">
        <v>8436983460</v>
      </c>
      <c r="F6652" t="s">
        <v>828</v>
      </c>
      <c r="G6652" t="s">
        <v>1148</v>
      </c>
      <c r="I6652" t="s">
        <v>17</v>
      </c>
      <c r="J6652" s="13">
        <v>46148</v>
      </c>
      <c r="K6652" s="13">
        <v>46174</v>
      </c>
      <c r="L6652" t="s">
        <v>533</v>
      </c>
      <c r="M6652" t="s">
        <v>56</v>
      </c>
      <c r="N6652">
        <v>77966929</v>
      </c>
    </row>
    <row r="6653" spans="1:14" x14ac:dyDescent="0.25">
      <c r="A6653">
        <v>63565479</v>
      </c>
      <c r="B6653" t="s">
        <v>4769</v>
      </c>
      <c r="C6653" t="s">
        <v>14096</v>
      </c>
      <c r="D6653" t="s">
        <v>14097</v>
      </c>
      <c r="E6653">
        <v>8166664832</v>
      </c>
      <c r="F6653" t="s">
        <v>688</v>
      </c>
      <c r="G6653" t="s">
        <v>10291</v>
      </c>
      <c r="I6653" t="s">
        <v>48</v>
      </c>
      <c r="J6653" s="13">
        <v>46146</v>
      </c>
      <c r="K6653" s="13">
        <v>46174</v>
      </c>
      <c r="L6653" t="s">
        <v>434</v>
      </c>
      <c r="M6653" t="s">
        <v>56</v>
      </c>
      <c r="N6653">
        <v>77967086</v>
      </c>
    </row>
    <row r="6654" spans="1:14" x14ac:dyDescent="0.25">
      <c r="A6654">
        <v>63565754</v>
      </c>
      <c r="B6654" t="s">
        <v>7125</v>
      </c>
      <c r="C6654" t="s">
        <v>14098</v>
      </c>
      <c r="D6654" t="s">
        <v>14099</v>
      </c>
      <c r="E6654">
        <v>2164240923</v>
      </c>
      <c r="F6654" t="s">
        <v>815</v>
      </c>
      <c r="G6654" t="s">
        <v>816</v>
      </c>
      <c r="I6654" t="s">
        <v>23</v>
      </c>
      <c r="J6654" s="13">
        <v>46146</v>
      </c>
      <c r="K6654" s="13">
        <v>46174</v>
      </c>
      <c r="L6654" t="s">
        <v>418</v>
      </c>
      <c r="M6654" t="s">
        <v>58</v>
      </c>
      <c r="N6654">
        <v>77968411</v>
      </c>
    </row>
    <row r="6655" spans="1:14" x14ac:dyDescent="0.25">
      <c r="A6655">
        <v>63565895</v>
      </c>
      <c r="B6655" t="s">
        <v>1316</v>
      </c>
      <c r="C6655" t="s">
        <v>14100</v>
      </c>
      <c r="D6655" t="s">
        <v>14101</v>
      </c>
      <c r="E6655">
        <v>2165632272</v>
      </c>
      <c r="F6655" t="s">
        <v>10642</v>
      </c>
      <c r="G6655" t="s">
        <v>10643</v>
      </c>
      <c r="I6655" t="s">
        <v>45</v>
      </c>
      <c r="J6655" s="13">
        <v>46146</v>
      </c>
      <c r="K6655" s="13">
        <v>46174</v>
      </c>
      <c r="L6655" t="s">
        <v>418</v>
      </c>
      <c r="M6655" t="s">
        <v>59</v>
      </c>
      <c r="N6655">
        <v>77969300</v>
      </c>
    </row>
    <row r="6656" spans="1:14" x14ac:dyDescent="0.25">
      <c r="A6656">
        <v>63565597</v>
      </c>
      <c r="B6656" t="s">
        <v>1316</v>
      </c>
      <c r="C6656" t="s">
        <v>5877</v>
      </c>
      <c r="D6656" t="s">
        <v>14102</v>
      </c>
      <c r="E6656">
        <v>8597430095</v>
      </c>
      <c r="F6656" t="s">
        <v>1612</v>
      </c>
      <c r="G6656" t="s">
        <v>4811</v>
      </c>
      <c r="I6656" t="s">
        <v>322</v>
      </c>
      <c r="J6656" s="13">
        <v>46146</v>
      </c>
      <c r="K6656" s="13">
        <v>46204</v>
      </c>
      <c r="L6656" t="s">
        <v>490</v>
      </c>
      <c r="M6656" t="s">
        <v>58</v>
      </c>
      <c r="N6656">
        <v>77969683</v>
      </c>
    </row>
    <row r="6657" spans="1:14" x14ac:dyDescent="0.25">
      <c r="A6657">
        <v>63568855</v>
      </c>
      <c r="B6657" t="s">
        <v>1427</v>
      </c>
      <c r="C6657" t="s">
        <v>14103</v>
      </c>
      <c r="D6657" t="s">
        <v>14104</v>
      </c>
      <c r="E6657">
        <v>7792382835</v>
      </c>
      <c r="F6657" t="s">
        <v>705</v>
      </c>
      <c r="G6657" t="s">
        <v>706</v>
      </c>
      <c r="I6657" t="s">
        <v>12</v>
      </c>
      <c r="J6657" s="13">
        <v>46147</v>
      </c>
      <c r="K6657" s="13">
        <v>46174</v>
      </c>
      <c r="L6657" t="s">
        <v>470</v>
      </c>
      <c r="M6657" t="s">
        <v>56</v>
      </c>
      <c r="N6657">
        <v>77998341</v>
      </c>
    </row>
    <row r="6658" spans="1:14" x14ac:dyDescent="0.25">
      <c r="A6658">
        <v>63569673</v>
      </c>
      <c r="B6658" t="s">
        <v>14105</v>
      </c>
      <c r="C6658" t="s">
        <v>5899</v>
      </c>
      <c r="D6658" t="s">
        <v>14106</v>
      </c>
      <c r="E6658">
        <v>2709800793</v>
      </c>
      <c r="F6658" t="s">
        <v>574</v>
      </c>
      <c r="G6658" t="s">
        <v>575</v>
      </c>
      <c r="I6658" t="s">
        <v>14</v>
      </c>
      <c r="J6658" s="13">
        <v>46147</v>
      </c>
      <c r="K6658" s="13">
        <v>46174</v>
      </c>
      <c r="L6658" t="s">
        <v>490</v>
      </c>
      <c r="M6658" t="s">
        <v>60</v>
      </c>
      <c r="N6658">
        <v>77998381</v>
      </c>
    </row>
    <row r="6659" spans="1:14" x14ac:dyDescent="0.25">
      <c r="A6659">
        <v>63568910</v>
      </c>
      <c r="B6659" t="s">
        <v>1232</v>
      </c>
      <c r="C6659" t="s">
        <v>5844</v>
      </c>
      <c r="D6659" t="s">
        <v>14107</v>
      </c>
      <c r="E6659">
        <v>4194812301</v>
      </c>
      <c r="F6659" t="s">
        <v>474</v>
      </c>
      <c r="G6659" t="s">
        <v>475</v>
      </c>
      <c r="I6659" t="s">
        <v>132</v>
      </c>
      <c r="J6659" s="13">
        <v>46147</v>
      </c>
      <c r="K6659" s="13">
        <v>46174</v>
      </c>
      <c r="L6659" t="s">
        <v>418</v>
      </c>
      <c r="M6659" t="s">
        <v>60</v>
      </c>
      <c r="N6659">
        <v>77998426</v>
      </c>
    </row>
    <row r="6660" spans="1:14" x14ac:dyDescent="0.25">
      <c r="A6660">
        <v>63569426</v>
      </c>
      <c r="B6660" t="s">
        <v>14108</v>
      </c>
      <c r="C6660" t="s">
        <v>2175</v>
      </c>
      <c r="D6660" t="s">
        <v>14109</v>
      </c>
      <c r="E6660">
        <v>9546382450</v>
      </c>
      <c r="F6660" t="s">
        <v>667</v>
      </c>
      <c r="G6660" t="s">
        <v>668</v>
      </c>
      <c r="I6660" t="s">
        <v>37</v>
      </c>
      <c r="J6660" s="13">
        <v>46147</v>
      </c>
      <c r="K6660" s="13">
        <v>46174</v>
      </c>
      <c r="L6660" t="s">
        <v>497</v>
      </c>
      <c r="M6660" t="s">
        <v>56</v>
      </c>
      <c r="N6660">
        <v>77998474</v>
      </c>
    </row>
    <row r="6661" spans="1:14" x14ac:dyDescent="0.25">
      <c r="A6661">
        <v>63569707</v>
      </c>
      <c r="B6661" t="s">
        <v>14110</v>
      </c>
      <c r="C6661" t="s">
        <v>5291</v>
      </c>
      <c r="D6661" t="s">
        <v>14111</v>
      </c>
      <c r="E6661">
        <v>6062400042</v>
      </c>
      <c r="F6661" t="s">
        <v>928</v>
      </c>
      <c r="G6661" t="s">
        <v>929</v>
      </c>
      <c r="I6661" t="s">
        <v>30</v>
      </c>
      <c r="J6661" s="13">
        <v>46147</v>
      </c>
      <c r="K6661" s="13">
        <v>46174</v>
      </c>
      <c r="L6661" t="s">
        <v>490</v>
      </c>
      <c r="M6661" t="s">
        <v>56</v>
      </c>
      <c r="N6661">
        <v>77998556</v>
      </c>
    </row>
    <row r="6662" spans="1:14" x14ac:dyDescent="0.25">
      <c r="A6662">
        <v>63570517</v>
      </c>
      <c r="B6662" t="s">
        <v>784</v>
      </c>
      <c r="C6662" t="s">
        <v>14112</v>
      </c>
      <c r="D6662" t="s">
        <v>14113</v>
      </c>
      <c r="E6662">
        <v>5205824245</v>
      </c>
      <c r="F6662" t="s">
        <v>11745</v>
      </c>
      <c r="G6662" t="s">
        <v>6544</v>
      </c>
      <c r="I6662" t="s">
        <v>11746</v>
      </c>
      <c r="J6662" s="13">
        <v>46147</v>
      </c>
      <c r="K6662" s="13">
        <v>46174</v>
      </c>
      <c r="L6662" t="s">
        <v>1179</v>
      </c>
      <c r="M6662" t="s">
        <v>54</v>
      </c>
      <c r="N6662">
        <v>77998583</v>
      </c>
    </row>
    <row r="6663" spans="1:14" x14ac:dyDescent="0.25">
      <c r="A6663">
        <v>63569965</v>
      </c>
      <c r="B6663" t="s">
        <v>14114</v>
      </c>
      <c r="C6663" t="s">
        <v>7029</v>
      </c>
      <c r="D6663" t="s">
        <v>14115</v>
      </c>
      <c r="E6663">
        <v>6233323113</v>
      </c>
      <c r="F6663" t="s">
        <v>770</v>
      </c>
      <c r="G6663" t="s">
        <v>771</v>
      </c>
      <c r="I6663" t="s">
        <v>25</v>
      </c>
      <c r="J6663" s="13">
        <v>46147</v>
      </c>
      <c r="K6663" s="13">
        <v>46174</v>
      </c>
      <c r="L6663" t="s">
        <v>1179</v>
      </c>
      <c r="M6663" t="s">
        <v>59</v>
      </c>
      <c r="N6663">
        <v>77998613</v>
      </c>
    </row>
    <row r="6664" spans="1:14" x14ac:dyDescent="0.25">
      <c r="A6664">
        <v>63570945</v>
      </c>
      <c r="B6664" t="s">
        <v>1809</v>
      </c>
      <c r="C6664" t="s">
        <v>14116</v>
      </c>
      <c r="D6664" t="s">
        <v>14117</v>
      </c>
      <c r="E6664">
        <v>9175640942</v>
      </c>
      <c r="F6664" t="s">
        <v>14071</v>
      </c>
      <c r="G6664" t="s">
        <v>14072</v>
      </c>
      <c r="I6664" t="s">
        <v>14073</v>
      </c>
      <c r="J6664" s="13">
        <v>46147</v>
      </c>
      <c r="K6664" s="13">
        <v>46174</v>
      </c>
      <c r="L6664" t="s">
        <v>454</v>
      </c>
      <c r="M6664" t="s">
        <v>58</v>
      </c>
      <c r="N6664">
        <v>77998811</v>
      </c>
    </row>
    <row r="6665" spans="1:14" x14ac:dyDescent="0.25">
      <c r="A6665">
        <v>63570621</v>
      </c>
      <c r="B6665" t="s">
        <v>3490</v>
      </c>
      <c r="C6665" t="s">
        <v>3635</v>
      </c>
      <c r="D6665" t="s">
        <v>14118</v>
      </c>
      <c r="E6665" t="s">
        <v>14119</v>
      </c>
      <c r="F6665" t="s">
        <v>780</v>
      </c>
      <c r="G6665" t="s">
        <v>781</v>
      </c>
      <c r="I6665" t="s">
        <v>20</v>
      </c>
      <c r="J6665" s="13">
        <v>46147</v>
      </c>
      <c r="K6665" s="13">
        <v>46174</v>
      </c>
      <c r="L6665" t="s">
        <v>1179</v>
      </c>
      <c r="M6665" t="s">
        <v>56</v>
      </c>
      <c r="N6665">
        <v>77998967</v>
      </c>
    </row>
    <row r="6666" spans="1:14" x14ac:dyDescent="0.25">
      <c r="A6666">
        <v>63571876</v>
      </c>
      <c r="B6666" t="s">
        <v>5075</v>
      </c>
      <c r="C6666" t="s">
        <v>14120</v>
      </c>
      <c r="D6666" t="s">
        <v>14121</v>
      </c>
      <c r="E6666">
        <v>2297336601</v>
      </c>
      <c r="F6666" t="s">
        <v>688</v>
      </c>
      <c r="G6666" t="s">
        <v>10291</v>
      </c>
      <c r="I6666" t="s">
        <v>48</v>
      </c>
      <c r="J6666" s="13">
        <v>46147</v>
      </c>
      <c r="K6666" s="13">
        <v>46174</v>
      </c>
      <c r="L6666" t="s">
        <v>479</v>
      </c>
      <c r="M6666" t="s">
        <v>58</v>
      </c>
      <c r="N6666">
        <v>77999196</v>
      </c>
    </row>
    <row r="6667" spans="1:14" x14ac:dyDescent="0.25">
      <c r="A6667">
        <v>63572310</v>
      </c>
      <c r="B6667" t="s">
        <v>11922</v>
      </c>
      <c r="C6667" t="s">
        <v>14122</v>
      </c>
      <c r="D6667" t="s">
        <v>14123</v>
      </c>
      <c r="E6667">
        <v>7272772359</v>
      </c>
      <c r="F6667" t="s">
        <v>1345</v>
      </c>
      <c r="G6667" t="s">
        <v>799</v>
      </c>
      <c r="I6667" t="s">
        <v>47</v>
      </c>
      <c r="J6667" s="13">
        <v>46147</v>
      </c>
      <c r="K6667" s="13">
        <v>46174</v>
      </c>
      <c r="L6667" t="s">
        <v>497</v>
      </c>
      <c r="M6667" t="s">
        <v>11843</v>
      </c>
      <c r="N6667">
        <v>77999535</v>
      </c>
    </row>
    <row r="6668" spans="1:14" x14ac:dyDescent="0.25">
      <c r="A6668">
        <v>63572397</v>
      </c>
      <c r="B6668" t="s">
        <v>14124</v>
      </c>
      <c r="C6668" t="s">
        <v>5817</v>
      </c>
      <c r="D6668" t="s">
        <v>14125</v>
      </c>
      <c r="E6668">
        <v>8728225680</v>
      </c>
      <c r="F6668" t="s">
        <v>4941</v>
      </c>
      <c r="G6668" t="s">
        <v>12450</v>
      </c>
      <c r="I6668" t="s">
        <v>12451</v>
      </c>
      <c r="J6668" s="13">
        <v>46147</v>
      </c>
      <c r="K6668" s="13">
        <v>46174</v>
      </c>
      <c r="L6668" t="s">
        <v>470</v>
      </c>
      <c r="M6668" t="s">
        <v>62</v>
      </c>
      <c r="N6668">
        <v>77999620</v>
      </c>
    </row>
    <row r="6669" spans="1:14" x14ac:dyDescent="0.25">
      <c r="A6669">
        <v>63571451</v>
      </c>
      <c r="B6669" t="s">
        <v>7125</v>
      </c>
      <c r="C6669" t="s">
        <v>12563</v>
      </c>
      <c r="D6669" t="s">
        <v>14126</v>
      </c>
      <c r="E6669">
        <v>8644511053</v>
      </c>
      <c r="F6669" t="s">
        <v>448</v>
      </c>
      <c r="G6669" t="s">
        <v>449</v>
      </c>
      <c r="I6669" t="s">
        <v>31</v>
      </c>
      <c r="J6669" s="13">
        <v>46147</v>
      </c>
      <c r="K6669" s="13">
        <v>46174</v>
      </c>
      <c r="L6669" t="s">
        <v>533</v>
      </c>
      <c r="M6669" t="s">
        <v>56</v>
      </c>
      <c r="N6669">
        <v>77999668</v>
      </c>
    </row>
    <row r="6670" spans="1:14" x14ac:dyDescent="0.25">
      <c r="A6670">
        <v>63571579</v>
      </c>
      <c r="B6670" t="s">
        <v>4833</v>
      </c>
      <c r="C6670" t="s">
        <v>14127</v>
      </c>
      <c r="D6670" t="s">
        <v>14128</v>
      </c>
      <c r="E6670">
        <v>2709960444</v>
      </c>
      <c r="F6670" t="s">
        <v>928</v>
      </c>
      <c r="G6670" t="s">
        <v>929</v>
      </c>
      <c r="I6670" t="s">
        <v>30</v>
      </c>
      <c r="J6670" s="13">
        <v>46147</v>
      </c>
      <c r="K6670" s="13">
        <v>46174</v>
      </c>
      <c r="L6670" t="s">
        <v>490</v>
      </c>
      <c r="M6670" t="s">
        <v>59</v>
      </c>
      <c r="N6670">
        <v>77999705</v>
      </c>
    </row>
    <row r="6671" spans="1:14" x14ac:dyDescent="0.25">
      <c r="A6671">
        <v>63572490</v>
      </c>
      <c r="B6671" t="s">
        <v>1784</v>
      </c>
      <c r="C6671" t="s">
        <v>14129</v>
      </c>
      <c r="D6671" t="s">
        <v>14130</v>
      </c>
      <c r="E6671">
        <v>4236120357</v>
      </c>
      <c r="F6671" t="s">
        <v>14131</v>
      </c>
      <c r="G6671" t="s">
        <v>14132</v>
      </c>
      <c r="I6671" t="s">
        <v>14133</v>
      </c>
      <c r="J6671" s="13">
        <v>46147</v>
      </c>
      <c r="K6671" s="13">
        <v>46174</v>
      </c>
      <c r="L6671" t="s">
        <v>454</v>
      </c>
      <c r="M6671" t="s">
        <v>58</v>
      </c>
      <c r="N6671">
        <v>77999764</v>
      </c>
    </row>
    <row r="6672" spans="1:14" x14ac:dyDescent="0.25">
      <c r="A6672">
        <v>63573741</v>
      </c>
      <c r="B6672" t="s">
        <v>1038</v>
      </c>
      <c r="C6672" t="s">
        <v>10604</v>
      </c>
      <c r="D6672" t="s">
        <v>14134</v>
      </c>
      <c r="E6672">
        <v>7084902510</v>
      </c>
      <c r="F6672" t="s">
        <v>11838</v>
      </c>
      <c r="G6672" t="s">
        <v>11839</v>
      </c>
      <c r="I6672" t="s">
        <v>11840</v>
      </c>
      <c r="J6672" s="13">
        <v>46147</v>
      </c>
      <c r="K6672" s="13">
        <v>46174</v>
      </c>
      <c r="L6672" t="s">
        <v>470</v>
      </c>
      <c r="M6672" t="s">
        <v>59</v>
      </c>
      <c r="N6672">
        <v>78000254</v>
      </c>
    </row>
    <row r="6673" spans="1:14" x14ac:dyDescent="0.25">
      <c r="A6673">
        <v>63572737</v>
      </c>
      <c r="B6673" t="s">
        <v>1033</v>
      </c>
      <c r="C6673" t="s">
        <v>14135</v>
      </c>
      <c r="D6673" t="s">
        <v>14136</v>
      </c>
      <c r="E6673">
        <v>9049244512</v>
      </c>
      <c r="F6673" t="s">
        <v>770</v>
      </c>
      <c r="G6673" t="s">
        <v>771</v>
      </c>
      <c r="I6673" t="s">
        <v>25</v>
      </c>
      <c r="J6673" s="13">
        <v>46147</v>
      </c>
      <c r="K6673" s="13">
        <v>46174</v>
      </c>
      <c r="L6673" t="s">
        <v>497</v>
      </c>
      <c r="M6673" t="s">
        <v>54</v>
      </c>
      <c r="N6673">
        <v>78000272</v>
      </c>
    </row>
    <row r="6674" spans="1:14" x14ac:dyDescent="0.25">
      <c r="A6674">
        <v>63572616</v>
      </c>
      <c r="B6674" t="s">
        <v>12562</v>
      </c>
      <c r="C6674" t="s">
        <v>1702</v>
      </c>
      <c r="D6674" t="s">
        <v>14137</v>
      </c>
      <c r="E6674">
        <v>2144007528</v>
      </c>
      <c r="F6674" t="s">
        <v>551</v>
      </c>
      <c r="G6674" t="s">
        <v>552</v>
      </c>
      <c r="I6674" t="s">
        <v>42</v>
      </c>
      <c r="J6674" s="13">
        <v>46147</v>
      </c>
      <c r="K6674" s="13">
        <v>46174</v>
      </c>
      <c r="L6674" t="s">
        <v>444</v>
      </c>
      <c r="M6674" t="s">
        <v>60</v>
      </c>
      <c r="N6674">
        <v>78000353</v>
      </c>
    </row>
    <row r="6675" spans="1:14" x14ac:dyDescent="0.25">
      <c r="A6675">
        <v>63573817</v>
      </c>
      <c r="B6675" t="s">
        <v>8494</v>
      </c>
      <c r="C6675" t="s">
        <v>14138</v>
      </c>
      <c r="D6675" t="s">
        <v>14139</v>
      </c>
      <c r="E6675">
        <v>9077449951</v>
      </c>
      <c r="F6675" t="s">
        <v>815</v>
      </c>
      <c r="G6675" t="s">
        <v>816</v>
      </c>
      <c r="I6675" t="s">
        <v>23</v>
      </c>
      <c r="J6675" s="13">
        <v>46147</v>
      </c>
      <c r="K6675" s="13">
        <v>46174</v>
      </c>
      <c r="L6675" t="s">
        <v>479</v>
      </c>
      <c r="M6675" t="s">
        <v>62</v>
      </c>
      <c r="N6675">
        <v>78000911</v>
      </c>
    </row>
    <row r="6676" spans="1:14" x14ac:dyDescent="0.25">
      <c r="A6676">
        <v>63578170</v>
      </c>
      <c r="B6676" t="s">
        <v>1297</v>
      </c>
      <c r="C6676" t="s">
        <v>14140</v>
      </c>
      <c r="D6676" t="s">
        <v>14141</v>
      </c>
      <c r="E6676">
        <v>8592678527</v>
      </c>
      <c r="F6676" t="s">
        <v>574</v>
      </c>
      <c r="G6676" t="s">
        <v>575</v>
      </c>
      <c r="I6676" t="s">
        <v>14</v>
      </c>
      <c r="J6676" s="13">
        <v>46147</v>
      </c>
      <c r="K6676" s="13">
        <v>46174</v>
      </c>
      <c r="L6676" t="s">
        <v>490</v>
      </c>
      <c r="M6676" t="s">
        <v>58</v>
      </c>
      <c r="N6676">
        <v>78001764</v>
      </c>
    </row>
    <row r="6677" spans="1:14" x14ac:dyDescent="0.25">
      <c r="A6677">
        <v>63577764</v>
      </c>
      <c r="B6677" t="s">
        <v>1399</v>
      </c>
      <c r="C6677" t="s">
        <v>14142</v>
      </c>
      <c r="D6677" t="s">
        <v>14143</v>
      </c>
      <c r="E6677">
        <v>5027588528</v>
      </c>
      <c r="F6677" t="s">
        <v>2544</v>
      </c>
      <c r="G6677" t="s">
        <v>12389</v>
      </c>
      <c r="I6677" t="s">
        <v>12390</v>
      </c>
      <c r="J6677" s="13">
        <v>46147</v>
      </c>
      <c r="K6677" s="13">
        <v>46174</v>
      </c>
      <c r="L6677" t="s">
        <v>1179</v>
      </c>
      <c r="M6677" t="s">
        <v>55</v>
      </c>
      <c r="N6677">
        <v>78001906</v>
      </c>
    </row>
    <row r="6678" spans="1:14" x14ac:dyDescent="0.25">
      <c r="A6678">
        <v>63579530</v>
      </c>
      <c r="B6678" t="s">
        <v>435</v>
      </c>
      <c r="C6678" t="s">
        <v>923</v>
      </c>
      <c r="D6678" t="s">
        <v>14144</v>
      </c>
      <c r="E6678">
        <v>8592854404</v>
      </c>
      <c r="F6678" t="s">
        <v>688</v>
      </c>
      <c r="G6678" t="s">
        <v>13922</v>
      </c>
      <c r="I6678" t="s">
        <v>13923</v>
      </c>
      <c r="J6678" s="13">
        <v>46147</v>
      </c>
      <c r="K6678" s="13">
        <v>46174</v>
      </c>
      <c r="L6678" t="s">
        <v>490</v>
      </c>
      <c r="M6678" t="s">
        <v>59</v>
      </c>
      <c r="N6678">
        <v>78002653</v>
      </c>
    </row>
    <row r="6679" spans="1:14" x14ac:dyDescent="0.25">
      <c r="A6679">
        <v>63581580</v>
      </c>
      <c r="B6679" t="s">
        <v>1297</v>
      </c>
      <c r="C6679" t="s">
        <v>2558</v>
      </c>
      <c r="D6679" t="s">
        <v>14145</v>
      </c>
      <c r="E6679">
        <v>7654251844</v>
      </c>
      <c r="F6679" t="s">
        <v>8440</v>
      </c>
      <c r="G6679" t="s">
        <v>12267</v>
      </c>
      <c r="I6679" t="s">
        <v>12268</v>
      </c>
      <c r="J6679" s="13">
        <v>46147</v>
      </c>
      <c r="K6679" s="13">
        <v>46174</v>
      </c>
      <c r="L6679" t="s">
        <v>440</v>
      </c>
      <c r="M6679" t="s">
        <v>62</v>
      </c>
      <c r="N6679">
        <v>78002930</v>
      </c>
    </row>
    <row r="6680" spans="1:14" x14ac:dyDescent="0.25">
      <c r="A6680">
        <v>63581310</v>
      </c>
      <c r="B6680" t="s">
        <v>6451</v>
      </c>
      <c r="C6680" t="s">
        <v>7823</v>
      </c>
      <c r="D6680" t="s">
        <v>14146</v>
      </c>
      <c r="E6680">
        <v>5732580486</v>
      </c>
      <c r="F6680" t="s">
        <v>569</v>
      </c>
      <c r="G6680" t="s">
        <v>570</v>
      </c>
      <c r="I6680" t="s">
        <v>34</v>
      </c>
      <c r="J6680" s="13">
        <v>46147</v>
      </c>
      <c r="K6680" s="13">
        <v>46174</v>
      </c>
      <c r="L6680" t="s">
        <v>434</v>
      </c>
      <c r="M6680" t="s">
        <v>60</v>
      </c>
      <c r="N6680">
        <v>78005053</v>
      </c>
    </row>
    <row r="6681" spans="1:14" x14ac:dyDescent="0.25">
      <c r="A6681">
        <v>63582264</v>
      </c>
      <c r="B6681" t="s">
        <v>11922</v>
      </c>
      <c r="C6681" t="s">
        <v>14147</v>
      </c>
      <c r="D6681" t="s">
        <v>14148</v>
      </c>
      <c r="E6681">
        <v>6232586955</v>
      </c>
      <c r="F6681" t="s">
        <v>780</v>
      </c>
      <c r="G6681" t="s">
        <v>781</v>
      </c>
      <c r="I6681" t="s">
        <v>20</v>
      </c>
      <c r="J6681" s="13">
        <v>46147</v>
      </c>
      <c r="K6681" s="13">
        <v>46174</v>
      </c>
      <c r="L6681" t="s">
        <v>1179</v>
      </c>
      <c r="M6681" t="s">
        <v>54</v>
      </c>
      <c r="N6681">
        <v>78005840</v>
      </c>
    </row>
    <row r="6682" spans="1:14" x14ac:dyDescent="0.25">
      <c r="A6682">
        <v>63582446</v>
      </c>
      <c r="B6682" t="s">
        <v>14149</v>
      </c>
      <c r="C6682" t="s">
        <v>2558</v>
      </c>
      <c r="D6682" t="s">
        <v>14150</v>
      </c>
      <c r="F6682" t="s">
        <v>8440</v>
      </c>
      <c r="G6682" t="s">
        <v>12267</v>
      </c>
      <c r="I6682" t="s">
        <v>12268</v>
      </c>
      <c r="J6682" s="13">
        <v>46147</v>
      </c>
      <c r="K6682" s="13">
        <v>46174</v>
      </c>
      <c r="L6682" t="s">
        <v>440</v>
      </c>
      <c r="M6682" t="s">
        <v>62</v>
      </c>
      <c r="N6682">
        <v>78007511</v>
      </c>
    </row>
    <row r="6683" spans="1:14" x14ac:dyDescent="0.25">
      <c r="A6683">
        <v>63582186</v>
      </c>
      <c r="B6683" t="s">
        <v>5075</v>
      </c>
      <c r="C6683" t="s">
        <v>14151</v>
      </c>
      <c r="D6683" t="s">
        <v>14152</v>
      </c>
      <c r="E6683">
        <v>4803226561</v>
      </c>
      <c r="F6683" t="s">
        <v>1345</v>
      </c>
      <c r="G6683" t="s">
        <v>799</v>
      </c>
      <c r="I6683" t="s">
        <v>47</v>
      </c>
      <c r="J6683" s="13">
        <v>46147</v>
      </c>
      <c r="K6683" s="13">
        <v>46174</v>
      </c>
      <c r="L6683" t="s">
        <v>1179</v>
      </c>
      <c r="M6683" t="s">
        <v>54</v>
      </c>
      <c r="N6683">
        <v>78007695</v>
      </c>
    </row>
    <row r="6684" spans="1:14" x14ac:dyDescent="0.25">
      <c r="A6684">
        <v>63582059</v>
      </c>
      <c r="B6684" t="s">
        <v>1406</v>
      </c>
      <c r="C6684" t="s">
        <v>14153</v>
      </c>
      <c r="D6684" t="s">
        <v>14154</v>
      </c>
      <c r="E6684">
        <v>4807730251</v>
      </c>
      <c r="F6684" t="s">
        <v>770</v>
      </c>
      <c r="G6684" t="s">
        <v>771</v>
      </c>
      <c r="I6684" t="s">
        <v>25</v>
      </c>
      <c r="J6684" s="13">
        <v>46147</v>
      </c>
      <c r="K6684" s="13">
        <v>46174</v>
      </c>
      <c r="L6684" t="s">
        <v>1179</v>
      </c>
      <c r="M6684" t="s">
        <v>59</v>
      </c>
      <c r="N6684">
        <v>78007877</v>
      </c>
    </row>
    <row r="6685" spans="1:14" x14ac:dyDescent="0.25">
      <c r="A6685">
        <v>63581582</v>
      </c>
      <c r="B6685" t="s">
        <v>6888</v>
      </c>
      <c r="C6685" t="s">
        <v>14155</v>
      </c>
      <c r="D6685" t="s">
        <v>14156</v>
      </c>
      <c r="E6685">
        <v>5012766070</v>
      </c>
      <c r="F6685" t="s">
        <v>1067</v>
      </c>
      <c r="G6685" t="s">
        <v>1068</v>
      </c>
      <c r="I6685" t="s">
        <v>35</v>
      </c>
      <c r="J6685" s="13">
        <v>46147</v>
      </c>
      <c r="K6685" s="13">
        <v>46174</v>
      </c>
      <c r="L6685" t="s">
        <v>553</v>
      </c>
      <c r="M6685" t="s">
        <v>56</v>
      </c>
      <c r="N6685">
        <v>78008061</v>
      </c>
    </row>
    <row r="6686" spans="1:14" x14ac:dyDescent="0.25">
      <c r="A6686">
        <v>63582152</v>
      </c>
      <c r="B6686" t="s">
        <v>2442</v>
      </c>
      <c r="C6686" t="s">
        <v>9875</v>
      </c>
      <c r="D6686" t="s">
        <v>14157</v>
      </c>
      <c r="E6686">
        <v>9184078433</v>
      </c>
      <c r="F6686" t="s">
        <v>775</v>
      </c>
      <c r="G6686" t="s">
        <v>776</v>
      </c>
      <c r="I6686" t="s">
        <v>22</v>
      </c>
      <c r="J6686" s="13">
        <v>46147</v>
      </c>
      <c r="K6686" s="13">
        <v>46174</v>
      </c>
      <c r="L6686" t="s">
        <v>444</v>
      </c>
      <c r="M6686" t="s">
        <v>56</v>
      </c>
      <c r="N6686">
        <v>78008098</v>
      </c>
    </row>
    <row r="6687" spans="1:14" x14ac:dyDescent="0.25">
      <c r="A6687">
        <v>63582053</v>
      </c>
      <c r="B6687" t="s">
        <v>1872</v>
      </c>
      <c r="C6687" t="s">
        <v>1721</v>
      </c>
      <c r="D6687" t="s">
        <v>14158</v>
      </c>
      <c r="E6687">
        <v>6026963303</v>
      </c>
      <c r="F6687" t="s">
        <v>10591</v>
      </c>
      <c r="G6687" t="s">
        <v>10215</v>
      </c>
      <c r="I6687" t="s">
        <v>32</v>
      </c>
      <c r="J6687" s="13">
        <v>46147</v>
      </c>
      <c r="K6687" s="13">
        <v>46174</v>
      </c>
      <c r="L6687" t="s">
        <v>1179</v>
      </c>
      <c r="M6687" t="s">
        <v>54</v>
      </c>
      <c r="N6687">
        <v>78008182</v>
      </c>
    </row>
    <row r="6688" spans="1:14" x14ac:dyDescent="0.25">
      <c r="A6688">
        <v>63582333</v>
      </c>
      <c r="B6688" t="s">
        <v>1675</v>
      </c>
      <c r="C6688" t="s">
        <v>4741</v>
      </c>
      <c r="D6688" t="s">
        <v>14159</v>
      </c>
      <c r="E6688">
        <v>2165443866</v>
      </c>
      <c r="F6688" t="s">
        <v>4941</v>
      </c>
      <c r="G6688" t="s">
        <v>12450</v>
      </c>
      <c r="I6688" t="s">
        <v>12451</v>
      </c>
      <c r="J6688" s="13">
        <v>46147</v>
      </c>
      <c r="K6688" s="13">
        <v>46174</v>
      </c>
      <c r="L6688" t="s">
        <v>418</v>
      </c>
      <c r="M6688" t="s">
        <v>59</v>
      </c>
      <c r="N6688">
        <v>78008447</v>
      </c>
    </row>
    <row r="6689" spans="1:14" x14ac:dyDescent="0.25">
      <c r="A6689">
        <v>63583110</v>
      </c>
      <c r="B6689" t="s">
        <v>4374</v>
      </c>
      <c r="C6689" t="s">
        <v>4800</v>
      </c>
      <c r="D6689" t="s">
        <v>14160</v>
      </c>
      <c r="E6689">
        <v>5738252763</v>
      </c>
      <c r="F6689" t="s">
        <v>569</v>
      </c>
      <c r="G6689" t="s">
        <v>570</v>
      </c>
      <c r="I6689" t="s">
        <v>34</v>
      </c>
      <c r="J6689" s="13">
        <v>46147</v>
      </c>
      <c r="K6689" s="13">
        <v>46174</v>
      </c>
      <c r="L6689" t="s">
        <v>434</v>
      </c>
      <c r="M6689" t="s">
        <v>56</v>
      </c>
      <c r="N6689">
        <v>78008503</v>
      </c>
    </row>
    <row r="6690" spans="1:14" x14ac:dyDescent="0.25">
      <c r="A6690">
        <v>63583109</v>
      </c>
      <c r="B6690" t="s">
        <v>867</v>
      </c>
      <c r="C6690" t="s">
        <v>14161</v>
      </c>
      <c r="D6690" t="s">
        <v>14162</v>
      </c>
      <c r="E6690">
        <v>7739495620</v>
      </c>
      <c r="F6690" t="s">
        <v>815</v>
      </c>
      <c r="G6690" t="s">
        <v>816</v>
      </c>
      <c r="I6690" t="s">
        <v>23</v>
      </c>
      <c r="J6690" s="13">
        <v>46147</v>
      </c>
      <c r="K6690" s="13">
        <v>46174</v>
      </c>
      <c r="L6690" t="s">
        <v>470</v>
      </c>
      <c r="M6690" t="s">
        <v>56</v>
      </c>
      <c r="N6690">
        <v>78008574</v>
      </c>
    </row>
    <row r="6691" spans="1:14" x14ac:dyDescent="0.25">
      <c r="A6691">
        <v>63591518</v>
      </c>
      <c r="B6691" t="s">
        <v>2140</v>
      </c>
      <c r="C6691" t="s">
        <v>14163</v>
      </c>
      <c r="D6691" t="s">
        <v>14164</v>
      </c>
      <c r="E6691">
        <v>8324529176</v>
      </c>
      <c r="F6691" t="s">
        <v>828</v>
      </c>
      <c r="G6691" t="s">
        <v>1148</v>
      </c>
      <c r="I6691" t="s">
        <v>17</v>
      </c>
      <c r="J6691" s="13">
        <v>46148</v>
      </c>
      <c r="K6691" s="13">
        <v>46174</v>
      </c>
      <c r="L6691" t="s">
        <v>444</v>
      </c>
      <c r="M6691" t="s">
        <v>56</v>
      </c>
      <c r="N6691">
        <v>78014261</v>
      </c>
    </row>
    <row r="6692" spans="1:14" x14ac:dyDescent="0.25">
      <c r="A6692">
        <v>63593363</v>
      </c>
      <c r="B6692" t="s">
        <v>760</v>
      </c>
      <c r="C6692" t="s">
        <v>14165</v>
      </c>
      <c r="D6692" t="s">
        <v>14166</v>
      </c>
      <c r="E6692">
        <v>9013354680</v>
      </c>
      <c r="F6692" t="s">
        <v>2544</v>
      </c>
      <c r="G6692" t="s">
        <v>4833</v>
      </c>
      <c r="I6692" t="s">
        <v>18</v>
      </c>
      <c r="J6692" s="13">
        <v>46148</v>
      </c>
      <c r="K6692" s="13">
        <v>46174</v>
      </c>
      <c r="L6692" t="s">
        <v>479</v>
      </c>
      <c r="M6692" t="s">
        <v>62</v>
      </c>
      <c r="N6692">
        <v>78014640</v>
      </c>
    </row>
    <row r="6693" spans="1:14" x14ac:dyDescent="0.25">
      <c r="A6693">
        <v>63591396</v>
      </c>
      <c r="B6693" t="s">
        <v>7190</v>
      </c>
      <c r="C6693" t="s">
        <v>14167</v>
      </c>
      <c r="D6693" t="s">
        <v>14168</v>
      </c>
      <c r="E6693">
        <v>5014715100</v>
      </c>
      <c r="F6693" t="s">
        <v>667</v>
      </c>
      <c r="G6693" t="s">
        <v>668</v>
      </c>
      <c r="I6693" t="s">
        <v>37</v>
      </c>
      <c r="J6693" s="13">
        <v>46148</v>
      </c>
      <c r="K6693" s="13">
        <v>46174</v>
      </c>
      <c r="L6693" t="s">
        <v>553</v>
      </c>
      <c r="M6693" t="s">
        <v>56</v>
      </c>
      <c r="N6693">
        <v>78016487</v>
      </c>
    </row>
    <row r="6694" spans="1:14" x14ac:dyDescent="0.25">
      <c r="A6694">
        <v>63594617</v>
      </c>
      <c r="B6694" t="s">
        <v>14169</v>
      </c>
      <c r="C6694" t="s">
        <v>14170</v>
      </c>
      <c r="D6694" t="s">
        <v>14171</v>
      </c>
      <c r="E6694">
        <v>3145005308</v>
      </c>
      <c r="F6694" t="s">
        <v>11776</v>
      </c>
      <c r="G6694" t="s">
        <v>3895</v>
      </c>
      <c r="H6694" t="s">
        <v>11777</v>
      </c>
      <c r="I6694" t="s">
        <v>11778</v>
      </c>
      <c r="J6694" s="13">
        <v>46148</v>
      </c>
      <c r="K6694" s="13">
        <v>46174</v>
      </c>
      <c r="L6694" t="s">
        <v>434</v>
      </c>
      <c r="M6694" t="s">
        <v>59</v>
      </c>
      <c r="N6694">
        <v>78017135</v>
      </c>
    </row>
    <row r="6695" spans="1:14" x14ac:dyDescent="0.25">
      <c r="A6695">
        <v>63591900</v>
      </c>
      <c r="B6695" t="s">
        <v>2128</v>
      </c>
      <c r="C6695" t="s">
        <v>14172</v>
      </c>
      <c r="D6695" t="s">
        <v>14173</v>
      </c>
      <c r="E6695">
        <v>7739234566</v>
      </c>
      <c r="F6695" t="s">
        <v>448</v>
      </c>
      <c r="G6695" t="s">
        <v>449</v>
      </c>
      <c r="I6695" t="s">
        <v>31</v>
      </c>
      <c r="J6695" s="13">
        <v>46148</v>
      </c>
      <c r="K6695" s="13">
        <v>46174</v>
      </c>
      <c r="L6695" t="s">
        <v>470</v>
      </c>
      <c r="M6695" t="s">
        <v>56</v>
      </c>
      <c r="N6695">
        <v>78018352</v>
      </c>
    </row>
    <row r="6696" spans="1:14" x14ac:dyDescent="0.25">
      <c r="A6696">
        <v>63593525</v>
      </c>
      <c r="B6696" t="s">
        <v>2254</v>
      </c>
      <c r="C6696" t="s">
        <v>2578</v>
      </c>
      <c r="D6696" t="s">
        <v>14174</v>
      </c>
      <c r="E6696" t="s">
        <v>14175</v>
      </c>
      <c r="F6696" t="s">
        <v>1013</v>
      </c>
      <c r="G6696" t="s">
        <v>1014</v>
      </c>
      <c r="I6696" t="s">
        <v>43</v>
      </c>
      <c r="J6696" s="13">
        <v>46148</v>
      </c>
      <c r="K6696" s="13">
        <v>46174</v>
      </c>
      <c r="L6696" t="s">
        <v>454</v>
      </c>
      <c r="M6696" t="s">
        <v>58</v>
      </c>
      <c r="N6696">
        <v>78019186</v>
      </c>
    </row>
    <row r="6697" spans="1:14" x14ac:dyDescent="0.25">
      <c r="A6697">
        <v>63594624</v>
      </c>
      <c r="B6697" t="s">
        <v>8391</v>
      </c>
      <c r="C6697" t="s">
        <v>14176</v>
      </c>
      <c r="D6697" t="s">
        <v>14177</v>
      </c>
      <c r="E6697">
        <v>2194072527</v>
      </c>
      <c r="F6697" t="s">
        <v>705</v>
      </c>
      <c r="G6697" t="s">
        <v>706</v>
      </c>
      <c r="I6697" t="s">
        <v>12</v>
      </c>
      <c r="J6697" s="13">
        <v>46148</v>
      </c>
      <c r="K6697" s="13">
        <v>46174</v>
      </c>
      <c r="L6697" t="s">
        <v>440</v>
      </c>
      <c r="M6697" t="s">
        <v>58</v>
      </c>
      <c r="N6697">
        <v>78019505</v>
      </c>
    </row>
    <row r="6698" spans="1:14" x14ac:dyDescent="0.25">
      <c r="A6698">
        <v>63595330</v>
      </c>
      <c r="B6698" t="s">
        <v>1160</v>
      </c>
      <c r="C6698" t="s">
        <v>14178</v>
      </c>
      <c r="D6698" t="s">
        <v>14179</v>
      </c>
      <c r="E6698">
        <v>5203684532</v>
      </c>
      <c r="F6698" t="s">
        <v>770</v>
      </c>
      <c r="G6698" t="s">
        <v>771</v>
      </c>
      <c r="I6698" t="s">
        <v>25</v>
      </c>
      <c r="J6698" s="13">
        <v>46148</v>
      </c>
      <c r="K6698" s="13">
        <v>46174</v>
      </c>
      <c r="L6698" t="s">
        <v>1179</v>
      </c>
      <c r="M6698" t="s">
        <v>59</v>
      </c>
      <c r="N6698">
        <v>78019886</v>
      </c>
    </row>
    <row r="6699" spans="1:14" x14ac:dyDescent="0.25">
      <c r="A6699">
        <v>63595324</v>
      </c>
      <c r="B6699" t="s">
        <v>791</v>
      </c>
      <c r="C6699" t="s">
        <v>14180</v>
      </c>
      <c r="D6699" t="s">
        <v>14181</v>
      </c>
      <c r="E6699">
        <v>2708535674</v>
      </c>
      <c r="F6699" t="s">
        <v>1067</v>
      </c>
      <c r="G6699" t="s">
        <v>1068</v>
      </c>
      <c r="I6699" t="s">
        <v>35</v>
      </c>
      <c r="J6699" s="13">
        <v>46148</v>
      </c>
      <c r="K6699" s="13">
        <v>46174</v>
      </c>
      <c r="L6699" t="s">
        <v>490</v>
      </c>
      <c r="M6699" t="s">
        <v>56</v>
      </c>
      <c r="N6699">
        <v>78019908</v>
      </c>
    </row>
    <row r="6700" spans="1:14" x14ac:dyDescent="0.25">
      <c r="A6700">
        <v>63594517</v>
      </c>
      <c r="B6700" t="s">
        <v>14182</v>
      </c>
      <c r="C6700" t="s">
        <v>1147</v>
      </c>
      <c r="D6700" t="s">
        <v>14183</v>
      </c>
      <c r="E6700">
        <v>6025014865</v>
      </c>
      <c r="F6700" t="s">
        <v>416</v>
      </c>
      <c r="G6700" t="s">
        <v>417</v>
      </c>
      <c r="I6700" t="s">
        <v>26</v>
      </c>
      <c r="J6700" s="13">
        <v>46148</v>
      </c>
      <c r="K6700" s="13">
        <v>46174</v>
      </c>
      <c r="L6700" t="s">
        <v>1179</v>
      </c>
      <c r="M6700" t="s">
        <v>56</v>
      </c>
      <c r="N6700">
        <v>78019909</v>
      </c>
    </row>
    <row r="6701" spans="1:14" x14ac:dyDescent="0.25">
      <c r="A6701">
        <v>63595786</v>
      </c>
      <c r="B6701" t="s">
        <v>14184</v>
      </c>
      <c r="C6701" t="s">
        <v>14185</v>
      </c>
      <c r="D6701" t="s">
        <v>14186</v>
      </c>
      <c r="E6701">
        <v>4173620304</v>
      </c>
      <c r="F6701" t="s">
        <v>1612</v>
      </c>
      <c r="G6701" t="s">
        <v>4811</v>
      </c>
      <c r="I6701" t="s">
        <v>322</v>
      </c>
      <c r="J6701" s="13">
        <v>46148</v>
      </c>
      <c r="K6701" s="13">
        <v>46174</v>
      </c>
      <c r="L6701" t="s">
        <v>434</v>
      </c>
      <c r="M6701" t="s">
        <v>59</v>
      </c>
      <c r="N6701">
        <v>78019954</v>
      </c>
    </row>
    <row r="6702" spans="1:14" x14ac:dyDescent="0.25">
      <c r="A6702">
        <v>63596713</v>
      </c>
      <c r="B6702" t="s">
        <v>14187</v>
      </c>
      <c r="C6702" t="s">
        <v>4853</v>
      </c>
      <c r="D6702" t="s">
        <v>14188</v>
      </c>
      <c r="E6702">
        <v>6305975495</v>
      </c>
      <c r="F6702" t="s">
        <v>10642</v>
      </c>
      <c r="G6702" t="s">
        <v>10643</v>
      </c>
      <c r="I6702" t="s">
        <v>45</v>
      </c>
      <c r="J6702" s="13">
        <v>46148</v>
      </c>
      <c r="K6702" s="13">
        <v>46174</v>
      </c>
      <c r="L6702" t="s">
        <v>470</v>
      </c>
      <c r="M6702" t="s">
        <v>62</v>
      </c>
      <c r="N6702">
        <v>78020028</v>
      </c>
    </row>
    <row r="6703" spans="1:14" x14ac:dyDescent="0.25">
      <c r="A6703">
        <v>63597681</v>
      </c>
      <c r="B6703" t="s">
        <v>867</v>
      </c>
      <c r="C6703" t="s">
        <v>11891</v>
      </c>
      <c r="D6703" t="s">
        <v>14189</v>
      </c>
      <c r="E6703">
        <v>2527342353</v>
      </c>
      <c r="F6703" t="s">
        <v>569</v>
      </c>
      <c r="G6703" t="s">
        <v>570</v>
      </c>
      <c r="I6703" t="s">
        <v>34</v>
      </c>
      <c r="J6703" s="13">
        <v>46148</v>
      </c>
      <c r="K6703" s="13">
        <v>46174</v>
      </c>
      <c r="L6703" t="s">
        <v>454</v>
      </c>
      <c r="M6703" t="s">
        <v>56</v>
      </c>
      <c r="N6703">
        <v>78021658</v>
      </c>
    </row>
    <row r="6704" spans="1:14" x14ac:dyDescent="0.25">
      <c r="A6704">
        <v>63595851</v>
      </c>
      <c r="B6704" t="s">
        <v>14190</v>
      </c>
      <c r="C6704" t="s">
        <v>2614</v>
      </c>
      <c r="D6704" t="s">
        <v>14191</v>
      </c>
      <c r="E6704">
        <v>9546245062</v>
      </c>
      <c r="F6704" t="s">
        <v>775</v>
      </c>
      <c r="G6704" t="s">
        <v>776</v>
      </c>
      <c r="I6704" t="s">
        <v>22</v>
      </c>
      <c r="J6704" s="13">
        <v>46148</v>
      </c>
      <c r="K6704" s="13">
        <v>46174</v>
      </c>
      <c r="L6704" t="s">
        <v>497</v>
      </c>
      <c r="M6704" t="s">
        <v>56</v>
      </c>
      <c r="N6704">
        <v>78021776</v>
      </c>
    </row>
    <row r="6705" spans="1:14" x14ac:dyDescent="0.25">
      <c r="A6705">
        <v>63596009</v>
      </c>
      <c r="B6705" t="s">
        <v>445</v>
      </c>
      <c r="C6705" t="s">
        <v>14192</v>
      </c>
      <c r="D6705" t="s">
        <v>14193</v>
      </c>
      <c r="E6705">
        <v>2629491896</v>
      </c>
      <c r="F6705" t="s">
        <v>1013</v>
      </c>
      <c r="G6705" t="s">
        <v>1014</v>
      </c>
      <c r="I6705" t="s">
        <v>43</v>
      </c>
      <c r="J6705" s="13">
        <v>46148</v>
      </c>
      <c r="K6705" s="13">
        <v>46174</v>
      </c>
      <c r="L6705" t="s">
        <v>1179</v>
      </c>
      <c r="M6705" t="s">
        <v>54</v>
      </c>
      <c r="N6705">
        <v>78021926</v>
      </c>
    </row>
    <row r="6706" spans="1:14" x14ac:dyDescent="0.25">
      <c r="A6706">
        <v>63597273</v>
      </c>
      <c r="B6706" t="s">
        <v>14194</v>
      </c>
      <c r="C6706" t="s">
        <v>10448</v>
      </c>
      <c r="D6706" t="s">
        <v>14195</v>
      </c>
      <c r="E6706">
        <v>5209095649</v>
      </c>
      <c r="F6706" t="s">
        <v>10591</v>
      </c>
      <c r="G6706" t="s">
        <v>10215</v>
      </c>
      <c r="I6706" t="s">
        <v>32</v>
      </c>
      <c r="J6706" s="13">
        <v>46148</v>
      </c>
      <c r="K6706" s="13">
        <v>46174</v>
      </c>
      <c r="L6706" t="s">
        <v>1179</v>
      </c>
      <c r="M6706" t="s">
        <v>54</v>
      </c>
      <c r="N6706">
        <v>78022295</v>
      </c>
    </row>
    <row r="6707" spans="1:14" x14ac:dyDescent="0.25">
      <c r="A6707">
        <v>63597727</v>
      </c>
      <c r="B6707" t="s">
        <v>1097</v>
      </c>
      <c r="C6707" t="s">
        <v>14196</v>
      </c>
      <c r="D6707" t="s">
        <v>14197</v>
      </c>
      <c r="E6707">
        <v>9548731025</v>
      </c>
      <c r="F6707" t="s">
        <v>416</v>
      </c>
      <c r="G6707" t="s">
        <v>417</v>
      </c>
      <c r="I6707" t="s">
        <v>26</v>
      </c>
      <c r="J6707" s="13">
        <v>46148</v>
      </c>
      <c r="K6707" s="13">
        <v>46174</v>
      </c>
      <c r="L6707" t="s">
        <v>497</v>
      </c>
      <c r="M6707" t="s">
        <v>54</v>
      </c>
      <c r="N6707">
        <v>78022611</v>
      </c>
    </row>
    <row r="6708" spans="1:14" x14ac:dyDescent="0.25">
      <c r="A6708">
        <v>63598333</v>
      </c>
      <c r="B6708" t="s">
        <v>14198</v>
      </c>
      <c r="C6708" t="s">
        <v>14199</v>
      </c>
      <c r="D6708" t="s">
        <v>14200</v>
      </c>
      <c r="E6708" t="s">
        <v>14201</v>
      </c>
      <c r="F6708" t="s">
        <v>649</v>
      </c>
      <c r="G6708" t="s">
        <v>650</v>
      </c>
      <c r="I6708" t="s">
        <v>28</v>
      </c>
      <c r="J6708" s="13">
        <v>46148</v>
      </c>
      <c r="K6708" s="13">
        <v>46174</v>
      </c>
      <c r="L6708" t="s">
        <v>470</v>
      </c>
      <c r="M6708" t="s">
        <v>58</v>
      </c>
      <c r="N6708">
        <v>78022746</v>
      </c>
    </row>
    <row r="6709" spans="1:14" x14ac:dyDescent="0.25">
      <c r="A6709">
        <v>63600840</v>
      </c>
      <c r="B6709" t="s">
        <v>6150</v>
      </c>
      <c r="C6709" t="s">
        <v>2226</v>
      </c>
      <c r="D6709" t="s">
        <v>14202</v>
      </c>
      <c r="E6709">
        <v>9375207713</v>
      </c>
      <c r="F6709" t="s">
        <v>7566</v>
      </c>
      <c r="G6709" t="s">
        <v>14203</v>
      </c>
      <c r="I6709" t="s">
        <v>14204</v>
      </c>
      <c r="J6709" s="13">
        <v>46148</v>
      </c>
      <c r="K6709" s="13">
        <v>46174</v>
      </c>
      <c r="L6709" t="s">
        <v>418</v>
      </c>
      <c r="M6709" t="s">
        <v>59</v>
      </c>
      <c r="N6709">
        <v>78023074</v>
      </c>
    </row>
    <row r="6710" spans="1:14" x14ac:dyDescent="0.25">
      <c r="A6710">
        <v>63598629</v>
      </c>
      <c r="B6710" t="s">
        <v>925</v>
      </c>
      <c r="C6710" t="s">
        <v>11824</v>
      </c>
      <c r="D6710" t="s">
        <v>14205</v>
      </c>
      <c r="E6710">
        <v>8328201552</v>
      </c>
      <c r="F6710" t="s">
        <v>1067</v>
      </c>
      <c r="G6710" t="s">
        <v>1068</v>
      </c>
      <c r="I6710" t="s">
        <v>35</v>
      </c>
      <c r="J6710" s="13">
        <v>46148</v>
      </c>
      <c r="K6710" s="13">
        <v>46174</v>
      </c>
      <c r="L6710" t="s">
        <v>444</v>
      </c>
      <c r="M6710" t="s">
        <v>56</v>
      </c>
      <c r="N6710">
        <v>78023226</v>
      </c>
    </row>
    <row r="6711" spans="1:14" x14ac:dyDescent="0.25">
      <c r="A6711">
        <v>63600484</v>
      </c>
      <c r="B6711" t="s">
        <v>6451</v>
      </c>
      <c r="C6711" t="s">
        <v>14206</v>
      </c>
      <c r="D6711" t="s">
        <v>14207</v>
      </c>
      <c r="E6711">
        <v>2707923381</v>
      </c>
      <c r="F6711" t="s">
        <v>10460</v>
      </c>
      <c r="G6711" t="s">
        <v>6663</v>
      </c>
      <c r="I6711" t="s">
        <v>40</v>
      </c>
      <c r="J6711" s="13">
        <v>46148</v>
      </c>
      <c r="K6711" s="13">
        <v>46174</v>
      </c>
      <c r="L6711" t="s">
        <v>490</v>
      </c>
      <c r="M6711" t="s">
        <v>13015</v>
      </c>
      <c r="N6711">
        <v>78023713</v>
      </c>
    </row>
    <row r="6712" spans="1:14" x14ac:dyDescent="0.25">
      <c r="A6712">
        <v>63600957</v>
      </c>
      <c r="B6712" t="s">
        <v>2188</v>
      </c>
      <c r="C6712" t="s">
        <v>14208</v>
      </c>
      <c r="D6712" t="s">
        <v>14209</v>
      </c>
      <c r="E6712">
        <v>2104396154</v>
      </c>
      <c r="F6712" t="s">
        <v>569</v>
      </c>
      <c r="G6712" t="s">
        <v>570</v>
      </c>
      <c r="I6712" t="s">
        <v>34</v>
      </c>
      <c r="J6712" s="13">
        <v>46148</v>
      </c>
      <c r="K6712" s="13">
        <v>46174</v>
      </c>
      <c r="L6712" t="s">
        <v>444</v>
      </c>
      <c r="M6712" t="s">
        <v>56</v>
      </c>
      <c r="N6712">
        <v>78023777</v>
      </c>
    </row>
    <row r="6713" spans="1:14" x14ac:dyDescent="0.25">
      <c r="A6713">
        <v>63636100</v>
      </c>
      <c r="B6713" t="s">
        <v>8150</v>
      </c>
      <c r="C6713" t="s">
        <v>10694</v>
      </c>
      <c r="D6713" t="s">
        <v>14210</v>
      </c>
      <c r="E6713" t="s">
        <v>14211</v>
      </c>
      <c r="F6713" t="s">
        <v>828</v>
      </c>
      <c r="G6713" t="s">
        <v>1148</v>
      </c>
      <c r="I6713" t="s">
        <v>17</v>
      </c>
      <c r="J6713" s="13">
        <v>46149</v>
      </c>
      <c r="K6713" s="13">
        <v>46174</v>
      </c>
      <c r="L6713" t="s">
        <v>497</v>
      </c>
      <c r="M6713" t="s">
        <v>59</v>
      </c>
      <c r="N6713">
        <v>78024491</v>
      </c>
    </row>
    <row r="6714" spans="1:14" x14ac:dyDescent="0.25">
      <c r="A6714">
        <v>63601329</v>
      </c>
      <c r="B6714" t="s">
        <v>4374</v>
      </c>
      <c r="C6714" t="s">
        <v>14212</v>
      </c>
      <c r="D6714" t="s">
        <v>14213</v>
      </c>
      <c r="E6714">
        <v>4804909683</v>
      </c>
      <c r="F6714" t="s">
        <v>416</v>
      </c>
      <c r="G6714" t="s">
        <v>417</v>
      </c>
      <c r="I6714" t="s">
        <v>26</v>
      </c>
      <c r="J6714" s="13">
        <v>46148</v>
      </c>
      <c r="K6714" s="13">
        <v>46174</v>
      </c>
      <c r="L6714" t="s">
        <v>1179</v>
      </c>
      <c r="M6714" t="s">
        <v>54</v>
      </c>
      <c r="N6714">
        <v>78025438</v>
      </c>
    </row>
    <row r="6715" spans="1:14" x14ac:dyDescent="0.25">
      <c r="A6715">
        <v>63616929</v>
      </c>
      <c r="B6715" t="s">
        <v>672</v>
      </c>
      <c r="C6715" t="s">
        <v>2614</v>
      </c>
      <c r="D6715" t="s">
        <v>14214</v>
      </c>
      <c r="E6715">
        <v>4807978456</v>
      </c>
      <c r="F6715" t="s">
        <v>1345</v>
      </c>
      <c r="G6715" t="s">
        <v>799</v>
      </c>
      <c r="I6715" t="s">
        <v>47</v>
      </c>
      <c r="J6715" s="13">
        <v>46149</v>
      </c>
      <c r="K6715" s="13">
        <v>46174</v>
      </c>
      <c r="L6715" t="s">
        <v>1179</v>
      </c>
      <c r="M6715" t="s">
        <v>59</v>
      </c>
      <c r="N6715">
        <v>78025469</v>
      </c>
    </row>
    <row r="6716" spans="1:14" x14ac:dyDescent="0.25">
      <c r="A6716">
        <v>63601983</v>
      </c>
      <c r="B6716" t="s">
        <v>706</v>
      </c>
      <c r="C6716" t="s">
        <v>4761</v>
      </c>
      <c r="D6716" t="s">
        <v>14215</v>
      </c>
      <c r="E6716">
        <v>4803341836</v>
      </c>
      <c r="F6716" t="s">
        <v>780</v>
      </c>
      <c r="G6716" t="s">
        <v>781</v>
      </c>
      <c r="I6716" t="s">
        <v>20</v>
      </c>
      <c r="J6716" s="13">
        <v>46148</v>
      </c>
      <c r="K6716" s="13">
        <v>46174</v>
      </c>
      <c r="L6716" t="s">
        <v>1179</v>
      </c>
      <c r="M6716" t="s">
        <v>56</v>
      </c>
      <c r="N6716">
        <v>78025643</v>
      </c>
    </row>
    <row r="6717" spans="1:14" x14ac:dyDescent="0.25">
      <c r="A6717">
        <v>63601604</v>
      </c>
      <c r="B6717" t="s">
        <v>1138</v>
      </c>
      <c r="C6717" t="s">
        <v>14216</v>
      </c>
      <c r="D6717" t="s">
        <v>14217</v>
      </c>
      <c r="E6717">
        <v>6155044561</v>
      </c>
      <c r="F6717" t="s">
        <v>649</v>
      </c>
      <c r="G6717" t="s">
        <v>650</v>
      </c>
      <c r="I6717" t="s">
        <v>28</v>
      </c>
      <c r="J6717" s="13">
        <v>46148</v>
      </c>
      <c r="K6717" s="13">
        <v>46174</v>
      </c>
      <c r="L6717" t="s">
        <v>479</v>
      </c>
      <c r="M6717" t="s">
        <v>62</v>
      </c>
      <c r="N6717">
        <v>78025720</v>
      </c>
    </row>
    <row r="6718" spans="1:14" x14ac:dyDescent="0.25">
      <c r="A6718">
        <v>63607774</v>
      </c>
      <c r="B6718" t="s">
        <v>10028</v>
      </c>
      <c r="C6718" t="s">
        <v>576</v>
      </c>
      <c r="D6718" t="s">
        <v>14218</v>
      </c>
      <c r="E6718">
        <v>6025820166</v>
      </c>
      <c r="F6718" t="s">
        <v>780</v>
      </c>
      <c r="G6718" t="s">
        <v>781</v>
      </c>
      <c r="I6718" t="s">
        <v>20</v>
      </c>
      <c r="J6718" s="13">
        <v>46149</v>
      </c>
      <c r="K6718" s="13">
        <v>46174</v>
      </c>
      <c r="L6718" t="s">
        <v>1179</v>
      </c>
      <c r="M6718" t="s">
        <v>55</v>
      </c>
      <c r="N6718">
        <v>78053401</v>
      </c>
    </row>
    <row r="6719" spans="1:14" x14ac:dyDescent="0.25">
      <c r="A6719">
        <v>63607951</v>
      </c>
      <c r="B6719" t="s">
        <v>10028</v>
      </c>
      <c r="C6719" t="s">
        <v>14219</v>
      </c>
      <c r="D6719" t="s">
        <v>14220</v>
      </c>
      <c r="E6719">
        <v>2703161524</v>
      </c>
      <c r="F6719" t="s">
        <v>688</v>
      </c>
      <c r="G6719" t="s">
        <v>13922</v>
      </c>
      <c r="I6719" t="s">
        <v>13923</v>
      </c>
      <c r="J6719" s="13">
        <v>46149</v>
      </c>
      <c r="K6719" s="13">
        <v>46174</v>
      </c>
      <c r="L6719" t="s">
        <v>490</v>
      </c>
      <c r="M6719" t="s">
        <v>58</v>
      </c>
      <c r="N6719">
        <v>78053501</v>
      </c>
    </row>
    <row r="6720" spans="1:14" x14ac:dyDescent="0.25">
      <c r="A6720">
        <v>63608472</v>
      </c>
      <c r="B6720" t="s">
        <v>5971</v>
      </c>
      <c r="C6720" t="s">
        <v>2072</v>
      </c>
      <c r="D6720" t="s">
        <v>14221</v>
      </c>
      <c r="E6720">
        <v>4435578288</v>
      </c>
      <c r="F6720" t="s">
        <v>14071</v>
      </c>
      <c r="G6720" t="s">
        <v>14072</v>
      </c>
      <c r="I6720" t="s">
        <v>14073</v>
      </c>
      <c r="J6720" s="13">
        <v>46149</v>
      </c>
      <c r="K6720" s="13">
        <v>46174</v>
      </c>
      <c r="L6720" t="s">
        <v>418</v>
      </c>
      <c r="M6720" t="s">
        <v>59</v>
      </c>
      <c r="N6720">
        <v>78053623</v>
      </c>
    </row>
    <row r="6721" spans="1:14" x14ac:dyDescent="0.25">
      <c r="A6721">
        <v>63609023</v>
      </c>
      <c r="B6721" t="s">
        <v>5807</v>
      </c>
      <c r="C6721" t="s">
        <v>14222</v>
      </c>
      <c r="D6721" t="s">
        <v>14223</v>
      </c>
      <c r="E6721">
        <v>9048817582</v>
      </c>
      <c r="F6721" t="s">
        <v>2544</v>
      </c>
      <c r="G6721" t="s">
        <v>12389</v>
      </c>
      <c r="I6721" t="s">
        <v>12390</v>
      </c>
      <c r="J6721" s="13">
        <v>46149</v>
      </c>
      <c r="K6721" s="13">
        <v>46174</v>
      </c>
      <c r="L6721" t="s">
        <v>497</v>
      </c>
      <c r="M6721" t="s">
        <v>58</v>
      </c>
      <c r="N6721">
        <v>78053841</v>
      </c>
    </row>
    <row r="6722" spans="1:14" x14ac:dyDescent="0.25">
      <c r="A6722">
        <v>63608236</v>
      </c>
      <c r="B6722" t="s">
        <v>5994</v>
      </c>
      <c r="C6722" t="s">
        <v>619</v>
      </c>
      <c r="D6722" t="s">
        <v>14224</v>
      </c>
      <c r="E6722">
        <v>6158214116</v>
      </c>
      <c r="F6722" t="s">
        <v>10253</v>
      </c>
      <c r="G6722" t="s">
        <v>781</v>
      </c>
      <c r="I6722" t="s">
        <v>36</v>
      </c>
      <c r="J6722" s="13">
        <v>46149</v>
      </c>
      <c r="K6722" s="13">
        <v>46174</v>
      </c>
      <c r="L6722" t="s">
        <v>479</v>
      </c>
      <c r="M6722" t="s">
        <v>62</v>
      </c>
      <c r="N6722">
        <v>78053873</v>
      </c>
    </row>
    <row r="6723" spans="1:14" x14ac:dyDescent="0.25">
      <c r="A6723">
        <v>63606169</v>
      </c>
      <c r="B6723" t="s">
        <v>14225</v>
      </c>
      <c r="C6723" t="s">
        <v>10896</v>
      </c>
      <c r="D6723" t="s">
        <v>14226</v>
      </c>
      <c r="E6723">
        <v>7743281891</v>
      </c>
      <c r="F6723" t="s">
        <v>1013</v>
      </c>
      <c r="G6723" t="s">
        <v>1014</v>
      </c>
      <c r="I6723" t="s">
        <v>43</v>
      </c>
      <c r="J6723" s="13">
        <v>46149</v>
      </c>
      <c r="K6723" s="13">
        <v>46174</v>
      </c>
      <c r="L6723" t="s">
        <v>533</v>
      </c>
      <c r="M6723" t="s">
        <v>13015</v>
      </c>
      <c r="N6723">
        <v>78053961</v>
      </c>
    </row>
    <row r="6724" spans="1:14" x14ac:dyDescent="0.25">
      <c r="A6724">
        <v>63608088</v>
      </c>
      <c r="B6724" t="s">
        <v>445</v>
      </c>
      <c r="C6724" t="s">
        <v>14227</v>
      </c>
      <c r="D6724" t="s">
        <v>14228</v>
      </c>
      <c r="E6724">
        <v>9286079794</v>
      </c>
      <c r="F6724" t="s">
        <v>10591</v>
      </c>
      <c r="G6724" t="s">
        <v>10215</v>
      </c>
      <c r="I6724" t="s">
        <v>32</v>
      </c>
      <c r="J6724" s="13">
        <v>46149</v>
      </c>
      <c r="K6724" s="13">
        <v>46174</v>
      </c>
      <c r="L6724" t="s">
        <v>1179</v>
      </c>
      <c r="M6724" t="s">
        <v>58</v>
      </c>
      <c r="N6724">
        <v>78053980</v>
      </c>
    </row>
    <row r="6725" spans="1:14" x14ac:dyDescent="0.25">
      <c r="A6725">
        <v>63612090</v>
      </c>
      <c r="B6725" t="s">
        <v>14229</v>
      </c>
      <c r="C6725" t="s">
        <v>14230</v>
      </c>
      <c r="D6725" t="s">
        <v>14231</v>
      </c>
      <c r="E6725" t="s">
        <v>14232</v>
      </c>
      <c r="F6725" t="s">
        <v>11838</v>
      </c>
      <c r="G6725" t="s">
        <v>11839</v>
      </c>
      <c r="I6725" t="s">
        <v>11840</v>
      </c>
      <c r="J6725" s="13">
        <v>46149</v>
      </c>
      <c r="K6725" s="13">
        <v>46174</v>
      </c>
      <c r="L6725" t="s">
        <v>444</v>
      </c>
      <c r="M6725" t="s">
        <v>55</v>
      </c>
      <c r="N6725">
        <v>78054567</v>
      </c>
    </row>
    <row r="6726" spans="1:14" x14ac:dyDescent="0.25">
      <c r="A6726">
        <v>63612626</v>
      </c>
      <c r="B6726" t="s">
        <v>4864</v>
      </c>
      <c r="C6726" t="s">
        <v>14233</v>
      </c>
      <c r="D6726" t="s">
        <v>14234</v>
      </c>
      <c r="E6726">
        <v>5029537065</v>
      </c>
      <c r="F6726" t="s">
        <v>688</v>
      </c>
      <c r="G6726" t="s">
        <v>10291</v>
      </c>
      <c r="I6726" t="s">
        <v>48</v>
      </c>
      <c r="J6726" s="13">
        <v>46149</v>
      </c>
      <c r="K6726" s="13">
        <v>46174</v>
      </c>
      <c r="L6726" t="s">
        <v>490</v>
      </c>
      <c r="M6726" t="s">
        <v>56</v>
      </c>
      <c r="N6726">
        <v>78054844</v>
      </c>
    </row>
    <row r="6727" spans="1:14" x14ac:dyDescent="0.25">
      <c r="A6727">
        <v>63612060</v>
      </c>
      <c r="B6727" t="s">
        <v>1408</v>
      </c>
      <c r="C6727" t="s">
        <v>12598</v>
      </c>
      <c r="D6727" t="s">
        <v>14235</v>
      </c>
      <c r="E6727">
        <v>6025584255</v>
      </c>
      <c r="F6727" t="s">
        <v>1345</v>
      </c>
      <c r="G6727" t="s">
        <v>799</v>
      </c>
      <c r="I6727" t="s">
        <v>47</v>
      </c>
      <c r="J6727" s="13">
        <v>46149</v>
      </c>
      <c r="K6727" s="13">
        <v>46174</v>
      </c>
      <c r="L6727" t="s">
        <v>1179</v>
      </c>
      <c r="M6727" t="s">
        <v>54</v>
      </c>
      <c r="N6727">
        <v>78057142</v>
      </c>
    </row>
    <row r="6728" spans="1:14" x14ac:dyDescent="0.25">
      <c r="A6728">
        <v>63611097</v>
      </c>
      <c r="B6728" t="s">
        <v>12346</v>
      </c>
      <c r="C6728" t="s">
        <v>761</v>
      </c>
      <c r="D6728" t="s">
        <v>14236</v>
      </c>
      <c r="E6728">
        <v>9286603083</v>
      </c>
      <c r="F6728" t="s">
        <v>1013</v>
      </c>
      <c r="G6728" t="s">
        <v>1014</v>
      </c>
      <c r="I6728" t="s">
        <v>43</v>
      </c>
      <c r="J6728" s="13">
        <v>46149</v>
      </c>
      <c r="K6728" s="13">
        <v>46174</v>
      </c>
      <c r="M6728" t="s">
        <v>54</v>
      </c>
      <c r="N6728">
        <v>78058554</v>
      </c>
    </row>
    <row r="6729" spans="1:14" x14ac:dyDescent="0.25">
      <c r="A6729">
        <v>63611588</v>
      </c>
      <c r="B6729" t="s">
        <v>14237</v>
      </c>
      <c r="C6729" t="s">
        <v>14238</v>
      </c>
      <c r="D6729" t="s">
        <v>14239</v>
      </c>
      <c r="E6729">
        <v>6157159727</v>
      </c>
      <c r="F6729" t="s">
        <v>2544</v>
      </c>
      <c r="G6729" t="s">
        <v>4833</v>
      </c>
      <c r="I6729" t="s">
        <v>18</v>
      </c>
      <c r="J6729" s="13">
        <v>46149</v>
      </c>
      <c r="K6729" s="13">
        <v>46174</v>
      </c>
      <c r="L6729" t="s">
        <v>479</v>
      </c>
      <c r="M6729" t="s">
        <v>59</v>
      </c>
      <c r="N6729">
        <v>78059328</v>
      </c>
    </row>
    <row r="6730" spans="1:14" x14ac:dyDescent="0.25">
      <c r="A6730">
        <v>63608708</v>
      </c>
      <c r="B6730" t="s">
        <v>748</v>
      </c>
      <c r="C6730" t="s">
        <v>2872</v>
      </c>
      <c r="D6730" t="s">
        <v>14240</v>
      </c>
      <c r="F6730" t="s">
        <v>448</v>
      </c>
      <c r="G6730" t="s">
        <v>449</v>
      </c>
      <c r="I6730" t="s">
        <v>31</v>
      </c>
      <c r="J6730" s="13">
        <v>46149</v>
      </c>
      <c r="K6730" s="13">
        <v>46174</v>
      </c>
      <c r="M6730" t="s">
        <v>11843</v>
      </c>
      <c r="N6730">
        <v>78059897</v>
      </c>
    </row>
    <row r="6731" spans="1:14" x14ac:dyDescent="0.25">
      <c r="A6731">
        <v>63613704</v>
      </c>
      <c r="B6731" t="s">
        <v>1103</v>
      </c>
      <c r="C6731" t="s">
        <v>14241</v>
      </c>
      <c r="D6731" t="s">
        <v>14242</v>
      </c>
      <c r="E6731">
        <v>3124144432</v>
      </c>
      <c r="F6731" t="s">
        <v>649</v>
      </c>
      <c r="G6731" t="s">
        <v>650</v>
      </c>
      <c r="I6731" t="s">
        <v>28</v>
      </c>
      <c r="J6731" s="13">
        <v>46149</v>
      </c>
      <c r="K6731" s="13">
        <v>46174</v>
      </c>
      <c r="L6731" t="s">
        <v>470</v>
      </c>
      <c r="M6731" t="s">
        <v>62</v>
      </c>
      <c r="N6731">
        <v>78060949</v>
      </c>
    </row>
    <row r="6732" spans="1:14" x14ac:dyDescent="0.25">
      <c r="A6732">
        <v>63612659</v>
      </c>
      <c r="B6732" t="s">
        <v>925</v>
      </c>
      <c r="C6732" t="s">
        <v>14243</v>
      </c>
      <c r="D6732" t="s">
        <v>14244</v>
      </c>
      <c r="E6732">
        <v>9413576539</v>
      </c>
      <c r="F6732" t="s">
        <v>448</v>
      </c>
      <c r="G6732" t="s">
        <v>449</v>
      </c>
      <c r="I6732" t="s">
        <v>31</v>
      </c>
      <c r="J6732" s="13">
        <v>46149</v>
      </c>
      <c r="K6732" s="13">
        <v>46174</v>
      </c>
      <c r="L6732" t="s">
        <v>497</v>
      </c>
      <c r="M6732" t="s">
        <v>56</v>
      </c>
      <c r="N6732">
        <v>78061080</v>
      </c>
    </row>
    <row r="6733" spans="1:14" x14ac:dyDescent="0.25">
      <c r="A6733">
        <v>63613238</v>
      </c>
      <c r="B6733" t="s">
        <v>672</v>
      </c>
      <c r="C6733" t="s">
        <v>1203</v>
      </c>
      <c r="D6733" t="s">
        <v>14245</v>
      </c>
      <c r="E6733">
        <v>9015085313</v>
      </c>
      <c r="F6733" t="s">
        <v>569</v>
      </c>
      <c r="G6733" t="s">
        <v>570</v>
      </c>
      <c r="I6733" t="s">
        <v>34</v>
      </c>
      <c r="J6733" s="13">
        <v>46149</v>
      </c>
      <c r="K6733" s="13">
        <v>46174</v>
      </c>
      <c r="L6733" t="s">
        <v>479</v>
      </c>
      <c r="M6733" t="s">
        <v>56</v>
      </c>
      <c r="N6733">
        <v>78061203</v>
      </c>
    </row>
    <row r="6734" spans="1:14" x14ac:dyDescent="0.25">
      <c r="A6734">
        <v>63636116</v>
      </c>
      <c r="B6734" t="s">
        <v>1693</v>
      </c>
      <c r="C6734" t="s">
        <v>7366</v>
      </c>
      <c r="D6734" t="s">
        <v>14246</v>
      </c>
      <c r="E6734">
        <v>2165021320</v>
      </c>
      <c r="F6734" t="s">
        <v>10642</v>
      </c>
      <c r="G6734" t="s">
        <v>10643</v>
      </c>
      <c r="I6734" t="s">
        <v>45</v>
      </c>
      <c r="J6734" s="13">
        <v>46149</v>
      </c>
      <c r="K6734" s="13">
        <v>46174</v>
      </c>
      <c r="L6734" t="s">
        <v>418</v>
      </c>
      <c r="M6734" t="s">
        <v>58</v>
      </c>
      <c r="N6734">
        <v>78061461</v>
      </c>
    </row>
    <row r="6735" spans="1:14" x14ac:dyDescent="0.25">
      <c r="A6735">
        <v>63614455</v>
      </c>
      <c r="B6735" t="s">
        <v>7671</v>
      </c>
      <c r="C6735" t="s">
        <v>1702</v>
      </c>
      <c r="D6735" t="s">
        <v>14247</v>
      </c>
      <c r="E6735">
        <v>7734908178</v>
      </c>
      <c r="F6735" t="s">
        <v>4941</v>
      </c>
      <c r="G6735" t="s">
        <v>12450</v>
      </c>
      <c r="I6735" t="s">
        <v>12451</v>
      </c>
      <c r="J6735" s="13">
        <v>46149</v>
      </c>
      <c r="K6735" s="13">
        <v>46174</v>
      </c>
      <c r="L6735" t="s">
        <v>470</v>
      </c>
      <c r="M6735" t="s">
        <v>58</v>
      </c>
      <c r="N6735">
        <v>78061903</v>
      </c>
    </row>
    <row r="6736" spans="1:14" x14ac:dyDescent="0.25">
      <c r="A6736">
        <v>63616663</v>
      </c>
      <c r="B6736" t="s">
        <v>5087</v>
      </c>
      <c r="C6736" t="s">
        <v>14248</v>
      </c>
      <c r="D6736" t="s">
        <v>14249</v>
      </c>
      <c r="E6736">
        <v>7723327476</v>
      </c>
      <c r="F6736" t="s">
        <v>807</v>
      </c>
      <c r="G6736" t="s">
        <v>808</v>
      </c>
      <c r="I6736" t="s">
        <v>33</v>
      </c>
      <c r="J6736" s="13">
        <v>46149</v>
      </c>
      <c r="K6736" s="13">
        <v>46174</v>
      </c>
      <c r="L6736" t="s">
        <v>497</v>
      </c>
      <c r="M6736" t="s">
        <v>56</v>
      </c>
      <c r="N6736">
        <v>78062472</v>
      </c>
    </row>
    <row r="6737" spans="1:14" x14ac:dyDescent="0.25">
      <c r="A6737">
        <v>63616096</v>
      </c>
      <c r="B6737" t="s">
        <v>867</v>
      </c>
      <c r="C6737" t="s">
        <v>8157</v>
      </c>
      <c r="D6737" t="s">
        <v>14250</v>
      </c>
      <c r="E6737">
        <v>4804597793</v>
      </c>
      <c r="F6737" t="s">
        <v>1013</v>
      </c>
      <c r="G6737" t="s">
        <v>1014</v>
      </c>
      <c r="I6737" t="s">
        <v>43</v>
      </c>
      <c r="J6737" s="13">
        <v>46149</v>
      </c>
      <c r="K6737" s="13">
        <v>46174</v>
      </c>
      <c r="L6737" t="s">
        <v>1179</v>
      </c>
      <c r="M6737" t="s">
        <v>56</v>
      </c>
      <c r="N6737">
        <v>78064186</v>
      </c>
    </row>
    <row r="6738" spans="1:14" x14ac:dyDescent="0.25">
      <c r="A6738">
        <v>63616910</v>
      </c>
      <c r="B6738" t="s">
        <v>14251</v>
      </c>
      <c r="C6738" t="s">
        <v>14252</v>
      </c>
      <c r="D6738" t="s">
        <v>14253</v>
      </c>
      <c r="E6738">
        <v>5208910506</v>
      </c>
      <c r="F6738" t="s">
        <v>780</v>
      </c>
      <c r="G6738" t="s">
        <v>781</v>
      </c>
      <c r="I6738" t="s">
        <v>20</v>
      </c>
      <c r="J6738" s="13">
        <v>46149</v>
      </c>
      <c r="K6738" s="13">
        <v>46174</v>
      </c>
      <c r="L6738" t="s">
        <v>1179</v>
      </c>
      <c r="M6738" t="s">
        <v>54</v>
      </c>
      <c r="N6738">
        <v>78064234</v>
      </c>
    </row>
    <row r="6739" spans="1:14" x14ac:dyDescent="0.25">
      <c r="A6739">
        <v>63616309</v>
      </c>
      <c r="B6739" t="s">
        <v>14254</v>
      </c>
      <c r="C6739" t="s">
        <v>14255</v>
      </c>
      <c r="D6739" t="s">
        <v>14256</v>
      </c>
      <c r="E6739">
        <v>9033531328</v>
      </c>
      <c r="F6739" t="s">
        <v>14257</v>
      </c>
      <c r="G6739" t="s">
        <v>2459</v>
      </c>
      <c r="I6739" t="s">
        <v>14258</v>
      </c>
      <c r="J6739" s="13">
        <v>46149</v>
      </c>
      <c r="K6739" s="13">
        <v>46174</v>
      </c>
      <c r="L6739" t="s">
        <v>444</v>
      </c>
      <c r="M6739" t="s">
        <v>55</v>
      </c>
      <c r="N6739">
        <v>78064372</v>
      </c>
    </row>
    <row r="6740" spans="1:14" x14ac:dyDescent="0.25">
      <c r="A6740">
        <v>63634898</v>
      </c>
      <c r="B6740" t="s">
        <v>709</v>
      </c>
      <c r="C6740" t="s">
        <v>3420</v>
      </c>
      <c r="D6740" t="s">
        <v>14259</v>
      </c>
      <c r="E6740">
        <v>5134795723</v>
      </c>
      <c r="F6740" t="s">
        <v>14090</v>
      </c>
      <c r="G6740" t="s">
        <v>8475</v>
      </c>
      <c r="I6740" t="s">
        <v>14091</v>
      </c>
      <c r="J6740" s="13">
        <v>46149</v>
      </c>
      <c r="K6740" s="13">
        <v>46174</v>
      </c>
      <c r="L6740" t="s">
        <v>490</v>
      </c>
      <c r="M6740" t="s">
        <v>59</v>
      </c>
      <c r="N6740">
        <v>78064503</v>
      </c>
    </row>
    <row r="6741" spans="1:14" x14ac:dyDescent="0.25">
      <c r="A6741">
        <v>63619861</v>
      </c>
      <c r="B6741" t="s">
        <v>1445</v>
      </c>
      <c r="C6741" t="s">
        <v>14260</v>
      </c>
      <c r="D6741" t="s">
        <v>14261</v>
      </c>
      <c r="E6741">
        <v>2547071195</v>
      </c>
      <c r="F6741" t="s">
        <v>928</v>
      </c>
      <c r="G6741" t="s">
        <v>929</v>
      </c>
      <c r="I6741" t="s">
        <v>30</v>
      </c>
      <c r="J6741" s="13">
        <v>46149</v>
      </c>
      <c r="K6741" s="13">
        <v>46174</v>
      </c>
      <c r="L6741" t="s">
        <v>434</v>
      </c>
      <c r="M6741" t="s">
        <v>58</v>
      </c>
      <c r="N6741">
        <v>78064524</v>
      </c>
    </row>
    <row r="6742" spans="1:14" x14ac:dyDescent="0.25">
      <c r="A6742">
        <v>63616808</v>
      </c>
      <c r="B6742" t="s">
        <v>1167</v>
      </c>
      <c r="C6742" t="s">
        <v>4325</v>
      </c>
      <c r="D6742" t="s">
        <v>14262</v>
      </c>
      <c r="E6742">
        <v>9415363476</v>
      </c>
      <c r="F6742" t="s">
        <v>828</v>
      </c>
      <c r="G6742" t="s">
        <v>1148</v>
      </c>
      <c r="I6742" t="s">
        <v>17</v>
      </c>
      <c r="J6742" s="13">
        <v>46149</v>
      </c>
      <c r="K6742" s="13">
        <v>46174</v>
      </c>
      <c r="L6742" t="s">
        <v>497</v>
      </c>
      <c r="M6742" t="s">
        <v>56</v>
      </c>
      <c r="N6742">
        <v>78065002</v>
      </c>
    </row>
    <row r="6743" spans="1:14" x14ac:dyDescent="0.25">
      <c r="A6743">
        <v>63635006</v>
      </c>
      <c r="B6743" t="s">
        <v>6173</v>
      </c>
      <c r="C6743" t="s">
        <v>14263</v>
      </c>
      <c r="D6743" t="s">
        <v>14264</v>
      </c>
      <c r="E6743">
        <v>9046529095</v>
      </c>
      <c r="F6743" t="s">
        <v>11745</v>
      </c>
      <c r="G6743" t="s">
        <v>6544</v>
      </c>
      <c r="I6743" t="s">
        <v>11746</v>
      </c>
      <c r="J6743" s="13">
        <v>46149</v>
      </c>
      <c r="K6743" s="13">
        <v>46174</v>
      </c>
      <c r="L6743" t="s">
        <v>497</v>
      </c>
      <c r="M6743" t="s">
        <v>59</v>
      </c>
      <c r="N6743">
        <v>78066505</v>
      </c>
    </row>
    <row r="6744" spans="1:14" x14ac:dyDescent="0.25">
      <c r="A6744">
        <v>63634542</v>
      </c>
      <c r="B6744" t="s">
        <v>4471</v>
      </c>
      <c r="C6744" t="s">
        <v>631</v>
      </c>
      <c r="D6744" t="s">
        <v>14265</v>
      </c>
      <c r="E6744">
        <v>9012077990</v>
      </c>
      <c r="F6744" t="s">
        <v>705</v>
      </c>
      <c r="G6744" t="s">
        <v>706</v>
      </c>
      <c r="I6744" t="s">
        <v>12</v>
      </c>
      <c r="J6744" s="13">
        <v>46149</v>
      </c>
      <c r="K6744" s="13">
        <v>46174</v>
      </c>
      <c r="L6744" t="s">
        <v>479</v>
      </c>
      <c r="M6744" t="s">
        <v>62</v>
      </c>
      <c r="N6744">
        <v>78066693</v>
      </c>
    </row>
    <row r="6745" spans="1:14" x14ac:dyDescent="0.25">
      <c r="A6745">
        <v>63635251</v>
      </c>
      <c r="B6745" t="s">
        <v>1041</v>
      </c>
      <c r="C6745" t="s">
        <v>14266</v>
      </c>
      <c r="D6745" t="s">
        <v>14267</v>
      </c>
      <c r="E6745">
        <v>4803929866</v>
      </c>
      <c r="F6745" t="s">
        <v>770</v>
      </c>
      <c r="G6745" t="s">
        <v>771</v>
      </c>
      <c r="I6745" t="s">
        <v>25</v>
      </c>
      <c r="J6745" s="13">
        <v>46149</v>
      </c>
      <c r="K6745" s="13">
        <v>46174</v>
      </c>
      <c r="L6745" t="s">
        <v>1179</v>
      </c>
      <c r="M6745" t="s">
        <v>54</v>
      </c>
      <c r="N6745">
        <v>78085785</v>
      </c>
    </row>
    <row r="6746" spans="1:14" x14ac:dyDescent="0.25">
      <c r="A6746">
        <v>63634962</v>
      </c>
      <c r="B6746" t="s">
        <v>1083</v>
      </c>
      <c r="C6746" t="s">
        <v>3284</v>
      </c>
      <c r="D6746" t="s">
        <v>14268</v>
      </c>
      <c r="E6746">
        <v>6186969512</v>
      </c>
      <c r="F6746" t="s">
        <v>688</v>
      </c>
      <c r="G6746" t="s">
        <v>13922</v>
      </c>
      <c r="I6746" t="s">
        <v>13923</v>
      </c>
      <c r="J6746" s="13">
        <v>46149</v>
      </c>
      <c r="K6746" s="13">
        <v>46174</v>
      </c>
      <c r="L6746" t="s">
        <v>434</v>
      </c>
      <c r="M6746" t="s">
        <v>59</v>
      </c>
      <c r="N6746">
        <v>78086408</v>
      </c>
    </row>
    <row r="6747" spans="1:14" x14ac:dyDescent="0.25">
      <c r="A6747">
        <v>63635345</v>
      </c>
      <c r="B6747" t="s">
        <v>14269</v>
      </c>
      <c r="C6747" t="s">
        <v>14270</v>
      </c>
      <c r="D6747" t="s">
        <v>14271</v>
      </c>
      <c r="F6747" t="s">
        <v>11838</v>
      </c>
      <c r="G6747" t="s">
        <v>11839</v>
      </c>
      <c r="I6747" t="s">
        <v>11840</v>
      </c>
      <c r="J6747" s="13">
        <v>46149</v>
      </c>
      <c r="K6747" s="13">
        <v>46174</v>
      </c>
      <c r="L6747" t="s">
        <v>434</v>
      </c>
      <c r="M6747" t="s">
        <v>59</v>
      </c>
      <c r="N6747">
        <v>78086522</v>
      </c>
    </row>
    <row r="6748" spans="1:14" x14ac:dyDescent="0.25">
      <c r="A6748">
        <v>63635371</v>
      </c>
      <c r="B6748" t="s">
        <v>1408</v>
      </c>
      <c r="C6748" t="s">
        <v>10349</v>
      </c>
      <c r="D6748" t="s">
        <v>14272</v>
      </c>
      <c r="E6748">
        <v>6362326370</v>
      </c>
      <c r="F6748" t="s">
        <v>448</v>
      </c>
      <c r="G6748" t="s">
        <v>449</v>
      </c>
      <c r="I6748" t="s">
        <v>31</v>
      </c>
      <c r="J6748" s="13">
        <v>46149</v>
      </c>
      <c r="K6748" s="13">
        <v>46174</v>
      </c>
      <c r="L6748" t="s">
        <v>434</v>
      </c>
      <c r="M6748" t="s">
        <v>56</v>
      </c>
      <c r="N6748">
        <v>78086975</v>
      </c>
    </row>
    <row r="6749" spans="1:14" x14ac:dyDescent="0.25">
      <c r="A6749">
        <v>63635737</v>
      </c>
      <c r="B6749" t="s">
        <v>13715</v>
      </c>
      <c r="C6749" t="s">
        <v>14273</v>
      </c>
      <c r="D6749" t="s">
        <v>14274</v>
      </c>
      <c r="E6749">
        <v>9017179199</v>
      </c>
      <c r="F6749" t="s">
        <v>705</v>
      </c>
      <c r="G6749" t="s">
        <v>706</v>
      </c>
      <c r="I6749" t="s">
        <v>12</v>
      </c>
      <c r="J6749" s="13">
        <v>46149</v>
      </c>
      <c r="K6749" s="13">
        <v>46174</v>
      </c>
      <c r="L6749" t="s">
        <v>479</v>
      </c>
      <c r="M6749" t="s">
        <v>62</v>
      </c>
      <c r="N6749">
        <v>78087281</v>
      </c>
    </row>
  </sheetData>
  <conditionalFormatting sqref="N1:N1048576">
    <cfRule type="duplicateValues" dxfId="0"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4C61C-CDAE-4FFB-B7A4-4402F371E180}">
  <dimension ref="A2:B366"/>
  <sheetViews>
    <sheetView workbookViewId="0">
      <selection activeCell="B2" sqref="B2"/>
    </sheetView>
  </sheetViews>
  <sheetFormatPr defaultRowHeight="15" x14ac:dyDescent="0.25"/>
  <cols>
    <col min="2" max="2" width="10.42578125" bestFit="1" customWidth="1"/>
  </cols>
  <sheetData>
    <row r="2" spans="1:2" x14ac:dyDescent="0.25">
      <c r="A2" s="13">
        <v>46023</v>
      </c>
      <c r="B2" s="13">
        <v>46024</v>
      </c>
    </row>
    <row r="3" spans="1:2" x14ac:dyDescent="0.25">
      <c r="A3" s="13">
        <v>46024</v>
      </c>
      <c r="B3" s="13">
        <f>B2+7</f>
        <v>46031</v>
      </c>
    </row>
    <row r="4" spans="1:2" x14ac:dyDescent="0.25">
      <c r="A4" s="13">
        <v>46025</v>
      </c>
      <c r="B4" s="13">
        <f t="shared" ref="B4:B53" si="0">B3+7</f>
        <v>46038</v>
      </c>
    </row>
    <row r="5" spans="1:2" x14ac:dyDescent="0.25">
      <c r="A5" s="13">
        <v>46026</v>
      </c>
      <c r="B5" s="13">
        <f t="shared" si="0"/>
        <v>46045</v>
      </c>
    </row>
    <row r="6" spans="1:2" x14ac:dyDescent="0.25">
      <c r="A6" s="13">
        <v>46027</v>
      </c>
      <c r="B6" s="13">
        <f t="shared" si="0"/>
        <v>46052</v>
      </c>
    </row>
    <row r="7" spans="1:2" x14ac:dyDescent="0.25">
      <c r="A7" s="13">
        <v>46028</v>
      </c>
      <c r="B7" s="13">
        <f t="shared" si="0"/>
        <v>46059</v>
      </c>
    </row>
    <row r="8" spans="1:2" x14ac:dyDescent="0.25">
      <c r="A8" s="13">
        <v>46029</v>
      </c>
      <c r="B8" s="13">
        <f t="shared" si="0"/>
        <v>46066</v>
      </c>
    </row>
    <row r="9" spans="1:2" x14ac:dyDescent="0.25">
      <c r="A9" s="13">
        <v>46030</v>
      </c>
      <c r="B9" s="13">
        <f t="shared" si="0"/>
        <v>46073</v>
      </c>
    </row>
    <row r="10" spans="1:2" x14ac:dyDescent="0.25">
      <c r="A10" s="13">
        <v>46031</v>
      </c>
      <c r="B10" s="13">
        <f t="shared" si="0"/>
        <v>46080</v>
      </c>
    </row>
    <row r="11" spans="1:2" x14ac:dyDescent="0.25">
      <c r="A11" s="13">
        <v>46032</v>
      </c>
      <c r="B11" s="13">
        <f t="shared" si="0"/>
        <v>46087</v>
      </c>
    </row>
    <row r="12" spans="1:2" x14ac:dyDescent="0.25">
      <c r="A12" s="13">
        <v>46033</v>
      </c>
      <c r="B12" s="13">
        <f t="shared" si="0"/>
        <v>46094</v>
      </c>
    </row>
    <row r="13" spans="1:2" x14ac:dyDescent="0.25">
      <c r="A13" s="13">
        <v>46034</v>
      </c>
      <c r="B13" s="13">
        <f t="shared" si="0"/>
        <v>46101</v>
      </c>
    </row>
    <row r="14" spans="1:2" x14ac:dyDescent="0.25">
      <c r="A14" s="13">
        <v>46035</v>
      </c>
      <c r="B14" s="13">
        <f t="shared" si="0"/>
        <v>46108</v>
      </c>
    </row>
    <row r="15" spans="1:2" x14ac:dyDescent="0.25">
      <c r="A15" s="13">
        <v>46036</v>
      </c>
      <c r="B15" s="13">
        <f t="shared" si="0"/>
        <v>46115</v>
      </c>
    </row>
    <row r="16" spans="1:2" x14ac:dyDescent="0.25">
      <c r="A16" s="13">
        <v>46037</v>
      </c>
      <c r="B16" s="13">
        <f t="shared" si="0"/>
        <v>46122</v>
      </c>
    </row>
    <row r="17" spans="1:2" x14ac:dyDescent="0.25">
      <c r="A17" s="13">
        <v>46038</v>
      </c>
      <c r="B17" s="13">
        <f t="shared" si="0"/>
        <v>46129</v>
      </c>
    </row>
    <row r="18" spans="1:2" x14ac:dyDescent="0.25">
      <c r="A18" s="13">
        <v>46039</v>
      </c>
      <c r="B18" s="13">
        <f t="shared" si="0"/>
        <v>46136</v>
      </c>
    </row>
    <row r="19" spans="1:2" x14ac:dyDescent="0.25">
      <c r="A19" s="13">
        <v>46040</v>
      </c>
      <c r="B19" s="13">
        <f t="shared" si="0"/>
        <v>46143</v>
      </c>
    </row>
    <row r="20" spans="1:2" x14ac:dyDescent="0.25">
      <c r="A20" s="13">
        <v>46041</v>
      </c>
      <c r="B20" s="13">
        <f t="shared" si="0"/>
        <v>46150</v>
      </c>
    </row>
    <row r="21" spans="1:2" x14ac:dyDescent="0.25">
      <c r="A21" s="13">
        <v>46042</v>
      </c>
      <c r="B21" s="13">
        <f t="shared" si="0"/>
        <v>46157</v>
      </c>
    </row>
    <row r="22" spans="1:2" x14ac:dyDescent="0.25">
      <c r="A22" s="13">
        <v>46043</v>
      </c>
      <c r="B22" s="13">
        <f t="shared" si="0"/>
        <v>46164</v>
      </c>
    </row>
    <row r="23" spans="1:2" x14ac:dyDescent="0.25">
      <c r="A23" s="13">
        <v>46044</v>
      </c>
      <c r="B23" s="13">
        <f t="shared" si="0"/>
        <v>46171</v>
      </c>
    </row>
    <row r="24" spans="1:2" x14ac:dyDescent="0.25">
      <c r="A24" s="13">
        <v>46045</v>
      </c>
      <c r="B24" s="13">
        <f t="shared" si="0"/>
        <v>46178</v>
      </c>
    </row>
    <row r="25" spans="1:2" x14ac:dyDescent="0.25">
      <c r="A25" s="13">
        <v>46046</v>
      </c>
      <c r="B25" s="13">
        <f t="shared" si="0"/>
        <v>46185</v>
      </c>
    </row>
    <row r="26" spans="1:2" x14ac:dyDescent="0.25">
      <c r="A26" s="13">
        <v>46047</v>
      </c>
      <c r="B26" s="13">
        <f t="shared" si="0"/>
        <v>46192</v>
      </c>
    </row>
    <row r="27" spans="1:2" x14ac:dyDescent="0.25">
      <c r="A27" s="13">
        <v>46048</v>
      </c>
      <c r="B27" s="13">
        <f>B26+7</f>
        <v>46199</v>
      </c>
    </row>
    <row r="28" spans="1:2" x14ac:dyDescent="0.25">
      <c r="A28" s="13">
        <v>46049</v>
      </c>
      <c r="B28" s="13">
        <f t="shared" si="0"/>
        <v>46206</v>
      </c>
    </row>
    <row r="29" spans="1:2" x14ac:dyDescent="0.25">
      <c r="A29" s="13">
        <v>46050</v>
      </c>
      <c r="B29" s="13">
        <f t="shared" si="0"/>
        <v>46213</v>
      </c>
    </row>
    <row r="30" spans="1:2" x14ac:dyDescent="0.25">
      <c r="A30" s="13">
        <v>46051</v>
      </c>
      <c r="B30" s="13">
        <f t="shared" si="0"/>
        <v>46220</v>
      </c>
    </row>
    <row r="31" spans="1:2" x14ac:dyDescent="0.25">
      <c r="A31" s="13">
        <v>46052</v>
      </c>
      <c r="B31" s="13">
        <f t="shared" si="0"/>
        <v>46227</v>
      </c>
    </row>
    <row r="32" spans="1:2" x14ac:dyDescent="0.25">
      <c r="A32" s="13">
        <v>46053</v>
      </c>
      <c r="B32" s="13">
        <f t="shared" si="0"/>
        <v>46234</v>
      </c>
    </row>
    <row r="33" spans="1:2" x14ac:dyDescent="0.25">
      <c r="A33" s="13">
        <v>46054</v>
      </c>
      <c r="B33" s="13">
        <f t="shared" si="0"/>
        <v>46241</v>
      </c>
    </row>
    <row r="34" spans="1:2" x14ac:dyDescent="0.25">
      <c r="A34" s="13">
        <v>46055</v>
      </c>
      <c r="B34" s="13">
        <f t="shared" si="0"/>
        <v>46248</v>
      </c>
    </row>
    <row r="35" spans="1:2" x14ac:dyDescent="0.25">
      <c r="A35" s="13">
        <v>46056</v>
      </c>
      <c r="B35" s="13">
        <f t="shared" si="0"/>
        <v>46255</v>
      </c>
    </row>
    <row r="36" spans="1:2" x14ac:dyDescent="0.25">
      <c r="A36" s="13">
        <v>46057</v>
      </c>
      <c r="B36" s="13">
        <f t="shared" si="0"/>
        <v>46262</v>
      </c>
    </row>
    <row r="37" spans="1:2" x14ac:dyDescent="0.25">
      <c r="A37" s="13">
        <v>46058</v>
      </c>
      <c r="B37" s="13">
        <f t="shared" si="0"/>
        <v>46269</v>
      </c>
    </row>
    <row r="38" spans="1:2" x14ac:dyDescent="0.25">
      <c r="A38" s="13">
        <v>46059</v>
      </c>
      <c r="B38" s="13">
        <f>B37+7</f>
        <v>46276</v>
      </c>
    </row>
    <row r="39" spans="1:2" x14ac:dyDescent="0.25">
      <c r="A39" s="13">
        <v>46060</v>
      </c>
      <c r="B39" s="13">
        <f t="shared" si="0"/>
        <v>46283</v>
      </c>
    </row>
    <row r="40" spans="1:2" x14ac:dyDescent="0.25">
      <c r="A40" s="13">
        <v>46061</v>
      </c>
      <c r="B40" s="13">
        <f t="shared" si="0"/>
        <v>46290</v>
      </c>
    </row>
    <row r="41" spans="1:2" x14ac:dyDescent="0.25">
      <c r="A41" s="13">
        <v>46062</v>
      </c>
      <c r="B41" s="13">
        <f t="shared" si="0"/>
        <v>46297</v>
      </c>
    </row>
    <row r="42" spans="1:2" x14ac:dyDescent="0.25">
      <c r="A42" s="13">
        <v>46063</v>
      </c>
      <c r="B42" s="13">
        <f t="shared" si="0"/>
        <v>46304</v>
      </c>
    </row>
    <row r="43" spans="1:2" x14ac:dyDescent="0.25">
      <c r="A43" s="13">
        <v>46064</v>
      </c>
      <c r="B43" s="13">
        <f t="shared" si="0"/>
        <v>46311</v>
      </c>
    </row>
    <row r="44" spans="1:2" x14ac:dyDescent="0.25">
      <c r="A44" s="13">
        <v>46065</v>
      </c>
      <c r="B44" s="13">
        <f t="shared" si="0"/>
        <v>46318</v>
      </c>
    </row>
    <row r="45" spans="1:2" x14ac:dyDescent="0.25">
      <c r="A45" s="13">
        <v>46066</v>
      </c>
      <c r="B45" s="13">
        <f t="shared" si="0"/>
        <v>46325</v>
      </c>
    </row>
    <row r="46" spans="1:2" x14ac:dyDescent="0.25">
      <c r="A46" s="13">
        <v>46067</v>
      </c>
      <c r="B46" s="13">
        <f t="shared" si="0"/>
        <v>46332</v>
      </c>
    </row>
    <row r="47" spans="1:2" x14ac:dyDescent="0.25">
      <c r="A47" s="13">
        <v>46068</v>
      </c>
      <c r="B47" s="13">
        <f t="shared" si="0"/>
        <v>46339</v>
      </c>
    </row>
    <row r="48" spans="1:2" x14ac:dyDescent="0.25">
      <c r="A48" s="13">
        <v>46069</v>
      </c>
      <c r="B48" s="13">
        <f t="shared" si="0"/>
        <v>46346</v>
      </c>
    </row>
    <row r="49" spans="1:2" x14ac:dyDescent="0.25">
      <c r="A49" s="13">
        <v>46070</v>
      </c>
      <c r="B49" s="13">
        <f t="shared" si="0"/>
        <v>46353</v>
      </c>
    </row>
    <row r="50" spans="1:2" x14ac:dyDescent="0.25">
      <c r="A50" s="13">
        <v>46071</v>
      </c>
      <c r="B50" s="13">
        <f t="shared" si="0"/>
        <v>46360</v>
      </c>
    </row>
    <row r="51" spans="1:2" x14ac:dyDescent="0.25">
      <c r="A51" s="13">
        <v>46072</v>
      </c>
      <c r="B51" s="13">
        <f t="shared" si="0"/>
        <v>46367</v>
      </c>
    </row>
    <row r="52" spans="1:2" x14ac:dyDescent="0.25">
      <c r="A52" s="13">
        <v>46073</v>
      </c>
      <c r="B52" s="13">
        <f t="shared" si="0"/>
        <v>46374</v>
      </c>
    </row>
    <row r="53" spans="1:2" x14ac:dyDescent="0.25">
      <c r="A53" s="13">
        <v>46074</v>
      </c>
      <c r="B53" s="13">
        <f t="shared" si="0"/>
        <v>46381</v>
      </c>
    </row>
    <row r="54" spans="1:2" x14ac:dyDescent="0.25">
      <c r="A54" s="13">
        <v>46075</v>
      </c>
    </row>
    <row r="55" spans="1:2" x14ac:dyDescent="0.25">
      <c r="A55" s="13">
        <v>46076</v>
      </c>
    </row>
    <row r="56" spans="1:2" x14ac:dyDescent="0.25">
      <c r="A56" s="13">
        <v>46077</v>
      </c>
    </row>
    <row r="57" spans="1:2" x14ac:dyDescent="0.25">
      <c r="A57" s="13">
        <v>46078</v>
      </c>
    </row>
    <row r="58" spans="1:2" x14ac:dyDescent="0.25">
      <c r="A58" s="13">
        <v>46079</v>
      </c>
    </row>
    <row r="59" spans="1:2" x14ac:dyDescent="0.25">
      <c r="A59" s="13">
        <v>46080</v>
      </c>
    </row>
    <row r="60" spans="1:2" x14ac:dyDescent="0.25">
      <c r="A60" s="13">
        <v>46081</v>
      </c>
    </row>
    <row r="61" spans="1:2" x14ac:dyDescent="0.25">
      <c r="A61" s="13">
        <v>46082</v>
      </c>
    </row>
    <row r="62" spans="1:2" x14ac:dyDescent="0.25">
      <c r="A62" s="13">
        <v>46083</v>
      </c>
    </row>
    <row r="63" spans="1:2" x14ac:dyDescent="0.25">
      <c r="A63" s="13">
        <v>46084</v>
      </c>
    </row>
    <row r="64" spans="1:2" x14ac:dyDescent="0.25">
      <c r="A64" s="13">
        <v>46085</v>
      </c>
    </row>
    <row r="65" spans="1:1" x14ac:dyDescent="0.25">
      <c r="A65" s="13">
        <v>46086</v>
      </c>
    </row>
    <row r="66" spans="1:1" x14ac:dyDescent="0.25">
      <c r="A66" s="13">
        <v>46087</v>
      </c>
    </row>
    <row r="67" spans="1:1" x14ac:dyDescent="0.25">
      <c r="A67" s="13">
        <v>46088</v>
      </c>
    </row>
    <row r="68" spans="1:1" x14ac:dyDescent="0.25">
      <c r="A68" s="13">
        <v>46089</v>
      </c>
    </row>
    <row r="69" spans="1:1" x14ac:dyDescent="0.25">
      <c r="A69" s="13">
        <v>46090</v>
      </c>
    </row>
    <row r="70" spans="1:1" x14ac:dyDescent="0.25">
      <c r="A70" s="13">
        <v>46091</v>
      </c>
    </row>
    <row r="71" spans="1:1" x14ac:dyDescent="0.25">
      <c r="A71" s="13">
        <v>46092</v>
      </c>
    </row>
    <row r="72" spans="1:1" x14ac:dyDescent="0.25">
      <c r="A72" s="13">
        <v>46093</v>
      </c>
    </row>
    <row r="73" spans="1:1" x14ac:dyDescent="0.25">
      <c r="A73" s="13">
        <v>46094</v>
      </c>
    </row>
    <row r="74" spans="1:1" x14ac:dyDescent="0.25">
      <c r="A74" s="13">
        <v>46095</v>
      </c>
    </row>
    <row r="75" spans="1:1" x14ac:dyDescent="0.25">
      <c r="A75" s="13">
        <v>46096</v>
      </c>
    </row>
    <row r="76" spans="1:1" x14ac:dyDescent="0.25">
      <c r="A76" s="13">
        <v>46097</v>
      </c>
    </row>
    <row r="77" spans="1:1" x14ac:dyDescent="0.25">
      <c r="A77" s="13">
        <v>46098</v>
      </c>
    </row>
    <row r="78" spans="1:1" x14ac:dyDescent="0.25">
      <c r="A78" s="13">
        <v>46099</v>
      </c>
    </row>
    <row r="79" spans="1:1" x14ac:dyDescent="0.25">
      <c r="A79" s="13">
        <v>46100</v>
      </c>
    </row>
    <row r="80" spans="1:1" x14ac:dyDescent="0.25">
      <c r="A80" s="13">
        <v>46101</v>
      </c>
    </row>
    <row r="81" spans="1:1" x14ac:dyDescent="0.25">
      <c r="A81" s="13">
        <v>46102</v>
      </c>
    </row>
    <row r="82" spans="1:1" x14ac:dyDescent="0.25">
      <c r="A82" s="13">
        <v>46103</v>
      </c>
    </row>
    <row r="83" spans="1:1" x14ac:dyDescent="0.25">
      <c r="A83" s="13">
        <v>46104</v>
      </c>
    </row>
    <row r="84" spans="1:1" x14ac:dyDescent="0.25">
      <c r="A84" s="13">
        <v>46105</v>
      </c>
    </row>
    <row r="85" spans="1:1" x14ac:dyDescent="0.25">
      <c r="A85" s="13">
        <v>46106</v>
      </c>
    </row>
    <row r="86" spans="1:1" x14ac:dyDescent="0.25">
      <c r="A86" s="13">
        <v>46107</v>
      </c>
    </row>
    <row r="87" spans="1:1" x14ac:dyDescent="0.25">
      <c r="A87" s="13">
        <v>46108</v>
      </c>
    </row>
    <row r="88" spans="1:1" x14ac:dyDescent="0.25">
      <c r="A88" s="13">
        <v>46109</v>
      </c>
    </row>
    <row r="89" spans="1:1" x14ac:dyDescent="0.25">
      <c r="A89" s="13">
        <v>46110</v>
      </c>
    </row>
    <row r="90" spans="1:1" x14ac:dyDescent="0.25">
      <c r="A90" s="13">
        <v>46111</v>
      </c>
    </row>
    <row r="91" spans="1:1" x14ac:dyDescent="0.25">
      <c r="A91" s="13">
        <v>46112</v>
      </c>
    </row>
    <row r="92" spans="1:1" x14ac:dyDescent="0.25">
      <c r="A92" s="13">
        <v>46113</v>
      </c>
    </row>
    <row r="93" spans="1:1" x14ac:dyDescent="0.25">
      <c r="A93" s="13">
        <v>46114</v>
      </c>
    </row>
    <row r="94" spans="1:1" x14ac:dyDescent="0.25">
      <c r="A94" s="13">
        <v>46115</v>
      </c>
    </row>
    <row r="95" spans="1:1" x14ac:dyDescent="0.25">
      <c r="A95" s="13">
        <v>46116</v>
      </c>
    </row>
    <row r="96" spans="1:1" x14ac:dyDescent="0.25">
      <c r="A96" s="13">
        <v>46117</v>
      </c>
    </row>
    <row r="97" spans="1:1" x14ac:dyDescent="0.25">
      <c r="A97" s="13">
        <v>46118</v>
      </c>
    </row>
    <row r="98" spans="1:1" x14ac:dyDescent="0.25">
      <c r="A98" s="13">
        <v>46119</v>
      </c>
    </row>
    <row r="99" spans="1:1" x14ac:dyDescent="0.25">
      <c r="A99" s="13">
        <v>46120</v>
      </c>
    </row>
    <row r="100" spans="1:1" x14ac:dyDescent="0.25">
      <c r="A100" s="13">
        <v>46121</v>
      </c>
    </row>
    <row r="101" spans="1:1" x14ac:dyDescent="0.25">
      <c r="A101" s="13">
        <v>46122</v>
      </c>
    </row>
    <row r="102" spans="1:1" x14ac:dyDescent="0.25">
      <c r="A102" s="13">
        <v>46123</v>
      </c>
    </row>
    <row r="103" spans="1:1" x14ac:dyDescent="0.25">
      <c r="A103" s="13">
        <v>46124</v>
      </c>
    </row>
    <row r="104" spans="1:1" x14ac:dyDescent="0.25">
      <c r="A104" s="13">
        <v>46125</v>
      </c>
    </row>
    <row r="105" spans="1:1" x14ac:dyDescent="0.25">
      <c r="A105" s="13">
        <v>46126</v>
      </c>
    </row>
    <row r="106" spans="1:1" x14ac:dyDescent="0.25">
      <c r="A106" s="13">
        <v>46127</v>
      </c>
    </row>
    <row r="107" spans="1:1" x14ac:dyDescent="0.25">
      <c r="A107" s="13">
        <v>46128</v>
      </c>
    </row>
    <row r="108" spans="1:1" x14ac:dyDescent="0.25">
      <c r="A108" s="13">
        <v>46129</v>
      </c>
    </row>
    <row r="109" spans="1:1" x14ac:dyDescent="0.25">
      <c r="A109" s="13">
        <v>46130</v>
      </c>
    </row>
    <row r="110" spans="1:1" x14ac:dyDescent="0.25">
      <c r="A110" s="13">
        <v>46131</v>
      </c>
    </row>
    <row r="111" spans="1:1" x14ac:dyDescent="0.25">
      <c r="A111" s="13">
        <v>46132</v>
      </c>
    </row>
    <row r="112" spans="1:1" x14ac:dyDescent="0.25">
      <c r="A112" s="13">
        <v>46133</v>
      </c>
    </row>
    <row r="113" spans="1:1" x14ac:dyDescent="0.25">
      <c r="A113" s="13">
        <v>46134</v>
      </c>
    </row>
    <row r="114" spans="1:1" x14ac:dyDescent="0.25">
      <c r="A114" s="13">
        <v>46135</v>
      </c>
    </row>
    <row r="115" spans="1:1" x14ac:dyDescent="0.25">
      <c r="A115" s="13">
        <v>46136</v>
      </c>
    </row>
    <row r="116" spans="1:1" x14ac:dyDescent="0.25">
      <c r="A116" s="13">
        <v>46137</v>
      </c>
    </row>
    <row r="117" spans="1:1" x14ac:dyDescent="0.25">
      <c r="A117" s="13">
        <v>46138</v>
      </c>
    </row>
    <row r="118" spans="1:1" x14ac:dyDescent="0.25">
      <c r="A118" s="13">
        <v>46139</v>
      </c>
    </row>
    <row r="119" spans="1:1" x14ac:dyDescent="0.25">
      <c r="A119" s="13">
        <v>46140</v>
      </c>
    </row>
    <row r="120" spans="1:1" x14ac:dyDescent="0.25">
      <c r="A120" s="13">
        <v>46141</v>
      </c>
    </row>
    <row r="121" spans="1:1" x14ac:dyDescent="0.25">
      <c r="A121" s="13">
        <v>46142</v>
      </c>
    </row>
    <row r="122" spans="1:1" x14ac:dyDescent="0.25">
      <c r="A122" s="13">
        <v>46143</v>
      </c>
    </row>
    <row r="123" spans="1:1" x14ac:dyDescent="0.25">
      <c r="A123" s="13">
        <v>46144</v>
      </c>
    </row>
    <row r="124" spans="1:1" x14ac:dyDescent="0.25">
      <c r="A124" s="13">
        <v>46145</v>
      </c>
    </row>
    <row r="125" spans="1:1" x14ac:dyDescent="0.25">
      <c r="A125" s="13">
        <v>46146</v>
      </c>
    </row>
    <row r="126" spans="1:1" x14ac:dyDescent="0.25">
      <c r="A126" s="13">
        <v>46147</v>
      </c>
    </row>
    <row r="127" spans="1:1" x14ac:dyDescent="0.25">
      <c r="A127" s="13">
        <v>46148</v>
      </c>
    </row>
    <row r="128" spans="1:1" x14ac:dyDescent="0.25">
      <c r="A128" s="13">
        <v>46149</v>
      </c>
    </row>
    <row r="129" spans="1:1" x14ac:dyDescent="0.25">
      <c r="A129" s="13">
        <v>46150</v>
      </c>
    </row>
    <row r="130" spans="1:1" x14ac:dyDescent="0.25">
      <c r="A130" s="13">
        <v>46151</v>
      </c>
    </row>
    <row r="131" spans="1:1" x14ac:dyDescent="0.25">
      <c r="A131" s="13">
        <v>46152</v>
      </c>
    </row>
    <row r="132" spans="1:1" x14ac:dyDescent="0.25">
      <c r="A132" s="13">
        <v>46153</v>
      </c>
    </row>
    <row r="133" spans="1:1" x14ac:dyDescent="0.25">
      <c r="A133" s="13">
        <v>46154</v>
      </c>
    </row>
    <row r="134" spans="1:1" x14ac:dyDescent="0.25">
      <c r="A134" s="13">
        <v>46155</v>
      </c>
    </row>
    <row r="135" spans="1:1" x14ac:dyDescent="0.25">
      <c r="A135" s="13">
        <v>46156</v>
      </c>
    </row>
    <row r="136" spans="1:1" x14ac:dyDescent="0.25">
      <c r="A136" s="13">
        <v>46157</v>
      </c>
    </row>
    <row r="137" spans="1:1" x14ac:dyDescent="0.25">
      <c r="A137" s="13">
        <v>46158</v>
      </c>
    </row>
    <row r="138" spans="1:1" x14ac:dyDescent="0.25">
      <c r="A138" s="13">
        <v>46159</v>
      </c>
    </row>
    <row r="139" spans="1:1" x14ac:dyDescent="0.25">
      <c r="A139" s="13">
        <v>46160</v>
      </c>
    </row>
    <row r="140" spans="1:1" x14ac:dyDescent="0.25">
      <c r="A140" s="13">
        <v>46161</v>
      </c>
    </row>
    <row r="141" spans="1:1" x14ac:dyDescent="0.25">
      <c r="A141" s="13">
        <v>46162</v>
      </c>
    </row>
    <row r="142" spans="1:1" x14ac:dyDescent="0.25">
      <c r="A142" s="13">
        <v>46163</v>
      </c>
    </row>
    <row r="143" spans="1:1" x14ac:dyDescent="0.25">
      <c r="A143" s="13">
        <v>46164</v>
      </c>
    </row>
    <row r="144" spans="1:1" x14ac:dyDescent="0.25">
      <c r="A144" s="13">
        <v>46165</v>
      </c>
    </row>
    <row r="145" spans="1:1" x14ac:dyDescent="0.25">
      <c r="A145" s="13">
        <v>46166</v>
      </c>
    </row>
    <row r="146" spans="1:1" x14ac:dyDescent="0.25">
      <c r="A146" s="13">
        <v>46167</v>
      </c>
    </row>
    <row r="147" spans="1:1" x14ac:dyDescent="0.25">
      <c r="A147" s="13">
        <v>46168</v>
      </c>
    </row>
    <row r="148" spans="1:1" x14ac:dyDescent="0.25">
      <c r="A148" s="13">
        <v>46169</v>
      </c>
    </row>
    <row r="149" spans="1:1" x14ac:dyDescent="0.25">
      <c r="A149" s="13">
        <v>46170</v>
      </c>
    </row>
    <row r="150" spans="1:1" x14ac:dyDescent="0.25">
      <c r="A150" s="13">
        <v>46171</v>
      </c>
    </row>
    <row r="151" spans="1:1" x14ac:dyDescent="0.25">
      <c r="A151" s="13">
        <v>46172</v>
      </c>
    </row>
    <row r="152" spans="1:1" x14ac:dyDescent="0.25">
      <c r="A152" s="13">
        <v>46173</v>
      </c>
    </row>
    <row r="153" spans="1:1" x14ac:dyDescent="0.25">
      <c r="A153" s="13">
        <v>46174</v>
      </c>
    </row>
    <row r="154" spans="1:1" x14ac:dyDescent="0.25">
      <c r="A154" s="13">
        <v>46175</v>
      </c>
    </row>
    <row r="155" spans="1:1" x14ac:dyDescent="0.25">
      <c r="A155" s="13">
        <v>46176</v>
      </c>
    </row>
    <row r="156" spans="1:1" x14ac:dyDescent="0.25">
      <c r="A156" s="13">
        <v>46177</v>
      </c>
    </row>
    <row r="157" spans="1:1" x14ac:dyDescent="0.25">
      <c r="A157" s="13">
        <v>46178</v>
      </c>
    </row>
    <row r="158" spans="1:1" x14ac:dyDescent="0.25">
      <c r="A158" s="13">
        <v>46179</v>
      </c>
    </row>
    <row r="159" spans="1:1" x14ac:dyDescent="0.25">
      <c r="A159" s="13">
        <v>46180</v>
      </c>
    </row>
    <row r="160" spans="1:1" x14ac:dyDescent="0.25">
      <c r="A160" s="13">
        <v>46181</v>
      </c>
    </row>
    <row r="161" spans="1:1" x14ac:dyDescent="0.25">
      <c r="A161" s="13">
        <v>46182</v>
      </c>
    </row>
    <row r="162" spans="1:1" x14ac:dyDescent="0.25">
      <c r="A162" s="13">
        <v>46183</v>
      </c>
    </row>
    <row r="163" spans="1:1" x14ac:dyDescent="0.25">
      <c r="A163" s="13">
        <v>46184</v>
      </c>
    </row>
    <row r="164" spans="1:1" x14ac:dyDescent="0.25">
      <c r="A164" s="13">
        <v>46185</v>
      </c>
    </row>
    <row r="165" spans="1:1" x14ac:dyDescent="0.25">
      <c r="A165" s="13">
        <v>46186</v>
      </c>
    </row>
    <row r="166" spans="1:1" x14ac:dyDescent="0.25">
      <c r="A166" s="13">
        <v>46187</v>
      </c>
    </row>
    <row r="167" spans="1:1" x14ac:dyDescent="0.25">
      <c r="A167" s="13">
        <v>46188</v>
      </c>
    </row>
    <row r="168" spans="1:1" x14ac:dyDescent="0.25">
      <c r="A168" s="13">
        <v>46189</v>
      </c>
    </row>
    <row r="169" spans="1:1" x14ac:dyDescent="0.25">
      <c r="A169" s="13">
        <v>46190</v>
      </c>
    </row>
    <row r="170" spans="1:1" x14ac:dyDescent="0.25">
      <c r="A170" s="13">
        <v>46191</v>
      </c>
    </row>
    <row r="171" spans="1:1" x14ac:dyDescent="0.25">
      <c r="A171" s="13">
        <v>46192</v>
      </c>
    </row>
    <row r="172" spans="1:1" x14ac:dyDescent="0.25">
      <c r="A172" s="13">
        <v>46193</v>
      </c>
    </row>
    <row r="173" spans="1:1" x14ac:dyDescent="0.25">
      <c r="A173" s="13">
        <v>46194</v>
      </c>
    </row>
    <row r="174" spans="1:1" x14ac:dyDescent="0.25">
      <c r="A174" s="13">
        <v>46195</v>
      </c>
    </row>
    <row r="175" spans="1:1" x14ac:dyDescent="0.25">
      <c r="A175" s="13">
        <v>46196</v>
      </c>
    </row>
    <row r="176" spans="1:1" x14ac:dyDescent="0.25">
      <c r="A176" s="13">
        <v>46197</v>
      </c>
    </row>
    <row r="177" spans="1:1" x14ac:dyDescent="0.25">
      <c r="A177" s="13">
        <v>46198</v>
      </c>
    </row>
    <row r="178" spans="1:1" x14ac:dyDescent="0.25">
      <c r="A178" s="13">
        <v>46199</v>
      </c>
    </row>
    <row r="179" spans="1:1" x14ac:dyDescent="0.25">
      <c r="A179" s="13">
        <v>46200</v>
      </c>
    </row>
    <row r="180" spans="1:1" x14ac:dyDescent="0.25">
      <c r="A180" s="13">
        <v>46201</v>
      </c>
    </row>
    <row r="181" spans="1:1" x14ac:dyDescent="0.25">
      <c r="A181" s="13">
        <v>46202</v>
      </c>
    </row>
    <row r="182" spans="1:1" x14ac:dyDescent="0.25">
      <c r="A182" s="13">
        <v>46203</v>
      </c>
    </row>
    <row r="183" spans="1:1" x14ac:dyDescent="0.25">
      <c r="A183" s="13">
        <v>46204</v>
      </c>
    </row>
    <row r="184" spans="1:1" x14ac:dyDescent="0.25">
      <c r="A184" s="13">
        <v>46205</v>
      </c>
    </row>
    <row r="185" spans="1:1" x14ac:dyDescent="0.25">
      <c r="A185" s="13">
        <v>46206</v>
      </c>
    </row>
    <row r="186" spans="1:1" x14ac:dyDescent="0.25">
      <c r="A186" s="13">
        <v>46207</v>
      </c>
    </row>
    <row r="187" spans="1:1" x14ac:dyDescent="0.25">
      <c r="A187" s="13">
        <v>46208</v>
      </c>
    </row>
    <row r="188" spans="1:1" x14ac:dyDescent="0.25">
      <c r="A188" s="13">
        <v>46209</v>
      </c>
    </row>
    <row r="189" spans="1:1" x14ac:dyDescent="0.25">
      <c r="A189" s="13">
        <v>46210</v>
      </c>
    </row>
    <row r="190" spans="1:1" x14ac:dyDescent="0.25">
      <c r="A190" s="13">
        <v>46211</v>
      </c>
    </row>
    <row r="191" spans="1:1" x14ac:dyDescent="0.25">
      <c r="A191" s="13">
        <v>46212</v>
      </c>
    </row>
    <row r="192" spans="1:1" x14ac:dyDescent="0.25">
      <c r="A192" s="13">
        <v>46213</v>
      </c>
    </row>
    <row r="193" spans="1:1" x14ac:dyDescent="0.25">
      <c r="A193" s="13">
        <v>46214</v>
      </c>
    </row>
    <row r="194" spans="1:1" x14ac:dyDescent="0.25">
      <c r="A194" s="13">
        <v>46215</v>
      </c>
    </row>
    <row r="195" spans="1:1" x14ac:dyDescent="0.25">
      <c r="A195" s="13">
        <v>46216</v>
      </c>
    </row>
    <row r="196" spans="1:1" x14ac:dyDescent="0.25">
      <c r="A196" s="13">
        <v>46217</v>
      </c>
    </row>
    <row r="197" spans="1:1" x14ac:dyDescent="0.25">
      <c r="A197" s="13">
        <v>46218</v>
      </c>
    </row>
    <row r="198" spans="1:1" x14ac:dyDescent="0.25">
      <c r="A198" s="13">
        <v>46219</v>
      </c>
    </row>
    <row r="199" spans="1:1" x14ac:dyDescent="0.25">
      <c r="A199" s="13">
        <v>46220</v>
      </c>
    </row>
    <row r="200" spans="1:1" x14ac:dyDescent="0.25">
      <c r="A200" s="13">
        <v>46221</v>
      </c>
    </row>
    <row r="201" spans="1:1" x14ac:dyDescent="0.25">
      <c r="A201" s="13">
        <v>46222</v>
      </c>
    </row>
    <row r="202" spans="1:1" x14ac:dyDescent="0.25">
      <c r="A202" s="13">
        <v>46223</v>
      </c>
    </row>
    <row r="203" spans="1:1" x14ac:dyDescent="0.25">
      <c r="A203" s="13">
        <v>46224</v>
      </c>
    </row>
    <row r="204" spans="1:1" x14ac:dyDescent="0.25">
      <c r="A204" s="13">
        <v>46225</v>
      </c>
    </row>
    <row r="205" spans="1:1" x14ac:dyDescent="0.25">
      <c r="A205" s="13">
        <v>46226</v>
      </c>
    </row>
    <row r="206" spans="1:1" x14ac:dyDescent="0.25">
      <c r="A206" s="13">
        <v>46227</v>
      </c>
    </row>
    <row r="207" spans="1:1" x14ac:dyDescent="0.25">
      <c r="A207" s="13">
        <v>46228</v>
      </c>
    </row>
    <row r="208" spans="1:1" x14ac:dyDescent="0.25">
      <c r="A208" s="13">
        <v>46229</v>
      </c>
    </row>
    <row r="209" spans="1:1" x14ac:dyDescent="0.25">
      <c r="A209" s="13">
        <v>46230</v>
      </c>
    </row>
    <row r="210" spans="1:1" x14ac:dyDescent="0.25">
      <c r="A210" s="13">
        <v>46231</v>
      </c>
    </row>
    <row r="211" spans="1:1" x14ac:dyDescent="0.25">
      <c r="A211" s="13">
        <v>46232</v>
      </c>
    </row>
    <row r="212" spans="1:1" x14ac:dyDescent="0.25">
      <c r="A212" s="13">
        <v>46233</v>
      </c>
    </row>
    <row r="213" spans="1:1" x14ac:dyDescent="0.25">
      <c r="A213" s="13">
        <v>46234</v>
      </c>
    </row>
    <row r="214" spans="1:1" x14ac:dyDescent="0.25">
      <c r="A214" s="13">
        <v>46235</v>
      </c>
    </row>
    <row r="215" spans="1:1" x14ac:dyDescent="0.25">
      <c r="A215" s="13">
        <v>46236</v>
      </c>
    </row>
    <row r="216" spans="1:1" x14ac:dyDescent="0.25">
      <c r="A216" s="13">
        <v>46237</v>
      </c>
    </row>
    <row r="217" spans="1:1" x14ac:dyDescent="0.25">
      <c r="A217" s="13">
        <v>46238</v>
      </c>
    </row>
    <row r="218" spans="1:1" x14ac:dyDescent="0.25">
      <c r="A218" s="13">
        <v>46239</v>
      </c>
    </row>
    <row r="219" spans="1:1" x14ac:dyDescent="0.25">
      <c r="A219" s="13">
        <v>46240</v>
      </c>
    </row>
    <row r="220" spans="1:1" x14ac:dyDescent="0.25">
      <c r="A220" s="13">
        <v>46241</v>
      </c>
    </row>
    <row r="221" spans="1:1" x14ac:dyDescent="0.25">
      <c r="A221" s="13">
        <v>46242</v>
      </c>
    </row>
    <row r="222" spans="1:1" x14ac:dyDescent="0.25">
      <c r="A222" s="13">
        <v>46243</v>
      </c>
    </row>
    <row r="223" spans="1:1" x14ac:dyDescent="0.25">
      <c r="A223" s="13">
        <v>46244</v>
      </c>
    </row>
    <row r="224" spans="1:1" x14ac:dyDescent="0.25">
      <c r="A224" s="13">
        <v>46245</v>
      </c>
    </row>
    <row r="225" spans="1:1" x14ac:dyDescent="0.25">
      <c r="A225" s="13">
        <v>46246</v>
      </c>
    </row>
    <row r="226" spans="1:1" x14ac:dyDescent="0.25">
      <c r="A226" s="13">
        <v>46247</v>
      </c>
    </row>
    <row r="227" spans="1:1" x14ac:dyDescent="0.25">
      <c r="A227" s="13">
        <v>46248</v>
      </c>
    </row>
    <row r="228" spans="1:1" x14ac:dyDescent="0.25">
      <c r="A228" s="13">
        <v>46249</v>
      </c>
    </row>
    <row r="229" spans="1:1" x14ac:dyDescent="0.25">
      <c r="A229" s="13">
        <v>46250</v>
      </c>
    </row>
    <row r="230" spans="1:1" x14ac:dyDescent="0.25">
      <c r="A230" s="13">
        <v>46251</v>
      </c>
    </row>
    <row r="231" spans="1:1" x14ac:dyDescent="0.25">
      <c r="A231" s="13">
        <v>46252</v>
      </c>
    </row>
    <row r="232" spans="1:1" x14ac:dyDescent="0.25">
      <c r="A232" s="13">
        <v>46253</v>
      </c>
    </row>
    <row r="233" spans="1:1" x14ac:dyDescent="0.25">
      <c r="A233" s="13">
        <v>46254</v>
      </c>
    </row>
    <row r="234" spans="1:1" x14ac:dyDescent="0.25">
      <c r="A234" s="13">
        <v>46255</v>
      </c>
    </row>
    <row r="235" spans="1:1" x14ac:dyDescent="0.25">
      <c r="A235" s="13">
        <v>46256</v>
      </c>
    </row>
    <row r="236" spans="1:1" x14ac:dyDescent="0.25">
      <c r="A236" s="13">
        <v>46257</v>
      </c>
    </row>
    <row r="237" spans="1:1" x14ac:dyDescent="0.25">
      <c r="A237" s="13">
        <v>46258</v>
      </c>
    </row>
    <row r="238" spans="1:1" x14ac:dyDescent="0.25">
      <c r="A238" s="13">
        <v>46259</v>
      </c>
    </row>
    <row r="239" spans="1:1" x14ac:dyDescent="0.25">
      <c r="A239" s="13">
        <v>46260</v>
      </c>
    </row>
    <row r="240" spans="1:1" x14ac:dyDescent="0.25">
      <c r="A240" s="13">
        <v>46261</v>
      </c>
    </row>
    <row r="241" spans="1:1" x14ac:dyDescent="0.25">
      <c r="A241" s="13">
        <v>46262</v>
      </c>
    </row>
    <row r="242" spans="1:1" x14ac:dyDescent="0.25">
      <c r="A242" s="13">
        <v>46263</v>
      </c>
    </row>
    <row r="243" spans="1:1" x14ac:dyDescent="0.25">
      <c r="A243" s="13">
        <v>46264</v>
      </c>
    </row>
    <row r="244" spans="1:1" x14ac:dyDescent="0.25">
      <c r="A244" s="13">
        <v>46265</v>
      </c>
    </row>
    <row r="245" spans="1:1" x14ac:dyDescent="0.25">
      <c r="A245" s="13">
        <v>46266</v>
      </c>
    </row>
    <row r="246" spans="1:1" x14ac:dyDescent="0.25">
      <c r="A246" s="13">
        <v>46267</v>
      </c>
    </row>
    <row r="247" spans="1:1" x14ac:dyDescent="0.25">
      <c r="A247" s="13">
        <v>46268</v>
      </c>
    </row>
    <row r="248" spans="1:1" x14ac:dyDescent="0.25">
      <c r="A248" s="13">
        <v>46269</v>
      </c>
    </row>
    <row r="249" spans="1:1" x14ac:dyDescent="0.25">
      <c r="A249" s="13">
        <v>46270</v>
      </c>
    </row>
    <row r="250" spans="1:1" x14ac:dyDescent="0.25">
      <c r="A250" s="13">
        <v>46271</v>
      </c>
    </row>
    <row r="251" spans="1:1" x14ac:dyDescent="0.25">
      <c r="A251" s="13">
        <v>46272</v>
      </c>
    </row>
    <row r="252" spans="1:1" x14ac:dyDescent="0.25">
      <c r="A252" s="13">
        <v>46273</v>
      </c>
    </row>
    <row r="253" spans="1:1" x14ac:dyDescent="0.25">
      <c r="A253" s="13">
        <v>46274</v>
      </c>
    </row>
    <row r="254" spans="1:1" x14ac:dyDescent="0.25">
      <c r="A254" s="13">
        <v>46275</v>
      </c>
    </row>
    <row r="255" spans="1:1" x14ac:dyDescent="0.25">
      <c r="A255" s="13">
        <v>46276</v>
      </c>
    </row>
    <row r="256" spans="1:1" x14ac:dyDescent="0.25">
      <c r="A256" s="13">
        <v>46277</v>
      </c>
    </row>
    <row r="257" spans="1:1" x14ac:dyDescent="0.25">
      <c r="A257" s="13">
        <v>46278</v>
      </c>
    </row>
    <row r="258" spans="1:1" x14ac:dyDescent="0.25">
      <c r="A258" s="13">
        <v>46279</v>
      </c>
    </row>
    <row r="259" spans="1:1" x14ac:dyDescent="0.25">
      <c r="A259" s="13">
        <v>46280</v>
      </c>
    </row>
    <row r="260" spans="1:1" x14ac:dyDescent="0.25">
      <c r="A260" s="13">
        <v>46281</v>
      </c>
    </row>
    <row r="261" spans="1:1" x14ac:dyDescent="0.25">
      <c r="A261" s="13">
        <v>46282</v>
      </c>
    </row>
    <row r="262" spans="1:1" x14ac:dyDescent="0.25">
      <c r="A262" s="13">
        <v>46283</v>
      </c>
    </row>
    <row r="263" spans="1:1" x14ac:dyDescent="0.25">
      <c r="A263" s="13">
        <v>46284</v>
      </c>
    </row>
    <row r="264" spans="1:1" x14ac:dyDescent="0.25">
      <c r="A264" s="13">
        <v>46285</v>
      </c>
    </row>
    <row r="265" spans="1:1" x14ac:dyDescent="0.25">
      <c r="A265" s="13">
        <v>46286</v>
      </c>
    </row>
    <row r="266" spans="1:1" x14ac:dyDescent="0.25">
      <c r="A266" s="13">
        <v>46287</v>
      </c>
    </row>
    <row r="267" spans="1:1" x14ac:dyDescent="0.25">
      <c r="A267" s="13">
        <v>46288</v>
      </c>
    </row>
    <row r="268" spans="1:1" x14ac:dyDescent="0.25">
      <c r="A268" s="13">
        <v>46289</v>
      </c>
    </row>
    <row r="269" spans="1:1" x14ac:dyDescent="0.25">
      <c r="A269" s="13">
        <v>46290</v>
      </c>
    </row>
    <row r="270" spans="1:1" x14ac:dyDescent="0.25">
      <c r="A270" s="13">
        <v>46291</v>
      </c>
    </row>
    <row r="271" spans="1:1" x14ac:dyDescent="0.25">
      <c r="A271" s="13">
        <v>46292</v>
      </c>
    </row>
    <row r="272" spans="1:1" x14ac:dyDescent="0.25">
      <c r="A272" s="13">
        <v>46293</v>
      </c>
    </row>
    <row r="273" spans="1:1" x14ac:dyDescent="0.25">
      <c r="A273" s="13">
        <v>46294</v>
      </c>
    </row>
    <row r="274" spans="1:1" x14ac:dyDescent="0.25">
      <c r="A274" s="13">
        <v>46295</v>
      </c>
    </row>
    <row r="275" spans="1:1" x14ac:dyDescent="0.25">
      <c r="A275" s="13">
        <v>46296</v>
      </c>
    </row>
    <row r="276" spans="1:1" x14ac:dyDescent="0.25">
      <c r="A276" s="13">
        <v>46297</v>
      </c>
    </row>
    <row r="277" spans="1:1" x14ac:dyDescent="0.25">
      <c r="A277" s="13">
        <v>46298</v>
      </c>
    </row>
    <row r="278" spans="1:1" x14ac:dyDescent="0.25">
      <c r="A278" s="13">
        <v>46299</v>
      </c>
    </row>
    <row r="279" spans="1:1" x14ac:dyDescent="0.25">
      <c r="A279" s="13">
        <v>46300</v>
      </c>
    </row>
    <row r="280" spans="1:1" x14ac:dyDescent="0.25">
      <c r="A280" s="13">
        <v>46301</v>
      </c>
    </row>
    <row r="281" spans="1:1" x14ac:dyDescent="0.25">
      <c r="A281" s="13">
        <v>46302</v>
      </c>
    </row>
    <row r="282" spans="1:1" x14ac:dyDescent="0.25">
      <c r="A282" s="13">
        <v>46303</v>
      </c>
    </row>
    <row r="283" spans="1:1" x14ac:dyDescent="0.25">
      <c r="A283" s="13">
        <v>46304</v>
      </c>
    </row>
    <row r="284" spans="1:1" x14ac:dyDescent="0.25">
      <c r="A284" s="13">
        <v>46305</v>
      </c>
    </row>
    <row r="285" spans="1:1" x14ac:dyDescent="0.25">
      <c r="A285" s="13">
        <v>46306</v>
      </c>
    </row>
    <row r="286" spans="1:1" x14ac:dyDescent="0.25">
      <c r="A286" s="13">
        <v>46307</v>
      </c>
    </row>
    <row r="287" spans="1:1" x14ac:dyDescent="0.25">
      <c r="A287" s="13">
        <v>46308</v>
      </c>
    </row>
    <row r="288" spans="1:1" x14ac:dyDescent="0.25">
      <c r="A288" s="13">
        <v>46309</v>
      </c>
    </row>
    <row r="289" spans="1:1" x14ac:dyDescent="0.25">
      <c r="A289" s="13">
        <v>46310</v>
      </c>
    </row>
    <row r="290" spans="1:1" x14ac:dyDescent="0.25">
      <c r="A290" s="13">
        <v>46311</v>
      </c>
    </row>
    <row r="291" spans="1:1" x14ac:dyDescent="0.25">
      <c r="A291" s="13">
        <v>46312</v>
      </c>
    </row>
    <row r="292" spans="1:1" x14ac:dyDescent="0.25">
      <c r="A292" s="13">
        <v>46313</v>
      </c>
    </row>
    <row r="293" spans="1:1" x14ac:dyDescent="0.25">
      <c r="A293" s="13">
        <v>46314</v>
      </c>
    </row>
    <row r="294" spans="1:1" x14ac:dyDescent="0.25">
      <c r="A294" s="13">
        <v>46315</v>
      </c>
    </row>
    <row r="295" spans="1:1" x14ac:dyDescent="0.25">
      <c r="A295" s="13">
        <v>46316</v>
      </c>
    </row>
    <row r="296" spans="1:1" x14ac:dyDescent="0.25">
      <c r="A296" s="13">
        <v>46317</v>
      </c>
    </row>
    <row r="297" spans="1:1" x14ac:dyDescent="0.25">
      <c r="A297" s="13">
        <v>46318</v>
      </c>
    </row>
    <row r="298" spans="1:1" x14ac:dyDescent="0.25">
      <c r="A298" s="13">
        <v>46319</v>
      </c>
    </row>
    <row r="299" spans="1:1" x14ac:dyDescent="0.25">
      <c r="A299" s="13">
        <v>46320</v>
      </c>
    </row>
    <row r="300" spans="1:1" x14ac:dyDescent="0.25">
      <c r="A300" s="13">
        <v>46321</v>
      </c>
    </row>
    <row r="301" spans="1:1" x14ac:dyDescent="0.25">
      <c r="A301" s="13">
        <v>46322</v>
      </c>
    </row>
    <row r="302" spans="1:1" x14ac:dyDescent="0.25">
      <c r="A302" s="13">
        <v>46323</v>
      </c>
    </row>
    <row r="303" spans="1:1" x14ac:dyDescent="0.25">
      <c r="A303" s="13">
        <v>46324</v>
      </c>
    </row>
    <row r="304" spans="1:1" x14ac:dyDescent="0.25">
      <c r="A304" s="13">
        <v>46325</v>
      </c>
    </row>
    <row r="305" spans="1:1" x14ac:dyDescent="0.25">
      <c r="A305" s="13">
        <v>46326</v>
      </c>
    </row>
    <row r="306" spans="1:1" x14ac:dyDescent="0.25">
      <c r="A306" s="13">
        <v>46327</v>
      </c>
    </row>
    <row r="307" spans="1:1" x14ac:dyDescent="0.25">
      <c r="A307" s="13">
        <v>46328</v>
      </c>
    </row>
    <row r="308" spans="1:1" x14ac:dyDescent="0.25">
      <c r="A308" s="13">
        <v>46329</v>
      </c>
    </row>
    <row r="309" spans="1:1" x14ac:dyDescent="0.25">
      <c r="A309" s="13">
        <v>46330</v>
      </c>
    </row>
    <row r="310" spans="1:1" x14ac:dyDescent="0.25">
      <c r="A310" s="13">
        <v>46331</v>
      </c>
    </row>
    <row r="311" spans="1:1" x14ac:dyDescent="0.25">
      <c r="A311" s="13">
        <v>46332</v>
      </c>
    </row>
    <row r="312" spans="1:1" x14ac:dyDescent="0.25">
      <c r="A312" s="13">
        <v>46333</v>
      </c>
    </row>
    <row r="313" spans="1:1" x14ac:dyDescent="0.25">
      <c r="A313" s="13">
        <v>46334</v>
      </c>
    </row>
    <row r="314" spans="1:1" x14ac:dyDescent="0.25">
      <c r="A314" s="13">
        <v>46335</v>
      </c>
    </row>
    <row r="315" spans="1:1" x14ac:dyDescent="0.25">
      <c r="A315" s="13">
        <v>46336</v>
      </c>
    </row>
    <row r="316" spans="1:1" x14ac:dyDescent="0.25">
      <c r="A316" s="13">
        <v>46337</v>
      </c>
    </row>
    <row r="317" spans="1:1" x14ac:dyDescent="0.25">
      <c r="A317" s="13">
        <v>46338</v>
      </c>
    </row>
    <row r="318" spans="1:1" x14ac:dyDescent="0.25">
      <c r="A318" s="13">
        <v>46339</v>
      </c>
    </row>
    <row r="319" spans="1:1" x14ac:dyDescent="0.25">
      <c r="A319" s="13">
        <v>46340</v>
      </c>
    </row>
    <row r="320" spans="1:1" x14ac:dyDescent="0.25">
      <c r="A320" s="13">
        <v>46341</v>
      </c>
    </row>
    <row r="321" spans="1:1" x14ac:dyDescent="0.25">
      <c r="A321" s="13">
        <v>46342</v>
      </c>
    </row>
    <row r="322" spans="1:1" x14ac:dyDescent="0.25">
      <c r="A322" s="13">
        <v>46343</v>
      </c>
    </row>
    <row r="323" spans="1:1" x14ac:dyDescent="0.25">
      <c r="A323" s="13">
        <v>46344</v>
      </c>
    </row>
    <row r="324" spans="1:1" x14ac:dyDescent="0.25">
      <c r="A324" s="13">
        <v>46345</v>
      </c>
    </row>
    <row r="325" spans="1:1" x14ac:dyDescent="0.25">
      <c r="A325" s="13">
        <v>46346</v>
      </c>
    </row>
    <row r="326" spans="1:1" x14ac:dyDescent="0.25">
      <c r="A326" s="13">
        <v>46347</v>
      </c>
    </row>
    <row r="327" spans="1:1" x14ac:dyDescent="0.25">
      <c r="A327" s="13">
        <v>46348</v>
      </c>
    </row>
    <row r="328" spans="1:1" x14ac:dyDescent="0.25">
      <c r="A328" s="13">
        <v>46349</v>
      </c>
    </row>
    <row r="329" spans="1:1" x14ac:dyDescent="0.25">
      <c r="A329" s="13">
        <v>46350</v>
      </c>
    </row>
    <row r="330" spans="1:1" x14ac:dyDescent="0.25">
      <c r="A330" s="13">
        <v>46351</v>
      </c>
    </row>
    <row r="331" spans="1:1" x14ac:dyDescent="0.25">
      <c r="A331" s="13">
        <v>46352</v>
      </c>
    </row>
    <row r="332" spans="1:1" x14ac:dyDescent="0.25">
      <c r="A332" s="13">
        <v>46353</v>
      </c>
    </row>
    <row r="333" spans="1:1" x14ac:dyDescent="0.25">
      <c r="A333" s="13">
        <v>46354</v>
      </c>
    </row>
    <row r="334" spans="1:1" x14ac:dyDescent="0.25">
      <c r="A334" s="13">
        <v>46355</v>
      </c>
    </row>
    <row r="335" spans="1:1" x14ac:dyDescent="0.25">
      <c r="A335" s="13">
        <v>46356</v>
      </c>
    </row>
    <row r="336" spans="1:1" x14ac:dyDescent="0.25">
      <c r="A336" s="13">
        <v>46357</v>
      </c>
    </row>
    <row r="337" spans="1:1" x14ac:dyDescent="0.25">
      <c r="A337" s="13">
        <v>46358</v>
      </c>
    </row>
    <row r="338" spans="1:1" x14ac:dyDescent="0.25">
      <c r="A338" s="13">
        <v>46359</v>
      </c>
    </row>
    <row r="339" spans="1:1" x14ac:dyDescent="0.25">
      <c r="A339" s="13">
        <v>46360</v>
      </c>
    </row>
    <row r="340" spans="1:1" x14ac:dyDescent="0.25">
      <c r="A340" s="13">
        <v>46361</v>
      </c>
    </row>
    <row r="341" spans="1:1" x14ac:dyDescent="0.25">
      <c r="A341" s="13">
        <v>46362</v>
      </c>
    </row>
    <row r="342" spans="1:1" x14ac:dyDescent="0.25">
      <c r="A342" s="13">
        <v>46363</v>
      </c>
    </row>
    <row r="343" spans="1:1" x14ac:dyDescent="0.25">
      <c r="A343" s="13">
        <v>46364</v>
      </c>
    </row>
    <row r="344" spans="1:1" x14ac:dyDescent="0.25">
      <c r="A344" s="13">
        <v>46365</v>
      </c>
    </row>
    <row r="345" spans="1:1" x14ac:dyDescent="0.25">
      <c r="A345" s="13">
        <v>46366</v>
      </c>
    </row>
    <row r="346" spans="1:1" x14ac:dyDescent="0.25">
      <c r="A346" s="13">
        <v>46367</v>
      </c>
    </row>
    <row r="347" spans="1:1" x14ac:dyDescent="0.25">
      <c r="A347" s="13">
        <v>46368</v>
      </c>
    </row>
    <row r="348" spans="1:1" x14ac:dyDescent="0.25">
      <c r="A348" s="13">
        <v>46369</v>
      </c>
    </row>
    <row r="349" spans="1:1" x14ac:dyDescent="0.25">
      <c r="A349" s="13">
        <v>46370</v>
      </c>
    </row>
    <row r="350" spans="1:1" x14ac:dyDescent="0.25">
      <c r="A350" s="13">
        <v>46371</v>
      </c>
    </row>
    <row r="351" spans="1:1" x14ac:dyDescent="0.25">
      <c r="A351" s="13">
        <v>46372</v>
      </c>
    </row>
    <row r="352" spans="1:1" x14ac:dyDescent="0.25">
      <c r="A352" s="13">
        <v>46373</v>
      </c>
    </row>
    <row r="353" spans="1:1" x14ac:dyDescent="0.25">
      <c r="A353" s="13">
        <v>46374</v>
      </c>
    </row>
    <row r="354" spans="1:1" x14ac:dyDescent="0.25">
      <c r="A354" s="13">
        <v>46375</v>
      </c>
    </row>
    <row r="355" spans="1:1" x14ac:dyDescent="0.25">
      <c r="A355" s="13">
        <v>46376</v>
      </c>
    </row>
    <row r="356" spans="1:1" x14ac:dyDescent="0.25">
      <c r="A356" s="13">
        <v>46377</v>
      </c>
    </row>
    <row r="357" spans="1:1" x14ac:dyDescent="0.25">
      <c r="A357" s="13">
        <v>46378</v>
      </c>
    </row>
    <row r="358" spans="1:1" x14ac:dyDescent="0.25">
      <c r="A358" s="13">
        <v>46379</v>
      </c>
    </row>
    <row r="359" spans="1:1" x14ac:dyDescent="0.25">
      <c r="A359" s="13">
        <v>46380</v>
      </c>
    </row>
    <row r="360" spans="1:1" x14ac:dyDescent="0.25">
      <c r="A360" s="13">
        <v>46381</v>
      </c>
    </row>
    <row r="361" spans="1:1" x14ac:dyDescent="0.25">
      <c r="A361" s="13">
        <v>46382</v>
      </c>
    </row>
    <row r="362" spans="1:1" x14ac:dyDescent="0.25">
      <c r="A362" s="13">
        <v>46383</v>
      </c>
    </row>
    <row r="363" spans="1:1" x14ac:dyDescent="0.25">
      <c r="A363" s="13">
        <v>46384</v>
      </c>
    </row>
    <row r="364" spans="1:1" x14ac:dyDescent="0.25">
      <c r="A364" s="13">
        <v>46385</v>
      </c>
    </row>
    <row r="365" spans="1:1" x14ac:dyDescent="0.25">
      <c r="A365" s="13">
        <v>46386</v>
      </c>
    </row>
    <row r="366" spans="1:1" x14ac:dyDescent="0.25">
      <c r="A366" s="13">
        <v>46387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25F24-CF1D-4972-8223-36F4DDC12145}">
  <dimension ref="A1:H12"/>
  <sheetViews>
    <sheetView topLeftCell="A8" workbookViewId="0">
      <selection activeCell="H2" sqref="H2:H11"/>
    </sheetView>
  </sheetViews>
  <sheetFormatPr defaultRowHeight="15" x14ac:dyDescent="0.25"/>
  <sheetData>
    <row r="1" spans="1:8" ht="52.5" thickBot="1" x14ac:dyDescent="0.3">
      <c r="A1" s="9" t="s">
        <v>14275</v>
      </c>
      <c r="B1" s="9" t="s">
        <v>3</v>
      </c>
      <c r="C1" s="9" t="s">
        <v>74</v>
      </c>
      <c r="D1" s="9" t="s">
        <v>14276</v>
      </c>
      <c r="E1" s="9" t="s">
        <v>14277</v>
      </c>
      <c r="F1" s="9" t="s">
        <v>14278</v>
      </c>
      <c r="G1" s="9" t="s">
        <v>14279</v>
      </c>
      <c r="H1" s="9" t="s">
        <v>14280</v>
      </c>
    </row>
    <row r="2" spans="1:8" ht="333" thickBot="1" x14ac:dyDescent="0.3">
      <c r="A2" s="5" t="s">
        <v>42</v>
      </c>
      <c r="B2" s="5" t="s">
        <v>91</v>
      </c>
      <c r="C2" s="6" t="s">
        <v>92</v>
      </c>
      <c r="D2" s="5"/>
      <c r="E2" s="5"/>
      <c r="F2" s="5" t="s">
        <v>4</v>
      </c>
      <c r="G2" s="5" t="s">
        <v>93</v>
      </c>
      <c r="H2" s="5"/>
    </row>
    <row r="3" spans="1:8" ht="384" thickBot="1" x14ac:dyDescent="0.3">
      <c r="A3" s="5" t="s">
        <v>42</v>
      </c>
      <c r="B3" s="5" t="s">
        <v>91</v>
      </c>
      <c r="C3" s="6" t="s">
        <v>94</v>
      </c>
      <c r="D3" s="5" t="s">
        <v>95</v>
      </c>
      <c r="E3" s="7">
        <v>45931</v>
      </c>
      <c r="F3" s="5" t="s">
        <v>4</v>
      </c>
      <c r="G3" s="5" t="s">
        <v>96</v>
      </c>
      <c r="H3" s="6" t="s">
        <v>97</v>
      </c>
    </row>
    <row r="4" spans="1:8" ht="409.6" thickBot="1" x14ac:dyDescent="0.3">
      <c r="A4" s="5" t="s">
        <v>98</v>
      </c>
      <c r="B4" s="5" t="s">
        <v>13</v>
      </c>
      <c r="C4" s="6" t="s">
        <v>99</v>
      </c>
      <c r="D4" s="5" t="s">
        <v>100</v>
      </c>
      <c r="E4" s="7">
        <v>46023</v>
      </c>
      <c r="F4" s="5" t="s">
        <v>4</v>
      </c>
      <c r="G4" s="5" t="s">
        <v>101</v>
      </c>
      <c r="H4" s="6" t="s">
        <v>102</v>
      </c>
    </row>
    <row r="5" spans="1:8" ht="409.6" thickBot="1" x14ac:dyDescent="0.3">
      <c r="A5" s="5" t="s">
        <v>103</v>
      </c>
      <c r="B5" s="5" t="s">
        <v>13</v>
      </c>
      <c r="C5" s="6" t="s">
        <v>104</v>
      </c>
      <c r="D5" s="5" t="s">
        <v>95</v>
      </c>
      <c r="E5" s="7">
        <v>45931</v>
      </c>
      <c r="F5" s="5" t="s">
        <v>106</v>
      </c>
      <c r="G5" s="5" t="s">
        <v>105</v>
      </c>
      <c r="H5" s="6" t="s">
        <v>107</v>
      </c>
    </row>
    <row r="6" spans="1:8" ht="409.6" thickBot="1" x14ac:dyDescent="0.3">
      <c r="A6" s="5" t="s">
        <v>24</v>
      </c>
      <c r="B6" s="5" t="s">
        <v>90</v>
      </c>
      <c r="C6" s="6" t="s">
        <v>108</v>
      </c>
      <c r="D6" s="5" t="s">
        <v>100</v>
      </c>
      <c r="E6" s="7">
        <v>46023</v>
      </c>
      <c r="F6" s="5" t="s">
        <v>4</v>
      </c>
      <c r="G6" s="5" t="s">
        <v>109</v>
      </c>
      <c r="H6" s="6" t="s">
        <v>110</v>
      </c>
    </row>
    <row r="7" spans="1:8" ht="409.6" thickBot="1" x14ac:dyDescent="0.3">
      <c r="A7" s="5" t="s">
        <v>111</v>
      </c>
      <c r="B7" s="5" t="s">
        <v>91</v>
      </c>
      <c r="C7" s="6" t="s">
        <v>112</v>
      </c>
      <c r="D7" s="5" t="s">
        <v>100</v>
      </c>
      <c r="E7" s="7">
        <v>46023</v>
      </c>
      <c r="F7" s="5" t="s">
        <v>4</v>
      </c>
      <c r="G7" s="5" t="s">
        <v>113</v>
      </c>
      <c r="H7" s="6" t="s">
        <v>114</v>
      </c>
    </row>
    <row r="8" spans="1:8" ht="409.6" thickBot="1" x14ac:dyDescent="0.3">
      <c r="A8" s="5" t="s">
        <v>115</v>
      </c>
      <c r="B8" s="5" t="s">
        <v>13</v>
      </c>
      <c r="C8" s="6" t="s">
        <v>116</v>
      </c>
      <c r="D8" s="5" t="s">
        <v>95</v>
      </c>
      <c r="E8" s="7">
        <v>45931</v>
      </c>
      <c r="F8" s="5" t="s">
        <v>4</v>
      </c>
      <c r="G8" s="5" t="s">
        <v>117</v>
      </c>
      <c r="H8" s="6" t="s">
        <v>118</v>
      </c>
    </row>
    <row r="9" spans="1:8" ht="180" thickBot="1" x14ac:dyDescent="0.3">
      <c r="A9" s="5" t="s">
        <v>119</v>
      </c>
      <c r="B9" s="5" t="s">
        <v>13</v>
      </c>
      <c r="C9" s="6" t="s">
        <v>120</v>
      </c>
      <c r="D9" s="5" t="s">
        <v>121</v>
      </c>
      <c r="E9" s="7">
        <v>46023</v>
      </c>
      <c r="F9" s="5" t="s">
        <v>4</v>
      </c>
      <c r="G9" s="5" t="s">
        <v>122</v>
      </c>
      <c r="H9" s="6" t="s">
        <v>123</v>
      </c>
    </row>
    <row r="10" spans="1:8" ht="269.25" thickBot="1" x14ac:dyDescent="0.3">
      <c r="A10" s="8" t="s">
        <v>124</v>
      </c>
      <c r="B10" s="5" t="s">
        <v>13</v>
      </c>
      <c r="C10" s="6" t="s">
        <v>125</v>
      </c>
      <c r="D10" s="5" t="s">
        <v>100</v>
      </c>
      <c r="E10" s="5" t="s">
        <v>14281</v>
      </c>
      <c r="F10" s="5" t="s">
        <v>4</v>
      </c>
      <c r="G10" s="5" t="s">
        <v>126</v>
      </c>
      <c r="H10" s="6" t="s">
        <v>127</v>
      </c>
    </row>
    <row r="11" spans="1:8" ht="409.6" thickBot="1" x14ac:dyDescent="0.3">
      <c r="A11" s="5" t="s">
        <v>88</v>
      </c>
      <c r="B11" s="5" t="s">
        <v>21</v>
      </c>
      <c r="C11" s="6" t="s">
        <v>128</v>
      </c>
      <c r="D11" s="5" t="s">
        <v>100</v>
      </c>
      <c r="E11" s="7">
        <v>46023</v>
      </c>
      <c r="F11" s="5" t="s">
        <v>4</v>
      </c>
      <c r="G11" s="5" t="s">
        <v>129</v>
      </c>
      <c r="H11" s="6" t="s">
        <v>130</v>
      </c>
    </row>
    <row r="12" spans="1:8" ht="15.75" thickBot="1" x14ac:dyDescent="0.3">
      <c r="A12" s="5"/>
      <c r="B12" s="5"/>
      <c r="C12" s="5"/>
      <c r="D12" s="5"/>
      <c r="E12" s="5"/>
      <c r="F12" s="5"/>
      <c r="G12" s="5"/>
      <c r="H12" s="5"/>
    </row>
  </sheetData>
  <hyperlinks>
    <hyperlink ref="C2" r:id="rId1" xr:uid="{5DF321F1-07D4-4F3D-9A3F-87B20E9EE6BD}"/>
    <hyperlink ref="C3" r:id="rId2" xr:uid="{83E73A5E-718A-493B-8683-B7A63803D8D5}"/>
    <hyperlink ref="H3" r:id="rId3" display="https://mypolicypoint-my.sharepoint.com/:w:/p/mthomas/EWh2VuK-dRJCqJs0Hz6g7LgBuveBtkgZzp_LTLVxQT4-FQ?e=jRqA8u" xr:uid="{FEEDBA8C-C39E-414A-8880-A8210B36AC1D}"/>
    <hyperlink ref="C4" r:id="rId4" xr:uid="{98C7AC1F-619A-4DB6-83CB-F1D40B1FE5F1}"/>
    <hyperlink ref="H4" r:id="rId5" display="https://mypolicypoint-my.sharepoint.com/:w:/p/mthomas/ERTR3DMOkrdHi7uyY_D8rt4BE0Gf0f4kZtJ6vy1QR8B5jw?e=Hc0n8s" xr:uid="{C896161F-2306-4C58-B564-97589F4B97FA}"/>
    <hyperlink ref="C5" r:id="rId6" xr:uid="{63104183-49DE-4AAA-87E4-8577BB840E49}"/>
    <hyperlink ref="H5" r:id="rId7" display="https://mypolicypoint-my.sharepoint.com/:w:/p/mthomas/EeEskwEC47hKpjS8eTCfyA4BqUsf7s-I0dpHANF_VMPiCA?e=aigFiZ" xr:uid="{09080909-0C7F-48C0-B992-61D7F78C1F53}"/>
    <hyperlink ref="C6" r:id="rId8" xr:uid="{E9EFF2CB-2A18-4242-8DC7-0D69F10D3B7D}"/>
    <hyperlink ref="H6" r:id="rId9" display="https://mypolicypoint-my.sharepoint.com/:w:/p/mthomas/ESSIjj6mCSlHuTpct7CHMvIBdVMYKtRl7YRocIIM6MTSzw?e=E1d83Y" xr:uid="{15B6313F-403B-436A-AFB6-4038A923219B}"/>
    <hyperlink ref="C7" r:id="rId10" xr:uid="{D73C071C-A185-416B-8004-BE810459B266}"/>
    <hyperlink ref="H7" r:id="rId11" display="https://mypolicypoint-my.sharepoint.com/:w:/p/mthomas/EfntsKMUEGBKsjWnLXUvbAcBtepattphphTeVVPSIq37XA?e=tsDsxG" xr:uid="{F2D652D1-AD6F-4552-A88D-CEAF0B46DF2D}"/>
    <hyperlink ref="C8" r:id="rId12" xr:uid="{6EAB5640-0C94-49CE-B412-6F639B7236A2}"/>
    <hyperlink ref="H8" r:id="rId13" display="https://mypolicypoint-my.sharepoint.com/:w:/p/mthomas/ESE6KQc7ipRPqixsf_NR5dMB6RFnvQBxMRjOeygpQ9OzaA?e=JlpcSC" xr:uid="{5AE9F613-6DF8-4458-B317-67A99A3E1555}"/>
    <hyperlink ref="C9" r:id="rId14" display="https://app.agencybloc.com/individuals/71444225/detail" xr:uid="{7517EF5E-CEC0-4BA5-ACBD-4A2D2862CAC7}"/>
    <hyperlink ref="H9" r:id="rId15" display="https://mypolicypoint-my.sharepoint.com/:w:/p/mthomas/EUmK4QmXoNJOk_L0cSHOPdABxYazToFmbARuBR5hTPvOvg?e=7HKRkN" xr:uid="{C7B75ACA-5568-4812-A1E9-DDF36C4BC6A9}"/>
    <hyperlink ref="C10" r:id="rId16" display="https://app.agencybloc.com/individuals/71169581/detail" xr:uid="{A601E1B8-730C-4245-84D3-8E18C176B717}"/>
    <hyperlink ref="H10" r:id="rId17" display="https://mypolicypoint-my.sharepoint.com/:w:/p/mthomas/EUbAavAskMFFrXTKbx81smoBPCog_4oDb-TTMRyQ-zhQbg?e=3mbq9U" xr:uid="{551F024B-DA6C-40AF-9C99-C1A505AF7A46}"/>
    <hyperlink ref="C11" r:id="rId18" xr:uid="{0D05F241-9DF5-489F-B034-4F6E7FAD6800}"/>
    <hyperlink ref="H11" r:id="rId19" display="../../../../../../:w:/s/PolicyPointSalesCenter/EYc_F6nvDmZMl6d1ZTetM1QB1KkcXjmjgSewG3irVYACSg?e=X25eyW" xr:uid="{03B342D5-7AAF-4668-9865-AFD766E1F7A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5A02CB6FA23394784E4EDD826A4BDDB" ma:contentTypeVersion="5" ma:contentTypeDescription="Create a new document." ma:contentTypeScope="" ma:versionID="e67821ebbd46ccaf5a8f666def7a03ef">
  <xsd:schema xmlns:xsd="http://www.w3.org/2001/XMLSchema" xmlns:xs="http://www.w3.org/2001/XMLSchema" xmlns:p="http://schemas.microsoft.com/office/2006/metadata/properties" xmlns:ns2="e59492f7-14a7-49cc-a6d7-0d767e8e183f" targetNamespace="http://schemas.microsoft.com/office/2006/metadata/properties" ma:root="true" ma:fieldsID="d7338ae9dba5146436efd43b00a3f3e2" ns2:_="">
    <xsd:import namespace="e59492f7-14a7-49cc-a6d7-0d767e8e183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9492f7-14a7-49cc-a6d7-0d767e8e18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28EAA93-737B-411B-8C3E-6B55C17C9B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9492f7-14a7-49cc-a6d7-0d767e8e18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ADCC91F-EC55-464D-A57F-06BBF600D3FC}">
  <ds:schemaRefs>
    <ds:schemaRef ds:uri="http://schemas.microsoft.com/sharepoint/v3/contenttype/forms"/>
  </ds:schemaRefs>
</ds:datastoreItem>
</file>

<file path=customXml/itemProps3.xml><?xml version="1.0" encoding="utf-8"?>
<ds:datastoreItem xmlns:ds="http://schemas.openxmlformats.org/officeDocument/2006/customXml" ds:itemID="{5462F122-CC42-4379-9651-FA3DFF4E6A18}">
  <ds:schemaRefs>
    <ds:schemaRef ds:uri="http://purl.org/dc/terms/"/>
    <ds:schemaRef ds:uri="http://www.w3.org/XML/1998/namespace"/>
    <ds:schemaRef ds:uri="http://schemas.microsoft.com/office/2006/documentManagement/types"/>
    <ds:schemaRef ds:uri="http://purl.org/dc/elements/1.1/"/>
    <ds:schemaRef ds:uri="http://purl.org/dc/dcmitype/"/>
    <ds:schemaRef ds:uri="http://schemas.openxmlformats.org/package/2006/metadata/core-properties"/>
    <ds:schemaRef ds:uri="e59492f7-14a7-49cc-a6d7-0d767e8e183f"/>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Recap</vt:lpstr>
      <vt:lpstr>Results</vt:lpstr>
      <vt:lpstr>Sheet1</vt:lpstr>
      <vt:lpstr>Agent Roster</vt:lpstr>
      <vt:lpstr>Policies</vt:lpstr>
      <vt:lpstr>Sheet3</vt:lpstr>
      <vt:lpstr>Sheet5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Thomas</dc:creator>
  <cp:keywords/>
  <dc:description/>
  <cp:lastModifiedBy>Michelle Thomas</cp:lastModifiedBy>
  <cp:revision/>
  <dcterms:created xsi:type="dcterms:W3CDTF">2025-09-12T19:08:22Z</dcterms:created>
  <dcterms:modified xsi:type="dcterms:W3CDTF">2026-05-15T13:35:04Z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0x01010085A02CB6FA23394784E4EDD826A4BDDB</vt:lpwstr>
  </property>
  <property fmtid="{D5CDD505-2E9C-101B-9397-08002B2CF9AE}" pid="3" name="Order">
    <vt:r8>173900</vt:r8>
  </property>
  <property fmtid="{D5CDD505-2E9C-101B-9397-08002B2CF9AE}" pid="4" name="TriggerFlowInfo">
    <vt:lpwstr/>
  </property>
  <property fmtid="{D5CDD505-2E9C-101B-9397-08002B2CF9AE}" pid="5" name="ComplianceAssetId">
    <vt:lpwstr/>
  </property>
  <property fmtid="{D5CDD505-2E9C-101B-9397-08002B2CF9AE}" pid="6" name="_ExtendedDescription">
    <vt:lpwstr/>
  </property>
</Properties>
</file>